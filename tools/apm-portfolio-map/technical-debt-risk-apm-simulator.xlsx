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/>
  <mc:AlternateContent xmlns:mc="http://schemas.openxmlformats.org/markup-compatibility/2006">
    <mc:Choice Requires="x15">
      <x15ac:absPath xmlns:x15ac="http://schemas.microsoft.com/office/spreadsheetml/2010/11/ac" url="/Users/kevinforbes/Downloads/cto-toolkit-main/tools/apm-portfolio-map/"/>
    </mc:Choice>
  </mc:AlternateContent>
  <xr:revisionPtr revIDLastSave="0" documentId="13_ncr:1_{7D727085-4364-F846-9271-C6B554D69A81}" xr6:coauthVersionLast="47" xr6:coauthVersionMax="47" xr10:uidLastSave="{00000000-0000-0000-0000-000000000000}"/>
  <bookViews>
    <workbookView xWindow="0" yWindow="780" windowWidth="25140" windowHeight="16200" tabRatio="500" xr2:uid="{00000000-000D-0000-FFFF-FFFF00000000}"/>
  </bookViews>
  <sheets>
    <sheet name="Overview" sheetId="1" r:id="rId1"/>
    <sheet name="Debt Backlog" sheetId="2" r:id="rId2"/>
    <sheet name="Risk Register" sheetId="3" r:id="rId3"/>
    <sheet name="Application Portfolio" sheetId="4" r:id="rId4"/>
    <sheet name="Lists" sheetId="5" r:id="rId5"/>
  </sheets>
  <definedNames>
    <definedName name="lstAppID">'Application Portfolio'!$A$2:$A$1000</definedName>
    <definedName name="lstAppName">'Application Portfolio'!$B$2:$B$1000</definedName>
    <definedName name="lstAppRatConfidence">Lists!$AJ$2:$AJ$4</definedName>
    <definedName name="lstAppRatEffort">Lists!$AK$2:$AK$4</definedName>
    <definedName name="lstAppRatPhase">Lists!$AI$2:$AI$4</definedName>
    <definedName name="lstConfidence">Lists!$K$2:$K$4</definedName>
    <definedName name="lstDebtType">Lists!$A$2:$A$13</definedName>
    <definedName name="lstEffort">Lists!$N$2:$N$6</definedName>
    <definedName name="lstFunctionalFit">Lists!$AD$2:$AD$4</definedName>
    <definedName name="lstImpact">Lists!$H$2:$H$4</definedName>
    <definedName name="lstImpactArea">Lists!$C$2:$C$11</definedName>
    <definedName name="lstIncidents">Lists!$AG$2:$AG$2</definedName>
    <definedName name="lstLifecycle">Lists!$AA$2:$AA$5</definedName>
    <definedName name="lstPriority">Lists!$Q$2:$Q$5</definedName>
    <definedName name="lstScore1to5">Lists!$Y$2:$Y$6</definedName>
    <definedName name="lstSeverity">Lists!$E$2:$E$5</definedName>
    <definedName name="lstSolutionType">Lists!$AH$2:$AH$2</definedName>
    <definedName name="lstStatus">Lists!$S$2:$S$9</definedName>
    <definedName name="lstTargetWindow">Lists!$W$2:$W$7</definedName>
    <definedName name="lstTeam">Lists!$U$2:$U$10</definedName>
    <definedName name="lstTechnicalFit">Lists!$AE$2:$AE$5</definedName>
    <definedName name="lstTier">Lists!$AC$2:$AC$3</definedName>
    <definedName name="lstTIMEClassification">Lists!$AF$2:$AF$5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C1000" i="4" l="1"/>
  <c r="Z1000" i="4"/>
  <c r="T1000" i="4"/>
  <c r="N1000" i="4"/>
  <c r="A1000" i="4"/>
  <c r="AD1000" i="4" s="1"/>
  <c r="AC999" i="4"/>
  <c r="Z999" i="4"/>
  <c r="T999" i="4"/>
  <c r="N999" i="4"/>
  <c r="A999" i="4"/>
  <c r="AD999" i="4" s="1"/>
  <c r="AC998" i="4"/>
  <c r="Z998" i="4"/>
  <c r="T998" i="4"/>
  <c r="N998" i="4"/>
  <c r="A998" i="4"/>
  <c r="AD998" i="4" s="1"/>
  <c r="AC997" i="4"/>
  <c r="Z997" i="4"/>
  <c r="T997" i="4"/>
  <c r="O997" i="4"/>
  <c r="AA997" i="4" s="1"/>
  <c r="AB997" i="4" s="1"/>
  <c r="N997" i="4"/>
  <c r="A997" i="4"/>
  <c r="AD997" i="4" s="1"/>
  <c r="AC996" i="4"/>
  <c r="Z996" i="4"/>
  <c r="T996" i="4"/>
  <c r="N996" i="4"/>
  <c r="A996" i="4"/>
  <c r="AC995" i="4"/>
  <c r="Z995" i="4"/>
  <c r="T995" i="4"/>
  <c r="O995" i="4"/>
  <c r="N995" i="4"/>
  <c r="A995" i="4"/>
  <c r="AD995" i="4" s="1"/>
  <c r="AC994" i="4"/>
  <c r="Z994" i="4"/>
  <c r="T994" i="4"/>
  <c r="N994" i="4"/>
  <c r="A994" i="4"/>
  <c r="AD994" i="4" s="1"/>
  <c r="AC993" i="4"/>
  <c r="Z993" i="4"/>
  <c r="T993" i="4"/>
  <c r="N993" i="4"/>
  <c r="A993" i="4"/>
  <c r="AD993" i="4" s="1"/>
  <c r="AC992" i="4"/>
  <c r="Z992" i="4"/>
  <c r="T992" i="4"/>
  <c r="O992" i="4"/>
  <c r="AA992" i="4" s="1"/>
  <c r="AB992" i="4" s="1"/>
  <c r="N992" i="4"/>
  <c r="A992" i="4"/>
  <c r="AD992" i="4" s="1"/>
  <c r="AC991" i="4"/>
  <c r="Z991" i="4"/>
  <c r="T991" i="4"/>
  <c r="N991" i="4"/>
  <c r="A991" i="4"/>
  <c r="AC990" i="4"/>
  <c r="Z990" i="4"/>
  <c r="T990" i="4"/>
  <c r="O990" i="4"/>
  <c r="N990" i="4"/>
  <c r="A990" i="4"/>
  <c r="AD990" i="4" s="1"/>
  <c r="AC989" i="4"/>
  <c r="Z989" i="4"/>
  <c r="T989" i="4"/>
  <c r="N989" i="4"/>
  <c r="A989" i="4"/>
  <c r="AD989" i="4" s="1"/>
  <c r="AC988" i="4"/>
  <c r="Z988" i="4"/>
  <c r="T988" i="4"/>
  <c r="N988" i="4"/>
  <c r="A988" i="4"/>
  <c r="AD988" i="4" s="1"/>
  <c r="AC987" i="4"/>
  <c r="Z987" i="4"/>
  <c r="T987" i="4"/>
  <c r="O987" i="4"/>
  <c r="AA987" i="4" s="1"/>
  <c r="AB987" i="4" s="1"/>
  <c r="N987" i="4"/>
  <c r="A987" i="4"/>
  <c r="AD987" i="4" s="1"/>
  <c r="AC986" i="4"/>
  <c r="Z986" i="4"/>
  <c r="T986" i="4"/>
  <c r="N986" i="4"/>
  <c r="A986" i="4"/>
  <c r="AC985" i="4"/>
  <c r="Z985" i="4"/>
  <c r="T985" i="4"/>
  <c r="O985" i="4"/>
  <c r="N985" i="4"/>
  <c r="AE985" i="4" s="1"/>
  <c r="A985" i="4"/>
  <c r="AD985" i="4" s="1"/>
  <c r="AC984" i="4"/>
  <c r="Z984" i="4"/>
  <c r="T984" i="4"/>
  <c r="N984" i="4"/>
  <c r="A984" i="4"/>
  <c r="AD984" i="4" s="1"/>
  <c r="AC983" i="4"/>
  <c r="Z983" i="4"/>
  <c r="T983" i="4"/>
  <c r="N983" i="4"/>
  <c r="A983" i="4"/>
  <c r="AD983" i="4" s="1"/>
  <c r="AC982" i="4"/>
  <c r="Z982" i="4"/>
  <c r="T982" i="4"/>
  <c r="O982" i="4"/>
  <c r="AA982" i="4" s="1"/>
  <c r="AB982" i="4" s="1"/>
  <c r="N982" i="4"/>
  <c r="A982" i="4"/>
  <c r="AD982" i="4" s="1"/>
  <c r="AC981" i="4"/>
  <c r="Z981" i="4"/>
  <c r="T981" i="4"/>
  <c r="N981" i="4"/>
  <c r="A981" i="4"/>
  <c r="AC980" i="4"/>
  <c r="Z980" i="4"/>
  <c r="T980" i="4"/>
  <c r="N980" i="4"/>
  <c r="A980" i="4"/>
  <c r="AC979" i="4"/>
  <c r="Z979" i="4"/>
  <c r="T979" i="4"/>
  <c r="N979" i="4"/>
  <c r="A979" i="4"/>
  <c r="AD979" i="4" s="1"/>
  <c r="AC978" i="4"/>
  <c r="Z978" i="4"/>
  <c r="T978" i="4"/>
  <c r="N978" i="4"/>
  <c r="A978" i="4"/>
  <c r="AD978" i="4" s="1"/>
  <c r="AC977" i="4"/>
  <c r="Z977" i="4"/>
  <c r="T977" i="4"/>
  <c r="O977" i="4"/>
  <c r="AA977" i="4" s="1"/>
  <c r="AB977" i="4" s="1"/>
  <c r="N977" i="4"/>
  <c r="A977" i="4"/>
  <c r="AD977" i="4" s="1"/>
  <c r="AC976" i="4"/>
  <c r="Z976" i="4"/>
  <c r="T976" i="4"/>
  <c r="O976" i="4"/>
  <c r="AA976" i="4" s="1"/>
  <c r="AB976" i="4" s="1"/>
  <c r="N976" i="4"/>
  <c r="A976" i="4"/>
  <c r="AD976" i="4" s="1"/>
  <c r="AC975" i="4"/>
  <c r="Z975" i="4"/>
  <c r="T975" i="4"/>
  <c r="O975" i="4"/>
  <c r="N975" i="4"/>
  <c r="A975" i="4"/>
  <c r="AD975" i="4" s="1"/>
  <c r="AC974" i="4"/>
  <c r="Z974" i="4"/>
  <c r="T974" i="4"/>
  <c r="N974" i="4"/>
  <c r="A974" i="4"/>
  <c r="AC973" i="4"/>
  <c r="Z973" i="4"/>
  <c r="T973" i="4"/>
  <c r="N973" i="4"/>
  <c r="A973" i="4"/>
  <c r="AD973" i="4" s="1"/>
  <c r="AC972" i="4"/>
  <c r="Z972" i="4"/>
  <c r="T972" i="4"/>
  <c r="O972" i="4"/>
  <c r="AA972" i="4" s="1"/>
  <c r="AB972" i="4" s="1"/>
  <c r="N972" i="4"/>
  <c r="A972" i="4"/>
  <c r="AD972" i="4" s="1"/>
  <c r="AC971" i="4"/>
  <c r="Z971" i="4"/>
  <c r="T971" i="4"/>
  <c r="N971" i="4"/>
  <c r="A971" i="4"/>
  <c r="AD971" i="4" s="1"/>
  <c r="AC970" i="4"/>
  <c r="Z970" i="4"/>
  <c r="T970" i="4"/>
  <c r="N970" i="4"/>
  <c r="A970" i="4"/>
  <c r="AC969" i="4"/>
  <c r="Z969" i="4"/>
  <c r="T969" i="4"/>
  <c r="N969" i="4"/>
  <c r="A969" i="4"/>
  <c r="AC968" i="4"/>
  <c r="Z968" i="4"/>
  <c r="T968" i="4"/>
  <c r="N968" i="4"/>
  <c r="A968" i="4"/>
  <c r="AD968" i="4" s="1"/>
  <c r="AC967" i="4"/>
  <c r="Z967" i="4"/>
  <c r="T967" i="4"/>
  <c r="O967" i="4"/>
  <c r="AA967" i="4" s="1"/>
  <c r="AB967" i="4" s="1"/>
  <c r="N967" i="4"/>
  <c r="A967" i="4"/>
  <c r="AD967" i="4" s="1"/>
  <c r="AC966" i="4"/>
  <c r="Z966" i="4"/>
  <c r="T966" i="4"/>
  <c r="N966" i="4"/>
  <c r="A966" i="4"/>
  <c r="AD966" i="4" s="1"/>
  <c r="AC965" i="4"/>
  <c r="Z965" i="4"/>
  <c r="T965" i="4"/>
  <c r="N965" i="4"/>
  <c r="A965" i="4"/>
  <c r="AD965" i="4" s="1"/>
  <c r="AC964" i="4"/>
  <c r="Z964" i="4"/>
  <c r="T964" i="4"/>
  <c r="N964" i="4"/>
  <c r="A964" i="4"/>
  <c r="AC963" i="4"/>
  <c r="Z963" i="4"/>
  <c r="T963" i="4"/>
  <c r="N963" i="4"/>
  <c r="A963" i="4"/>
  <c r="AC962" i="4"/>
  <c r="Z962" i="4"/>
  <c r="AA962" i="4" s="1"/>
  <c r="AB962" i="4" s="1"/>
  <c r="T962" i="4"/>
  <c r="O962" i="4"/>
  <c r="N962" i="4"/>
  <c r="A962" i="4"/>
  <c r="AD962" i="4" s="1"/>
  <c r="AC961" i="4"/>
  <c r="Z961" i="4"/>
  <c r="T961" i="4"/>
  <c r="O961" i="4"/>
  <c r="AA961" i="4" s="1"/>
  <c r="AB961" i="4" s="1"/>
  <c r="N961" i="4"/>
  <c r="A961" i="4"/>
  <c r="AD961" i="4" s="1"/>
  <c r="AC960" i="4"/>
  <c r="Z960" i="4"/>
  <c r="T960" i="4"/>
  <c r="O960" i="4"/>
  <c r="N960" i="4"/>
  <c r="A960" i="4"/>
  <c r="AD960" i="4" s="1"/>
  <c r="AC959" i="4"/>
  <c r="Z959" i="4"/>
  <c r="T959" i="4"/>
  <c r="N959" i="4"/>
  <c r="A959" i="4"/>
  <c r="AD959" i="4" s="1"/>
  <c r="AC958" i="4"/>
  <c r="Z958" i="4"/>
  <c r="T958" i="4"/>
  <c r="N958" i="4"/>
  <c r="A958" i="4"/>
  <c r="AC957" i="4"/>
  <c r="AA957" i="4"/>
  <c r="AB957" i="4" s="1"/>
  <c r="Z957" i="4"/>
  <c r="T957" i="4"/>
  <c r="O957" i="4"/>
  <c r="N957" i="4"/>
  <c r="A957" i="4"/>
  <c r="AD957" i="4" s="1"/>
  <c r="AC956" i="4"/>
  <c r="Z956" i="4"/>
  <c r="T956" i="4"/>
  <c r="N956" i="4"/>
  <c r="A956" i="4"/>
  <c r="AD956" i="4" s="1"/>
  <c r="AC955" i="4"/>
  <c r="Z955" i="4"/>
  <c r="T955" i="4"/>
  <c r="N955" i="4"/>
  <c r="A955" i="4"/>
  <c r="AD955" i="4" s="1"/>
  <c r="AC954" i="4"/>
  <c r="Z954" i="4"/>
  <c r="T954" i="4"/>
  <c r="N954" i="4"/>
  <c r="A954" i="4"/>
  <c r="AC953" i="4"/>
  <c r="Z953" i="4"/>
  <c r="T953" i="4"/>
  <c r="N953" i="4"/>
  <c r="A953" i="4"/>
  <c r="AC952" i="4"/>
  <c r="Z952" i="4"/>
  <c r="AA952" i="4" s="1"/>
  <c r="AB952" i="4" s="1"/>
  <c r="T952" i="4"/>
  <c r="O952" i="4"/>
  <c r="N952" i="4"/>
  <c r="A952" i="4"/>
  <c r="AD952" i="4" s="1"/>
  <c r="AC951" i="4"/>
  <c r="Z951" i="4"/>
  <c r="T951" i="4"/>
  <c r="O951" i="4"/>
  <c r="AA951" i="4" s="1"/>
  <c r="AB951" i="4" s="1"/>
  <c r="N951" i="4"/>
  <c r="A951" i="4"/>
  <c r="AD951" i="4" s="1"/>
  <c r="AC950" i="4"/>
  <c r="Z950" i="4"/>
  <c r="T950" i="4"/>
  <c r="N950" i="4"/>
  <c r="A950" i="4"/>
  <c r="AD950" i="4" s="1"/>
  <c r="AC949" i="4"/>
  <c r="Z949" i="4"/>
  <c r="T949" i="4"/>
  <c r="N949" i="4"/>
  <c r="A949" i="4"/>
  <c r="AD949" i="4" s="1"/>
  <c r="AC948" i="4"/>
  <c r="Z948" i="4"/>
  <c r="T948" i="4"/>
  <c r="N948" i="4"/>
  <c r="A948" i="4"/>
  <c r="AC947" i="4"/>
  <c r="AA947" i="4"/>
  <c r="AB947" i="4" s="1"/>
  <c r="Z947" i="4"/>
  <c r="T947" i="4"/>
  <c r="O947" i="4"/>
  <c r="N947" i="4"/>
  <c r="A947" i="4"/>
  <c r="AD947" i="4" s="1"/>
  <c r="AC946" i="4"/>
  <c r="Z946" i="4"/>
  <c r="T946" i="4"/>
  <c r="N946" i="4"/>
  <c r="A946" i="4"/>
  <c r="AD946" i="4" s="1"/>
  <c r="AC945" i="4"/>
  <c r="Z945" i="4"/>
  <c r="T945" i="4"/>
  <c r="N945" i="4"/>
  <c r="A945" i="4"/>
  <c r="AD945" i="4" s="1"/>
  <c r="AC944" i="4"/>
  <c r="Z944" i="4"/>
  <c r="T944" i="4"/>
  <c r="N944" i="4"/>
  <c r="A944" i="4"/>
  <c r="AC943" i="4"/>
  <c r="Z943" i="4"/>
  <c r="T943" i="4"/>
  <c r="N943" i="4"/>
  <c r="A943" i="4"/>
  <c r="AC942" i="4"/>
  <c r="AA942" i="4"/>
  <c r="AB942" i="4" s="1"/>
  <c r="Z942" i="4"/>
  <c r="T942" i="4"/>
  <c r="O942" i="4"/>
  <c r="N942" i="4"/>
  <c r="A942" i="4"/>
  <c r="AD942" i="4" s="1"/>
  <c r="AC941" i="4"/>
  <c r="Z941" i="4"/>
  <c r="T941" i="4"/>
  <c r="O941" i="4"/>
  <c r="AA941" i="4" s="1"/>
  <c r="AB941" i="4" s="1"/>
  <c r="N941" i="4"/>
  <c r="A941" i="4"/>
  <c r="AD941" i="4" s="1"/>
  <c r="AC940" i="4"/>
  <c r="Z940" i="4"/>
  <c r="T940" i="4"/>
  <c r="N940" i="4"/>
  <c r="A940" i="4"/>
  <c r="AD940" i="4" s="1"/>
  <c r="AC939" i="4"/>
  <c r="Z939" i="4"/>
  <c r="T939" i="4"/>
  <c r="N939" i="4"/>
  <c r="A939" i="4"/>
  <c r="AD939" i="4" s="1"/>
  <c r="AC938" i="4"/>
  <c r="Z938" i="4"/>
  <c r="T938" i="4"/>
  <c r="N938" i="4"/>
  <c r="A938" i="4"/>
  <c r="AC937" i="4"/>
  <c r="AA937" i="4"/>
  <c r="AB937" i="4" s="1"/>
  <c r="Z937" i="4"/>
  <c r="T937" i="4"/>
  <c r="O937" i="4"/>
  <c r="N937" i="4"/>
  <c r="A937" i="4"/>
  <c r="AD937" i="4" s="1"/>
  <c r="AC936" i="4"/>
  <c r="Z936" i="4"/>
  <c r="T936" i="4"/>
  <c r="N936" i="4"/>
  <c r="A936" i="4"/>
  <c r="AD936" i="4" s="1"/>
  <c r="AC935" i="4"/>
  <c r="Z935" i="4"/>
  <c r="T935" i="4"/>
  <c r="N935" i="4"/>
  <c r="A935" i="4"/>
  <c r="AD935" i="4" s="1"/>
  <c r="AC934" i="4"/>
  <c r="Z934" i="4"/>
  <c r="T934" i="4"/>
  <c r="N934" i="4"/>
  <c r="A934" i="4"/>
  <c r="AC933" i="4"/>
  <c r="Z933" i="4"/>
  <c r="T933" i="4"/>
  <c r="N933" i="4"/>
  <c r="A933" i="4"/>
  <c r="AC932" i="4"/>
  <c r="Z932" i="4"/>
  <c r="AA932" i="4" s="1"/>
  <c r="AB932" i="4" s="1"/>
  <c r="T932" i="4"/>
  <c r="O932" i="4"/>
  <c r="N932" i="4"/>
  <c r="A932" i="4"/>
  <c r="AD932" i="4" s="1"/>
  <c r="AC931" i="4"/>
  <c r="AA931" i="4"/>
  <c r="AB931" i="4" s="1"/>
  <c r="Z931" i="4"/>
  <c r="T931" i="4"/>
  <c r="O931" i="4"/>
  <c r="N931" i="4"/>
  <c r="A931" i="4"/>
  <c r="AD931" i="4" s="1"/>
  <c r="AC930" i="4"/>
  <c r="Z930" i="4"/>
  <c r="T930" i="4"/>
  <c r="N930" i="4"/>
  <c r="A930" i="4"/>
  <c r="AD930" i="4" s="1"/>
  <c r="AC929" i="4"/>
  <c r="Z929" i="4"/>
  <c r="T929" i="4"/>
  <c r="N929" i="4"/>
  <c r="A929" i="4"/>
  <c r="AD929" i="4" s="1"/>
  <c r="AC928" i="4"/>
  <c r="Z928" i="4"/>
  <c r="T928" i="4"/>
  <c r="N928" i="4"/>
  <c r="A928" i="4"/>
  <c r="AC927" i="4"/>
  <c r="Z927" i="4"/>
  <c r="T927" i="4"/>
  <c r="O927" i="4"/>
  <c r="AA927" i="4" s="1"/>
  <c r="AB927" i="4" s="1"/>
  <c r="N927" i="4"/>
  <c r="A927" i="4"/>
  <c r="AD927" i="4" s="1"/>
  <c r="AC926" i="4"/>
  <c r="Z926" i="4"/>
  <c r="T926" i="4"/>
  <c r="N926" i="4"/>
  <c r="A926" i="4"/>
  <c r="AD926" i="4" s="1"/>
  <c r="AC925" i="4"/>
  <c r="Z925" i="4"/>
  <c r="T925" i="4"/>
  <c r="N925" i="4"/>
  <c r="A925" i="4"/>
  <c r="AD925" i="4" s="1"/>
  <c r="AC924" i="4"/>
  <c r="Z924" i="4"/>
  <c r="T924" i="4"/>
  <c r="N924" i="4"/>
  <c r="A924" i="4"/>
  <c r="AC923" i="4"/>
  <c r="Z923" i="4"/>
  <c r="T923" i="4"/>
  <c r="N923" i="4"/>
  <c r="A923" i="4"/>
  <c r="AD922" i="4"/>
  <c r="AC922" i="4"/>
  <c r="AB922" i="4"/>
  <c r="Z922" i="4"/>
  <c r="T922" i="4"/>
  <c r="N922" i="4"/>
  <c r="A922" i="4"/>
  <c r="O922" i="4" s="1"/>
  <c r="AA922" i="4" s="1"/>
  <c r="AD921" i="4"/>
  <c r="AC921" i="4"/>
  <c r="Z921" i="4"/>
  <c r="AA921" i="4" s="1"/>
  <c r="AB921" i="4" s="1"/>
  <c r="T921" i="4"/>
  <c r="O921" i="4"/>
  <c r="N921" i="4"/>
  <c r="A921" i="4"/>
  <c r="AC920" i="4"/>
  <c r="Z920" i="4"/>
  <c r="T920" i="4"/>
  <c r="AA920" i="4" s="1"/>
  <c r="AB920" i="4" s="1"/>
  <c r="O920" i="4"/>
  <c r="N920" i="4"/>
  <c r="A920" i="4"/>
  <c r="AD920" i="4" s="1"/>
  <c r="AC919" i="4"/>
  <c r="Z919" i="4"/>
  <c r="T919" i="4"/>
  <c r="N919" i="4"/>
  <c r="A919" i="4"/>
  <c r="AC918" i="4"/>
  <c r="Z918" i="4"/>
  <c r="T918" i="4"/>
  <c r="N918" i="4"/>
  <c r="A918" i="4"/>
  <c r="AD918" i="4" s="1"/>
  <c r="AC917" i="4"/>
  <c r="Z917" i="4"/>
  <c r="T917" i="4"/>
  <c r="N917" i="4"/>
  <c r="A917" i="4"/>
  <c r="AD916" i="4"/>
  <c r="AC916" i="4"/>
  <c r="Z916" i="4"/>
  <c r="T916" i="4"/>
  <c r="O916" i="4"/>
  <c r="N916" i="4"/>
  <c r="A916" i="4"/>
  <c r="AC915" i="4"/>
  <c r="Z915" i="4"/>
  <c r="T915" i="4"/>
  <c r="N915" i="4"/>
  <c r="A915" i="4"/>
  <c r="AD915" i="4" s="1"/>
  <c r="AC914" i="4"/>
  <c r="Z914" i="4"/>
  <c r="T914" i="4"/>
  <c r="O914" i="4"/>
  <c r="AE914" i="4" s="1"/>
  <c r="N914" i="4"/>
  <c r="A914" i="4"/>
  <c r="AD914" i="4" s="1"/>
  <c r="AC913" i="4"/>
  <c r="Z913" i="4"/>
  <c r="T913" i="4"/>
  <c r="N913" i="4"/>
  <c r="A913" i="4"/>
  <c r="O913" i="4" s="1"/>
  <c r="AD912" i="4"/>
  <c r="AC912" i="4"/>
  <c r="Z912" i="4"/>
  <c r="T912" i="4"/>
  <c r="N912" i="4"/>
  <c r="A912" i="4"/>
  <c r="O912" i="4" s="1"/>
  <c r="AE912" i="4" s="1"/>
  <c r="AD911" i="4"/>
  <c r="AC911" i="4"/>
  <c r="Z911" i="4"/>
  <c r="T911" i="4"/>
  <c r="O911" i="4"/>
  <c r="AE911" i="4" s="1"/>
  <c r="N911" i="4"/>
  <c r="A911" i="4"/>
  <c r="AC910" i="4"/>
  <c r="Z910" i="4"/>
  <c r="T910" i="4"/>
  <c r="O910" i="4"/>
  <c r="N910" i="4"/>
  <c r="A910" i="4"/>
  <c r="AD910" i="4" s="1"/>
  <c r="AC909" i="4"/>
  <c r="Z909" i="4"/>
  <c r="T909" i="4"/>
  <c r="N909" i="4"/>
  <c r="A909" i="4"/>
  <c r="AD909" i="4" s="1"/>
  <c r="AD908" i="4"/>
  <c r="AC908" i="4"/>
  <c r="Z908" i="4"/>
  <c r="T908" i="4"/>
  <c r="N908" i="4"/>
  <c r="A908" i="4"/>
  <c r="O908" i="4" s="1"/>
  <c r="AD907" i="4"/>
  <c r="AC907" i="4"/>
  <c r="Z907" i="4"/>
  <c r="T907" i="4"/>
  <c r="N907" i="4"/>
  <c r="A907" i="4"/>
  <c r="O907" i="4" s="1"/>
  <c r="AE907" i="4" s="1"/>
  <c r="AE906" i="4"/>
  <c r="AD906" i="4"/>
  <c r="AC906" i="4"/>
  <c r="Z906" i="4"/>
  <c r="T906" i="4"/>
  <c r="O906" i="4"/>
  <c r="N906" i="4"/>
  <c r="A906" i="4"/>
  <c r="AC905" i="4"/>
  <c r="Z905" i="4"/>
  <c r="T905" i="4"/>
  <c r="O905" i="4"/>
  <c r="N905" i="4"/>
  <c r="A905" i="4"/>
  <c r="AD905" i="4" s="1"/>
  <c r="AC904" i="4"/>
  <c r="Z904" i="4"/>
  <c r="T904" i="4"/>
  <c r="N904" i="4"/>
  <c r="A904" i="4"/>
  <c r="AD903" i="4"/>
  <c r="AC903" i="4"/>
  <c r="Z903" i="4"/>
  <c r="T903" i="4"/>
  <c r="N903" i="4"/>
  <c r="A903" i="4"/>
  <c r="O903" i="4" s="1"/>
  <c r="AE902" i="4"/>
  <c r="AD902" i="4"/>
  <c r="AC902" i="4"/>
  <c r="Z902" i="4"/>
  <c r="T902" i="4"/>
  <c r="N902" i="4"/>
  <c r="A902" i="4"/>
  <c r="O902" i="4" s="1"/>
  <c r="AD901" i="4"/>
  <c r="AC901" i="4"/>
  <c r="Z901" i="4"/>
  <c r="T901" i="4"/>
  <c r="O901" i="4"/>
  <c r="N901" i="4"/>
  <c r="A901" i="4"/>
  <c r="AC900" i="4"/>
  <c r="Z900" i="4"/>
  <c r="T900" i="4"/>
  <c r="N900" i="4"/>
  <c r="A900" i="4"/>
  <c r="AD900" i="4" s="1"/>
  <c r="AC899" i="4"/>
  <c r="Z899" i="4"/>
  <c r="T899" i="4"/>
  <c r="N899" i="4"/>
  <c r="A899" i="4"/>
  <c r="AD899" i="4" s="1"/>
  <c r="AD898" i="4"/>
  <c r="AC898" i="4"/>
  <c r="Z898" i="4"/>
  <c r="T898" i="4"/>
  <c r="N898" i="4"/>
  <c r="A898" i="4"/>
  <c r="O898" i="4" s="1"/>
  <c r="AD897" i="4"/>
  <c r="AC897" i="4"/>
  <c r="Z897" i="4"/>
  <c r="T897" i="4"/>
  <c r="N897" i="4"/>
  <c r="A897" i="4"/>
  <c r="O897" i="4" s="1"/>
  <c r="AE897" i="4" s="1"/>
  <c r="AD896" i="4"/>
  <c r="AC896" i="4"/>
  <c r="Z896" i="4"/>
  <c r="T896" i="4"/>
  <c r="O896" i="4"/>
  <c r="N896" i="4"/>
  <c r="A896" i="4"/>
  <c r="AC895" i="4"/>
  <c r="Z895" i="4"/>
  <c r="T895" i="4"/>
  <c r="O895" i="4"/>
  <c r="N895" i="4"/>
  <c r="A895" i="4"/>
  <c r="AD895" i="4" s="1"/>
  <c r="AC894" i="4"/>
  <c r="Z894" i="4"/>
  <c r="T894" i="4"/>
  <c r="O894" i="4"/>
  <c r="N894" i="4"/>
  <c r="A894" i="4"/>
  <c r="AD894" i="4" s="1"/>
  <c r="AD893" i="4"/>
  <c r="AC893" i="4"/>
  <c r="Z893" i="4"/>
  <c r="T893" i="4"/>
  <c r="N893" i="4"/>
  <c r="A893" i="4"/>
  <c r="O893" i="4" s="1"/>
  <c r="AE893" i="4" s="1"/>
  <c r="AE892" i="4"/>
  <c r="AD892" i="4"/>
  <c r="AC892" i="4"/>
  <c r="Z892" i="4"/>
  <c r="T892" i="4"/>
  <c r="N892" i="4"/>
  <c r="A892" i="4"/>
  <c r="O892" i="4" s="1"/>
  <c r="AD891" i="4"/>
  <c r="AC891" i="4"/>
  <c r="Z891" i="4"/>
  <c r="T891" i="4"/>
  <c r="O891" i="4"/>
  <c r="N891" i="4"/>
  <c r="A891" i="4"/>
  <c r="AC890" i="4"/>
  <c r="Z890" i="4"/>
  <c r="T890" i="4"/>
  <c r="N890" i="4"/>
  <c r="A890" i="4"/>
  <c r="AD890" i="4" s="1"/>
  <c r="AC889" i="4"/>
  <c r="Z889" i="4"/>
  <c r="T889" i="4"/>
  <c r="N889" i="4"/>
  <c r="A889" i="4"/>
  <c r="AD889" i="4" s="1"/>
  <c r="AC888" i="4"/>
  <c r="Z888" i="4"/>
  <c r="T888" i="4"/>
  <c r="N888" i="4"/>
  <c r="A888" i="4"/>
  <c r="O888" i="4" s="1"/>
  <c r="AD887" i="4"/>
  <c r="AC887" i="4"/>
  <c r="Z887" i="4"/>
  <c r="T887" i="4"/>
  <c r="N887" i="4"/>
  <c r="A887" i="4"/>
  <c r="O887" i="4" s="1"/>
  <c r="AE887" i="4" s="1"/>
  <c r="AD886" i="4"/>
  <c r="AC886" i="4"/>
  <c r="Z886" i="4"/>
  <c r="T886" i="4"/>
  <c r="O886" i="4"/>
  <c r="N886" i="4"/>
  <c r="A886" i="4"/>
  <c r="AC885" i="4"/>
  <c r="Z885" i="4"/>
  <c r="T885" i="4"/>
  <c r="O885" i="4"/>
  <c r="N885" i="4"/>
  <c r="A885" i="4"/>
  <c r="AD885" i="4" s="1"/>
  <c r="AC884" i="4"/>
  <c r="Z884" i="4"/>
  <c r="T884" i="4"/>
  <c r="O884" i="4"/>
  <c r="N884" i="4"/>
  <c r="A884" i="4"/>
  <c r="AD884" i="4" s="1"/>
  <c r="AC883" i="4"/>
  <c r="Z883" i="4"/>
  <c r="T883" i="4"/>
  <c r="N883" i="4"/>
  <c r="A883" i="4"/>
  <c r="O883" i="4" s="1"/>
  <c r="AE882" i="4"/>
  <c r="AD882" i="4"/>
  <c r="AC882" i="4"/>
  <c r="Z882" i="4"/>
  <c r="T882" i="4"/>
  <c r="N882" i="4"/>
  <c r="A882" i="4"/>
  <c r="O882" i="4" s="1"/>
  <c r="AD881" i="4"/>
  <c r="AC881" i="4"/>
  <c r="Z881" i="4"/>
  <c r="T881" i="4"/>
  <c r="O881" i="4"/>
  <c r="N881" i="4"/>
  <c r="A881" i="4"/>
  <c r="AC880" i="4"/>
  <c r="Z880" i="4"/>
  <c r="T880" i="4"/>
  <c r="N880" i="4"/>
  <c r="A880" i="4"/>
  <c r="AD880" i="4" s="1"/>
  <c r="AC879" i="4"/>
  <c r="Z879" i="4"/>
  <c r="T879" i="4"/>
  <c r="N879" i="4"/>
  <c r="A879" i="4"/>
  <c r="AD878" i="4"/>
  <c r="AC878" i="4"/>
  <c r="Z878" i="4"/>
  <c r="T878" i="4"/>
  <c r="N878" i="4"/>
  <c r="A878" i="4"/>
  <c r="O878" i="4" s="1"/>
  <c r="AD877" i="4"/>
  <c r="AC877" i="4"/>
  <c r="Z877" i="4"/>
  <c r="T877" i="4"/>
  <c r="N877" i="4"/>
  <c r="A877" i="4"/>
  <c r="O877" i="4" s="1"/>
  <c r="AD876" i="4"/>
  <c r="AC876" i="4"/>
  <c r="Z876" i="4"/>
  <c r="T876" i="4"/>
  <c r="O876" i="4"/>
  <c r="N876" i="4"/>
  <c r="AA876" i="4" s="1"/>
  <c r="AB876" i="4" s="1"/>
  <c r="A876" i="4"/>
  <c r="AC875" i="4"/>
  <c r="Z875" i="4"/>
  <c r="T875" i="4"/>
  <c r="N875" i="4"/>
  <c r="A875" i="4"/>
  <c r="AD875" i="4" s="1"/>
  <c r="AC874" i="4"/>
  <c r="Z874" i="4"/>
  <c r="T874" i="4"/>
  <c r="N874" i="4"/>
  <c r="A874" i="4"/>
  <c r="AC873" i="4"/>
  <c r="Z873" i="4"/>
  <c r="T873" i="4"/>
  <c r="N873" i="4"/>
  <c r="A873" i="4"/>
  <c r="AD872" i="4"/>
  <c r="AC872" i="4"/>
  <c r="Z872" i="4"/>
  <c r="T872" i="4"/>
  <c r="N872" i="4"/>
  <c r="A872" i="4"/>
  <c r="O872" i="4" s="1"/>
  <c r="AE872" i="4" s="1"/>
  <c r="AE871" i="4"/>
  <c r="AD871" i="4"/>
  <c r="AC871" i="4"/>
  <c r="Z871" i="4"/>
  <c r="T871" i="4"/>
  <c r="O871" i="4"/>
  <c r="N871" i="4"/>
  <c r="A871" i="4"/>
  <c r="AC870" i="4"/>
  <c r="Z870" i="4"/>
  <c r="T870" i="4"/>
  <c r="O870" i="4"/>
  <c r="N870" i="4"/>
  <c r="A870" i="4"/>
  <c r="AD870" i="4" s="1"/>
  <c r="AC869" i="4"/>
  <c r="Z869" i="4"/>
  <c r="T869" i="4"/>
  <c r="N869" i="4"/>
  <c r="A869" i="4"/>
  <c r="AD869" i="4" s="1"/>
  <c r="AE868" i="4"/>
  <c r="AD868" i="4"/>
  <c r="AC868" i="4"/>
  <c r="Z868" i="4"/>
  <c r="T868" i="4"/>
  <c r="N868" i="4"/>
  <c r="A868" i="4"/>
  <c r="O868" i="4" s="1"/>
  <c r="AE867" i="4"/>
  <c r="AD867" i="4"/>
  <c r="AC867" i="4"/>
  <c r="Z867" i="4"/>
  <c r="T867" i="4"/>
  <c r="N867" i="4"/>
  <c r="A867" i="4"/>
  <c r="O867" i="4" s="1"/>
  <c r="AC866" i="4"/>
  <c r="Z866" i="4"/>
  <c r="T866" i="4"/>
  <c r="N866" i="4"/>
  <c r="A866" i="4"/>
  <c r="AD865" i="4"/>
  <c r="AC865" i="4"/>
  <c r="Z865" i="4"/>
  <c r="T865" i="4"/>
  <c r="O865" i="4"/>
  <c r="N865" i="4"/>
  <c r="A865" i="4"/>
  <c r="AC864" i="4"/>
  <c r="Z864" i="4"/>
  <c r="T864" i="4"/>
  <c r="N864" i="4"/>
  <c r="A864" i="4"/>
  <c r="AD863" i="4"/>
  <c r="AC863" i="4"/>
  <c r="Z863" i="4"/>
  <c r="T863" i="4"/>
  <c r="N863" i="4"/>
  <c r="A863" i="4"/>
  <c r="O863" i="4" s="1"/>
  <c r="AA863" i="4" s="1"/>
  <c r="AB863" i="4" s="1"/>
  <c r="AC862" i="4"/>
  <c r="Z862" i="4"/>
  <c r="T862" i="4"/>
  <c r="N862" i="4"/>
  <c r="A862" i="4"/>
  <c r="AC861" i="4"/>
  <c r="Z861" i="4"/>
  <c r="T861" i="4"/>
  <c r="O861" i="4"/>
  <c r="AA861" i="4" s="1"/>
  <c r="AB861" i="4" s="1"/>
  <c r="N861" i="4"/>
  <c r="A861" i="4"/>
  <c r="AD861" i="4" s="1"/>
  <c r="AC860" i="4"/>
  <c r="Z860" i="4"/>
  <c r="T860" i="4"/>
  <c r="N860" i="4"/>
  <c r="A860" i="4"/>
  <c r="AD860" i="4" s="1"/>
  <c r="AD859" i="4"/>
  <c r="AC859" i="4"/>
  <c r="Z859" i="4"/>
  <c r="T859" i="4"/>
  <c r="N859" i="4"/>
  <c r="A859" i="4"/>
  <c r="O859" i="4" s="1"/>
  <c r="AE858" i="4"/>
  <c r="AD858" i="4"/>
  <c r="AC858" i="4"/>
  <c r="Z858" i="4"/>
  <c r="AA858" i="4" s="1"/>
  <c r="AB858" i="4" s="1"/>
  <c r="T858" i="4"/>
  <c r="N858" i="4"/>
  <c r="A858" i="4"/>
  <c r="O858" i="4" s="1"/>
  <c r="AE857" i="4"/>
  <c r="AD857" i="4"/>
  <c r="AC857" i="4"/>
  <c r="Z857" i="4"/>
  <c r="T857" i="4"/>
  <c r="N857" i="4"/>
  <c r="A857" i="4"/>
  <c r="O857" i="4" s="1"/>
  <c r="AD856" i="4"/>
  <c r="AC856" i="4"/>
  <c r="Z856" i="4"/>
  <c r="T856" i="4"/>
  <c r="O856" i="4"/>
  <c r="AE856" i="4" s="1"/>
  <c r="N856" i="4"/>
  <c r="A856" i="4"/>
  <c r="AD855" i="4"/>
  <c r="AC855" i="4"/>
  <c r="Z855" i="4"/>
  <c r="T855" i="4"/>
  <c r="O855" i="4"/>
  <c r="AA855" i="4" s="1"/>
  <c r="AB855" i="4" s="1"/>
  <c r="N855" i="4"/>
  <c r="AE855" i="4" s="1"/>
  <c r="A855" i="4"/>
  <c r="AC854" i="4"/>
  <c r="Z854" i="4"/>
  <c r="T854" i="4"/>
  <c r="N854" i="4"/>
  <c r="A854" i="4"/>
  <c r="AD854" i="4" s="1"/>
  <c r="AC853" i="4"/>
  <c r="Z853" i="4"/>
  <c r="T853" i="4"/>
  <c r="N853" i="4"/>
  <c r="A853" i="4"/>
  <c r="AC852" i="4"/>
  <c r="Z852" i="4"/>
  <c r="T852" i="4"/>
  <c r="O852" i="4"/>
  <c r="AE852" i="4" s="1"/>
  <c r="N852" i="4"/>
  <c r="A852" i="4"/>
  <c r="AD852" i="4" s="1"/>
  <c r="AD851" i="4"/>
  <c r="AC851" i="4"/>
  <c r="Z851" i="4"/>
  <c r="T851" i="4"/>
  <c r="O851" i="4"/>
  <c r="N851" i="4"/>
  <c r="A851" i="4"/>
  <c r="AC850" i="4"/>
  <c r="Z850" i="4"/>
  <c r="T850" i="4"/>
  <c r="O850" i="4"/>
  <c r="N850" i="4"/>
  <c r="A850" i="4"/>
  <c r="AD850" i="4" s="1"/>
  <c r="AC849" i="4"/>
  <c r="Z849" i="4"/>
  <c r="T849" i="4"/>
  <c r="N849" i="4"/>
  <c r="A849" i="4"/>
  <c r="AD849" i="4" s="1"/>
  <c r="AC848" i="4"/>
  <c r="Z848" i="4"/>
  <c r="T848" i="4"/>
  <c r="N848" i="4"/>
  <c r="A848" i="4"/>
  <c r="AC847" i="4"/>
  <c r="Z847" i="4"/>
  <c r="T847" i="4"/>
  <c r="N847" i="4"/>
  <c r="A847" i="4"/>
  <c r="O847" i="4" s="1"/>
  <c r="AE847" i="4" s="1"/>
  <c r="AE846" i="4"/>
  <c r="AD846" i="4"/>
  <c r="AC846" i="4"/>
  <c r="Z846" i="4"/>
  <c r="T846" i="4"/>
  <c r="O846" i="4"/>
  <c r="N846" i="4"/>
  <c r="A846" i="4"/>
  <c r="AC845" i="4"/>
  <c r="Z845" i="4"/>
  <c r="T845" i="4"/>
  <c r="N845" i="4"/>
  <c r="A845" i="4"/>
  <c r="AC844" i="4"/>
  <c r="Z844" i="4"/>
  <c r="T844" i="4"/>
  <c r="N844" i="4"/>
  <c r="A844" i="4"/>
  <c r="O844" i="4" s="1"/>
  <c r="AE844" i="4" s="1"/>
  <c r="AD843" i="4"/>
  <c r="AC843" i="4"/>
  <c r="Z843" i="4"/>
  <c r="T843" i="4"/>
  <c r="N843" i="4"/>
  <c r="A843" i="4"/>
  <c r="O843" i="4" s="1"/>
  <c r="AE843" i="4" s="1"/>
  <c r="AE842" i="4"/>
  <c r="AD842" i="4"/>
  <c r="AC842" i="4"/>
  <c r="Z842" i="4"/>
  <c r="T842" i="4"/>
  <c r="O842" i="4"/>
  <c r="N842" i="4"/>
  <c r="A842" i="4"/>
  <c r="AD841" i="4"/>
  <c r="AC841" i="4"/>
  <c r="Z841" i="4"/>
  <c r="T841" i="4"/>
  <c r="O841" i="4"/>
  <c r="N841" i="4"/>
  <c r="A841" i="4"/>
  <c r="AC840" i="4"/>
  <c r="Z840" i="4"/>
  <c r="T840" i="4"/>
  <c r="N840" i="4"/>
  <c r="A840" i="4"/>
  <c r="AC839" i="4"/>
  <c r="Z839" i="4"/>
  <c r="T839" i="4"/>
  <c r="O839" i="4"/>
  <c r="N839" i="4"/>
  <c r="A839" i="4"/>
  <c r="AD839" i="4" s="1"/>
  <c r="AC838" i="4"/>
  <c r="Z838" i="4"/>
  <c r="T838" i="4"/>
  <c r="N838" i="4"/>
  <c r="A838" i="4"/>
  <c r="AD838" i="4" s="1"/>
  <c r="AE837" i="4"/>
  <c r="AD837" i="4"/>
  <c r="AC837" i="4"/>
  <c r="Z837" i="4"/>
  <c r="T837" i="4"/>
  <c r="O837" i="4"/>
  <c r="N837" i="4"/>
  <c r="A837" i="4"/>
  <c r="AC836" i="4"/>
  <c r="Z836" i="4"/>
  <c r="T836" i="4"/>
  <c r="N836" i="4"/>
  <c r="A836" i="4"/>
  <c r="AC835" i="4"/>
  <c r="Z835" i="4"/>
  <c r="T835" i="4"/>
  <c r="N835" i="4"/>
  <c r="AA835" i="4" s="1"/>
  <c r="AB835" i="4" s="1"/>
  <c r="A835" i="4"/>
  <c r="O835" i="4" s="1"/>
  <c r="AE834" i="4"/>
  <c r="AD834" i="4"/>
  <c r="AC834" i="4"/>
  <c r="Z834" i="4"/>
  <c r="T834" i="4"/>
  <c r="N834" i="4"/>
  <c r="A834" i="4"/>
  <c r="O834" i="4" s="1"/>
  <c r="AD833" i="4"/>
  <c r="AC833" i="4"/>
  <c r="Z833" i="4"/>
  <c r="T833" i="4"/>
  <c r="N833" i="4"/>
  <c r="A833" i="4"/>
  <c r="O833" i="4" s="1"/>
  <c r="AE833" i="4" s="1"/>
  <c r="AE832" i="4"/>
  <c r="AD832" i="4"/>
  <c r="AC832" i="4"/>
  <c r="Z832" i="4"/>
  <c r="T832" i="4"/>
  <c r="O832" i="4"/>
  <c r="N832" i="4"/>
  <c r="A832" i="4"/>
  <c r="AD831" i="4"/>
  <c r="AC831" i="4"/>
  <c r="Z831" i="4"/>
  <c r="T831" i="4"/>
  <c r="O831" i="4"/>
  <c r="N831" i="4"/>
  <c r="A831" i="4"/>
  <c r="AC830" i="4"/>
  <c r="Z830" i="4"/>
  <c r="T830" i="4"/>
  <c r="O830" i="4"/>
  <c r="N830" i="4"/>
  <c r="A830" i="4"/>
  <c r="AD830" i="4" s="1"/>
  <c r="AC829" i="4"/>
  <c r="Z829" i="4"/>
  <c r="T829" i="4"/>
  <c r="N829" i="4"/>
  <c r="A829" i="4"/>
  <c r="AE828" i="4"/>
  <c r="AC828" i="4"/>
  <c r="Z828" i="4"/>
  <c r="T828" i="4"/>
  <c r="O828" i="4"/>
  <c r="N828" i="4"/>
  <c r="A828" i="4"/>
  <c r="AD828" i="4" s="1"/>
  <c r="AC827" i="4"/>
  <c r="Z827" i="4"/>
  <c r="T827" i="4"/>
  <c r="N827" i="4"/>
  <c r="A827" i="4"/>
  <c r="AC826" i="4"/>
  <c r="Z826" i="4"/>
  <c r="T826" i="4"/>
  <c r="O826" i="4"/>
  <c r="N826" i="4"/>
  <c r="A826" i="4"/>
  <c r="AD826" i="4" s="1"/>
  <c r="AE825" i="4"/>
  <c r="AD825" i="4"/>
  <c r="AC825" i="4"/>
  <c r="Z825" i="4"/>
  <c r="T825" i="4"/>
  <c r="N825" i="4"/>
  <c r="A825" i="4"/>
  <c r="O825" i="4" s="1"/>
  <c r="AE824" i="4"/>
  <c r="AC824" i="4"/>
  <c r="Z824" i="4"/>
  <c r="T824" i="4"/>
  <c r="N824" i="4"/>
  <c r="A824" i="4"/>
  <c r="O824" i="4" s="1"/>
  <c r="AE823" i="4"/>
  <c r="AD823" i="4"/>
  <c r="AC823" i="4"/>
  <c r="Z823" i="4"/>
  <c r="T823" i="4"/>
  <c r="N823" i="4"/>
  <c r="A823" i="4"/>
  <c r="O823" i="4" s="1"/>
  <c r="AD822" i="4"/>
  <c r="AC822" i="4"/>
  <c r="Z822" i="4"/>
  <c r="T822" i="4"/>
  <c r="O822" i="4"/>
  <c r="AE822" i="4" s="1"/>
  <c r="N822" i="4"/>
  <c r="A822" i="4"/>
  <c r="AD821" i="4"/>
  <c r="AC821" i="4"/>
  <c r="Z821" i="4"/>
  <c r="T821" i="4"/>
  <c r="O821" i="4"/>
  <c r="N821" i="4"/>
  <c r="A821" i="4"/>
  <c r="AC820" i="4"/>
  <c r="Z820" i="4"/>
  <c r="T820" i="4"/>
  <c r="N820" i="4"/>
  <c r="A820" i="4"/>
  <c r="AC819" i="4"/>
  <c r="Z819" i="4"/>
  <c r="T819" i="4"/>
  <c r="N819" i="4"/>
  <c r="A819" i="4"/>
  <c r="AD819" i="4" s="1"/>
  <c r="AC818" i="4"/>
  <c r="Z818" i="4"/>
  <c r="T818" i="4"/>
  <c r="N818" i="4"/>
  <c r="A818" i="4"/>
  <c r="AC817" i="4"/>
  <c r="Z817" i="4"/>
  <c r="T817" i="4"/>
  <c r="O817" i="4"/>
  <c r="N817" i="4"/>
  <c r="A817" i="4"/>
  <c r="AD817" i="4" s="1"/>
  <c r="AC816" i="4"/>
  <c r="Z816" i="4"/>
  <c r="T816" i="4"/>
  <c r="N816" i="4"/>
  <c r="A816" i="4"/>
  <c r="O816" i="4" s="1"/>
  <c r="AE815" i="4"/>
  <c r="AC815" i="4"/>
  <c r="Z815" i="4"/>
  <c r="T815" i="4"/>
  <c r="N815" i="4"/>
  <c r="A815" i="4"/>
  <c r="O815" i="4" s="1"/>
  <c r="AE814" i="4"/>
  <c r="AD814" i="4"/>
  <c r="AC814" i="4"/>
  <c r="Z814" i="4"/>
  <c r="T814" i="4"/>
  <c r="N814" i="4"/>
  <c r="A814" i="4"/>
  <c r="O814" i="4" s="1"/>
  <c r="AD813" i="4"/>
  <c r="AC813" i="4"/>
  <c r="Z813" i="4"/>
  <c r="T813" i="4"/>
  <c r="N813" i="4"/>
  <c r="A813" i="4"/>
  <c r="O813" i="4" s="1"/>
  <c r="AE813" i="4" s="1"/>
  <c r="AD812" i="4"/>
  <c r="AC812" i="4"/>
  <c r="Z812" i="4"/>
  <c r="T812" i="4"/>
  <c r="O812" i="4"/>
  <c r="AE812" i="4" s="1"/>
  <c r="N812" i="4"/>
  <c r="A812" i="4"/>
  <c r="AD811" i="4"/>
  <c r="AC811" i="4"/>
  <c r="Z811" i="4"/>
  <c r="T811" i="4"/>
  <c r="O811" i="4"/>
  <c r="N811" i="4"/>
  <c r="A811" i="4"/>
  <c r="AC810" i="4"/>
  <c r="Z810" i="4"/>
  <c r="T810" i="4"/>
  <c r="N810" i="4"/>
  <c r="A810" i="4"/>
  <c r="AD810" i="4" s="1"/>
  <c r="AC809" i="4"/>
  <c r="Z809" i="4"/>
  <c r="T809" i="4"/>
  <c r="O809" i="4"/>
  <c r="N809" i="4"/>
  <c r="A809" i="4"/>
  <c r="AD809" i="4" s="1"/>
  <c r="AC808" i="4"/>
  <c r="Z808" i="4"/>
  <c r="T808" i="4"/>
  <c r="O808" i="4"/>
  <c r="N808" i="4"/>
  <c r="A808" i="4"/>
  <c r="AD808" i="4" s="1"/>
  <c r="AC807" i="4"/>
  <c r="Z807" i="4"/>
  <c r="T807" i="4"/>
  <c r="N807" i="4"/>
  <c r="A807" i="4"/>
  <c r="AC806" i="4"/>
  <c r="Z806" i="4"/>
  <c r="T806" i="4"/>
  <c r="N806" i="4"/>
  <c r="A806" i="4"/>
  <c r="O806" i="4" s="1"/>
  <c r="AE806" i="4" s="1"/>
  <c r="AE805" i="4"/>
  <c r="AD805" i="4"/>
  <c r="AC805" i="4"/>
  <c r="Z805" i="4"/>
  <c r="T805" i="4"/>
  <c r="N805" i="4"/>
  <c r="A805" i="4"/>
  <c r="O805" i="4" s="1"/>
  <c r="AD804" i="4"/>
  <c r="AC804" i="4"/>
  <c r="Z804" i="4"/>
  <c r="T804" i="4"/>
  <c r="O804" i="4"/>
  <c r="AE804" i="4" s="1"/>
  <c r="N804" i="4"/>
  <c r="A804" i="4"/>
  <c r="AD803" i="4"/>
  <c r="AC803" i="4"/>
  <c r="Z803" i="4"/>
  <c r="T803" i="4"/>
  <c r="O803" i="4"/>
  <c r="N803" i="4"/>
  <c r="A803" i="4"/>
  <c r="AC802" i="4"/>
  <c r="Z802" i="4"/>
  <c r="T802" i="4"/>
  <c r="N802" i="4"/>
  <c r="A802" i="4"/>
  <c r="AC801" i="4"/>
  <c r="Z801" i="4"/>
  <c r="T801" i="4"/>
  <c r="N801" i="4"/>
  <c r="A801" i="4"/>
  <c r="AE800" i="4"/>
  <c r="AC800" i="4"/>
  <c r="Z800" i="4"/>
  <c r="T800" i="4"/>
  <c r="O800" i="4"/>
  <c r="N800" i="4"/>
  <c r="A800" i="4"/>
  <c r="AD800" i="4" s="1"/>
  <c r="AE799" i="4"/>
  <c r="AD799" i="4"/>
  <c r="AC799" i="4"/>
  <c r="Z799" i="4"/>
  <c r="T799" i="4"/>
  <c r="O799" i="4"/>
  <c r="N799" i="4"/>
  <c r="AA799" i="4" s="1"/>
  <c r="AB799" i="4" s="1"/>
  <c r="A799" i="4"/>
  <c r="AC798" i="4"/>
  <c r="Z798" i="4"/>
  <c r="T798" i="4"/>
  <c r="N798" i="4"/>
  <c r="A798" i="4"/>
  <c r="AC797" i="4"/>
  <c r="Z797" i="4"/>
  <c r="T797" i="4"/>
  <c r="N797" i="4"/>
  <c r="A797" i="4"/>
  <c r="AE796" i="4"/>
  <c r="AD796" i="4"/>
  <c r="AC796" i="4"/>
  <c r="Z796" i="4"/>
  <c r="T796" i="4"/>
  <c r="N796" i="4"/>
  <c r="A796" i="4"/>
  <c r="O796" i="4" s="1"/>
  <c r="AD795" i="4"/>
  <c r="AC795" i="4"/>
  <c r="Z795" i="4"/>
  <c r="T795" i="4"/>
  <c r="N795" i="4"/>
  <c r="A795" i="4"/>
  <c r="O795" i="4" s="1"/>
  <c r="AE795" i="4" s="1"/>
  <c r="AD794" i="4"/>
  <c r="AC794" i="4"/>
  <c r="Z794" i="4"/>
  <c r="T794" i="4"/>
  <c r="O794" i="4"/>
  <c r="AE794" i="4" s="1"/>
  <c r="N794" i="4"/>
  <c r="A794" i="4"/>
  <c r="AD793" i="4"/>
  <c r="AC793" i="4"/>
  <c r="Z793" i="4"/>
  <c r="T793" i="4"/>
  <c r="O793" i="4"/>
  <c r="N793" i="4"/>
  <c r="A793" i="4"/>
  <c r="AC792" i="4"/>
  <c r="Z792" i="4"/>
  <c r="T792" i="4"/>
  <c r="N792" i="4"/>
  <c r="A792" i="4"/>
  <c r="AC791" i="4"/>
  <c r="Z791" i="4"/>
  <c r="T791" i="4"/>
  <c r="N791" i="4"/>
  <c r="A791" i="4"/>
  <c r="AD791" i="4" s="1"/>
  <c r="AE790" i="4"/>
  <c r="AC790" i="4"/>
  <c r="Z790" i="4"/>
  <c r="T790" i="4"/>
  <c r="O790" i="4"/>
  <c r="N790" i="4"/>
  <c r="AA790" i="4" s="1"/>
  <c r="AB790" i="4" s="1"/>
  <c r="A790" i="4"/>
  <c r="AD790" i="4" s="1"/>
  <c r="AE789" i="4"/>
  <c r="AD789" i="4"/>
  <c r="AC789" i="4"/>
  <c r="Z789" i="4"/>
  <c r="T789" i="4"/>
  <c r="O789" i="4"/>
  <c r="N789" i="4"/>
  <c r="A789" i="4"/>
  <c r="AC788" i="4"/>
  <c r="Z788" i="4"/>
  <c r="T788" i="4"/>
  <c r="N788" i="4"/>
  <c r="A788" i="4"/>
  <c r="O788" i="4" s="1"/>
  <c r="AC787" i="4"/>
  <c r="Z787" i="4"/>
  <c r="T787" i="4"/>
  <c r="N787" i="4"/>
  <c r="A787" i="4"/>
  <c r="AE786" i="4"/>
  <c r="AD786" i="4"/>
  <c r="AC786" i="4"/>
  <c r="Z786" i="4"/>
  <c r="T786" i="4"/>
  <c r="N786" i="4"/>
  <c r="A786" i="4"/>
  <c r="O786" i="4" s="1"/>
  <c r="AD785" i="4"/>
  <c r="AC785" i="4"/>
  <c r="Z785" i="4"/>
  <c r="T785" i="4"/>
  <c r="N785" i="4"/>
  <c r="A785" i="4"/>
  <c r="O785" i="4" s="1"/>
  <c r="AE785" i="4" s="1"/>
  <c r="AD784" i="4"/>
  <c r="AC784" i="4"/>
  <c r="Z784" i="4"/>
  <c r="T784" i="4"/>
  <c r="O784" i="4"/>
  <c r="AE784" i="4" s="1"/>
  <c r="N784" i="4"/>
  <c r="A784" i="4"/>
  <c r="AD783" i="4"/>
  <c r="AC783" i="4"/>
  <c r="Z783" i="4"/>
  <c r="T783" i="4"/>
  <c r="O783" i="4"/>
  <c r="N783" i="4"/>
  <c r="A783" i="4"/>
  <c r="AC782" i="4"/>
  <c r="Z782" i="4"/>
  <c r="T782" i="4"/>
  <c r="N782" i="4"/>
  <c r="A782" i="4"/>
  <c r="AC781" i="4"/>
  <c r="Z781" i="4"/>
  <c r="T781" i="4"/>
  <c r="O781" i="4"/>
  <c r="N781" i="4"/>
  <c r="A781" i="4"/>
  <c r="AD781" i="4" s="1"/>
  <c r="AC780" i="4"/>
  <c r="Z780" i="4"/>
  <c r="T780" i="4"/>
  <c r="O780" i="4"/>
  <c r="N780" i="4"/>
  <c r="AA780" i="4" s="1"/>
  <c r="AB780" i="4" s="1"/>
  <c r="A780" i="4"/>
  <c r="AD780" i="4" s="1"/>
  <c r="AE779" i="4"/>
  <c r="AD779" i="4"/>
  <c r="AC779" i="4"/>
  <c r="Z779" i="4"/>
  <c r="T779" i="4"/>
  <c r="N779" i="4"/>
  <c r="A779" i="4"/>
  <c r="O779" i="4" s="1"/>
  <c r="AD778" i="4"/>
  <c r="AC778" i="4"/>
  <c r="Z778" i="4"/>
  <c r="T778" i="4"/>
  <c r="N778" i="4"/>
  <c r="A778" i="4"/>
  <c r="O778" i="4" s="1"/>
  <c r="AC777" i="4"/>
  <c r="Z777" i="4"/>
  <c r="T777" i="4"/>
  <c r="N777" i="4"/>
  <c r="A777" i="4"/>
  <c r="AD776" i="4"/>
  <c r="AC776" i="4"/>
  <c r="Z776" i="4"/>
  <c r="T776" i="4"/>
  <c r="N776" i="4"/>
  <c r="A776" i="4"/>
  <c r="O776" i="4" s="1"/>
  <c r="AE776" i="4" s="1"/>
  <c r="AE775" i="4"/>
  <c r="AD775" i="4"/>
  <c r="AC775" i="4"/>
  <c r="Z775" i="4"/>
  <c r="T775" i="4"/>
  <c r="N775" i="4"/>
  <c r="A775" i="4"/>
  <c r="O775" i="4" s="1"/>
  <c r="AD774" i="4"/>
  <c r="AC774" i="4"/>
  <c r="Z774" i="4"/>
  <c r="T774" i="4"/>
  <c r="O774" i="4"/>
  <c r="AE774" i="4" s="1"/>
  <c r="N774" i="4"/>
  <c r="A774" i="4"/>
  <c r="AD773" i="4"/>
  <c r="AC773" i="4"/>
  <c r="Z773" i="4"/>
  <c r="T773" i="4"/>
  <c r="O773" i="4"/>
  <c r="N773" i="4"/>
  <c r="A773" i="4"/>
  <c r="AC772" i="4"/>
  <c r="Z772" i="4"/>
  <c r="T772" i="4"/>
  <c r="N772" i="4"/>
  <c r="A772" i="4"/>
  <c r="AC771" i="4"/>
  <c r="Z771" i="4"/>
  <c r="T771" i="4"/>
  <c r="O771" i="4"/>
  <c r="N771" i="4"/>
  <c r="A771" i="4"/>
  <c r="AD771" i="4" s="1"/>
  <c r="AC770" i="4"/>
  <c r="Z770" i="4"/>
  <c r="T770" i="4"/>
  <c r="O770" i="4"/>
  <c r="N770" i="4"/>
  <c r="AA770" i="4" s="1"/>
  <c r="AB770" i="4" s="1"/>
  <c r="A770" i="4"/>
  <c r="AD770" i="4" s="1"/>
  <c r="AC769" i="4"/>
  <c r="Z769" i="4"/>
  <c r="T769" i="4"/>
  <c r="N769" i="4"/>
  <c r="A769" i="4"/>
  <c r="AD768" i="4"/>
  <c r="AC768" i="4"/>
  <c r="Z768" i="4"/>
  <c r="T768" i="4"/>
  <c r="N768" i="4"/>
  <c r="A768" i="4"/>
  <c r="O768" i="4" s="1"/>
  <c r="AC767" i="4"/>
  <c r="Z767" i="4"/>
  <c r="T767" i="4"/>
  <c r="N767" i="4"/>
  <c r="A767" i="4"/>
  <c r="AD766" i="4"/>
  <c r="AC766" i="4"/>
  <c r="Z766" i="4"/>
  <c r="T766" i="4"/>
  <c r="N766" i="4"/>
  <c r="A766" i="4"/>
  <c r="O766" i="4" s="1"/>
  <c r="AE766" i="4" s="1"/>
  <c r="AE765" i="4"/>
  <c r="AD765" i="4"/>
  <c r="AC765" i="4"/>
  <c r="Z765" i="4"/>
  <c r="T765" i="4"/>
  <c r="N765" i="4"/>
  <c r="A765" i="4"/>
  <c r="O765" i="4" s="1"/>
  <c r="AD764" i="4"/>
  <c r="AC764" i="4"/>
  <c r="Z764" i="4"/>
  <c r="T764" i="4"/>
  <c r="O764" i="4"/>
  <c r="AE764" i="4" s="1"/>
  <c r="N764" i="4"/>
  <c r="A764" i="4"/>
  <c r="AD763" i="4"/>
  <c r="AC763" i="4"/>
  <c r="Z763" i="4"/>
  <c r="T763" i="4"/>
  <c r="O763" i="4"/>
  <c r="N763" i="4"/>
  <c r="A763" i="4"/>
  <c r="AC762" i="4"/>
  <c r="Z762" i="4"/>
  <c r="T762" i="4"/>
  <c r="N762" i="4"/>
  <c r="A762" i="4"/>
  <c r="AC761" i="4"/>
  <c r="Z761" i="4"/>
  <c r="T761" i="4"/>
  <c r="O761" i="4"/>
  <c r="N761" i="4"/>
  <c r="A761" i="4"/>
  <c r="AD761" i="4" s="1"/>
  <c r="AC760" i="4"/>
  <c r="Z760" i="4"/>
  <c r="T760" i="4"/>
  <c r="O760" i="4"/>
  <c r="N760" i="4"/>
  <c r="A760" i="4"/>
  <c r="AD760" i="4" s="1"/>
  <c r="AC759" i="4"/>
  <c r="Z759" i="4"/>
  <c r="T759" i="4"/>
  <c r="O759" i="4"/>
  <c r="N759" i="4"/>
  <c r="AA759" i="4" s="1"/>
  <c r="AB759" i="4" s="1"/>
  <c r="A759" i="4"/>
  <c r="AD759" i="4" s="1"/>
  <c r="AD758" i="4"/>
  <c r="AC758" i="4"/>
  <c r="Z758" i="4"/>
  <c r="T758" i="4"/>
  <c r="N758" i="4"/>
  <c r="A758" i="4"/>
  <c r="O758" i="4" s="1"/>
  <c r="AC757" i="4"/>
  <c r="Z757" i="4"/>
  <c r="T757" i="4"/>
  <c r="N757" i="4"/>
  <c r="A757" i="4"/>
  <c r="AC756" i="4"/>
  <c r="Z756" i="4"/>
  <c r="T756" i="4"/>
  <c r="N756" i="4"/>
  <c r="A756" i="4"/>
  <c r="O756" i="4" s="1"/>
  <c r="AE756" i="4" s="1"/>
  <c r="AD755" i="4"/>
  <c r="AC755" i="4"/>
  <c r="Z755" i="4"/>
  <c r="T755" i="4"/>
  <c r="N755" i="4"/>
  <c r="A755" i="4"/>
  <c r="O755" i="4" s="1"/>
  <c r="AE755" i="4" s="1"/>
  <c r="AE754" i="4"/>
  <c r="AD754" i="4"/>
  <c r="AC754" i="4"/>
  <c r="Z754" i="4"/>
  <c r="T754" i="4"/>
  <c r="O754" i="4"/>
  <c r="N754" i="4"/>
  <c r="A754" i="4"/>
  <c r="AD753" i="4"/>
  <c r="AC753" i="4"/>
  <c r="Z753" i="4"/>
  <c r="T753" i="4"/>
  <c r="O753" i="4"/>
  <c r="N753" i="4"/>
  <c r="A753" i="4"/>
  <c r="AC752" i="4"/>
  <c r="Z752" i="4"/>
  <c r="T752" i="4"/>
  <c r="N752" i="4"/>
  <c r="A752" i="4"/>
  <c r="AC751" i="4"/>
  <c r="Z751" i="4"/>
  <c r="T751" i="4"/>
  <c r="N751" i="4"/>
  <c r="A751" i="4"/>
  <c r="AE750" i="4"/>
  <c r="AC750" i="4"/>
  <c r="Z750" i="4"/>
  <c r="T750" i="4"/>
  <c r="O750" i="4"/>
  <c r="N750" i="4"/>
  <c r="A750" i="4"/>
  <c r="AD750" i="4" s="1"/>
  <c r="AC749" i="4"/>
  <c r="Z749" i="4"/>
  <c r="T749" i="4"/>
  <c r="N749" i="4"/>
  <c r="A749" i="4"/>
  <c r="O749" i="4" s="1"/>
  <c r="AC748" i="4"/>
  <c r="Z748" i="4"/>
  <c r="T748" i="4"/>
  <c r="N748" i="4"/>
  <c r="A748" i="4"/>
  <c r="AD748" i="4" s="1"/>
  <c r="AC747" i="4"/>
  <c r="Z747" i="4"/>
  <c r="T747" i="4"/>
  <c r="N747" i="4"/>
  <c r="A747" i="4"/>
  <c r="AE746" i="4"/>
  <c r="AD746" i="4"/>
  <c r="AC746" i="4"/>
  <c r="Z746" i="4"/>
  <c r="T746" i="4"/>
  <c r="N746" i="4"/>
  <c r="A746" i="4"/>
  <c r="O746" i="4" s="1"/>
  <c r="AD745" i="4"/>
  <c r="AC745" i="4"/>
  <c r="Z745" i="4"/>
  <c r="T745" i="4"/>
  <c r="N745" i="4"/>
  <c r="A745" i="4"/>
  <c r="O745" i="4" s="1"/>
  <c r="AE745" i="4" s="1"/>
  <c r="AD744" i="4"/>
  <c r="AC744" i="4"/>
  <c r="Z744" i="4"/>
  <c r="T744" i="4"/>
  <c r="O744" i="4"/>
  <c r="AE744" i="4" s="1"/>
  <c r="N744" i="4"/>
  <c r="A744" i="4"/>
  <c r="AD743" i="4"/>
  <c r="AC743" i="4"/>
  <c r="Z743" i="4"/>
  <c r="T743" i="4"/>
  <c r="O743" i="4"/>
  <c r="N743" i="4"/>
  <c r="A743" i="4"/>
  <c r="AC742" i="4"/>
  <c r="Z742" i="4"/>
  <c r="T742" i="4"/>
  <c r="N742" i="4"/>
  <c r="A742" i="4"/>
  <c r="AC741" i="4"/>
  <c r="Z741" i="4"/>
  <c r="T741" i="4"/>
  <c r="O741" i="4"/>
  <c r="N741" i="4"/>
  <c r="A741" i="4"/>
  <c r="AD741" i="4" s="1"/>
  <c r="AE740" i="4"/>
  <c r="AC740" i="4"/>
  <c r="Z740" i="4"/>
  <c r="T740" i="4"/>
  <c r="O740" i="4"/>
  <c r="N740" i="4"/>
  <c r="A740" i="4"/>
  <c r="AD740" i="4" s="1"/>
  <c r="AC739" i="4"/>
  <c r="Z739" i="4"/>
  <c r="T739" i="4"/>
  <c r="N739" i="4"/>
  <c r="A739" i="4"/>
  <c r="AD738" i="4"/>
  <c r="AC738" i="4"/>
  <c r="Z738" i="4"/>
  <c r="T738" i="4"/>
  <c r="O738" i="4"/>
  <c r="N738" i="4"/>
  <c r="A738" i="4"/>
  <c r="AC737" i="4"/>
  <c r="Z737" i="4"/>
  <c r="T737" i="4"/>
  <c r="N737" i="4"/>
  <c r="A737" i="4"/>
  <c r="AE736" i="4"/>
  <c r="AD736" i="4"/>
  <c r="AC736" i="4"/>
  <c r="Z736" i="4"/>
  <c r="T736" i="4"/>
  <c r="N736" i="4"/>
  <c r="A736" i="4"/>
  <c r="O736" i="4" s="1"/>
  <c r="AE735" i="4"/>
  <c r="AD735" i="4"/>
  <c r="AC735" i="4"/>
  <c r="Z735" i="4"/>
  <c r="T735" i="4"/>
  <c r="N735" i="4"/>
  <c r="A735" i="4"/>
  <c r="O735" i="4" s="1"/>
  <c r="AE734" i="4"/>
  <c r="AD734" i="4"/>
  <c r="AC734" i="4"/>
  <c r="Z734" i="4"/>
  <c r="T734" i="4"/>
  <c r="O734" i="4"/>
  <c r="N734" i="4"/>
  <c r="A734" i="4"/>
  <c r="AD733" i="4"/>
  <c r="AC733" i="4"/>
  <c r="Z733" i="4"/>
  <c r="T733" i="4"/>
  <c r="O733" i="4"/>
  <c r="N733" i="4"/>
  <c r="A733" i="4"/>
  <c r="AC732" i="4"/>
  <c r="Z732" i="4"/>
  <c r="T732" i="4"/>
  <c r="N732" i="4"/>
  <c r="A732" i="4"/>
  <c r="AC731" i="4"/>
  <c r="Z731" i="4"/>
  <c r="T731" i="4"/>
  <c r="N731" i="4"/>
  <c r="A731" i="4"/>
  <c r="AD731" i="4" s="1"/>
  <c r="AE730" i="4"/>
  <c r="AC730" i="4"/>
  <c r="Z730" i="4"/>
  <c r="T730" i="4"/>
  <c r="O730" i="4"/>
  <c r="N730" i="4"/>
  <c r="A730" i="4"/>
  <c r="AD730" i="4" s="1"/>
  <c r="AC729" i="4"/>
  <c r="Z729" i="4"/>
  <c r="T729" i="4"/>
  <c r="O729" i="4"/>
  <c r="N729" i="4"/>
  <c r="A729" i="4"/>
  <c r="AD729" i="4" s="1"/>
  <c r="AD728" i="4"/>
  <c r="AC728" i="4"/>
  <c r="Z728" i="4"/>
  <c r="T728" i="4"/>
  <c r="N728" i="4"/>
  <c r="A728" i="4"/>
  <c r="O728" i="4" s="1"/>
  <c r="AC727" i="4"/>
  <c r="Z727" i="4"/>
  <c r="T727" i="4"/>
  <c r="N727" i="4"/>
  <c r="A727" i="4"/>
  <c r="AC726" i="4"/>
  <c r="Z726" i="4"/>
  <c r="T726" i="4"/>
  <c r="N726" i="4"/>
  <c r="A726" i="4"/>
  <c r="O726" i="4" s="1"/>
  <c r="AE726" i="4" s="1"/>
  <c r="AD725" i="4"/>
  <c r="AC725" i="4"/>
  <c r="Z725" i="4"/>
  <c r="T725" i="4"/>
  <c r="N725" i="4"/>
  <c r="A725" i="4"/>
  <c r="O725" i="4" s="1"/>
  <c r="AE725" i="4" s="1"/>
  <c r="AD724" i="4"/>
  <c r="AC724" i="4"/>
  <c r="Z724" i="4"/>
  <c r="T724" i="4"/>
  <c r="O724" i="4"/>
  <c r="AE724" i="4" s="1"/>
  <c r="N724" i="4"/>
  <c r="A724" i="4"/>
  <c r="AD723" i="4"/>
  <c r="AC723" i="4"/>
  <c r="Z723" i="4"/>
  <c r="T723" i="4"/>
  <c r="O723" i="4"/>
  <c r="N723" i="4"/>
  <c r="A723" i="4"/>
  <c r="AC722" i="4"/>
  <c r="Z722" i="4"/>
  <c r="T722" i="4"/>
  <c r="N722" i="4"/>
  <c r="A722" i="4"/>
  <c r="AC721" i="4"/>
  <c r="Z721" i="4"/>
  <c r="T721" i="4"/>
  <c r="O721" i="4"/>
  <c r="N721" i="4"/>
  <c r="A721" i="4"/>
  <c r="AD721" i="4" s="1"/>
  <c r="AC720" i="4"/>
  <c r="Z720" i="4"/>
  <c r="T720" i="4"/>
  <c r="O720" i="4"/>
  <c r="N720" i="4"/>
  <c r="AE720" i="4" s="1"/>
  <c r="A720" i="4"/>
  <c r="AD720" i="4" s="1"/>
  <c r="AE719" i="4"/>
  <c r="AD719" i="4"/>
  <c r="AC719" i="4"/>
  <c r="Z719" i="4"/>
  <c r="T719" i="4"/>
  <c r="O719" i="4"/>
  <c r="N719" i="4"/>
  <c r="A719" i="4"/>
  <c r="AC718" i="4"/>
  <c r="Z718" i="4"/>
  <c r="T718" i="4"/>
  <c r="O718" i="4"/>
  <c r="N718" i="4"/>
  <c r="A718" i="4"/>
  <c r="AD718" i="4" s="1"/>
  <c r="AC717" i="4"/>
  <c r="Z717" i="4"/>
  <c r="T717" i="4"/>
  <c r="N717" i="4"/>
  <c r="A717" i="4"/>
  <c r="AC716" i="4"/>
  <c r="Z716" i="4"/>
  <c r="T716" i="4"/>
  <c r="N716" i="4"/>
  <c r="A716" i="4"/>
  <c r="AE715" i="4"/>
  <c r="AD715" i="4"/>
  <c r="AC715" i="4"/>
  <c r="Z715" i="4"/>
  <c r="T715" i="4"/>
  <c r="N715" i="4"/>
  <c r="A715" i="4"/>
  <c r="O715" i="4" s="1"/>
  <c r="AD714" i="4"/>
  <c r="AC714" i="4"/>
  <c r="Z714" i="4"/>
  <c r="T714" i="4"/>
  <c r="O714" i="4"/>
  <c r="AE714" i="4" s="1"/>
  <c r="N714" i="4"/>
  <c r="A714" i="4"/>
  <c r="AD713" i="4"/>
  <c r="AC713" i="4"/>
  <c r="Z713" i="4"/>
  <c r="T713" i="4"/>
  <c r="O713" i="4"/>
  <c r="N713" i="4"/>
  <c r="A713" i="4"/>
  <c r="AC712" i="4"/>
  <c r="Z712" i="4"/>
  <c r="T712" i="4"/>
  <c r="N712" i="4"/>
  <c r="A712" i="4"/>
  <c r="AC711" i="4"/>
  <c r="Z711" i="4"/>
  <c r="T711" i="4"/>
  <c r="O711" i="4"/>
  <c r="N711" i="4"/>
  <c r="A711" i="4"/>
  <c r="AD711" i="4" s="1"/>
  <c r="AC710" i="4"/>
  <c r="Z710" i="4"/>
  <c r="T710" i="4"/>
  <c r="O710" i="4"/>
  <c r="N710" i="4"/>
  <c r="A710" i="4"/>
  <c r="AD710" i="4" s="1"/>
  <c r="AD709" i="4"/>
  <c r="AC709" i="4"/>
  <c r="Z709" i="4"/>
  <c r="T709" i="4"/>
  <c r="N709" i="4"/>
  <c r="A709" i="4"/>
  <c r="O709" i="4" s="1"/>
  <c r="AE709" i="4" s="1"/>
  <c r="AD708" i="4"/>
  <c r="AC708" i="4"/>
  <c r="Z708" i="4"/>
  <c r="T708" i="4"/>
  <c r="N708" i="4"/>
  <c r="A708" i="4"/>
  <c r="O708" i="4" s="1"/>
  <c r="AC707" i="4"/>
  <c r="Z707" i="4"/>
  <c r="T707" i="4"/>
  <c r="N707" i="4"/>
  <c r="A707" i="4"/>
  <c r="AC706" i="4"/>
  <c r="Z706" i="4"/>
  <c r="T706" i="4"/>
  <c r="N706" i="4"/>
  <c r="A706" i="4"/>
  <c r="O706" i="4" s="1"/>
  <c r="AE706" i="4" s="1"/>
  <c r="AD705" i="4"/>
  <c r="AC705" i="4"/>
  <c r="Z705" i="4"/>
  <c r="T705" i="4"/>
  <c r="N705" i="4"/>
  <c r="A705" i="4"/>
  <c r="O705" i="4" s="1"/>
  <c r="AE705" i="4" s="1"/>
  <c r="AE704" i="4"/>
  <c r="AD704" i="4"/>
  <c r="AC704" i="4"/>
  <c r="Z704" i="4"/>
  <c r="T704" i="4"/>
  <c r="O704" i="4"/>
  <c r="N704" i="4"/>
  <c r="A704" i="4"/>
  <c r="AD703" i="4"/>
  <c r="AC703" i="4"/>
  <c r="Z703" i="4"/>
  <c r="T703" i="4"/>
  <c r="O703" i="4"/>
  <c r="N703" i="4"/>
  <c r="A703" i="4"/>
  <c r="AC702" i="4"/>
  <c r="Z702" i="4"/>
  <c r="T702" i="4"/>
  <c r="N702" i="4"/>
  <c r="A702" i="4"/>
  <c r="AC701" i="4"/>
  <c r="Z701" i="4"/>
  <c r="T701" i="4"/>
  <c r="N701" i="4"/>
  <c r="A701" i="4"/>
  <c r="AE700" i="4"/>
  <c r="AC700" i="4"/>
  <c r="Z700" i="4"/>
  <c r="T700" i="4"/>
  <c r="O700" i="4"/>
  <c r="N700" i="4"/>
  <c r="A700" i="4"/>
  <c r="AD700" i="4" s="1"/>
  <c r="AD699" i="4"/>
  <c r="AC699" i="4"/>
  <c r="Z699" i="4"/>
  <c r="T699" i="4"/>
  <c r="N699" i="4"/>
  <c r="A699" i="4"/>
  <c r="O699" i="4" s="1"/>
  <c r="AC698" i="4"/>
  <c r="Z698" i="4"/>
  <c r="T698" i="4"/>
  <c r="O698" i="4"/>
  <c r="N698" i="4"/>
  <c r="A698" i="4"/>
  <c r="AD698" i="4" s="1"/>
  <c r="AC697" i="4"/>
  <c r="Z697" i="4"/>
  <c r="T697" i="4"/>
  <c r="N697" i="4"/>
  <c r="A697" i="4"/>
  <c r="AE696" i="4"/>
  <c r="AD696" i="4"/>
  <c r="AC696" i="4"/>
  <c r="Z696" i="4"/>
  <c r="T696" i="4"/>
  <c r="N696" i="4"/>
  <c r="A696" i="4"/>
  <c r="O696" i="4" s="1"/>
  <c r="AD695" i="4"/>
  <c r="AC695" i="4"/>
  <c r="Z695" i="4"/>
  <c r="T695" i="4"/>
  <c r="N695" i="4"/>
  <c r="A695" i="4"/>
  <c r="O695" i="4" s="1"/>
  <c r="AE695" i="4" s="1"/>
  <c r="AE694" i="4"/>
  <c r="AD694" i="4"/>
  <c r="AC694" i="4"/>
  <c r="Z694" i="4"/>
  <c r="T694" i="4"/>
  <c r="O694" i="4"/>
  <c r="N694" i="4"/>
  <c r="A694" i="4"/>
  <c r="AD693" i="4"/>
  <c r="AC693" i="4"/>
  <c r="Z693" i="4"/>
  <c r="T693" i="4"/>
  <c r="O693" i="4"/>
  <c r="N693" i="4"/>
  <c r="A693" i="4"/>
  <c r="AC692" i="4"/>
  <c r="Z692" i="4"/>
  <c r="T692" i="4"/>
  <c r="N692" i="4"/>
  <c r="A692" i="4"/>
  <c r="AC691" i="4"/>
  <c r="Z691" i="4"/>
  <c r="T691" i="4"/>
  <c r="N691" i="4"/>
  <c r="A691" i="4"/>
  <c r="AD691" i="4" s="1"/>
  <c r="AC690" i="4"/>
  <c r="Z690" i="4"/>
  <c r="T690" i="4"/>
  <c r="O690" i="4"/>
  <c r="AE690" i="4" s="1"/>
  <c r="N690" i="4"/>
  <c r="A690" i="4"/>
  <c r="AD690" i="4" s="1"/>
  <c r="AC689" i="4"/>
  <c r="Z689" i="4"/>
  <c r="T689" i="4"/>
  <c r="N689" i="4"/>
  <c r="A689" i="4"/>
  <c r="AD688" i="4"/>
  <c r="AC688" i="4"/>
  <c r="Z688" i="4"/>
  <c r="T688" i="4"/>
  <c r="O688" i="4"/>
  <c r="N688" i="4"/>
  <c r="A688" i="4"/>
  <c r="AC687" i="4"/>
  <c r="Z687" i="4"/>
  <c r="T687" i="4"/>
  <c r="N687" i="4"/>
  <c r="A687" i="4"/>
  <c r="AE686" i="4"/>
  <c r="AC686" i="4"/>
  <c r="Z686" i="4"/>
  <c r="T686" i="4"/>
  <c r="N686" i="4"/>
  <c r="A686" i="4"/>
  <c r="O686" i="4" s="1"/>
  <c r="AE685" i="4"/>
  <c r="AD685" i="4"/>
  <c r="AC685" i="4"/>
  <c r="Z685" i="4"/>
  <c r="T685" i="4"/>
  <c r="N685" i="4"/>
  <c r="A685" i="4"/>
  <c r="O685" i="4" s="1"/>
  <c r="AD684" i="4"/>
  <c r="AC684" i="4"/>
  <c r="Z684" i="4"/>
  <c r="T684" i="4"/>
  <c r="O684" i="4"/>
  <c r="AE684" i="4" s="1"/>
  <c r="N684" i="4"/>
  <c r="A684" i="4"/>
  <c r="AD683" i="4"/>
  <c r="AC683" i="4"/>
  <c r="Z683" i="4"/>
  <c r="T683" i="4"/>
  <c r="O683" i="4"/>
  <c r="N683" i="4"/>
  <c r="A683" i="4"/>
  <c r="AC682" i="4"/>
  <c r="Z682" i="4"/>
  <c r="T682" i="4"/>
  <c r="N682" i="4"/>
  <c r="A682" i="4"/>
  <c r="AC681" i="4"/>
  <c r="Z681" i="4"/>
  <c r="T681" i="4"/>
  <c r="N681" i="4"/>
  <c r="A681" i="4"/>
  <c r="AD681" i="4" s="1"/>
  <c r="AC680" i="4"/>
  <c r="Z680" i="4"/>
  <c r="T680" i="4"/>
  <c r="N680" i="4"/>
  <c r="A680" i="4"/>
  <c r="AC679" i="4"/>
  <c r="Z679" i="4"/>
  <c r="T679" i="4"/>
  <c r="O679" i="4"/>
  <c r="N679" i="4"/>
  <c r="A679" i="4"/>
  <c r="AD679" i="4" s="1"/>
  <c r="AC678" i="4"/>
  <c r="Z678" i="4"/>
  <c r="T678" i="4"/>
  <c r="O678" i="4"/>
  <c r="N678" i="4"/>
  <c r="A678" i="4"/>
  <c r="AD678" i="4" s="1"/>
  <c r="AC677" i="4"/>
  <c r="Z677" i="4"/>
  <c r="T677" i="4"/>
  <c r="N677" i="4"/>
  <c r="A677" i="4"/>
  <c r="AE676" i="4"/>
  <c r="AD676" i="4"/>
  <c r="AC676" i="4"/>
  <c r="AA676" i="4"/>
  <c r="AB676" i="4" s="1"/>
  <c r="Z676" i="4"/>
  <c r="T676" i="4"/>
  <c r="N676" i="4"/>
  <c r="A676" i="4"/>
  <c r="O676" i="4" s="1"/>
  <c r="AE675" i="4"/>
  <c r="AD675" i="4"/>
  <c r="AC675" i="4"/>
  <c r="AB675" i="4"/>
  <c r="AA675" i="4"/>
  <c r="Z675" i="4"/>
  <c r="T675" i="4"/>
  <c r="N675" i="4"/>
  <c r="A675" i="4"/>
  <c r="O675" i="4" s="1"/>
  <c r="AD674" i="4"/>
  <c r="AC674" i="4"/>
  <c r="AA674" i="4"/>
  <c r="AB674" i="4" s="1"/>
  <c r="Z674" i="4"/>
  <c r="T674" i="4"/>
  <c r="N674" i="4"/>
  <c r="AE674" i="4" s="1"/>
  <c r="A674" i="4"/>
  <c r="O674" i="4" s="1"/>
  <c r="AC673" i="4"/>
  <c r="Z673" i="4"/>
  <c r="T673" i="4"/>
  <c r="N673" i="4"/>
  <c r="A673" i="4"/>
  <c r="AC672" i="4"/>
  <c r="Z672" i="4"/>
  <c r="T672" i="4"/>
  <c r="N672" i="4"/>
  <c r="A672" i="4"/>
  <c r="AE671" i="4"/>
  <c r="AC671" i="4"/>
  <c r="AA671" i="4"/>
  <c r="AB671" i="4" s="1"/>
  <c r="Z671" i="4"/>
  <c r="T671" i="4"/>
  <c r="N671" i="4"/>
  <c r="A671" i="4"/>
  <c r="O671" i="4" s="1"/>
  <c r="AD670" i="4"/>
  <c r="AC670" i="4"/>
  <c r="Z670" i="4"/>
  <c r="T670" i="4"/>
  <c r="N670" i="4"/>
  <c r="A670" i="4"/>
  <c r="O670" i="4" s="1"/>
  <c r="AE670" i="4" s="1"/>
  <c r="AC669" i="4"/>
  <c r="Z669" i="4"/>
  <c r="T669" i="4"/>
  <c r="N669" i="4"/>
  <c r="A669" i="4"/>
  <c r="O669" i="4" s="1"/>
  <c r="AC668" i="4"/>
  <c r="Z668" i="4"/>
  <c r="T668" i="4"/>
  <c r="N668" i="4"/>
  <c r="A668" i="4"/>
  <c r="AE667" i="4"/>
  <c r="AD667" i="4"/>
  <c r="AC667" i="4"/>
  <c r="AA667" i="4"/>
  <c r="AB667" i="4" s="1"/>
  <c r="Z667" i="4"/>
  <c r="T667" i="4"/>
  <c r="N667" i="4"/>
  <c r="A667" i="4"/>
  <c r="O667" i="4" s="1"/>
  <c r="AE666" i="4"/>
  <c r="AD666" i="4"/>
  <c r="AC666" i="4"/>
  <c r="AA666" i="4"/>
  <c r="AB666" i="4" s="1"/>
  <c r="Z666" i="4"/>
  <c r="T666" i="4"/>
  <c r="N666" i="4"/>
  <c r="A666" i="4"/>
  <c r="O666" i="4" s="1"/>
  <c r="AE665" i="4"/>
  <c r="AD665" i="4"/>
  <c r="AC665" i="4"/>
  <c r="AB665" i="4"/>
  <c r="AA665" i="4"/>
  <c r="Z665" i="4"/>
  <c r="T665" i="4"/>
  <c r="N665" i="4"/>
  <c r="A665" i="4"/>
  <c r="O665" i="4" s="1"/>
  <c r="AD664" i="4"/>
  <c r="AC664" i="4"/>
  <c r="Z664" i="4"/>
  <c r="T664" i="4"/>
  <c r="N664" i="4"/>
  <c r="AE664" i="4" s="1"/>
  <c r="A664" i="4"/>
  <c r="O664" i="4" s="1"/>
  <c r="AC663" i="4"/>
  <c r="Z663" i="4"/>
  <c r="T663" i="4"/>
  <c r="N663" i="4"/>
  <c r="A663" i="4"/>
  <c r="AC662" i="4"/>
  <c r="Z662" i="4"/>
  <c r="T662" i="4"/>
  <c r="N662" i="4"/>
  <c r="A662" i="4"/>
  <c r="AC661" i="4"/>
  <c r="Z661" i="4"/>
  <c r="T661" i="4"/>
  <c r="AA661" i="4" s="1"/>
  <c r="AB661" i="4" s="1"/>
  <c r="N661" i="4"/>
  <c r="AE661" i="4" s="1"/>
  <c r="A661" i="4"/>
  <c r="O661" i="4" s="1"/>
  <c r="AC660" i="4"/>
  <c r="Z660" i="4"/>
  <c r="T660" i="4"/>
  <c r="N660" i="4"/>
  <c r="A660" i="4"/>
  <c r="AD659" i="4"/>
  <c r="AC659" i="4"/>
  <c r="Z659" i="4"/>
  <c r="T659" i="4"/>
  <c r="N659" i="4"/>
  <c r="A659" i="4"/>
  <c r="O659" i="4" s="1"/>
  <c r="AC658" i="4"/>
  <c r="Z658" i="4"/>
  <c r="T658" i="4"/>
  <c r="N658" i="4"/>
  <c r="A658" i="4"/>
  <c r="AD657" i="4"/>
  <c r="AC657" i="4"/>
  <c r="Z657" i="4"/>
  <c r="T657" i="4"/>
  <c r="N657" i="4"/>
  <c r="A657" i="4"/>
  <c r="O657" i="4" s="1"/>
  <c r="AA657" i="4" s="1"/>
  <c r="AB657" i="4" s="1"/>
  <c r="AE656" i="4"/>
  <c r="AD656" i="4"/>
  <c r="AC656" i="4"/>
  <c r="AA656" i="4"/>
  <c r="AB656" i="4" s="1"/>
  <c r="Z656" i="4"/>
  <c r="T656" i="4"/>
  <c r="N656" i="4"/>
  <c r="A656" i="4"/>
  <c r="O656" i="4" s="1"/>
  <c r="AE655" i="4"/>
  <c r="AD655" i="4"/>
  <c r="AC655" i="4"/>
  <c r="AB655" i="4"/>
  <c r="Z655" i="4"/>
  <c r="T655" i="4"/>
  <c r="AA655" i="4" s="1"/>
  <c r="N655" i="4"/>
  <c r="A655" i="4"/>
  <c r="O655" i="4" s="1"/>
  <c r="AD654" i="4"/>
  <c r="AC654" i="4"/>
  <c r="Z654" i="4"/>
  <c r="T654" i="4"/>
  <c r="N654" i="4"/>
  <c r="AE654" i="4" s="1"/>
  <c r="A654" i="4"/>
  <c r="O654" i="4" s="1"/>
  <c r="AC653" i="4"/>
  <c r="Z653" i="4"/>
  <c r="T653" i="4"/>
  <c r="N653" i="4"/>
  <c r="A653" i="4"/>
  <c r="AC652" i="4"/>
  <c r="Z652" i="4"/>
  <c r="T652" i="4"/>
  <c r="N652" i="4"/>
  <c r="A652" i="4"/>
  <c r="AE651" i="4"/>
  <c r="AC651" i="4"/>
  <c r="AA651" i="4"/>
  <c r="AB651" i="4" s="1"/>
  <c r="Z651" i="4"/>
  <c r="T651" i="4"/>
  <c r="N651" i="4"/>
  <c r="A651" i="4"/>
  <c r="O651" i="4" s="1"/>
  <c r="AD650" i="4"/>
  <c r="AC650" i="4"/>
  <c r="Z650" i="4"/>
  <c r="T650" i="4"/>
  <c r="N650" i="4"/>
  <c r="A650" i="4"/>
  <c r="O650" i="4" s="1"/>
  <c r="AC649" i="4"/>
  <c r="Z649" i="4"/>
  <c r="T649" i="4"/>
  <c r="N649" i="4"/>
  <c r="A649" i="4"/>
  <c r="AC648" i="4"/>
  <c r="Z648" i="4"/>
  <c r="T648" i="4"/>
  <c r="N648" i="4"/>
  <c r="A648" i="4"/>
  <c r="AD647" i="4"/>
  <c r="AC647" i="4"/>
  <c r="AB647" i="4"/>
  <c r="AA647" i="4"/>
  <c r="Z647" i="4"/>
  <c r="T647" i="4"/>
  <c r="N647" i="4"/>
  <c r="A647" i="4"/>
  <c r="O647" i="4" s="1"/>
  <c r="AE647" i="4" s="1"/>
  <c r="AE646" i="4"/>
  <c r="AD646" i="4"/>
  <c r="AC646" i="4"/>
  <c r="AA646" i="4"/>
  <c r="AB646" i="4" s="1"/>
  <c r="Z646" i="4"/>
  <c r="T646" i="4"/>
  <c r="N646" i="4"/>
  <c r="A646" i="4"/>
  <c r="O646" i="4" s="1"/>
  <c r="AE645" i="4"/>
  <c r="AD645" i="4"/>
  <c r="AC645" i="4"/>
  <c r="Z645" i="4"/>
  <c r="T645" i="4"/>
  <c r="AA645" i="4" s="1"/>
  <c r="AB645" i="4" s="1"/>
  <c r="N645" i="4"/>
  <c r="A645" i="4"/>
  <c r="O645" i="4" s="1"/>
  <c r="AD644" i="4"/>
  <c r="AC644" i="4"/>
  <c r="Z644" i="4"/>
  <c r="T644" i="4"/>
  <c r="N644" i="4"/>
  <c r="AE644" i="4" s="1"/>
  <c r="A644" i="4"/>
  <c r="O644" i="4" s="1"/>
  <c r="AC643" i="4"/>
  <c r="Z643" i="4"/>
  <c r="T643" i="4"/>
  <c r="N643" i="4"/>
  <c r="A643" i="4"/>
  <c r="AC642" i="4"/>
  <c r="Z642" i="4"/>
  <c r="T642" i="4"/>
  <c r="N642" i="4"/>
  <c r="A642" i="4"/>
  <c r="AC641" i="4"/>
  <c r="Z641" i="4"/>
  <c r="T641" i="4"/>
  <c r="N641" i="4"/>
  <c r="A641" i="4"/>
  <c r="O641" i="4" s="1"/>
  <c r="AE640" i="4"/>
  <c r="AD640" i="4"/>
  <c r="AC640" i="4"/>
  <c r="Z640" i="4"/>
  <c r="T640" i="4"/>
  <c r="N640" i="4"/>
  <c r="AA640" i="4" s="1"/>
  <c r="AB640" i="4" s="1"/>
  <c r="A640" i="4"/>
  <c r="O640" i="4" s="1"/>
  <c r="AD639" i="4"/>
  <c r="AC639" i="4"/>
  <c r="Z639" i="4"/>
  <c r="T639" i="4"/>
  <c r="N639" i="4"/>
  <c r="A639" i="4"/>
  <c r="O639" i="4" s="1"/>
  <c r="AC638" i="4"/>
  <c r="Z638" i="4"/>
  <c r="T638" i="4"/>
  <c r="N638" i="4"/>
  <c r="A638" i="4"/>
  <c r="AD637" i="4"/>
  <c r="AC637" i="4"/>
  <c r="Z637" i="4"/>
  <c r="T637" i="4"/>
  <c r="N637" i="4"/>
  <c r="A637" i="4"/>
  <c r="O637" i="4" s="1"/>
  <c r="AE636" i="4"/>
  <c r="AD636" i="4"/>
  <c r="AC636" i="4"/>
  <c r="AA636" i="4"/>
  <c r="AB636" i="4" s="1"/>
  <c r="Z636" i="4"/>
  <c r="T636" i="4"/>
  <c r="N636" i="4"/>
  <c r="A636" i="4"/>
  <c r="O636" i="4" s="1"/>
  <c r="AE635" i="4"/>
  <c r="AD635" i="4"/>
  <c r="AC635" i="4"/>
  <c r="AB635" i="4"/>
  <c r="Z635" i="4"/>
  <c r="T635" i="4"/>
  <c r="AA635" i="4" s="1"/>
  <c r="N635" i="4"/>
  <c r="A635" i="4"/>
  <c r="O635" i="4" s="1"/>
  <c r="AD634" i="4"/>
  <c r="AC634" i="4"/>
  <c r="Z634" i="4"/>
  <c r="T634" i="4"/>
  <c r="AA634" i="4" s="1"/>
  <c r="AB634" i="4" s="1"/>
  <c r="N634" i="4"/>
  <c r="AE634" i="4" s="1"/>
  <c r="A634" i="4"/>
  <c r="O634" i="4" s="1"/>
  <c r="AC633" i="4"/>
  <c r="Z633" i="4"/>
  <c r="T633" i="4"/>
  <c r="N633" i="4"/>
  <c r="A633" i="4"/>
  <c r="AC632" i="4"/>
  <c r="Z632" i="4"/>
  <c r="T632" i="4"/>
  <c r="N632" i="4"/>
  <c r="A632" i="4"/>
  <c r="AE631" i="4"/>
  <c r="AC631" i="4"/>
  <c r="AB631" i="4"/>
  <c r="AA631" i="4"/>
  <c r="Z631" i="4"/>
  <c r="T631" i="4"/>
  <c r="N631" i="4"/>
  <c r="A631" i="4"/>
  <c r="O631" i="4" s="1"/>
  <c r="AD630" i="4"/>
  <c r="AC630" i="4"/>
  <c r="Z630" i="4"/>
  <c r="T630" i="4"/>
  <c r="N630" i="4"/>
  <c r="AE630" i="4" s="1"/>
  <c r="A630" i="4"/>
  <c r="O630" i="4" s="1"/>
  <c r="AC629" i="4"/>
  <c r="Z629" i="4"/>
  <c r="T629" i="4"/>
  <c r="N629" i="4"/>
  <c r="A629" i="4"/>
  <c r="O629" i="4" s="1"/>
  <c r="AC628" i="4"/>
  <c r="Z628" i="4"/>
  <c r="T628" i="4"/>
  <c r="N628" i="4"/>
  <c r="A628" i="4"/>
  <c r="AE627" i="4"/>
  <c r="AD627" i="4"/>
  <c r="AC627" i="4"/>
  <c r="AB627" i="4"/>
  <c r="AA627" i="4"/>
  <c r="Z627" i="4"/>
  <c r="T627" i="4"/>
  <c r="N627" i="4"/>
  <c r="A627" i="4"/>
  <c r="O627" i="4" s="1"/>
  <c r="AE626" i="4"/>
  <c r="AD626" i="4"/>
  <c r="AC626" i="4"/>
  <c r="Z626" i="4"/>
  <c r="AA626" i="4" s="1"/>
  <c r="AB626" i="4" s="1"/>
  <c r="T626" i="4"/>
  <c r="N626" i="4"/>
  <c r="A626" i="4"/>
  <c r="O626" i="4" s="1"/>
  <c r="AE625" i="4"/>
  <c r="AD625" i="4"/>
  <c r="AC625" i="4"/>
  <c r="Z625" i="4"/>
  <c r="T625" i="4"/>
  <c r="N625" i="4"/>
  <c r="A625" i="4"/>
  <c r="O625" i="4" s="1"/>
  <c r="AD624" i="4"/>
  <c r="AC624" i="4"/>
  <c r="Z624" i="4"/>
  <c r="T624" i="4"/>
  <c r="N624" i="4"/>
  <c r="AA624" i="4" s="1"/>
  <c r="AB624" i="4" s="1"/>
  <c r="A624" i="4"/>
  <c r="O624" i="4" s="1"/>
  <c r="AC623" i="4"/>
  <c r="Z623" i="4"/>
  <c r="T623" i="4"/>
  <c r="N623" i="4"/>
  <c r="A623" i="4"/>
  <c r="O623" i="4" s="1"/>
  <c r="AC622" i="4"/>
  <c r="Z622" i="4"/>
  <c r="T622" i="4"/>
  <c r="N622" i="4"/>
  <c r="A622" i="4"/>
  <c r="AC621" i="4"/>
  <c r="Z621" i="4"/>
  <c r="T621" i="4"/>
  <c r="N621" i="4"/>
  <c r="AE621" i="4" s="1"/>
  <c r="A621" i="4"/>
  <c r="O621" i="4" s="1"/>
  <c r="AC620" i="4"/>
  <c r="AA620" i="4"/>
  <c r="AB620" i="4" s="1"/>
  <c r="Z620" i="4"/>
  <c r="T620" i="4"/>
  <c r="N620" i="4"/>
  <c r="AE620" i="4" s="1"/>
  <c r="A620" i="4"/>
  <c r="O620" i="4" s="1"/>
  <c r="AC619" i="4"/>
  <c r="Z619" i="4"/>
  <c r="T619" i="4"/>
  <c r="N619" i="4"/>
  <c r="A619" i="4"/>
  <c r="AC618" i="4"/>
  <c r="Z618" i="4"/>
  <c r="T618" i="4"/>
  <c r="N618" i="4"/>
  <c r="A618" i="4"/>
  <c r="AD617" i="4"/>
  <c r="AC617" i="4"/>
  <c r="Z617" i="4"/>
  <c r="T617" i="4"/>
  <c r="N617" i="4"/>
  <c r="AE617" i="4" s="1"/>
  <c r="A617" i="4"/>
  <c r="O617" i="4" s="1"/>
  <c r="AC616" i="4"/>
  <c r="AB616" i="4"/>
  <c r="AA616" i="4"/>
  <c r="Z616" i="4"/>
  <c r="T616" i="4"/>
  <c r="N616" i="4"/>
  <c r="A616" i="4"/>
  <c r="O616" i="4" s="1"/>
  <c r="AE616" i="4" s="1"/>
  <c r="AE615" i="4"/>
  <c r="AD615" i="4"/>
  <c r="AC615" i="4"/>
  <c r="AA615" i="4"/>
  <c r="AB615" i="4" s="1"/>
  <c r="Z615" i="4"/>
  <c r="T615" i="4"/>
  <c r="N615" i="4"/>
  <c r="A615" i="4"/>
  <c r="O615" i="4" s="1"/>
  <c r="AD614" i="4"/>
  <c r="AC614" i="4"/>
  <c r="Z614" i="4"/>
  <c r="T614" i="4"/>
  <c r="N614" i="4"/>
  <c r="A614" i="4"/>
  <c r="O614" i="4" s="1"/>
  <c r="AC613" i="4"/>
  <c r="Z613" i="4"/>
  <c r="T613" i="4"/>
  <c r="N613" i="4"/>
  <c r="A613" i="4"/>
  <c r="O613" i="4" s="1"/>
  <c r="AC612" i="4"/>
  <c r="Z612" i="4"/>
  <c r="T612" i="4"/>
  <c r="N612" i="4"/>
  <c r="A612" i="4"/>
  <c r="AC611" i="4"/>
  <c r="Z611" i="4"/>
  <c r="T611" i="4"/>
  <c r="N611" i="4"/>
  <c r="A611" i="4"/>
  <c r="AC610" i="4"/>
  <c r="AA610" i="4"/>
  <c r="AB610" i="4" s="1"/>
  <c r="Z610" i="4"/>
  <c r="T610" i="4"/>
  <c r="N610" i="4"/>
  <c r="AE610" i="4" s="1"/>
  <c r="A610" i="4"/>
  <c r="O610" i="4" s="1"/>
  <c r="AC609" i="4"/>
  <c r="Z609" i="4"/>
  <c r="T609" i="4"/>
  <c r="N609" i="4"/>
  <c r="A609" i="4"/>
  <c r="AE608" i="4"/>
  <c r="AD608" i="4"/>
  <c r="AC608" i="4"/>
  <c r="Z608" i="4"/>
  <c r="T608" i="4"/>
  <c r="N608" i="4"/>
  <c r="A608" i="4"/>
  <c r="O608" i="4" s="1"/>
  <c r="AE607" i="4"/>
  <c r="AD607" i="4"/>
  <c r="AC607" i="4"/>
  <c r="AB607" i="4"/>
  <c r="AA607" i="4"/>
  <c r="Z607" i="4"/>
  <c r="T607" i="4"/>
  <c r="N607" i="4"/>
  <c r="A607" i="4"/>
  <c r="O607" i="4" s="1"/>
  <c r="AE606" i="4"/>
  <c r="AD606" i="4"/>
  <c r="AC606" i="4"/>
  <c r="AA606" i="4"/>
  <c r="AB606" i="4" s="1"/>
  <c r="Z606" i="4"/>
  <c r="T606" i="4"/>
  <c r="N606" i="4"/>
  <c r="A606" i="4"/>
  <c r="O606" i="4" s="1"/>
  <c r="AE605" i="4"/>
  <c r="AD605" i="4"/>
  <c r="AC605" i="4"/>
  <c r="Z605" i="4"/>
  <c r="AA605" i="4" s="1"/>
  <c r="AB605" i="4" s="1"/>
  <c r="T605" i="4"/>
  <c r="N605" i="4"/>
  <c r="A605" i="4"/>
  <c r="O605" i="4" s="1"/>
  <c r="AD604" i="4"/>
  <c r="AC604" i="4"/>
  <c r="Z604" i="4"/>
  <c r="T604" i="4"/>
  <c r="AA604" i="4" s="1"/>
  <c r="AB604" i="4" s="1"/>
  <c r="N604" i="4"/>
  <c r="AE604" i="4" s="1"/>
  <c r="A604" i="4"/>
  <c r="O604" i="4" s="1"/>
  <c r="AC603" i="4"/>
  <c r="Z603" i="4"/>
  <c r="T603" i="4"/>
  <c r="N603" i="4"/>
  <c r="A603" i="4"/>
  <c r="AC602" i="4"/>
  <c r="Z602" i="4"/>
  <c r="T602" i="4"/>
  <c r="N602" i="4"/>
  <c r="A602" i="4"/>
  <c r="AC601" i="4"/>
  <c r="Z601" i="4"/>
  <c r="T601" i="4"/>
  <c r="N601" i="4"/>
  <c r="A601" i="4"/>
  <c r="AD601" i="4" s="1"/>
  <c r="AE600" i="4"/>
  <c r="AC600" i="4"/>
  <c r="AA600" i="4"/>
  <c r="AB600" i="4" s="1"/>
  <c r="Z600" i="4"/>
  <c r="T600" i="4"/>
  <c r="O600" i="4"/>
  <c r="N600" i="4"/>
  <c r="A600" i="4"/>
  <c r="AD600" i="4" s="1"/>
  <c r="AC599" i="4"/>
  <c r="Z599" i="4"/>
  <c r="AA599" i="4" s="1"/>
  <c r="AB599" i="4" s="1"/>
  <c r="T599" i="4"/>
  <c r="O599" i="4"/>
  <c r="AE599" i="4" s="1"/>
  <c r="N599" i="4"/>
  <c r="A599" i="4"/>
  <c r="AD599" i="4" s="1"/>
  <c r="AC598" i="4"/>
  <c r="Z598" i="4"/>
  <c r="T598" i="4"/>
  <c r="AA598" i="4" s="1"/>
  <c r="AB598" i="4" s="1"/>
  <c r="O598" i="4"/>
  <c r="N598" i="4"/>
  <c r="AE598" i="4" s="1"/>
  <c r="A598" i="4"/>
  <c r="AD598" i="4" s="1"/>
  <c r="AC597" i="4"/>
  <c r="Z597" i="4"/>
  <c r="AA597" i="4" s="1"/>
  <c r="AB597" i="4" s="1"/>
  <c r="T597" i="4"/>
  <c r="O597" i="4"/>
  <c r="N597" i="4"/>
  <c r="AE597" i="4" s="1"/>
  <c r="A597" i="4"/>
  <c r="AD597" i="4" s="1"/>
  <c r="AC596" i="4"/>
  <c r="Z596" i="4"/>
  <c r="T596" i="4"/>
  <c r="O596" i="4"/>
  <c r="N596" i="4"/>
  <c r="A596" i="4"/>
  <c r="AD596" i="4" s="1"/>
  <c r="AC595" i="4"/>
  <c r="Z595" i="4"/>
  <c r="T595" i="4"/>
  <c r="N595" i="4"/>
  <c r="A595" i="4"/>
  <c r="AC594" i="4"/>
  <c r="Z594" i="4"/>
  <c r="T594" i="4"/>
  <c r="O594" i="4"/>
  <c r="N594" i="4"/>
  <c r="A594" i="4"/>
  <c r="AD594" i="4" s="1"/>
  <c r="AC593" i="4"/>
  <c r="Z593" i="4"/>
  <c r="T593" i="4"/>
  <c r="N593" i="4"/>
  <c r="A593" i="4"/>
  <c r="AC592" i="4"/>
  <c r="Z592" i="4"/>
  <c r="T592" i="4"/>
  <c r="N592" i="4"/>
  <c r="A592" i="4"/>
  <c r="AC591" i="4"/>
  <c r="Z591" i="4"/>
  <c r="T591" i="4"/>
  <c r="N591" i="4"/>
  <c r="A591" i="4"/>
  <c r="AD591" i="4" s="1"/>
  <c r="AE590" i="4"/>
  <c r="AC590" i="4"/>
  <c r="Z590" i="4"/>
  <c r="T590" i="4"/>
  <c r="AA590" i="4" s="1"/>
  <c r="AB590" i="4" s="1"/>
  <c r="O590" i="4"/>
  <c r="N590" i="4"/>
  <c r="A590" i="4"/>
  <c r="AD590" i="4" s="1"/>
  <c r="AC589" i="4"/>
  <c r="Z589" i="4"/>
  <c r="T589" i="4"/>
  <c r="O589" i="4"/>
  <c r="N589" i="4"/>
  <c r="A589" i="4"/>
  <c r="AD589" i="4" s="1"/>
  <c r="AC588" i="4"/>
  <c r="Z588" i="4"/>
  <c r="T588" i="4"/>
  <c r="O588" i="4"/>
  <c r="N588" i="4"/>
  <c r="AE588" i="4" s="1"/>
  <c r="A588" i="4"/>
  <c r="AD588" i="4" s="1"/>
  <c r="AC587" i="4"/>
  <c r="Z587" i="4"/>
  <c r="T587" i="4"/>
  <c r="N587" i="4"/>
  <c r="A587" i="4"/>
  <c r="AD587" i="4" s="1"/>
  <c r="AC586" i="4"/>
  <c r="Z586" i="4"/>
  <c r="T586" i="4"/>
  <c r="O586" i="4"/>
  <c r="N586" i="4"/>
  <c r="A586" i="4"/>
  <c r="AD586" i="4" s="1"/>
  <c r="AC585" i="4"/>
  <c r="Z585" i="4"/>
  <c r="T585" i="4"/>
  <c r="N585" i="4"/>
  <c r="A585" i="4"/>
  <c r="AC584" i="4"/>
  <c r="Z584" i="4"/>
  <c r="T584" i="4"/>
  <c r="N584" i="4"/>
  <c r="A584" i="4"/>
  <c r="AD584" i="4" s="1"/>
  <c r="AC583" i="4"/>
  <c r="Z583" i="4"/>
  <c r="T583" i="4"/>
  <c r="O583" i="4"/>
  <c r="N583" i="4"/>
  <c r="A583" i="4"/>
  <c r="AD583" i="4" s="1"/>
  <c r="AC582" i="4"/>
  <c r="Z582" i="4"/>
  <c r="T582" i="4"/>
  <c r="N582" i="4"/>
  <c r="A582" i="4"/>
  <c r="AC581" i="4"/>
  <c r="Z581" i="4"/>
  <c r="T581" i="4"/>
  <c r="N581" i="4"/>
  <c r="A581" i="4"/>
  <c r="AE580" i="4"/>
  <c r="AC580" i="4"/>
  <c r="AA580" i="4"/>
  <c r="AB580" i="4" s="1"/>
  <c r="Z580" i="4"/>
  <c r="T580" i="4"/>
  <c r="O580" i="4"/>
  <c r="N580" i="4"/>
  <c r="A580" i="4"/>
  <c r="AD580" i="4" s="1"/>
  <c r="AE579" i="4"/>
  <c r="AC579" i="4"/>
  <c r="Z579" i="4"/>
  <c r="AA579" i="4" s="1"/>
  <c r="AB579" i="4" s="1"/>
  <c r="T579" i="4"/>
  <c r="O579" i="4"/>
  <c r="N579" i="4"/>
  <c r="A579" i="4"/>
  <c r="AD579" i="4" s="1"/>
  <c r="AC578" i="4"/>
  <c r="Z578" i="4"/>
  <c r="T578" i="4"/>
  <c r="O578" i="4"/>
  <c r="N578" i="4"/>
  <c r="AE578" i="4" s="1"/>
  <c r="A578" i="4"/>
  <c r="AD578" i="4" s="1"/>
  <c r="AC577" i="4"/>
  <c r="Z577" i="4"/>
  <c r="T577" i="4"/>
  <c r="O577" i="4"/>
  <c r="AA577" i="4" s="1"/>
  <c r="AB577" i="4" s="1"/>
  <c r="N577" i="4"/>
  <c r="A577" i="4"/>
  <c r="AD577" i="4" s="1"/>
  <c r="AC576" i="4"/>
  <c r="Z576" i="4"/>
  <c r="T576" i="4"/>
  <c r="O576" i="4"/>
  <c r="N576" i="4"/>
  <c r="AE576" i="4" s="1"/>
  <c r="A576" i="4"/>
  <c r="AD576" i="4" s="1"/>
  <c r="AC575" i="4"/>
  <c r="Z575" i="4"/>
  <c r="T575" i="4"/>
  <c r="N575" i="4"/>
  <c r="A575" i="4"/>
  <c r="AD575" i="4" s="1"/>
  <c r="AC574" i="4"/>
  <c r="Z574" i="4"/>
  <c r="T574" i="4"/>
  <c r="N574" i="4"/>
  <c r="A574" i="4"/>
  <c r="AD574" i="4" s="1"/>
  <c r="AC573" i="4"/>
  <c r="Z573" i="4"/>
  <c r="T573" i="4"/>
  <c r="N573" i="4"/>
  <c r="A573" i="4"/>
  <c r="AC572" i="4"/>
  <c r="Z572" i="4"/>
  <c r="T572" i="4"/>
  <c r="N572" i="4"/>
  <c r="A572" i="4"/>
  <c r="AC571" i="4"/>
  <c r="Z571" i="4"/>
  <c r="T571" i="4"/>
  <c r="N571" i="4"/>
  <c r="A571" i="4"/>
  <c r="AE570" i="4"/>
  <c r="AC570" i="4"/>
  <c r="Z570" i="4"/>
  <c r="T570" i="4"/>
  <c r="AA570" i="4" s="1"/>
  <c r="AB570" i="4" s="1"/>
  <c r="O570" i="4"/>
  <c r="N570" i="4"/>
  <c r="A570" i="4"/>
  <c r="AD570" i="4" s="1"/>
  <c r="AC569" i="4"/>
  <c r="Z569" i="4"/>
  <c r="T569" i="4"/>
  <c r="O569" i="4"/>
  <c r="N569" i="4"/>
  <c r="A569" i="4"/>
  <c r="AD569" i="4" s="1"/>
  <c r="AC568" i="4"/>
  <c r="Z568" i="4"/>
  <c r="T568" i="4"/>
  <c r="O568" i="4"/>
  <c r="N568" i="4"/>
  <c r="A568" i="4"/>
  <c r="AD568" i="4" s="1"/>
  <c r="AC567" i="4"/>
  <c r="Z567" i="4"/>
  <c r="T567" i="4"/>
  <c r="N567" i="4"/>
  <c r="A567" i="4"/>
  <c r="AD567" i="4" s="1"/>
  <c r="AC566" i="4"/>
  <c r="AA566" i="4"/>
  <c r="AB566" i="4" s="1"/>
  <c r="Z566" i="4"/>
  <c r="T566" i="4"/>
  <c r="O566" i="4"/>
  <c r="N566" i="4"/>
  <c r="A566" i="4"/>
  <c r="AD566" i="4" s="1"/>
  <c r="AC565" i="4"/>
  <c r="Z565" i="4"/>
  <c r="T565" i="4"/>
  <c r="O565" i="4"/>
  <c r="N565" i="4"/>
  <c r="A565" i="4"/>
  <c r="AD565" i="4" s="1"/>
  <c r="AC564" i="4"/>
  <c r="Z564" i="4"/>
  <c r="T564" i="4"/>
  <c r="N564" i="4"/>
  <c r="A564" i="4"/>
  <c r="AD564" i="4" s="1"/>
  <c r="AC563" i="4"/>
  <c r="Z563" i="4"/>
  <c r="T563" i="4"/>
  <c r="N563" i="4"/>
  <c r="A563" i="4"/>
  <c r="AD563" i="4" s="1"/>
  <c r="AC562" i="4"/>
  <c r="Z562" i="4"/>
  <c r="T562" i="4"/>
  <c r="N562" i="4"/>
  <c r="A562" i="4"/>
  <c r="AC561" i="4"/>
  <c r="Z561" i="4"/>
  <c r="T561" i="4"/>
  <c r="N561" i="4"/>
  <c r="A561" i="4"/>
  <c r="AE560" i="4"/>
  <c r="AC560" i="4"/>
  <c r="Z560" i="4"/>
  <c r="T560" i="4"/>
  <c r="AA560" i="4" s="1"/>
  <c r="AB560" i="4" s="1"/>
  <c r="O560" i="4"/>
  <c r="N560" i="4"/>
  <c r="A560" i="4"/>
  <c r="AD560" i="4" s="1"/>
  <c r="AE559" i="4"/>
  <c r="AC559" i="4"/>
  <c r="AB559" i="4"/>
  <c r="AA559" i="4"/>
  <c r="Z559" i="4"/>
  <c r="T559" i="4"/>
  <c r="O559" i="4"/>
  <c r="N559" i="4"/>
  <c r="A559" i="4"/>
  <c r="AD559" i="4" s="1"/>
  <c r="AC558" i="4"/>
  <c r="Z558" i="4"/>
  <c r="T558" i="4"/>
  <c r="AA558" i="4" s="1"/>
  <c r="AB558" i="4" s="1"/>
  <c r="O558" i="4"/>
  <c r="N558" i="4"/>
  <c r="AE558" i="4" s="1"/>
  <c r="A558" i="4"/>
  <c r="AD558" i="4" s="1"/>
  <c r="AC557" i="4"/>
  <c r="Z557" i="4"/>
  <c r="AA557" i="4" s="1"/>
  <c r="AB557" i="4" s="1"/>
  <c r="T557" i="4"/>
  <c r="O557" i="4"/>
  <c r="N557" i="4"/>
  <c r="AE557" i="4" s="1"/>
  <c r="A557" i="4"/>
  <c r="AD557" i="4" s="1"/>
  <c r="AC556" i="4"/>
  <c r="Z556" i="4"/>
  <c r="T556" i="4"/>
  <c r="O556" i="4"/>
  <c r="N556" i="4"/>
  <c r="A556" i="4"/>
  <c r="AD556" i="4" s="1"/>
  <c r="AC555" i="4"/>
  <c r="Z555" i="4"/>
  <c r="T555" i="4"/>
  <c r="N555" i="4"/>
  <c r="A555" i="4"/>
  <c r="AD555" i="4" s="1"/>
  <c r="AC554" i="4"/>
  <c r="Z554" i="4"/>
  <c r="T554" i="4"/>
  <c r="O554" i="4"/>
  <c r="N554" i="4"/>
  <c r="A554" i="4"/>
  <c r="AD554" i="4" s="1"/>
  <c r="AC553" i="4"/>
  <c r="Z553" i="4"/>
  <c r="T553" i="4"/>
  <c r="N553" i="4"/>
  <c r="A553" i="4"/>
  <c r="AD553" i="4" s="1"/>
  <c r="AC552" i="4"/>
  <c r="Z552" i="4"/>
  <c r="T552" i="4"/>
  <c r="N552" i="4"/>
  <c r="A552" i="4"/>
  <c r="AC551" i="4"/>
  <c r="Z551" i="4"/>
  <c r="T551" i="4"/>
  <c r="N551" i="4"/>
  <c r="A551" i="4"/>
  <c r="AE550" i="4"/>
  <c r="AC550" i="4"/>
  <c r="Z550" i="4"/>
  <c r="T550" i="4"/>
  <c r="AA550" i="4" s="1"/>
  <c r="AB550" i="4" s="1"/>
  <c r="O550" i="4"/>
  <c r="N550" i="4"/>
  <c r="A550" i="4"/>
  <c r="AD550" i="4" s="1"/>
  <c r="AC549" i="4"/>
  <c r="Z549" i="4"/>
  <c r="AA549" i="4" s="1"/>
  <c r="AB549" i="4" s="1"/>
  <c r="T549" i="4"/>
  <c r="O549" i="4"/>
  <c r="AE549" i="4" s="1"/>
  <c r="N549" i="4"/>
  <c r="A549" i="4"/>
  <c r="AD549" i="4" s="1"/>
  <c r="AC548" i="4"/>
  <c r="Z548" i="4"/>
  <c r="T548" i="4"/>
  <c r="AA548" i="4" s="1"/>
  <c r="AB548" i="4" s="1"/>
  <c r="O548" i="4"/>
  <c r="N548" i="4"/>
  <c r="AE548" i="4" s="1"/>
  <c r="A548" i="4"/>
  <c r="AD548" i="4" s="1"/>
  <c r="AC547" i="4"/>
  <c r="Z547" i="4"/>
  <c r="T547" i="4"/>
  <c r="N547" i="4"/>
  <c r="A547" i="4"/>
  <c r="AC546" i="4"/>
  <c r="AA546" i="4"/>
  <c r="AB546" i="4" s="1"/>
  <c r="Z546" i="4"/>
  <c r="T546" i="4"/>
  <c r="O546" i="4"/>
  <c r="N546" i="4"/>
  <c r="AE546" i="4" s="1"/>
  <c r="A546" i="4"/>
  <c r="AD546" i="4" s="1"/>
  <c r="AC545" i="4"/>
  <c r="Z545" i="4"/>
  <c r="T545" i="4"/>
  <c r="O545" i="4"/>
  <c r="N545" i="4"/>
  <c r="A545" i="4"/>
  <c r="AD545" i="4" s="1"/>
  <c r="AC544" i="4"/>
  <c r="Z544" i="4"/>
  <c r="T544" i="4"/>
  <c r="N544" i="4"/>
  <c r="A544" i="4"/>
  <c r="AC543" i="4"/>
  <c r="Z543" i="4"/>
  <c r="T543" i="4"/>
  <c r="N543" i="4"/>
  <c r="A543" i="4"/>
  <c r="AD543" i="4" s="1"/>
  <c r="AC542" i="4"/>
  <c r="Z542" i="4"/>
  <c r="T542" i="4"/>
  <c r="N542" i="4"/>
  <c r="A542" i="4"/>
  <c r="AC541" i="4"/>
  <c r="Z541" i="4"/>
  <c r="T541" i="4"/>
  <c r="N541" i="4"/>
  <c r="A541" i="4"/>
  <c r="AE540" i="4"/>
  <c r="AC540" i="4"/>
  <c r="Z540" i="4"/>
  <c r="T540" i="4"/>
  <c r="AA540" i="4" s="1"/>
  <c r="AB540" i="4" s="1"/>
  <c r="O540" i="4"/>
  <c r="N540" i="4"/>
  <c r="A540" i="4"/>
  <c r="AD540" i="4" s="1"/>
  <c r="AE539" i="4"/>
  <c r="AC539" i="4"/>
  <c r="Z539" i="4"/>
  <c r="T539" i="4"/>
  <c r="O539" i="4"/>
  <c r="AA539" i="4" s="1"/>
  <c r="AB539" i="4" s="1"/>
  <c r="N539" i="4"/>
  <c r="A539" i="4"/>
  <c r="AD539" i="4" s="1"/>
  <c r="AC538" i="4"/>
  <c r="AA538" i="4"/>
  <c r="AB538" i="4" s="1"/>
  <c r="Z538" i="4"/>
  <c r="T538" i="4"/>
  <c r="O538" i="4"/>
  <c r="N538" i="4"/>
  <c r="AE538" i="4" s="1"/>
  <c r="A538" i="4"/>
  <c r="AD538" i="4" s="1"/>
  <c r="AC537" i="4"/>
  <c r="Z537" i="4"/>
  <c r="T537" i="4"/>
  <c r="N537" i="4"/>
  <c r="A537" i="4"/>
  <c r="AD537" i="4" s="1"/>
  <c r="AC536" i="4"/>
  <c r="Z536" i="4"/>
  <c r="T536" i="4"/>
  <c r="O536" i="4"/>
  <c r="N536" i="4"/>
  <c r="A536" i="4"/>
  <c r="AD536" i="4" s="1"/>
  <c r="AC535" i="4"/>
  <c r="Z535" i="4"/>
  <c r="T535" i="4"/>
  <c r="N535" i="4"/>
  <c r="A535" i="4"/>
  <c r="AC534" i="4"/>
  <c r="Z534" i="4"/>
  <c r="T534" i="4"/>
  <c r="N534" i="4"/>
  <c r="A534" i="4"/>
  <c r="AD534" i="4" s="1"/>
  <c r="AC533" i="4"/>
  <c r="Z533" i="4"/>
  <c r="T533" i="4"/>
  <c r="O533" i="4"/>
  <c r="N533" i="4"/>
  <c r="A533" i="4"/>
  <c r="AD533" i="4" s="1"/>
  <c r="AC532" i="4"/>
  <c r="Z532" i="4"/>
  <c r="T532" i="4"/>
  <c r="N532" i="4"/>
  <c r="A532" i="4"/>
  <c r="AC531" i="4"/>
  <c r="Z531" i="4"/>
  <c r="T531" i="4"/>
  <c r="N531" i="4"/>
  <c r="A531" i="4"/>
  <c r="AE530" i="4"/>
  <c r="AC530" i="4"/>
  <c r="AA530" i="4"/>
  <c r="AB530" i="4" s="1"/>
  <c r="Z530" i="4"/>
  <c r="T530" i="4"/>
  <c r="O530" i="4"/>
  <c r="N530" i="4"/>
  <c r="A530" i="4"/>
  <c r="AD530" i="4" s="1"/>
  <c r="AE529" i="4"/>
  <c r="AC529" i="4"/>
  <c r="Z529" i="4"/>
  <c r="AA529" i="4" s="1"/>
  <c r="AB529" i="4" s="1"/>
  <c r="T529" i="4"/>
  <c r="O529" i="4"/>
  <c r="N529" i="4"/>
  <c r="A529" i="4"/>
  <c r="AD529" i="4" s="1"/>
  <c r="AC528" i="4"/>
  <c r="Z528" i="4"/>
  <c r="AA528" i="4" s="1"/>
  <c r="AB528" i="4" s="1"/>
  <c r="T528" i="4"/>
  <c r="O528" i="4"/>
  <c r="N528" i="4"/>
  <c r="AE528" i="4" s="1"/>
  <c r="A528" i="4"/>
  <c r="AD528" i="4" s="1"/>
  <c r="AC527" i="4"/>
  <c r="Z527" i="4"/>
  <c r="T527" i="4"/>
  <c r="N527" i="4"/>
  <c r="A527" i="4"/>
  <c r="AD527" i="4" s="1"/>
  <c r="AC526" i="4"/>
  <c r="Z526" i="4"/>
  <c r="T526" i="4"/>
  <c r="O526" i="4"/>
  <c r="N526" i="4"/>
  <c r="AE526" i="4" s="1"/>
  <c r="A526" i="4"/>
  <c r="AD526" i="4" s="1"/>
  <c r="AC525" i="4"/>
  <c r="Z525" i="4"/>
  <c r="T525" i="4"/>
  <c r="N525" i="4"/>
  <c r="A525" i="4"/>
  <c r="AD525" i="4" s="1"/>
  <c r="AC524" i="4"/>
  <c r="Z524" i="4"/>
  <c r="T524" i="4"/>
  <c r="O524" i="4"/>
  <c r="N524" i="4"/>
  <c r="A524" i="4"/>
  <c r="AD524" i="4" s="1"/>
  <c r="AC523" i="4"/>
  <c r="Z523" i="4"/>
  <c r="T523" i="4"/>
  <c r="N523" i="4"/>
  <c r="A523" i="4"/>
  <c r="AC522" i="4"/>
  <c r="Z522" i="4"/>
  <c r="T522" i="4"/>
  <c r="N522" i="4"/>
  <c r="A522" i="4"/>
  <c r="AC521" i="4"/>
  <c r="Z521" i="4"/>
  <c r="T521" i="4"/>
  <c r="N521" i="4"/>
  <c r="A521" i="4"/>
  <c r="AE520" i="4"/>
  <c r="AC520" i="4"/>
  <c r="Z520" i="4"/>
  <c r="T520" i="4"/>
  <c r="AA520" i="4" s="1"/>
  <c r="AB520" i="4" s="1"/>
  <c r="O520" i="4"/>
  <c r="N520" i="4"/>
  <c r="A520" i="4"/>
  <c r="AD520" i="4" s="1"/>
  <c r="AC519" i="4"/>
  <c r="Z519" i="4"/>
  <c r="T519" i="4"/>
  <c r="O519" i="4"/>
  <c r="N519" i="4"/>
  <c r="A519" i="4"/>
  <c r="AD519" i="4" s="1"/>
  <c r="AC518" i="4"/>
  <c r="Z518" i="4"/>
  <c r="T518" i="4"/>
  <c r="O518" i="4"/>
  <c r="N518" i="4"/>
  <c r="A518" i="4"/>
  <c r="AD518" i="4" s="1"/>
  <c r="AC517" i="4"/>
  <c r="Z517" i="4"/>
  <c r="T517" i="4"/>
  <c r="N517" i="4"/>
  <c r="A517" i="4"/>
  <c r="AD517" i="4" s="1"/>
  <c r="AC516" i="4"/>
  <c r="Z516" i="4"/>
  <c r="T516" i="4"/>
  <c r="O516" i="4"/>
  <c r="AA516" i="4" s="1"/>
  <c r="AB516" i="4" s="1"/>
  <c r="N516" i="4"/>
  <c r="A516" i="4"/>
  <c r="AD516" i="4" s="1"/>
  <c r="AC515" i="4"/>
  <c r="Z515" i="4"/>
  <c r="T515" i="4"/>
  <c r="N515" i="4"/>
  <c r="A515" i="4"/>
  <c r="AD515" i="4" s="1"/>
  <c r="AC514" i="4"/>
  <c r="Z514" i="4"/>
  <c r="T514" i="4"/>
  <c r="N514" i="4"/>
  <c r="A514" i="4"/>
  <c r="AD514" i="4" s="1"/>
  <c r="AC513" i="4"/>
  <c r="Z513" i="4"/>
  <c r="T513" i="4"/>
  <c r="N513" i="4"/>
  <c r="A513" i="4"/>
  <c r="AD513" i="4" s="1"/>
  <c r="AC512" i="4"/>
  <c r="Z512" i="4"/>
  <c r="T512" i="4"/>
  <c r="N512" i="4"/>
  <c r="A512" i="4"/>
  <c r="AC511" i="4"/>
  <c r="Z511" i="4"/>
  <c r="T511" i="4"/>
  <c r="N511" i="4"/>
  <c r="A511" i="4"/>
  <c r="AE510" i="4"/>
  <c r="AC510" i="4"/>
  <c r="AB510" i="4"/>
  <c r="Z510" i="4"/>
  <c r="T510" i="4"/>
  <c r="AA510" i="4" s="1"/>
  <c r="O510" i="4"/>
  <c r="N510" i="4"/>
  <c r="A510" i="4"/>
  <c r="AD510" i="4" s="1"/>
  <c r="AE509" i="4"/>
  <c r="AC509" i="4"/>
  <c r="AA509" i="4"/>
  <c r="AB509" i="4" s="1"/>
  <c r="Z509" i="4"/>
  <c r="T509" i="4"/>
  <c r="O509" i="4"/>
  <c r="N509" i="4"/>
  <c r="A509" i="4"/>
  <c r="AD509" i="4" s="1"/>
  <c r="AC508" i="4"/>
  <c r="Z508" i="4"/>
  <c r="T508" i="4"/>
  <c r="O508" i="4"/>
  <c r="N508" i="4"/>
  <c r="AE508" i="4" s="1"/>
  <c r="A508" i="4"/>
  <c r="AD508" i="4" s="1"/>
  <c r="AC507" i="4"/>
  <c r="Z507" i="4"/>
  <c r="T507" i="4"/>
  <c r="O507" i="4"/>
  <c r="AA507" i="4" s="1"/>
  <c r="AB507" i="4" s="1"/>
  <c r="N507" i="4"/>
  <c r="A507" i="4"/>
  <c r="AD507" i="4" s="1"/>
  <c r="AC506" i="4"/>
  <c r="Z506" i="4"/>
  <c r="T506" i="4"/>
  <c r="O506" i="4"/>
  <c r="N506" i="4"/>
  <c r="A506" i="4"/>
  <c r="AD506" i="4" s="1"/>
  <c r="AC505" i="4"/>
  <c r="Z505" i="4"/>
  <c r="T505" i="4"/>
  <c r="N505" i="4"/>
  <c r="A505" i="4"/>
  <c r="AD505" i="4" s="1"/>
  <c r="AC504" i="4"/>
  <c r="Z504" i="4"/>
  <c r="T504" i="4"/>
  <c r="O504" i="4"/>
  <c r="N504" i="4"/>
  <c r="A504" i="4"/>
  <c r="AD504" i="4" s="1"/>
  <c r="AC503" i="4"/>
  <c r="Z503" i="4"/>
  <c r="T503" i="4"/>
  <c r="O503" i="4"/>
  <c r="N503" i="4"/>
  <c r="A503" i="4"/>
  <c r="AD503" i="4" s="1"/>
  <c r="AC502" i="4"/>
  <c r="Z502" i="4"/>
  <c r="T502" i="4"/>
  <c r="N502" i="4"/>
  <c r="A502" i="4"/>
  <c r="AC501" i="4"/>
  <c r="Z501" i="4"/>
  <c r="T501" i="4"/>
  <c r="N501" i="4"/>
  <c r="A501" i="4"/>
  <c r="AE500" i="4"/>
  <c r="AC500" i="4"/>
  <c r="AA500" i="4"/>
  <c r="AB500" i="4" s="1"/>
  <c r="Z500" i="4"/>
  <c r="T500" i="4"/>
  <c r="O500" i="4"/>
  <c r="N500" i="4"/>
  <c r="A500" i="4"/>
  <c r="AD500" i="4" s="1"/>
  <c r="AC499" i="4"/>
  <c r="Z499" i="4"/>
  <c r="AA499" i="4" s="1"/>
  <c r="AB499" i="4" s="1"/>
  <c r="T499" i="4"/>
  <c r="O499" i="4"/>
  <c r="AE499" i="4" s="1"/>
  <c r="N499" i="4"/>
  <c r="A499" i="4"/>
  <c r="AD499" i="4" s="1"/>
  <c r="AC498" i="4"/>
  <c r="Z498" i="4"/>
  <c r="T498" i="4"/>
  <c r="AA498" i="4" s="1"/>
  <c r="AB498" i="4" s="1"/>
  <c r="O498" i="4"/>
  <c r="N498" i="4"/>
  <c r="AE498" i="4" s="1"/>
  <c r="A498" i="4"/>
  <c r="AD498" i="4" s="1"/>
  <c r="AC497" i="4"/>
  <c r="Z497" i="4"/>
  <c r="T497" i="4"/>
  <c r="N497" i="4"/>
  <c r="A497" i="4"/>
  <c r="AD497" i="4" s="1"/>
  <c r="AC496" i="4"/>
  <c r="Z496" i="4"/>
  <c r="AA496" i="4" s="1"/>
  <c r="AB496" i="4" s="1"/>
  <c r="T496" i="4"/>
  <c r="O496" i="4"/>
  <c r="N496" i="4"/>
  <c r="A496" i="4"/>
  <c r="AD496" i="4" s="1"/>
  <c r="AC495" i="4"/>
  <c r="Z495" i="4"/>
  <c r="T495" i="4"/>
  <c r="O495" i="4"/>
  <c r="N495" i="4"/>
  <c r="AA495" i="4" s="1"/>
  <c r="AB495" i="4" s="1"/>
  <c r="A495" i="4"/>
  <c r="AD495" i="4" s="1"/>
  <c r="AC494" i="4"/>
  <c r="Z494" i="4"/>
  <c r="T494" i="4"/>
  <c r="N494" i="4"/>
  <c r="A494" i="4"/>
  <c r="AD494" i="4" s="1"/>
  <c r="AC493" i="4"/>
  <c r="Z493" i="4"/>
  <c r="T493" i="4"/>
  <c r="N493" i="4"/>
  <c r="A493" i="4"/>
  <c r="AC492" i="4"/>
  <c r="Z492" i="4"/>
  <c r="T492" i="4"/>
  <c r="N492" i="4"/>
  <c r="A492" i="4"/>
  <c r="AC491" i="4"/>
  <c r="Z491" i="4"/>
  <c r="T491" i="4"/>
  <c r="N491" i="4"/>
  <c r="A491" i="4"/>
  <c r="AE490" i="4"/>
  <c r="AC490" i="4"/>
  <c r="Z490" i="4"/>
  <c r="T490" i="4"/>
  <c r="AA490" i="4" s="1"/>
  <c r="AB490" i="4" s="1"/>
  <c r="O490" i="4"/>
  <c r="N490" i="4"/>
  <c r="A490" i="4"/>
  <c r="AD490" i="4" s="1"/>
  <c r="AE489" i="4"/>
  <c r="AC489" i="4"/>
  <c r="Z489" i="4"/>
  <c r="T489" i="4"/>
  <c r="O489" i="4"/>
  <c r="AA489" i="4" s="1"/>
  <c r="AB489" i="4" s="1"/>
  <c r="N489" i="4"/>
  <c r="A489" i="4"/>
  <c r="AD489" i="4" s="1"/>
  <c r="AC488" i="4"/>
  <c r="AB488" i="4"/>
  <c r="AA488" i="4"/>
  <c r="Z488" i="4"/>
  <c r="T488" i="4"/>
  <c r="O488" i="4"/>
  <c r="N488" i="4"/>
  <c r="AE488" i="4" s="1"/>
  <c r="A488" i="4"/>
  <c r="AD488" i="4" s="1"/>
  <c r="AC487" i="4"/>
  <c r="Z487" i="4"/>
  <c r="T487" i="4"/>
  <c r="N487" i="4"/>
  <c r="A487" i="4"/>
  <c r="AD487" i="4" s="1"/>
  <c r="AC486" i="4"/>
  <c r="Z486" i="4"/>
  <c r="T486" i="4"/>
  <c r="O486" i="4"/>
  <c r="N486" i="4"/>
  <c r="AE486" i="4" s="1"/>
  <c r="A486" i="4"/>
  <c r="AD486" i="4" s="1"/>
  <c r="AC485" i="4"/>
  <c r="Z485" i="4"/>
  <c r="T485" i="4"/>
  <c r="O485" i="4"/>
  <c r="N485" i="4"/>
  <c r="A485" i="4"/>
  <c r="AD485" i="4" s="1"/>
  <c r="AC484" i="4"/>
  <c r="Z484" i="4"/>
  <c r="T484" i="4"/>
  <c r="N484" i="4"/>
  <c r="A484" i="4"/>
  <c r="AD484" i="4" s="1"/>
  <c r="AC483" i="4"/>
  <c r="AB483" i="4"/>
  <c r="Z483" i="4"/>
  <c r="T483" i="4"/>
  <c r="O483" i="4"/>
  <c r="N483" i="4"/>
  <c r="AA483" i="4" s="1"/>
  <c r="A483" i="4"/>
  <c r="AD483" i="4" s="1"/>
  <c r="AC482" i="4"/>
  <c r="Z482" i="4"/>
  <c r="T482" i="4"/>
  <c r="N482" i="4"/>
  <c r="A482" i="4"/>
  <c r="AC481" i="4"/>
  <c r="Z481" i="4"/>
  <c r="T481" i="4"/>
  <c r="N481" i="4"/>
  <c r="A481" i="4"/>
  <c r="AE480" i="4"/>
  <c r="AC480" i="4"/>
  <c r="AA480" i="4"/>
  <c r="AB480" i="4" s="1"/>
  <c r="Z480" i="4"/>
  <c r="T480" i="4"/>
  <c r="O480" i="4"/>
  <c r="N480" i="4"/>
  <c r="A480" i="4"/>
  <c r="AD480" i="4" s="1"/>
  <c r="AE479" i="4"/>
  <c r="AC479" i="4"/>
  <c r="Z479" i="4"/>
  <c r="AA479" i="4" s="1"/>
  <c r="AB479" i="4" s="1"/>
  <c r="T479" i="4"/>
  <c r="O479" i="4"/>
  <c r="N479" i="4"/>
  <c r="A479" i="4"/>
  <c r="AD479" i="4" s="1"/>
  <c r="AC478" i="4"/>
  <c r="Z478" i="4"/>
  <c r="T478" i="4"/>
  <c r="O478" i="4"/>
  <c r="N478" i="4"/>
  <c r="A478" i="4"/>
  <c r="AD478" i="4" s="1"/>
  <c r="AC477" i="4"/>
  <c r="Z477" i="4"/>
  <c r="T477" i="4"/>
  <c r="O477" i="4"/>
  <c r="AA477" i="4" s="1"/>
  <c r="AB477" i="4" s="1"/>
  <c r="N477" i="4"/>
  <c r="A477" i="4"/>
  <c r="AD477" i="4" s="1"/>
  <c r="AC476" i="4"/>
  <c r="Z476" i="4"/>
  <c r="T476" i="4"/>
  <c r="O476" i="4"/>
  <c r="N476" i="4"/>
  <c r="A476" i="4"/>
  <c r="AD476" i="4" s="1"/>
  <c r="AC475" i="4"/>
  <c r="Z475" i="4"/>
  <c r="T475" i="4"/>
  <c r="N475" i="4"/>
  <c r="A475" i="4"/>
  <c r="AD475" i="4" s="1"/>
  <c r="AC474" i="4"/>
  <c r="Z474" i="4"/>
  <c r="T474" i="4"/>
  <c r="N474" i="4"/>
  <c r="A474" i="4"/>
  <c r="AD474" i="4" s="1"/>
  <c r="AC473" i="4"/>
  <c r="Z473" i="4"/>
  <c r="T473" i="4"/>
  <c r="N473" i="4"/>
  <c r="A473" i="4"/>
  <c r="AD473" i="4" s="1"/>
  <c r="AC472" i="4"/>
  <c r="Z472" i="4"/>
  <c r="T472" i="4"/>
  <c r="N472" i="4"/>
  <c r="A472" i="4"/>
  <c r="AC471" i="4"/>
  <c r="Z471" i="4"/>
  <c r="T471" i="4"/>
  <c r="N471" i="4"/>
  <c r="A471" i="4"/>
  <c r="AE470" i="4"/>
  <c r="AC470" i="4"/>
  <c r="AA470" i="4"/>
  <c r="AB470" i="4" s="1"/>
  <c r="Z470" i="4"/>
  <c r="T470" i="4"/>
  <c r="O470" i="4"/>
  <c r="N470" i="4"/>
  <c r="A470" i="4"/>
  <c r="AD470" i="4" s="1"/>
  <c r="AC469" i="4"/>
  <c r="Z469" i="4"/>
  <c r="T469" i="4"/>
  <c r="O469" i="4"/>
  <c r="AE469" i="4" s="1"/>
  <c r="N469" i="4"/>
  <c r="A469" i="4"/>
  <c r="AD469" i="4" s="1"/>
  <c r="AC468" i="4"/>
  <c r="Z468" i="4"/>
  <c r="T468" i="4"/>
  <c r="O468" i="4"/>
  <c r="N468" i="4"/>
  <c r="A468" i="4"/>
  <c r="AD468" i="4" s="1"/>
  <c r="AC467" i="4"/>
  <c r="Z467" i="4"/>
  <c r="T467" i="4"/>
  <c r="N467" i="4"/>
  <c r="A467" i="4"/>
  <c r="AC466" i="4"/>
  <c r="Z466" i="4"/>
  <c r="T466" i="4"/>
  <c r="O466" i="4"/>
  <c r="AA466" i="4" s="1"/>
  <c r="AB466" i="4" s="1"/>
  <c r="N466" i="4"/>
  <c r="A466" i="4"/>
  <c r="AD466" i="4" s="1"/>
  <c r="AC465" i="4"/>
  <c r="Z465" i="4"/>
  <c r="T465" i="4"/>
  <c r="O465" i="4"/>
  <c r="N465" i="4"/>
  <c r="A465" i="4"/>
  <c r="AD465" i="4" s="1"/>
  <c r="AC464" i="4"/>
  <c r="Z464" i="4"/>
  <c r="T464" i="4"/>
  <c r="N464" i="4"/>
  <c r="A464" i="4"/>
  <c r="AC463" i="4"/>
  <c r="Z463" i="4"/>
  <c r="T463" i="4"/>
  <c r="N463" i="4"/>
  <c r="A463" i="4"/>
  <c r="AD463" i="4" s="1"/>
  <c r="AC462" i="4"/>
  <c r="Z462" i="4"/>
  <c r="T462" i="4"/>
  <c r="N462" i="4"/>
  <c r="A462" i="4"/>
  <c r="AC461" i="4"/>
  <c r="Z461" i="4"/>
  <c r="T461" i="4"/>
  <c r="N461" i="4"/>
  <c r="A461" i="4"/>
  <c r="AE460" i="4"/>
  <c r="AC460" i="4"/>
  <c r="Z460" i="4"/>
  <c r="T460" i="4"/>
  <c r="AA460" i="4" s="1"/>
  <c r="AB460" i="4" s="1"/>
  <c r="O460" i="4"/>
  <c r="N460" i="4"/>
  <c r="A460" i="4"/>
  <c r="AD460" i="4" s="1"/>
  <c r="AE459" i="4"/>
  <c r="AC459" i="4"/>
  <c r="AA459" i="4"/>
  <c r="AB459" i="4" s="1"/>
  <c r="Z459" i="4"/>
  <c r="T459" i="4"/>
  <c r="O459" i="4"/>
  <c r="N459" i="4"/>
  <c r="A459" i="4"/>
  <c r="AD459" i="4" s="1"/>
  <c r="AC458" i="4"/>
  <c r="Z458" i="4"/>
  <c r="T458" i="4"/>
  <c r="O458" i="4"/>
  <c r="N458" i="4"/>
  <c r="AE458" i="4" s="1"/>
  <c r="A458" i="4"/>
  <c r="AD458" i="4" s="1"/>
  <c r="AC457" i="4"/>
  <c r="Z457" i="4"/>
  <c r="AA457" i="4" s="1"/>
  <c r="AB457" i="4" s="1"/>
  <c r="T457" i="4"/>
  <c r="O457" i="4"/>
  <c r="N457" i="4"/>
  <c r="AE457" i="4" s="1"/>
  <c r="A457" i="4"/>
  <c r="AD457" i="4" s="1"/>
  <c r="AC456" i="4"/>
  <c r="Z456" i="4"/>
  <c r="T456" i="4"/>
  <c r="O456" i="4"/>
  <c r="N456" i="4"/>
  <c r="A456" i="4"/>
  <c r="AD456" i="4" s="1"/>
  <c r="AC455" i="4"/>
  <c r="Z455" i="4"/>
  <c r="T455" i="4"/>
  <c r="N455" i="4"/>
  <c r="A455" i="4"/>
  <c r="AE454" i="4"/>
  <c r="AC454" i="4"/>
  <c r="Z454" i="4"/>
  <c r="T454" i="4"/>
  <c r="O454" i="4"/>
  <c r="N454" i="4"/>
  <c r="A454" i="4"/>
  <c r="AD454" i="4" s="1"/>
  <c r="AC453" i="4"/>
  <c r="Z453" i="4"/>
  <c r="T453" i="4"/>
  <c r="N453" i="4"/>
  <c r="A453" i="4"/>
  <c r="AC452" i="4"/>
  <c r="Z452" i="4"/>
  <c r="T452" i="4"/>
  <c r="N452" i="4"/>
  <c r="A452" i="4"/>
  <c r="AC451" i="4"/>
  <c r="Z451" i="4"/>
  <c r="T451" i="4"/>
  <c r="N451" i="4"/>
  <c r="A451" i="4"/>
  <c r="AE450" i="4"/>
  <c r="AC450" i="4"/>
  <c r="AA450" i="4"/>
  <c r="AB450" i="4" s="1"/>
  <c r="Z450" i="4"/>
  <c r="T450" i="4"/>
  <c r="O450" i="4"/>
  <c r="N450" i="4"/>
  <c r="A450" i="4"/>
  <c r="AD450" i="4" s="1"/>
  <c r="AE449" i="4"/>
  <c r="AC449" i="4"/>
  <c r="Z449" i="4"/>
  <c r="AA449" i="4" s="1"/>
  <c r="AB449" i="4" s="1"/>
  <c r="T449" i="4"/>
  <c r="O449" i="4"/>
  <c r="N449" i="4"/>
  <c r="A449" i="4"/>
  <c r="AD449" i="4" s="1"/>
  <c r="AC448" i="4"/>
  <c r="AA448" i="4"/>
  <c r="AB448" i="4" s="1"/>
  <c r="Z448" i="4"/>
  <c r="T448" i="4"/>
  <c r="O448" i="4"/>
  <c r="N448" i="4"/>
  <c r="A448" i="4"/>
  <c r="AD448" i="4" s="1"/>
  <c r="AC447" i="4"/>
  <c r="Z447" i="4"/>
  <c r="T447" i="4"/>
  <c r="N447" i="4"/>
  <c r="A447" i="4"/>
  <c r="AC446" i="4"/>
  <c r="Z446" i="4"/>
  <c r="T446" i="4"/>
  <c r="O446" i="4"/>
  <c r="N446" i="4"/>
  <c r="A446" i="4"/>
  <c r="AD446" i="4" s="1"/>
  <c r="AC445" i="4"/>
  <c r="Z445" i="4"/>
  <c r="T445" i="4"/>
  <c r="N445" i="4"/>
  <c r="A445" i="4"/>
  <c r="AC444" i="4"/>
  <c r="Z444" i="4"/>
  <c r="T444" i="4"/>
  <c r="O444" i="4"/>
  <c r="N444" i="4"/>
  <c r="AA444" i="4" s="1"/>
  <c r="AB444" i="4" s="1"/>
  <c r="A444" i="4"/>
  <c r="AD444" i="4" s="1"/>
  <c r="AC443" i="4"/>
  <c r="Z443" i="4"/>
  <c r="T443" i="4"/>
  <c r="O443" i="4"/>
  <c r="N443" i="4"/>
  <c r="A443" i="4"/>
  <c r="AD443" i="4" s="1"/>
  <c r="AC442" i="4"/>
  <c r="Z442" i="4"/>
  <c r="T442" i="4"/>
  <c r="N442" i="4"/>
  <c r="A442" i="4"/>
  <c r="AC441" i="4"/>
  <c r="Z441" i="4"/>
  <c r="T441" i="4"/>
  <c r="N441" i="4"/>
  <c r="A441" i="4"/>
  <c r="AE440" i="4"/>
  <c r="AC440" i="4"/>
  <c r="Z440" i="4"/>
  <c r="AA440" i="4" s="1"/>
  <c r="AB440" i="4" s="1"/>
  <c r="T440" i="4"/>
  <c r="O440" i="4"/>
  <c r="N440" i="4"/>
  <c r="A440" i="4"/>
  <c r="AD440" i="4" s="1"/>
  <c r="AE439" i="4"/>
  <c r="AC439" i="4"/>
  <c r="AB439" i="4"/>
  <c r="Z439" i="4"/>
  <c r="T439" i="4"/>
  <c r="AA439" i="4" s="1"/>
  <c r="O439" i="4"/>
  <c r="N439" i="4"/>
  <c r="A439" i="4"/>
  <c r="AD439" i="4" s="1"/>
  <c r="AC438" i="4"/>
  <c r="Z438" i="4"/>
  <c r="AA438" i="4" s="1"/>
  <c r="AB438" i="4" s="1"/>
  <c r="T438" i="4"/>
  <c r="O438" i="4"/>
  <c r="N438" i="4"/>
  <c r="AE438" i="4" s="1"/>
  <c r="A438" i="4"/>
  <c r="AD438" i="4" s="1"/>
  <c r="AC437" i="4"/>
  <c r="Z437" i="4"/>
  <c r="T437" i="4"/>
  <c r="N437" i="4"/>
  <c r="A437" i="4"/>
  <c r="AC436" i="4"/>
  <c r="Z436" i="4"/>
  <c r="T436" i="4"/>
  <c r="N436" i="4"/>
  <c r="A436" i="4"/>
  <c r="AC435" i="4"/>
  <c r="Z435" i="4"/>
  <c r="T435" i="4"/>
  <c r="N435" i="4"/>
  <c r="A435" i="4"/>
  <c r="AD435" i="4" s="1"/>
  <c r="AC434" i="4"/>
  <c r="Z434" i="4"/>
  <c r="T434" i="4"/>
  <c r="N434" i="4"/>
  <c r="A434" i="4"/>
  <c r="AC433" i="4"/>
  <c r="Z433" i="4"/>
  <c r="T433" i="4"/>
  <c r="O433" i="4"/>
  <c r="N433" i="4"/>
  <c r="A433" i="4"/>
  <c r="AD433" i="4" s="1"/>
  <c r="AC432" i="4"/>
  <c r="Z432" i="4"/>
  <c r="T432" i="4"/>
  <c r="N432" i="4"/>
  <c r="A432" i="4"/>
  <c r="AC431" i="4"/>
  <c r="Z431" i="4"/>
  <c r="T431" i="4"/>
  <c r="N431" i="4"/>
  <c r="A431" i="4"/>
  <c r="AE430" i="4"/>
  <c r="AC430" i="4"/>
  <c r="Z430" i="4"/>
  <c r="T430" i="4"/>
  <c r="AA430" i="4" s="1"/>
  <c r="AB430" i="4" s="1"/>
  <c r="O430" i="4"/>
  <c r="N430" i="4"/>
  <c r="A430" i="4"/>
  <c r="AD430" i="4" s="1"/>
  <c r="AE429" i="4"/>
  <c r="AC429" i="4"/>
  <c r="AA429" i="4"/>
  <c r="AB429" i="4" s="1"/>
  <c r="Z429" i="4"/>
  <c r="T429" i="4"/>
  <c r="O429" i="4"/>
  <c r="N429" i="4"/>
  <c r="A429" i="4"/>
  <c r="AD429" i="4" s="1"/>
  <c r="AC428" i="4"/>
  <c r="Z428" i="4"/>
  <c r="T428" i="4"/>
  <c r="AA428" i="4" s="1"/>
  <c r="AB428" i="4" s="1"/>
  <c r="O428" i="4"/>
  <c r="N428" i="4"/>
  <c r="AE428" i="4" s="1"/>
  <c r="A428" i="4"/>
  <c r="AD428" i="4" s="1"/>
  <c r="AC427" i="4"/>
  <c r="Z427" i="4"/>
  <c r="T427" i="4"/>
  <c r="O427" i="4"/>
  <c r="N427" i="4"/>
  <c r="A427" i="4"/>
  <c r="AD427" i="4" s="1"/>
  <c r="AC426" i="4"/>
  <c r="Z426" i="4"/>
  <c r="T426" i="4"/>
  <c r="N426" i="4"/>
  <c r="A426" i="4"/>
  <c r="AE425" i="4"/>
  <c r="AC425" i="4"/>
  <c r="Z425" i="4"/>
  <c r="T425" i="4"/>
  <c r="O425" i="4"/>
  <c r="N425" i="4"/>
  <c r="A425" i="4"/>
  <c r="AD425" i="4" s="1"/>
  <c r="AC424" i="4"/>
  <c r="Z424" i="4"/>
  <c r="T424" i="4"/>
  <c r="O424" i="4"/>
  <c r="N424" i="4"/>
  <c r="A424" i="4"/>
  <c r="AD424" i="4" s="1"/>
  <c r="AC423" i="4"/>
  <c r="Z423" i="4"/>
  <c r="T423" i="4"/>
  <c r="N423" i="4"/>
  <c r="A423" i="4"/>
  <c r="AC422" i="4"/>
  <c r="Z422" i="4"/>
  <c r="T422" i="4"/>
  <c r="N422" i="4"/>
  <c r="A422" i="4"/>
  <c r="AC421" i="4"/>
  <c r="Z421" i="4"/>
  <c r="T421" i="4"/>
  <c r="N421" i="4"/>
  <c r="A421" i="4"/>
  <c r="AE420" i="4"/>
  <c r="AC420" i="4"/>
  <c r="Z420" i="4"/>
  <c r="T420" i="4"/>
  <c r="AA420" i="4" s="1"/>
  <c r="AB420" i="4" s="1"/>
  <c r="O420" i="4"/>
  <c r="N420" i="4"/>
  <c r="A420" i="4"/>
  <c r="AD420" i="4" s="1"/>
  <c r="AC419" i="4"/>
  <c r="AA419" i="4"/>
  <c r="AB419" i="4" s="1"/>
  <c r="Z419" i="4"/>
  <c r="T419" i="4"/>
  <c r="O419" i="4"/>
  <c r="AE419" i="4" s="1"/>
  <c r="N419" i="4"/>
  <c r="A419" i="4"/>
  <c r="AD419" i="4" s="1"/>
  <c r="AC418" i="4"/>
  <c r="AA418" i="4"/>
  <c r="AB418" i="4" s="1"/>
  <c r="Z418" i="4"/>
  <c r="T418" i="4"/>
  <c r="O418" i="4"/>
  <c r="N418" i="4"/>
  <c r="A418" i="4"/>
  <c r="AD418" i="4" s="1"/>
  <c r="AC417" i="4"/>
  <c r="Z417" i="4"/>
  <c r="T417" i="4"/>
  <c r="O417" i="4"/>
  <c r="N417" i="4"/>
  <c r="A417" i="4"/>
  <c r="AD417" i="4" s="1"/>
  <c r="AC416" i="4"/>
  <c r="Z416" i="4"/>
  <c r="T416" i="4"/>
  <c r="N416" i="4"/>
  <c r="A416" i="4"/>
  <c r="AE415" i="4"/>
  <c r="AC415" i="4"/>
  <c r="Z415" i="4"/>
  <c r="T415" i="4"/>
  <c r="O415" i="4"/>
  <c r="N415" i="4"/>
  <c r="A415" i="4"/>
  <c r="AD415" i="4" s="1"/>
  <c r="AC414" i="4"/>
  <c r="Z414" i="4"/>
  <c r="T414" i="4"/>
  <c r="O414" i="4"/>
  <c r="N414" i="4"/>
  <c r="A414" i="4"/>
  <c r="AD414" i="4" s="1"/>
  <c r="AC413" i="4"/>
  <c r="Z413" i="4"/>
  <c r="T413" i="4"/>
  <c r="N413" i="4"/>
  <c r="A413" i="4"/>
  <c r="AD413" i="4" s="1"/>
  <c r="AC412" i="4"/>
  <c r="Z412" i="4"/>
  <c r="T412" i="4"/>
  <c r="N412" i="4"/>
  <c r="A412" i="4"/>
  <c r="AC411" i="4"/>
  <c r="Z411" i="4"/>
  <c r="T411" i="4"/>
  <c r="N411" i="4"/>
  <c r="A411" i="4"/>
  <c r="AE410" i="4"/>
  <c r="AC410" i="4"/>
  <c r="Z410" i="4"/>
  <c r="AA410" i="4" s="1"/>
  <c r="AB410" i="4" s="1"/>
  <c r="T410" i="4"/>
  <c r="O410" i="4"/>
  <c r="N410" i="4"/>
  <c r="A410" i="4"/>
  <c r="AD410" i="4" s="1"/>
  <c r="AC409" i="4"/>
  <c r="Z409" i="4"/>
  <c r="T409" i="4"/>
  <c r="AA409" i="4" s="1"/>
  <c r="AB409" i="4" s="1"/>
  <c r="O409" i="4"/>
  <c r="AE409" i="4" s="1"/>
  <c r="N409" i="4"/>
  <c r="A409" i="4"/>
  <c r="AD409" i="4" s="1"/>
  <c r="AC408" i="4"/>
  <c r="Z408" i="4"/>
  <c r="T408" i="4"/>
  <c r="O408" i="4"/>
  <c r="N408" i="4"/>
  <c r="A408" i="4"/>
  <c r="AD408" i="4" s="1"/>
  <c r="AC407" i="4"/>
  <c r="Z407" i="4"/>
  <c r="T407" i="4"/>
  <c r="O407" i="4"/>
  <c r="N407" i="4"/>
  <c r="A407" i="4"/>
  <c r="AD407" i="4" s="1"/>
  <c r="AC406" i="4"/>
  <c r="Z406" i="4"/>
  <c r="T406" i="4"/>
  <c r="N406" i="4"/>
  <c r="A406" i="4"/>
  <c r="AD406" i="4" s="1"/>
  <c r="AC405" i="4"/>
  <c r="Z405" i="4"/>
  <c r="T405" i="4"/>
  <c r="N405" i="4"/>
  <c r="A405" i="4"/>
  <c r="AC404" i="4"/>
  <c r="Z404" i="4"/>
  <c r="T404" i="4"/>
  <c r="N404" i="4"/>
  <c r="A404" i="4"/>
  <c r="AC403" i="4"/>
  <c r="Z403" i="4"/>
  <c r="T403" i="4"/>
  <c r="N403" i="4"/>
  <c r="A403" i="4"/>
  <c r="AC402" i="4"/>
  <c r="Z402" i="4"/>
  <c r="T402" i="4"/>
  <c r="N402" i="4"/>
  <c r="A402" i="4"/>
  <c r="AC401" i="4"/>
  <c r="Z401" i="4"/>
  <c r="T401" i="4"/>
  <c r="N401" i="4"/>
  <c r="A401" i="4"/>
  <c r="AE400" i="4"/>
  <c r="AC400" i="4"/>
  <c r="AB400" i="4"/>
  <c r="Z400" i="4"/>
  <c r="T400" i="4"/>
  <c r="AA400" i="4" s="1"/>
  <c r="O400" i="4"/>
  <c r="N400" i="4"/>
  <c r="A400" i="4"/>
  <c r="AD400" i="4" s="1"/>
  <c r="AC399" i="4"/>
  <c r="Z399" i="4"/>
  <c r="T399" i="4"/>
  <c r="AA399" i="4" s="1"/>
  <c r="AB399" i="4" s="1"/>
  <c r="O399" i="4"/>
  <c r="AE399" i="4" s="1"/>
  <c r="N399" i="4"/>
  <c r="A399" i="4"/>
  <c r="AD399" i="4" s="1"/>
  <c r="AC398" i="4"/>
  <c r="Z398" i="4"/>
  <c r="T398" i="4"/>
  <c r="O398" i="4"/>
  <c r="N398" i="4"/>
  <c r="A398" i="4"/>
  <c r="AD398" i="4" s="1"/>
  <c r="AC397" i="4"/>
  <c r="Z397" i="4"/>
  <c r="T397" i="4"/>
  <c r="N397" i="4"/>
  <c r="A397" i="4"/>
  <c r="AC396" i="4"/>
  <c r="Z396" i="4"/>
  <c r="T396" i="4"/>
  <c r="AA396" i="4" s="1"/>
  <c r="AB396" i="4" s="1"/>
  <c r="O396" i="4"/>
  <c r="N396" i="4"/>
  <c r="A396" i="4"/>
  <c r="AD396" i="4" s="1"/>
  <c r="AC395" i="4"/>
  <c r="Z395" i="4"/>
  <c r="T395" i="4"/>
  <c r="O395" i="4"/>
  <c r="N395" i="4"/>
  <c r="A395" i="4"/>
  <c r="AD395" i="4" s="1"/>
  <c r="AC394" i="4"/>
  <c r="Z394" i="4"/>
  <c r="T394" i="4"/>
  <c r="N394" i="4"/>
  <c r="A394" i="4"/>
  <c r="AC393" i="4"/>
  <c r="Z393" i="4"/>
  <c r="T393" i="4"/>
  <c r="N393" i="4"/>
  <c r="A393" i="4"/>
  <c r="AC392" i="4"/>
  <c r="Z392" i="4"/>
  <c r="T392" i="4"/>
  <c r="N392" i="4"/>
  <c r="A392" i="4"/>
  <c r="AC391" i="4"/>
  <c r="Z391" i="4"/>
  <c r="T391" i="4"/>
  <c r="N391" i="4"/>
  <c r="A391" i="4"/>
  <c r="AE390" i="4"/>
  <c r="AC390" i="4"/>
  <c r="AA390" i="4"/>
  <c r="AB390" i="4" s="1"/>
  <c r="Z390" i="4"/>
  <c r="T390" i="4"/>
  <c r="O390" i="4"/>
  <c r="N390" i="4"/>
  <c r="A390" i="4"/>
  <c r="AD390" i="4" s="1"/>
  <c r="AE389" i="4"/>
  <c r="AC389" i="4"/>
  <c r="Z389" i="4"/>
  <c r="T389" i="4"/>
  <c r="O389" i="4"/>
  <c r="AA389" i="4" s="1"/>
  <c r="AB389" i="4" s="1"/>
  <c r="N389" i="4"/>
  <c r="A389" i="4"/>
  <c r="AD389" i="4" s="1"/>
  <c r="AC388" i="4"/>
  <c r="Z388" i="4"/>
  <c r="T388" i="4"/>
  <c r="O388" i="4"/>
  <c r="N388" i="4"/>
  <c r="A388" i="4"/>
  <c r="AD388" i="4" s="1"/>
  <c r="AC387" i="4"/>
  <c r="Z387" i="4"/>
  <c r="T387" i="4"/>
  <c r="N387" i="4"/>
  <c r="A387" i="4"/>
  <c r="AC386" i="4"/>
  <c r="Z386" i="4"/>
  <c r="T386" i="4"/>
  <c r="O386" i="4"/>
  <c r="AA386" i="4" s="1"/>
  <c r="AB386" i="4" s="1"/>
  <c r="N386" i="4"/>
  <c r="A386" i="4"/>
  <c r="AD386" i="4" s="1"/>
  <c r="AC385" i="4"/>
  <c r="Z385" i="4"/>
  <c r="T385" i="4"/>
  <c r="O385" i="4"/>
  <c r="N385" i="4"/>
  <c r="A385" i="4"/>
  <c r="AD385" i="4" s="1"/>
  <c r="AC384" i="4"/>
  <c r="Z384" i="4"/>
  <c r="T384" i="4"/>
  <c r="N384" i="4"/>
  <c r="A384" i="4"/>
  <c r="AC383" i="4"/>
  <c r="Z383" i="4"/>
  <c r="T383" i="4"/>
  <c r="N383" i="4"/>
  <c r="A383" i="4"/>
  <c r="AD383" i="4" s="1"/>
  <c r="AC382" i="4"/>
  <c r="Z382" i="4"/>
  <c r="T382" i="4"/>
  <c r="N382" i="4"/>
  <c r="A382" i="4"/>
  <c r="AC381" i="4"/>
  <c r="Z381" i="4"/>
  <c r="T381" i="4"/>
  <c r="N381" i="4"/>
  <c r="A381" i="4"/>
  <c r="AE380" i="4"/>
  <c r="AC380" i="4"/>
  <c r="Z380" i="4"/>
  <c r="T380" i="4"/>
  <c r="AA380" i="4" s="1"/>
  <c r="AB380" i="4" s="1"/>
  <c r="O380" i="4"/>
  <c r="N380" i="4"/>
  <c r="A380" i="4"/>
  <c r="AD380" i="4" s="1"/>
  <c r="AC379" i="4"/>
  <c r="Z379" i="4"/>
  <c r="T379" i="4"/>
  <c r="O379" i="4"/>
  <c r="N379" i="4"/>
  <c r="A379" i="4"/>
  <c r="AD379" i="4" s="1"/>
  <c r="AC378" i="4"/>
  <c r="Z378" i="4"/>
  <c r="T378" i="4"/>
  <c r="O378" i="4"/>
  <c r="N378" i="4"/>
  <c r="A378" i="4"/>
  <c r="AD378" i="4" s="1"/>
  <c r="AC377" i="4"/>
  <c r="Z377" i="4"/>
  <c r="T377" i="4"/>
  <c r="N377" i="4"/>
  <c r="A377" i="4"/>
  <c r="AD377" i="4" s="1"/>
  <c r="AC376" i="4"/>
  <c r="Z376" i="4"/>
  <c r="T376" i="4"/>
  <c r="N376" i="4"/>
  <c r="A376" i="4"/>
  <c r="AC375" i="4"/>
  <c r="Z375" i="4"/>
  <c r="T375" i="4"/>
  <c r="N375" i="4"/>
  <c r="A375" i="4"/>
  <c r="AC374" i="4"/>
  <c r="Z374" i="4"/>
  <c r="T374" i="4"/>
  <c r="N374" i="4"/>
  <c r="A374" i="4"/>
  <c r="AC373" i="4"/>
  <c r="Z373" i="4"/>
  <c r="T373" i="4"/>
  <c r="O373" i="4"/>
  <c r="AE373" i="4" s="1"/>
  <c r="N373" i="4"/>
  <c r="A373" i="4"/>
  <c r="AD373" i="4" s="1"/>
  <c r="AC372" i="4"/>
  <c r="Z372" i="4"/>
  <c r="T372" i="4"/>
  <c r="N372" i="4"/>
  <c r="A372" i="4"/>
  <c r="AC371" i="4"/>
  <c r="Z371" i="4"/>
  <c r="T371" i="4"/>
  <c r="N371" i="4"/>
  <c r="A371" i="4"/>
  <c r="AE370" i="4"/>
  <c r="AC370" i="4"/>
  <c r="Z370" i="4"/>
  <c r="T370" i="4"/>
  <c r="AA370" i="4" s="1"/>
  <c r="AB370" i="4" s="1"/>
  <c r="O370" i="4"/>
  <c r="N370" i="4"/>
  <c r="A370" i="4"/>
  <c r="AD370" i="4" s="1"/>
  <c r="AC369" i="4"/>
  <c r="Z369" i="4"/>
  <c r="T369" i="4"/>
  <c r="O369" i="4"/>
  <c r="N369" i="4"/>
  <c r="A369" i="4"/>
  <c r="AD369" i="4" s="1"/>
  <c r="AC368" i="4"/>
  <c r="AA368" i="4"/>
  <c r="AB368" i="4" s="1"/>
  <c r="Z368" i="4"/>
  <c r="T368" i="4"/>
  <c r="O368" i="4"/>
  <c r="N368" i="4"/>
  <c r="AE368" i="4" s="1"/>
  <c r="A368" i="4"/>
  <c r="AD368" i="4" s="1"/>
  <c r="AC367" i="4"/>
  <c r="Z367" i="4"/>
  <c r="T367" i="4"/>
  <c r="AA367" i="4" s="1"/>
  <c r="AB367" i="4" s="1"/>
  <c r="O367" i="4"/>
  <c r="N367" i="4"/>
  <c r="A367" i="4"/>
  <c r="AD367" i="4" s="1"/>
  <c r="AC366" i="4"/>
  <c r="Z366" i="4"/>
  <c r="T366" i="4"/>
  <c r="O366" i="4"/>
  <c r="AA366" i="4" s="1"/>
  <c r="AB366" i="4" s="1"/>
  <c r="N366" i="4"/>
  <c r="A366" i="4"/>
  <c r="AD366" i="4" s="1"/>
  <c r="AC365" i="4"/>
  <c r="Z365" i="4"/>
  <c r="T365" i="4"/>
  <c r="N365" i="4"/>
  <c r="A365" i="4"/>
  <c r="AD365" i="4" s="1"/>
  <c r="AC364" i="4"/>
  <c r="Z364" i="4"/>
  <c r="T364" i="4"/>
  <c r="N364" i="4"/>
  <c r="A364" i="4"/>
  <c r="AD364" i="4" s="1"/>
  <c r="AC363" i="4"/>
  <c r="Z363" i="4"/>
  <c r="T363" i="4"/>
  <c r="O363" i="4"/>
  <c r="N363" i="4"/>
  <c r="A363" i="4"/>
  <c r="AD363" i="4" s="1"/>
  <c r="AC362" i="4"/>
  <c r="Z362" i="4"/>
  <c r="T362" i="4"/>
  <c r="N362" i="4"/>
  <c r="A362" i="4"/>
  <c r="AC361" i="4"/>
  <c r="Z361" i="4"/>
  <c r="T361" i="4"/>
  <c r="N361" i="4"/>
  <c r="A361" i="4"/>
  <c r="AE360" i="4"/>
  <c r="AC360" i="4"/>
  <c r="Z360" i="4"/>
  <c r="T360" i="4"/>
  <c r="AA360" i="4" s="1"/>
  <c r="AB360" i="4" s="1"/>
  <c r="O360" i="4"/>
  <c r="N360" i="4"/>
  <c r="A360" i="4"/>
  <c r="AD360" i="4" s="1"/>
  <c r="AE359" i="4"/>
  <c r="AC359" i="4"/>
  <c r="AA359" i="4"/>
  <c r="AB359" i="4" s="1"/>
  <c r="Z359" i="4"/>
  <c r="T359" i="4"/>
  <c r="O359" i="4"/>
  <c r="N359" i="4"/>
  <c r="A359" i="4"/>
  <c r="AD359" i="4" s="1"/>
  <c r="AC358" i="4"/>
  <c r="AB358" i="4"/>
  <c r="Z358" i="4"/>
  <c r="T358" i="4"/>
  <c r="AA358" i="4" s="1"/>
  <c r="O358" i="4"/>
  <c r="N358" i="4"/>
  <c r="AE358" i="4" s="1"/>
  <c r="A358" i="4"/>
  <c r="AD358" i="4" s="1"/>
  <c r="AC357" i="4"/>
  <c r="Z357" i="4"/>
  <c r="AA357" i="4" s="1"/>
  <c r="AB357" i="4" s="1"/>
  <c r="T357" i="4"/>
  <c r="O357" i="4"/>
  <c r="N357" i="4"/>
  <c r="AE357" i="4" s="1"/>
  <c r="A357" i="4"/>
  <c r="AD357" i="4" s="1"/>
  <c r="AC356" i="4"/>
  <c r="Z356" i="4"/>
  <c r="T356" i="4"/>
  <c r="O356" i="4"/>
  <c r="N356" i="4"/>
  <c r="A356" i="4"/>
  <c r="AD356" i="4" s="1"/>
  <c r="AC355" i="4"/>
  <c r="Z355" i="4"/>
  <c r="T355" i="4"/>
  <c r="N355" i="4"/>
  <c r="A355" i="4"/>
  <c r="AE354" i="4"/>
  <c r="AC354" i="4"/>
  <c r="Z354" i="4"/>
  <c r="T354" i="4"/>
  <c r="O354" i="4"/>
  <c r="N354" i="4"/>
  <c r="A354" i="4"/>
  <c r="AD354" i="4" s="1"/>
  <c r="AC353" i="4"/>
  <c r="Z353" i="4"/>
  <c r="T353" i="4"/>
  <c r="N353" i="4"/>
  <c r="A353" i="4"/>
  <c r="AC352" i="4"/>
  <c r="Z352" i="4"/>
  <c r="T352" i="4"/>
  <c r="N352" i="4"/>
  <c r="A352" i="4"/>
  <c r="AC351" i="4"/>
  <c r="Z351" i="4"/>
  <c r="T351" i="4"/>
  <c r="N351" i="4"/>
  <c r="A351" i="4"/>
  <c r="AC350" i="4"/>
  <c r="AA350" i="4"/>
  <c r="AB350" i="4" s="1"/>
  <c r="Z350" i="4"/>
  <c r="T350" i="4"/>
  <c r="O350" i="4"/>
  <c r="N350" i="4"/>
  <c r="AE350" i="4" s="1"/>
  <c r="A350" i="4"/>
  <c r="AD350" i="4" s="1"/>
  <c r="AC349" i="4"/>
  <c r="Z349" i="4"/>
  <c r="T349" i="4"/>
  <c r="N349" i="4"/>
  <c r="A349" i="4"/>
  <c r="AC348" i="4"/>
  <c r="AA348" i="4"/>
  <c r="AB348" i="4" s="1"/>
  <c r="Z348" i="4"/>
  <c r="T348" i="4"/>
  <c r="O348" i="4"/>
  <c r="N348" i="4"/>
  <c r="A348" i="4"/>
  <c r="AD348" i="4" s="1"/>
  <c r="AC347" i="4"/>
  <c r="AA347" i="4"/>
  <c r="AB347" i="4" s="1"/>
  <c r="Z347" i="4"/>
  <c r="T347" i="4"/>
  <c r="O347" i="4"/>
  <c r="N347" i="4"/>
  <c r="A347" i="4"/>
  <c r="AD347" i="4" s="1"/>
  <c r="AC346" i="4"/>
  <c r="Z346" i="4"/>
  <c r="T346" i="4"/>
  <c r="O346" i="4"/>
  <c r="AA346" i="4" s="1"/>
  <c r="AB346" i="4" s="1"/>
  <c r="N346" i="4"/>
  <c r="A346" i="4"/>
  <c r="AD346" i="4" s="1"/>
  <c r="AC345" i="4"/>
  <c r="Z345" i="4"/>
  <c r="T345" i="4"/>
  <c r="N345" i="4"/>
  <c r="A345" i="4"/>
  <c r="AC344" i="4"/>
  <c r="Z344" i="4"/>
  <c r="T344" i="4"/>
  <c r="N344" i="4"/>
  <c r="A344" i="4"/>
  <c r="AD344" i="4" s="1"/>
  <c r="AC343" i="4"/>
  <c r="Z343" i="4"/>
  <c r="T343" i="4"/>
  <c r="N343" i="4"/>
  <c r="A343" i="4"/>
  <c r="AC342" i="4"/>
  <c r="Z342" i="4"/>
  <c r="T342" i="4"/>
  <c r="N342" i="4"/>
  <c r="A342" i="4"/>
  <c r="AC341" i="4"/>
  <c r="Z341" i="4"/>
  <c r="T341" i="4"/>
  <c r="O341" i="4"/>
  <c r="N341" i="4"/>
  <c r="A341" i="4"/>
  <c r="AD341" i="4" s="1"/>
  <c r="AC340" i="4"/>
  <c r="AA340" i="4"/>
  <c r="AB340" i="4" s="1"/>
  <c r="Z340" i="4"/>
  <c r="T340" i="4"/>
  <c r="O340" i="4"/>
  <c r="N340" i="4"/>
  <c r="AE340" i="4" s="1"/>
  <c r="A340" i="4"/>
  <c r="AD340" i="4" s="1"/>
  <c r="AC339" i="4"/>
  <c r="Z339" i="4"/>
  <c r="T339" i="4"/>
  <c r="N339" i="4"/>
  <c r="A339" i="4"/>
  <c r="AC338" i="4"/>
  <c r="Z338" i="4"/>
  <c r="T338" i="4"/>
  <c r="O338" i="4"/>
  <c r="N338" i="4"/>
  <c r="A338" i="4"/>
  <c r="AD338" i="4" s="1"/>
  <c r="AC337" i="4"/>
  <c r="Z337" i="4"/>
  <c r="T337" i="4"/>
  <c r="N337" i="4"/>
  <c r="A337" i="4"/>
  <c r="AC336" i="4"/>
  <c r="Z336" i="4"/>
  <c r="T336" i="4"/>
  <c r="N336" i="4"/>
  <c r="A336" i="4"/>
  <c r="AC335" i="4"/>
  <c r="Z335" i="4"/>
  <c r="T335" i="4"/>
  <c r="N335" i="4"/>
  <c r="A335" i="4"/>
  <c r="AD335" i="4" s="1"/>
  <c r="AC334" i="4"/>
  <c r="Z334" i="4"/>
  <c r="T334" i="4"/>
  <c r="O334" i="4"/>
  <c r="AA334" i="4" s="1"/>
  <c r="AB334" i="4" s="1"/>
  <c r="N334" i="4"/>
  <c r="A334" i="4"/>
  <c r="AD334" i="4" s="1"/>
  <c r="AC333" i="4"/>
  <c r="Z333" i="4"/>
  <c r="AA333" i="4" s="1"/>
  <c r="AB333" i="4" s="1"/>
  <c r="T333" i="4"/>
  <c r="O333" i="4"/>
  <c r="N333" i="4"/>
  <c r="AE333" i="4" s="1"/>
  <c r="A333" i="4"/>
  <c r="AD333" i="4" s="1"/>
  <c r="AC332" i="4"/>
  <c r="Z332" i="4"/>
  <c r="T332" i="4"/>
  <c r="N332" i="4"/>
  <c r="A332" i="4"/>
  <c r="AC331" i="4"/>
  <c r="Z331" i="4"/>
  <c r="T331" i="4"/>
  <c r="O331" i="4"/>
  <c r="N331" i="4"/>
  <c r="A331" i="4"/>
  <c r="AD331" i="4" s="1"/>
  <c r="AC330" i="4"/>
  <c r="Z330" i="4"/>
  <c r="T330" i="4"/>
  <c r="O330" i="4"/>
  <c r="N330" i="4"/>
  <c r="AA330" i="4" s="1"/>
  <c r="AB330" i="4" s="1"/>
  <c r="A330" i="4"/>
  <c r="AD330" i="4" s="1"/>
  <c r="AC329" i="4"/>
  <c r="Z329" i="4"/>
  <c r="T329" i="4"/>
  <c r="O329" i="4"/>
  <c r="N329" i="4"/>
  <c r="A329" i="4"/>
  <c r="AD329" i="4" s="1"/>
  <c r="AC328" i="4"/>
  <c r="Z328" i="4"/>
  <c r="T328" i="4"/>
  <c r="N328" i="4"/>
  <c r="A328" i="4"/>
  <c r="AC327" i="4"/>
  <c r="Z327" i="4"/>
  <c r="T327" i="4"/>
  <c r="N327" i="4"/>
  <c r="A327" i="4"/>
  <c r="AD327" i="4" s="1"/>
  <c r="AE326" i="4"/>
  <c r="AC326" i="4"/>
  <c r="Z326" i="4"/>
  <c r="AA326" i="4" s="1"/>
  <c r="AB326" i="4" s="1"/>
  <c r="T326" i="4"/>
  <c r="O326" i="4"/>
  <c r="N326" i="4"/>
  <c r="A326" i="4"/>
  <c r="AD326" i="4" s="1"/>
  <c r="AC325" i="4"/>
  <c r="Z325" i="4"/>
  <c r="T325" i="4"/>
  <c r="N325" i="4"/>
  <c r="A325" i="4"/>
  <c r="AC324" i="4"/>
  <c r="Z324" i="4"/>
  <c r="T324" i="4"/>
  <c r="O324" i="4"/>
  <c r="N324" i="4"/>
  <c r="A324" i="4"/>
  <c r="AD324" i="4" s="1"/>
  <c r="AC323" i="4"/>
  <c r="Z323" i="4"/>
  <c r="T323" i="4"/>
  <c r="N323" i="4"/>
  <c r="A323" i="4"/>
  <c r="AD323" i="4" s="1"/>
  <c r="AC322" i="4"/>
  <c r="Z322" i="4"/>
  <c r="T322" i="4"/>
  <c r="N322" i="4"/>
  <c r="A322" i="4"/>
  <c r="AC321" i="4"/>
  <c r="Z321" i="4"/>
  <c r="T321" i="4"/>
  <c r="N321" i="4"/>
  <c r="A321" i="4"/>
  <c r="AE320" i="4"/>
  <c r="AC320" i="4"/>
  <c r="AB320" i="4"/>
  <c r="Z320" i="4"/>
  <c r="T320" i="4"/>
  <c r="AA320" i="4" s="1"/>
  <c r="O320" i="4"/>
  <c r="N320" i="4"/>
  <c r="A320" i="4"/>
  <c r="AD320" i="4" s="1"/>
  <c r="AE319" i="4"/>
  <c r="AC319" i="4"/>
  <c r="AA319" i="4"/>
  <c r="AB319" i="4" s="1"/>
  <c r="Z319" i="4"/>
  <c r="T319" i="4"/>
  <c r="O319" i="4"/>
  <c r="N319" i="4"/>
  <c r="A319" i="4"/>
  <c r="AD319" i="4" s="1"/>
  <c r="AC318" i="4"/>
  <c r="Z318" i="4"/>
  <c r="T318" i="4"/>
  <c r="N318" i="4"/>
  <c r="A318" i="4"/>
  <c r="AC317" i="4"/>
  <c r="Z317" i="4"/>
  <c r="T317" i="4"/>
  <c r="O317" i="4"/>
  <c r="N317" i="4"/>
  <c r="AE317" i="4" s="1"/>
  <c r="A317" i="4"/>
  <c r="AD317" i="4" s="1"/>
  <c r="AC316" i="4"/>
  <c r="Z316" i="4"/>
  <c r="T316" i="4"/>
  <c r="O316" i="4"/>
  <c r="N316" i="4"/>
  <c r="A316" i="4"/>
  <c r="AD316" i="4" s="1"/>
  <c r="AC315" i="4"/>
  <c r="Z315" i="4"/>
  <c r="T315" i="4"/>
  <c r="O315" i="4"/>
  <c r="AE315" i="4" s="1"/>
  <c r="N315" i="4"/>
  <c r="A315" i="4"/>
  <c r="AD315" i="4" s="1"/>
  <c r="AC314" i="4"/>
  <c r="Z314" i="4"/>
  <c r="T314" i="4"/>
  <c r="O314" i="4"/>
  <c r="N314" i="4"/>
  <c r="A314" i="4"/>
  <c r="AD314" i="4" s="1"/>
  <c r="AC313" i="4"/>
  <c r="Z313" i="4"/>
  <c r="T313" i="4"/>
  <c r="N313" i="4"/>
  <c r="A313" i="4"/>
  <c r="AC312" i="4"/>
  <c r="Z312" i="4"/>
  <c r="T312" i="4"/>
  <c r="N312" i="4"/>
  <c r="A312" i="4"/>
  <c r="AC311" i="4"/>
  <c r="Z311" i="4"/>
  <c r="T311" i="4"/>
  <c r="N311" i="4"/>
  <c r="A311" i="4"/>
  <c r="AD311" i="4" s="1"/>
  <c r="AC310" i="4"/>
  <c r="Z310" i="4"/>
  <c r="T310" i="4"/>
  <c r="AA310" i="4" s="1"/>
  <c r="AB310" i="4" s="1"/>
  <c r="O310" i="4"/>
  <c r="AE310" i="4" s="1"/>
  <c r="N310" i="4"/>
  <c r="A310" i="4"/>
  <c r="AD310" i="4" s="1"/>
  <c r="AC309" i="4"/>
  <c r="Z309" i="4"/>
  <c r="T309" i="4"/>
  <c r="O309" i="4"/>
  <c r="N309" i="4"/>
  <c r="A309" i="4"/>
  <c r="AD309" i="4" s="1"/>
  <c r="AC308" i="4"/>
  <c r="Z308" i="4"/>
  <c r="T308" i="4"/>
  <c r="N308" i="4"/>
  <c r="A308" i="4"/>
  <c r="AC307" i="4"/>
  <c r="AA307" i="4"/>
  <c r="AB307" i="4" s="1"/>
  <c r="Z307" i="4"/>
  <c r="T307" i="4"/>
  <c r="O307" i="4"/>
  <c r="N307" i="4"/>
  <c r="A307" i="4"/>
  <c r="AD307" i="4" s="1"/>
  <c r="AC306" i="4"/>
  <c r="Z306" i="4"/>
  <c r="T306" i="4"/>
  <c r="O306" i="4"/>
  <c r="AE306" i="4" s="1"/>
  <c r="N306" i="4"/>
  <c r="A306" i="4"/>
  <c r="AD306" i="4" s="1"/>
  <c r="AC305" i="4"/>
  <c r="Z305" i="4"/>
  <c r="T305" i="4"/>
  <c r="N305" i="4"/>
  <c r="A305" i="4"/>
  <c r="AD305" i="4" s="1"/>
  <c r="AC304" i="4"/>
  <c r="Z304" i="4"/>
  <c r="T304" i="4"/>
  <c r="N304" i="4"/>
  <c r="A304" i="4"/>
  <c r="AD304" i="4" s="1"/>
  <c r="AC303" i="4"/>
  <c r="Z303" i="4"/>
  <c r="T303" i="4"/>
  <c r="N303" i="4"/>
  <c r="A303" i="4"/>
  <c r="AC302" i="4"/>
  <c r="Z302" i="4"/>
  <c r="T302" i="4"/>
  <c r="N302" i="4"/>
  <c r="A302" i="4"/>
  <c r="AC301" i="4"/>
  <c r="Z301" i="4"/>
  <c r="T301" i="4"/>
  <c r="N301" i="4"/>
  <c r="A301" i="4"/>
  <c r="AD301" i="4" s="1"/>
  <c r="AE300" i="4"/>
  <c r="AC300" i="4"/>
  <c r="AA300" i="4"/>
  <c r="AB300" i="4" s="1"/>
  <c r="Z300" i="4"/>
  <c r="T300" i="4"/>
  <c r="O300" i="4"/>
  <c r="N300" i="4"/>
  <c r="A300" i="4"/>
  <c r="AD300" i="4" s="1"/>
  <c r="AC299" i="4"/>
  <c r="AA299" i="4"/>
  <c r="AB299" i="4" s="1"/>
  <c r="Z299" i="4"/>
  <c r="T299" i="4"/>
  <c r="O299" i="4"/>
  <c r="N299" i="4"/>
  <c r="A299" i="4"/>
  <c r="AD299" i="4" s="1"/>
  <c r="AC298" i="4"/>
  <c r="Z298" i="4"/>
  <c r="T298" i="4"/>
  <c r="N298" i="4"/>
  <c r="A298" i="4"/>
  <c r="AC297" i="4"/>
  <c r="Z297" i="4"/>
  <c r="T297" i="4"/>
  <c r="N297" i="4"/>
  <c r="A297" i="4"/>
  <c r="AD297" i="4" s="1"/>
  <c r="AE296" i="4"/>
  <c r="AC296" i="4"/>
  <c r="Z296" i="4"/>
  <c r="T296" i="4"/>
  <c r="O296" i="4"/>
  <c r="N296" i="4"/>
  <c r="A296" i="4"/>
  <c r="AD296" i="4" s="1"/>
  <c r="AC295" i="4"/>
  <c r="Z295" i="4"/>
  <c r="T295" i="4"/>
  <c r="N295" i="4"/>
  <c r="A295" i="4"/>
  <c r="AC294" i="4"/>
  <c r="Z294" i="4"/>
  <c r="T294" i="4"/>
  <c r="N294" i="4"/>
  <c r="A294" i="4"/>
  <c r="AD294" i="4" s="1"/>
  <c r="AC293" i="4"/>
  <c r="Z293" i="4"/>
  <c r="T293" i="4"/>
  <c r="N293" i="4"/>
  <c r="A293" i="4"/>
  <c r="AC292" i="4"/>
  <c r="Z292" i="4"/>
  <c r="T292" i="4"/>
  <c r="N292" i="4"/>
  <c r="A292" i="4"/>
  <c r="AC291" i="4"/>
  <c r="Z291" i="4"/>
  <c r="T291" i="4"/>
  <c r="N291" i="4"/>
  <c r="A291" i="4"/>
  <c r="AD291" i="4" s="1"/>
  <c r="AC290" i="4"/>
  <c r="Z290" i="4"/>
  <c r="T290" i="4"/>
  <c r="O290" i="4"/>
  <c r="AA290" i="4" s="1"/>
  <c r="AB290" i="4" s="1"/>
  <c r="N290" i="4"/>
  <c r="A290" i="4"/>
  <c r="AD290" i="4" s="1"/>
  <c r="AC289" i="4"/>
  <c r="Z289" i="4"/>
  <c r="T289" i="4"/>
  <c r="O289" i="4"/>
  <c r="N289" i="4"/>
  <c r="A289" i="4"/>
  <c r="AD289" i="4" s="1"/>
  <c r="AD288" i="4"/>
  <c r="AC288" i="4"/>
  <c r="Z288" i="4"/>
  <c r="T288" i="4"/>
  <c r="O288" i="4"/>
  <c r="N288" i="4"/>
  <c r="AE288" i="4" s="1"/>
  <c r="A288" i="4"/>
  <c r="AD287" i="4"/>
  <c r="AC287" i="4"/>
  <c r="Z287" i="4"/>
  <c r="AA287" i="4" s="1"/>
  <c r="AB287" i="4" s="1"/>
  <c r="T287" i="4"/>
  <c r="O287" i="4"/>
  <c r="N287" i="4"/>
  <c r="AE287" i="4" s="1"/>
  <c r="A287" i="4"/>
  <c r="AD286" i="4"/>
  <c r="AC286" i="4"/>
  <c r="Z286" i="4"/>
  <c r="T286" i="4"/>
  <c r="O286" i="4"/>
  <c r="N286" i="4"/>
  <c r="AE286" i="4" s="1"/>
  <c r="A286" i="4"/>
  <c r="AD285" i="4"/>
  <c r="AC285" i="4"/>
  <c r="AA285" i="4"/>
  <c r="AB285" i="4" s="1"/>
  <c r="Z285" i="4"/>
  <c r="T285" i="4"/>
  <c r="O285" i="4"/>
  <c r="N285" i="4"/>
  <c r="A285" i="4"/>
  <c r="AD284" i="4"/>
  <c r="AC284" i="4"/>
  <c r="Z284" i="4"/>
  <c r="T284" i="4"/>
  <c r="O284" i="4"/>
  <c r="N284" i="4"/>
  <c r="AE284" i="4" s="1"/>
  <c r="A284" i="4"/>
  <c r="AD283" i="4"/>
  <c r="AC283" i="4"/>
  <c r="Z283" i="4"/>
  <c r="AA283" i="4" s="1"/>
  <c r="AB283" i="4" s="1"/>
  <c r="T283" i="4"/>
  <c r="O283" i="4"/>
  <c r="N283" i="4"/>
  <c r="AE283" i="4" s="1"/>
  <c r="A283" i="4"/>
  <c r="AD282" i="4"/>
  <c r="AC282" i="4"/>
  <c r="AA282" i="4"/>
  <c r="AB282" i="4" s="1"/>
  <c r="Z282" i="4"/>
  <c r="T282" i="4"/>
  <c r="O282" i="4"/>
  <c r="N282" i="4"/>
  <c r="A282" i="4"/>
  <c r="AD281" i="4"/>
  <c r="AC281" i="4"/>
  <c r="Z281" i="4"/>
  <c r="T281" i="4"/>
  <c r="O281" i="4"/>
  <c r="N281" i="4"/>
  <c r="A281" i="4"/>
  <c r="AD280" i="4"/>
  <c r="AC280" i="4"/>
  <c r="Z280" i="4"/>
  <c r="T280" i="4"/>
  <c r="O280" i="4"/>
  <c r="N280" i="4"/>
  <c r="A280" i="4"/>
  <c r="AD279" i="4"/>
  <c r="AC279" i="4"/>
  <c r="Z279" i="4"/>
  <c r="T279" i="4"/>
  <c r="O279" i="4"/>
  <c r="N279" i="4"/>
  <c r="A279" i="4"/>
  <c r="AD278" i="4"/>
  <c r="AC278" i="4"/>
  <c r="Z278" i="4"/>
  <c r="T278" i="4"/>
  <c r="O278" i="4"/>
  <c r="N278" i="4"/>
  <c r="AE278" i="4" s="1"/>
  <c r="A278" i="4"/>
  <c r="AD277" i="4"/>
  <c r="AC277" i="4"/>
  <c r="Z277" i="4"/>
  <c r="AA277" i="4" s="1"/>
  <c r="AB277" i="4" s="1"/>
  <c r="T277" i="4"/>
  <c r="O277" i="4"/>
  <c r="N277" i="4"/>
  <c r="A277" i="4"/>
  <c r="AD276" i="4"/>
  <c r="AC276" i="4"/>
  <c r="Z276" i="4"/>
  <c r="T276" i="4"/>
  <c r="O276" i="4"/>
  <c r="N276" i="4"/>
  <c r="AE276" i="4" s="1"/>
  <c r="A276" i="4"/>
  <c r="AD275" i="4"/>
  <c r="AC275" i="4"/>
  <c r="AA275" i="4"/>
  <c r="AB275" i="4" s="1"/>
  <c r="Z275" i="4"/>
  <c r="T275" i="4"/>
  <c r="O275" i="4"/>
  <c r="N275" i="4"/>
  <c r="A275" i="4"/>
  <c r="AD274" i="4"/>
  <c r="AC274" i="4"/>
  <c r="Z274" i="4"/>
  <c r="T274" i="4"/>
  <c r="O274" i="4"/>
  <c r="N274" i="4"/>
  <c r="AE274" i="4" s="1"/>
  <c r="A274" i="4"/>
  <c r="AD273" i="4"/>
  <c r="AC273" i="4"/>
  <c r="Z273" i="4"/>
  <c r="AA273" i="4" s="1"/>
  <c r="AB273" i="4" s="1"/>
  <c r="T273" i="4"/>
  <c r="O273" i="4"/>
  <c r="N273" i="4"/>
  <c r="AE273" i="4" s="1"/>
  <c r="A273" i="4"/>
  <c r="AD272" i="4"/>
  <c r="AC272" i="4"/>
  <c r="AA272" i="4"/>
  <c r="AB272" i="4" s="1"/>
  <c r="Z272" i="4"/>
  <c r="T272" i="4"/>
  <c r="O272" i="4"/>
  <c r="N272" i="4"/>
  <c r="A272" i="4"/>
  <c r="AD271" i="4"/>
  <c r="AC271" i="4"/>
  <c r="Z271" i="4"/>
  <c r="T271" i="4"/>
  <c r="O271" i="4"/>
  <c r="N271" i="4"/>
  <c r="A271" i="4"/>
  <c r="AD270" i="4"/>
  <c r="AC270" i="4"/>
  <c r="Z270" i="4"/>
  <c r="T270" i="4"/>
  <c r="O270" i="4"/>
  <c r="N270" i="4"/>
  <c r="A270" i="4"/>
  <c r="AD269" i="4"/>
  <c r="AC269" i="4"/>
  <c r="Z269" i="4"/>
  <c r="T269" i="4"/>
  <c r="O269" i="4"/>
  <c r="N269" i="4"/>
  <c r="A269" i="4"/>
  <c r="AD268" i="4"/>
  <c r="AC268" i="4"/>
  <c r="Z268" i="4"/>
  <c r="T268" i="4"/>
  <c r="O268" i="4"/>
  <c r="N268" i="4"/>
  <c r="AE268" i="4" s="1"/>
  <c r="A268" i="4"/>
  <c r="AD267" i="4"/>
  <c r="AC267" i="4"/>
  <c r="Z267" i="4"/>
  <c r="AA267" i="4" s="1"/>
  <c r="AB267" i="4" s="1"/>
  <c r="T267" i="4"/>
  <c r="O267" i="4"/>
  <c r="N267" i="4"/>
  <c r="AE267" i="4" s="1"/>
  <c r="A267" i="4"/>
  <c r="AD266" i="4"/>
  <c r="AC266" i="4"/>
  <c r="Z266" i="4"/>
  <c r="T266" i="4"/>
  <c r="O266" i="4"/>
  <c r="N266" i="4"/>
  <c r="AE266" i="4" s="1"/>
  <c r="A266" i="4"/>
  <c r="AD265" i="4"/>
  <c r="AC265" i="4"/>
  <c r="Z265" i="4"/>
  <c r="T265" i="4"/>
  <c r="O265" i="4"/>
  <c r="AA265" i="4" s="1"/>
  <c r="AB265" i="4" s="1"/>
  <c r="N265" i="4"/>
  <c r="A265" i="4"/>
  <c r="AD264" i="4"/>
  <c r="AC264" i="4"/>
  <c r="Z264" i="4"/>
  <c r="T264" i="4"/>
  <c r="O264" i="4"/>
  <c r="N264" i="4"/>
  <c r="AE264" i="4" s="1"/>
  <c r="A264" i="4"/>
  <c r="AD263" i="4"/>
  <c r="AC263" i="4"/>
  <c r="Z263" i="4"/>
  <c r="AA263" i="4" s="1"/>
  <c r="AB263" i="4" s="1"/>
  <c r="T263" i="4"/>
  <c r="O263" i="4"/>
  <c r="N263" i="4"/>
  <c r="AE263" i="4" s="1"/>
  <c r="A263" i="4"/>
  <c r="AD262" i="4"/>
  <c r="AC262" i="4"/>
  <c r="AA262" i="4"/>
  <c r="AB262" i="4" s="1"/>
  <c r="Z262" i="4"/>
  <c r="T262" i="4"/>
  <c r="O262" i="4"/>
  <c r="N262" i="4"/>
  <c r="A262" i="4"/>
  <c r="AD261" i="4"/>
  <c r="AC261" i="4"/>
  <c r="Z261" i="4"/>
  <c r="T261" i="4"/>
  <c r="O261" i="4"/>
  <c r="N261" i="4"/>
  <c r="A261" i="4"/>
  <c r="AD260" i="4"/>
  <c r="AC260" i="4"/>
  <c r="Z260" i="4"/>
  <c r="T260" i="4"/>
  <c r="O260" i="4"/>
  <c r="N260" i="4"/>
  <c r="A260" i="4"/>
  <c r="AD259" i="4"/>
  <c r="AC259" i="4"/>
  <c r="Z259" i="4"/>
  <c r="T259" i="4"/>
  <c r="O259" i="4"/>
  <c r="N259" i="4"/>
  <c r="A259" i="4"/>
  <c r="AD258" i="4"/>
  <c r="AC258" i="4"/>
  <c r="Z258" i="4"/>
  <c r="T258" i="4"/>
  <c r="O258" i="4"/>
  <c r="N258" i="4"/>
  <c r="AE258" i="4" s="1"/>
  <c r="A258" i="4"/>
  <c r="AD257" i="4"/>
  <c r="AC257" i="4"/>
  <c r="Z257" i="4"/>
  <c r="AA257" i="4" s="1"/>
  <c r="AB257" i="4" s="1"/>
  <c r="T257" i="4"/>
  <c r="O257" i="4"/>
  <c r="N257" i="4"/>
  <c r="AE257" i="4" s="1"/>
  <c r="A257" i="4"/>
  <c r="AD256" i="4"/>
  <c r="AC256" i="4"/>
  <c r="Z256" i="4"/>
  <c r="T256" i="4"/>
  <c r="O256" i="4"/>
  <c r="N256" i="4"/>
  <c r="AE256" i="4" s="1"/>
  <c r="A256" i="4"/>
  <c r="AD255" i="4"/>
  <c r="AC255" i="4"/>
  <c r="Z255" i="4"/>
  <c r="T255" i="4"/>
  <c r="O255" i="4"/>
  <c r="AA255" i="4" s="1"/>
  <c r="AB255" i="4" s="1"/>
  <c r="N255" i="4"/>
  <c r="A255" i="4"/>
  <c r="AD254" i="4"/>
  <c r="AC254" i="4"/>
  <c r="Z254" i="4"/>
  <c r="T254" i="4"/>
  <c r="O254" i="4"/>
  <c r="N254" i="4"/>
  <c r="AE254" i="4" s="1"/>
  <c r="A254" i="4"/>
  <c r="AD253" i="4"/>
  <c r="AC253" i="4"/>
  <c r="Z253" i="4"/>
  <c r="T253" i="4"/>
  <c r="AA253" i="4" s="1"/>
  <c r="AB253" i="4" s="1"/>
  <c r="O253" i="4"/>
  <c r="N253" i="4"/>
  <c r="AE253" i="4" s="1"/>
  <c r="A253" i="4"/>
  <c r="AD252" i="4"/>
  <c r="AC252" i="4"/>
  <c r="AA252" i="4"/>
  <c r="AB252" i="4" s="1"/>
  <c r="Z252" i="4"/>
  <c r="T252" i="4"/>
  <c r="O252" i="4"/>
  <c r="N252" i="4"/>
  <c r="A252" i="4"/>
  <c r="AD251" i="4"/>
  <c r="AC251" i="4"/>
  <c r="Z251" i="4"/>
  <c r="T251" i="4"/>
  <c r="O251" i="4"/>
  <c r="N251" i="4"/>
  <c r="A251" i="4"/>
  <c r="AD250" i="4"/>
  <c r="AC250" i="4"/>
  <c r="Z250" i="4"/>
  <c r="T250" i="4"/>
  <c r="O250" i="4"/>
  <c r="N250" i="4"/>
  <c r="A250" i="4"/>
  <c r="AD249" i="4"/>
  <c r="AC249" i="4"/>
  <c r="Z249" i="4"/>
  <c r="T249" i="4"/>
  <c r="O249" i="4"/>
  <c r="N249" i="4"/>
  <c r="A249" i="4"/>
  <c r="AD248" i="4"/>
  <c r="AC248" i="4"/>
  <c r="Z248" i="4"/>
  <c r="T248" i="4"/>
  <c r="O248" i="4"/>
  <c r="N248" i="4"/>
  <c r="AE248" i="4" s="1"/>
  <c r="A248" i="4"/>
  <c r="AD247" i="4"/>
  <c r="AC247" i="4"/>
  <c r="Z247" i="4"/>
  <c r="AA247" i="4" s="1"/>
  <c r="AB247" i="4" s="1"/>
  <c r="T247" i="4"/>
  <c r="O247" i="4"/>
  <c r="N247" i="4"/>
  <c r="AE247" i="4" s="1"/>
  <c r="A247" i="4"/>
  <c r="AD246" i="4"/>
  <c r="AC246" i="4"/>
  <c r="Z246" i="4"/>
  <c r="T246" i="4"/>
  <c r="O246" i="4"/>
  <c r="N246" i="4"/>
  <c r="AE246" i="4" s="1"/>
  <c r="A246" i="4"/>
  <c r="AD245" i="4"/>
  <c r="AC245" i="4"/>
  <c r="Z245" i="4"/>
  <c r="T245" i="4"/>
  <c r="O245" i="4"/>
  <c r="AA245" i="4" s="1"/>
  <c r="AB245" i="4" s="1"/>
  <c r="N245" i="4"/>
  <c r="A245" i="4"/>
  <c r="AD244" i="4"/>
  <c r="AC244" i="4"/>
  <c r="Z244" i="4"/>
  <c r="T244" i="4"/>
  <c r="O244" i="4"/>
  <c r="N244" i="4"/>
  <c r="AE244" i="4" s="1"/>
  <c r="A244" i="4"/>
  <c r="AD243" i="4"/>
  <c r="AC243" i="4"/>
  <c r="Z243" i="4"/>
  <c r="T243" i="4"/>
  <c r="AA243" i="4" s="1"/>
  <c r="AB243" i="4" s="1"/>
  <c r="O243" i="4"/>
  <c r="N243" i="4"/>
  <c r="AE243" i="4" s="1"/>
  <c r="A243" i="4"/>
  <c r="AD242" i="4"/>
  <c r="AC242" i="4"/>
  <c r="AA242" i="4"/>
  <c r="AB242" i="4" s="1"/>
  <c r="Z242" i="4"/>
  <c r="T242" i="4"/>
  <c r="O242" i="4"/>
  <c r="N242" i="4"/>
  <c r="A242" i="4"/>
  <c r="AD241" i="4"/>
  <c r="AC241" i="4"/>
  <c r="Z241" i="4"/>
  <c r="T241" i="4"/>
  <c r="O241" i="4"/>
  <c r="N241" i="4"/>
  <c r="A241" i="4"/>
  <c r="AD240" i="4"/>
  <c r="AC240" i="4"/>
  <c r="Z240" i="4"/>
  <c r="T240" i="4"/>
  <c r="O240" i="4"/>
  <c r="N240" i="4"/>
  <c r="A240" i="4"/>
  <c r="AD239" i="4"/>
  <c r="AC239" i="4"/>
  <c r="Z239" i="4"/>
  <c r="T239" i="4"/>
  <c r="O239" i="4"/>
  <c r="N239" i="4"/>
  <c r="A239" i="4"/>
  <c r="AD238" i="4"/>
  <c r="AC238" i="4"/>
  <c r="Z238" i="4"/>
  <c r="T238" i="4"/>
  <c r="O238" i="4"/>
  <c r="N238" i="4"/>
  <c r="AE238" i="4" s="1"/>
  <c r="A238" i="4"/>
  <c r="AD237" i="4"/>
  <c r="AC237" i="4"/>
  <c r="Z237" i="4"/>
  <c r="AA237" i="4" s="1"/>
  <c r="AB237" i="4" s="1"/>
  <c r="T237" i="4"/>
  <c r="O237" i="4"/>
  <c r="N237" i="4"/>
  <c r="AE237" i="4" s="1"/>
  <c r="A237" i="4"/>
  <c r="AD236" i="4"/>
  <c r="AC236" i="4"/>
  <c r="Z236" i="4"/>
  <c r="T236" i="4"/>
  <c r="O236" i="4"/>
  <c r="N236" i="4"/>
  <c r="AE236" i="4" s="1"/>
  <c r="A236" i="4"/>
  <c r="AD235" i="4"/>
  <c r="AC235" i="4"/>
  <c r="Z235" i="4"/>
  <c r="T235" i="4"/>
  <c r="O235" i="4"/>
  <c r="AA235" i="4" s="1"/>
  <c r="AB235" i="4" s="1"/>
  <c r="N235" i="4"/>
  <c r="A235" i="4"/>
  <c r="AD234" i="4"/>
  <c r="AC234" i="4"/>
  <c r="Z234" i="4"/>
  <c r="T234" i="4"/>
  <c r="O234" i="4"/>
  <c r="N234" i="4"/>
  <c r="AE234" i="4" s="1"/>
  <c r="A234" i="4"/>
  <c r="AD233" i="4"/>
  <c r="AC233" i="4"/>
  <c r="Z233" i="4"/>
  <c r="T233" i="4"/>
  <c r="AA233" i="4" s="1"/>
  <c r="AB233" i="4" s="1"/>
  <c r="O233" i="4"/>
  <c r="N233" i="4"/>
  <c r="AE233" i="4" s="1"/>
  <c r="A233" i="4"/>
  <c r="AD232" i="4"/>
  <c r="AC232" i="4"/>
  <c r="AA232" i="4"/>
  <c r="AB232" i="4" s="1"/>
  <c r="Z232" i="4"/>
  <c r="T232" i="4"/>
  <c r="O232" i="4"/>
  <c r="N232" i="4"/>
  <c r="A232" i="4"/>
  <c r="AD231" i="4"/>
  <c r="AC231" i="4"/>
  <c r="Z231" i="4"/>
  <c r="T231" i="4"/>
  <c r="O231" i="4"/>
  <c r="N231" i="4"/>
  <c r="A231" i="4"/>
  <c r="AD230" i="4"/>
  <c r="AC230" i="4"/>
  <c r="Z230" i="4"/>
  <c r="T230" i="4"/>
  <c r="O230" i="4"/>
  <c r="N230" i="4"/>
  <c r="A230" i="4"/>
  <c r="AD229" i="4"/>
  <c r="AC229" i="4"/>
  <c r="Z229" i="4"/>
  <c r="T229" i="4"/>
  <c r="O229" i="4"/>
  <c r="N229" i="4"/>
  <c r="A229" i="4"/>
  <c r="AD228" i="4"/>
  <c r="AC228" i="4"/>
  <c r="Z228" i="4"/>
  <c r="T228" i="4"/>
  <c r="O228" i="4"/>
  <c r="N228" i="4"/>
  <c r="AE228" i="4" s="1"/>
  <c r="A228" i="4"/>
  <c r="AD227" i="4"/>
  <c r="AC227" i="4"/>
  <c r="Z227" i="4"/>
  <c r="AA227" i="4" s="1"/>
  <c r="AB227" i="4" s="1"/>
  <c r="T227" i="4"/>
  <c r="O227" i="4"/>
  <c r="N227" i="4"/>
  <c r="A227" i="4"/>
  <c r="AD226" i="4"/>
  <c r="AC226" i="4"/>
  <c r="Z226" i="4"/>
  <c r="T226" i="4"/>
  <c r="O226" i="4"/>
  <c r="N226" i="4"/>
  <c r="AE226" i="4" s="1"/>
  <c r="A226" i="4"/>
  <c r="AD225" i="4"/>
  <c r="AC225" i="4"/>
  <c r="Z225" i="4"/>
  <c r="T225" i="4"/>
  <c r="O225" i="4"/>
  <c r="AA225" i="4" s="1"/>
  <c r="AB225" i="4" s="1"/>
  <c r="N225" i="4"/>
  <c r="A225" i="4"/>
  <c r="AD224" i="4"/>
  <c r="AC224" i="4"/>
  <c r="Z224" i="4"/>
  <c r="T224" i="4"/>
  <c r="O224" i="4"/>
  <c r="N224" i="4"/>
  <c r="AE224" i="4" s="1"/>
  <c r="A224" i="4"/>
  <c r="AD223" i="4"/>
  <c r="AC223" i="4"/>
  <c r="Z223" i="4"/>
  <c r="T223" i="4"/>
  <c r="AA223" i="4" s="1"/>
  <c r="AB223" i="4" s="1"/>
  <c r="O223" i="4"/>
  <c r="N223" i="4"/>
  <c r="AE223" i="4" s="1"/>
  <c r="A223" i="4"/>
  <c r="AD222" i="4"/>
  <c r="AC222" i="4"/>
  <c r="AA222" i="4"/>
  <c r="AB222" i="4" s="1"/>
  <c r="Z222" i="4"/>
  <c r="T222" i="4"/>
  <c r="O222" i="4"/>
  <c r="N222" i="4"/>
  <c r="A222" i="4"/>
  <c r="AD221" i="4"/>
  <c r="AC221" i="4"/>
  <c r="Z221" i="4"/>
  <c r="T221" i="4"/>
  <c r="O221" i="4"/>
  <c r="N221" i="4"/>
  <c r="A221" i="4"/>
  <c r="AD220" i="4"/>
  <c r="AC220" i="4"/>
  <c r="Z220" i="4"/>
  <c r="T220" i="4"/>
  <c r="O220" i="4"/>
  <c r="N220" i="4"/>
  <c r="A220" i="4"/>
  <c r="AD219" i="4"/>
  <c r="AC219" i="4"/>
  <c r="Z219" i="4"/>
  <c r="T219" i="4"/>
  <c r="O219" i="4"/>
  <c r="N219" i="4"/>
  <c r="A219" i="4"/>
  <c r="AD218" i="4"/>
  <c r="AC218" i="4"/>
  <c r="Z218" i="4"/>
  <c r="T218" i="4"/>
  <c r="O218" i="4"/>
  <c r="N218" i="4"/>
  <c r="AE218" i="4" s="1"/>
  <c r="A218" i="4"/>
  <c r="AD217" i="4"/>
  <c r="AC217" i="4"/>
  <c r="Z217" i="4"/>
  <c r="AA217" i="4" s="1"/>
  <c r="AB217" i="4" s="1"/>
  <c r="T217" i="4"/>
  <c r="O217" i="4"/>
  <c r="N217" i="4"/>
  <c r="AE217" i="4" s="1"/>
  <c r="A217" i="4"/>
  <c r="AD216" i="4"/>
  <c r="AC216" i="4"/>
  <c r="Z216" i="4"/>
  <c r="T216" i="4"/>
  <c r="O216" i="4"/>
  <c r="N216" i="4"/>
  <c r="AE216" i="4" s="1"/>
  <c r="A216" i="4"/>
  <c r="AD215" i="4"/>
  <c r="AC215" i="4"/>
  <c r="Z215" i="4"/>
  <c r="T215" i="4"/>
  <c r="O215" i="4"/>
  <c r="AA215" i="4" s="1"/>
  <c r="AB215" i="4" s="1"/>
  <c r="N215" i="4"/>
  <c r="A215" i="4"/>
  <c r="AD214" i="4"/>
  <c r="AC214" i="4"/>
  <c r="Z214" i="4"/>
  <c r="T214" i="4"/>
  <c r="O214" i="4"/>
  <c r="N214" i="4"/>
  <c r="AE214" i="4" s="1"/>
  <c r="A214" i="4"/>
  <c r="AD213" i="4"/>
  <c r="AC213" i="4"/>
  <c r="Z213" i="4"/>
  <c r="T213" i="4"/>
  <c r="AA213" i="4" s="1"/>
  <c r="AB213" i="4" s="1"/>
  <c r="O213" i="4"/>
  <c r="N213" i="4"/>
  <c r="AE213" i="4" s="1"/>
  <c r="A213" i="4"/>
  <c r="AD212" i="4"/>
  <c r="AC212" i="4"/>
  <c r="AA212" i="4"/>
  <c r="AB212" i="4" s="1"/>
  <c r="Z212" i="4"/>
  <c r="T212" i="4"/>
  <c r="O212" i="4"/>
  <c r="N212" i="4"/>
  <c r="A212" i="4"/>
  <c r="AD211" i="4"/>
  <c r="AC211" i="4"/>
  <c r="Z211" i="4"/>
  <c r="T211" i="4"/>
  <c r="O211" i="4"/>
  <c r="N211" i="4"/>
  <c r="A211" i="4"/>
  <c r="AD210" i="4"/>
  <c r="AC210" i="4"/>
  <c r="Z210" i="4"/>
  <c r="T210" i="4"/>
  <c r="O210" i="4"/>
  <c r="N210" i="4"/>
  <c r="A210" i="4"/>
  <c r="AD209" i="4"/>
  <c r="AC209" i="4"/>
  <c r="Z209" i="4"/>
  <c r="T209" i="4"/>
  <c r="O209" i="4"/>
  <c r="N209" i="4"/>
  <c r="A209" i="4"/>
  <c r="AD208" i="4"/>
  <c r="AC208" i="4"/>
  <c r="Z208" i="4"/>
  <c r="T208" i="4"/>
  <c r="O208" i="4"/>
  <c r="N208" i="4"/>
  <c r="A208" i="4"/>
  <c r="AD207" i="4"/>
  <c r="AC207" i="4"/>
  <c r="Z207" i="4"/>
  <c r="T207" i="4"/>
  <c r="O207" i="4"/>
  <c r="N207" i="4"/>
  <c r="A207" i="4"/>
  <c r="AD206" i="4"/>
  <c r="AC206" i="4"/>
  <c r="Z206" i="4"/>
  <c r="T206" i="4"/>
  <c r="O206" i="4"/>
  <c r="N206" i="4"/>
  <c r="A206" i="4"/>
  <c r="AD205" i="4"/>
  <c r="AC205" i="4"/>
  <c r="Z205" i="4"/>
  <c r="T205" i="4"/>
  <c r="O205" i="4"/>
  <c r="N205" i="4"/>
  <c r="A205" i="4"/>
  <c r="AD204" i="4"/>
  <c r="AC204" i="4"/>
  <c r="Z204" i="4"/>
  <c r="T204" i="4"/>
  <c r="O204" i="4"/>
  <c r="N204" i="4"/>
  <c r="A204" i="4"/>
  <c r="AD203" i="4"/>
  <c r="AC203" i="4"/>
  <c r="Z203" i="4"/>
  <c r="T203" i="4"/>
  <c r="O203" i="4"/>
  <c r="N203" i="4"/>
  <c r="A203" i="4"/>
  <c r="AD202" i="4"/>
  <c r="AC202" i="4"/>
  <c r="Z202" i="4"/>
  <c r="T202" i="4"/>
  <c r="O202" i="4"/>
  <c r="N202" i="4"/>
  <c r="A202" i="4"/>
  <c r="AD201" i="4"/>
  <c r="AC201" i="4"/>
  <c r="Z201" i="4"/>
  <c r="T201" i="4"/>
  <c r="O201" i="4"/>
  <c r="N201" i="4"/>
  <c r="A201" i="4"/>
  <c r="AD200" i="4"/>
  <c r="AC200" i="4"/>
  <c r="Z200" i="4"/>
  <c r="T200" i="4"/>
  <c r="O200" i="4"/>
  <c r="N200" i="4"/>
  <c r="A200" i="4"/>
  <c r="AD199" i="4"/>
  <c r="AC199" i="4"/>
  <c r="Z199" i="4"/>
  <c r="T199" i="4"/>
  <c r="O199" i="4"/>
  <c r="N199" i="4"/>
  <c r="A199" i="4"/>
  <c r="AD198" i="4"/>
  <c r="AC198" i="4"/>
  <c r="Z198" i="4"/>
  <c r="T198" i="4"/>
  <c r="O198" i="4"/>
  <c r="N198" i="4"/>
  <c r="A198" i="4"/>
  <c r="AD197" i="4"/>
  <c r="AC197" i="4"/>
  <c r="Z197" i="4"/>
  <c r="T197" i="4"/>
  <c r="O197" i="4"/>
  <c r="N197" i="4"/>
  <c r="A197" i="4"/>
  <c r="AD196" i="4"/>
  <c r="AC196" i="4"/>
  <c r="Z196" i="4"/>
  <c r="T196" i="4"/>
  <c r="O196" i="4"/>
  <c r="N196" i="4"/>
  <c r="A196" i="4"/>
  <c r="AD195" i="4"/>
  <c r="AC195" i="4"/>
  <c r="Z195" i="4"/>
  <c r="T195" i="4"/>
  <c r="O195" i="4"/>
  <c r="N195" i="4"/>
  <c r="A195" i="4"/>
  <c r="AD194" i="4"/>
  <c r="AC194" i="4"/>
  <c r="Z194" i="4"/>
  <c r="T194" i="4"/>
  <c r="O194" i="4"/>
  <c r="N194" i="4"/>
  <c r="A194" i="4"/>
  <c r="AD193" i="4"/>
  <c r="AC193" i="4"/>
  <c r="Z193" i="4"/>
  <c r="T193" i="4"/>
  <c r="O193" i="4"/>
  <c r="N193" i="4"/>
  <c r="A193" i="4"/>
  <c r="AD192" i="4"/>
  <c r="AC192" i="4"/>
  <c r="Z192" i="4"/>
  <c r="T192" i="4"/>
  <c r="O192" i="4"/>
  <c r="N192" i="4"/>
  <c r="A192" i="4"/>
  <c r="AD191" i="4"/>
  <c r="AC191" i="4"/>
  <c r="Z191" i="4"/>
  <c r="T191" i="4"/>
  <c r="O191" i="4"/>
  <c r="N191" i="4"/>
  <c r="A191" i="4"/>
  <c r="AD190" i="4"/>
  <c r="AC190" i="4"/>
  <c r="Z190" i="4"/>
  <c r="T190" i="4"/>
  <c r="O190" i="4"/>
  <c r="N190" i="4"/>
  <c r="A190" i="4"/>
  <c r="AD189" i="4"/>
  <c r="AC189" i="4"/>
  <c r="Z189" i="4"/>
  <c r="T189" i="4"/>
  <c r="O189" i="4"/>
  <c r="N189" i="4"/>
  <c r="A189" i="4"/>
  <c r="AD188" i="4"/>
  <c r="AC188" i="4"/>
  <c r="Z188" i="4"/>
  <c r="T188" i="4"/>
  <c r="O188" i="4"/>
  <c r="N188" i="4"/>
  <c r="A188" i="4"/>
  <c r="AD187" i="4"/>
  <c r="AC187" i="4"/>
  <c r="Z187" i="4"/>
  <c r="T187" i="4"/>
  <c r="O187" i="4"/>
  <c r="N187" i="4"/>
  <c r="A187" i="4"/>
  <c r="AD186" i="4"/>
  <c r="AC186" i="4"/>
  <c r="Z186" i="4"/>
  <c r="T186" i="4"/>
  <c r="O186" i="4"/>
  <c r="N186" i="4"/>
  <c r="A186" i="4"/>
  <c r="AD185" i="4"/>
  <c r="AC185" i="4"/>
  <c r="Z185" i="4"/>
  <c r="T185" i="4"/>
  <c r="O185" i="4"/>
  <c r="N185" i="4"/>
  <c r="A185" i="4"/>
  <c r="AD184" i="4"/>
  <c r="AC184" i="4"/>
  <c r="Z184" i="4"/>
  <c r="T184" i="4"/>
  <c r="O184" i="4"/>
  <c r="N184" i="4"/>
  <c r="A184" i="4"/>
  <c r="AD183" i="4"/>
  <c r="AC183" i="4"/>
  <c r="Z183" i="4"/>
  <c r="T183" i="4"/>
  <c r="O183" i="4"/>
  <c r="N183" i="4"/>
  <c r="A183" i="4"/>
  <c r="AD182" i="4"/>
  <c r="AC182" i="4"/>
  <c r="Z182" i="4"/>
  <c r="T182" i="4"/>
  <c r="O182" i="4"/>
  <c r="N182" i="4"/>
  <c r="A182" i="4"/>
  <c r="AD181" i="4"/>
  <c r="AC181" i="4"/>
  <c r="Z181" i="4"/>
  <c r="T181" i="4"/>
  <c r="O181" i="4"/>
  <c r="N181" i="4"/>
  <c r="A181" i="4"/>
  <c r="AD180" i="4"/>
  <c r="AC180" i="4"/>
  <c r="Z180" i="4"/>
  <c r="T180" i="4"/>
  <c r="O180" i="4"/>
  <c r="N180" i="4"/>
  <c r="A180" i="4"/>
  <c r="AD179" i="4"/>
  <c r="AC179" i="4"/>
  <c r="Z179" i="4"/>
  <c r="T179" i="4"/>
  <c r="O179" i="4"/>
  <c r="N179" i="4"/>
  <c r="A179" i="4"/>
  <c r="AD178" i="4"/>
  <c r="AC178" i="4"/>
  <c r="Z178" i="4"/>
  <c r="T178" i="4"/>
  <c r="O178" i="4"/>
  <c r="N178" i="4"/>
  <c r="A178" i="4"/>
  <c r="AD177" i="4"/>
  <c r="AC177" i="4"/>
  <c r="Z177" i="4"/>
  <c r="T177" i="4"/>
  <c r="O177" i="4"/>
  <c r="N177" i="4"/>
  <c r="A177" i="4"/>
  <c r="AD176" i="4"/>
  <c r="AC176" i="4"/>
  <c r="Z176" i="4"/>
  <c r="T176" i="4"/>
  <c r="O176" i="4"/>
  <c r="N176" i="4"/>
  <c r="A176" i="4"/>
  <c r="AE175" i="4"/>
  <c r="AD175" i="4"/>
  <c r="AC175" i="4"/>
  <c r="Z175" i="4"/>
  <c r="T175" i="4"/>
  <c r="O175" i="4"/>
  <c r="N175" i="4"/>
  <c r="AA175" i="4" s="1"/>
  <c r="AB175" i="4" s="1"/>
  <c r="A175" i="4"/>
  <c r="AE174" i="4"/>
  <c r="AD174" i="4"/>
  <c r="AC174" i="4"/>
  <c r="Z174" i="4"/>
  <c r="T174" i="4"/>
  <c r="O174" i="4"/>
  <c r="N174" i="4"/>
  <c r="A174" i="4"/>
  <c r="AE173" i="4"/>
  <c r="AD173" i="4"/>
  <c r="AC173" i="4"/>
  <c r="Z173" i="4"/>
  <c r="T173" i="4"/>
  <c r="O173" i="4"/>
  <c r="N173" i="4"/>
  <c r="A173" i="4"/>
  <c r="AD172" i="4"/>
  <c r="AC172" i="4"/>
  <c r="Z172" i="4"/>
  <c r="T172" i="4"/>
  <c r="O172" i="4"/>
  <c r="N172" i="4"/>
  <c r="AA172" i="4" s="1"/>
  <c r="AB172" i="4" s="1"/>
  <c r="A172" i="4"/>
  <c r="AD171" i="4"/>
  <c r="AC171" i="4"/>
  <c r="Z171" i="4"/>
  <c r="T171" i="4"/>
  <c r="O171" i="4"/>
  <c r="N171" i="4"/>
  <c r="AA171" i="4" s="1"/>
  <c r="AB171" i="4" s="1"/>
  <c r="A171" i="4"/>
  <c r="AE170" i="4"/>
  <c r="AD170" i="4"/>
  <c r="AC170" i="4"/>
  <c r="Z170" i="4"/>
  <c r="T170" i="4"/>
  <c r="O170" i="4"/>
  <c r="N170" i="4"/>
  <c r="AA170" i="4" s="1"/>
  <c r="AB170" i="4" s="1"/>
  <c r="A170" i="4"/>
  <c r="AE169" i="4"/>
  <c r="AD169" i="4"/>
  <c r="AC169" i="4"/>
  <c r="Z169" i="4"/>
  <c r="T169" i="4"/>
  <c r="O169" i="4"/>
  <c r="N169" i="4"/>
  <c r="A169" i="4"/>
  <c r="AE168" i="4"/>
  <c r="AD168" i="4"/>
  <c r="AC168" i="4"/>
  <c r="Z168" i="4"/>
  <c r="T168" i="4"/>
  <c r="O168" i="4"/>
  <c r="N168" i="4"/>
  <c r="A168" i="4"/>
  <c r="AD167" i="4"/>
  <c r="AC167" i="4"/>
  <c r="Z167" i="4"/>
  <c r="T167" i="4"/>
  <c r="O167" i="4"/>
  <c r="N167" i="4"/>
  <c r="AA167" i="4" s="1"/>
  <c r="AB167" i="4" s="1"/>
  <c r="A167" i="4"/>
  <c r="AD166" i="4"/>
  <c r="AC166" i="4"/>
  <c r="Z166" i="4"/>
  <c r="T166" i="4"/>
  <c r="O166" i="4"/>
  <c r="N166" i="4"/>
  <c r="AA166" i="4" s="1"/>
  <c r="AB166" i="4" s="1"/>
  <c r="A166" i="4"/>
  <c r="AE165" i="4"/>
  <c r="AD165" i="4"/>
  <c r="AC165" i="4"/>
  <c r="Z165" i="4"/>
  <c r="T165" i="4"/>
  <c r="O165" i="4"/>
  <c r="N165" i="4"/>
  <c r="AA165" i="4" s="1"/>
  <c r="AB165" i="4" s="1"/>
  <c r="A165" i="4"/>
  <c r="AE164" i="4"/>
  <c r="AD164" i="4"/>
  <c r="AC164" i="4"/>
  <c r="Z164" i="4"/>
  <c r="T164" i="4"/>
  <c r="O164" i="4"/>
  <c r="N164" i="4"/>
  <c r="A164" i="4"/>
  <c r="AE163" i="4"/>
  <c r="AD163" i="4"/>
  <c r="AC163" i="4"/>
  <c r="Z163" i="4"/>
  <c r="T163" i="4"/>
  <c r="O163" i="4"/>
  <c r="N163" i="4"/>
  <c r="A163" i="4"/>
  <c r="AD162" i="4"/>
  <c r="AC162" i="4"/>
  <c r="Z162" i="4"/>
  <c r="T162" i="4"/>
  <c r="O162" i="4"/>
  <c r="N162" i="4"/>
  <c r="AA162" i="4" s="1"/>
  <c r="AB162" i="4" s="1"/>
  <c r="A162" i="4"/>
  <c r="AD161" i="4"/>
  <c r="AC161" i="4"/>
  <c r="Z161" i="4"/>
  <c r="T161" i="4"/>
  <c r="O161" i="4"/>
  <c r="N161" i="4"/>
  <c r="AA161" i="4" s="1"/>
  <c r="AB161" i="4" s="1"/>
  <c r="A161" i="4"/>
  <c r="AE160" i="4"/>
  <c r="AD160" i="4"/>
  <c r="AC160" i="4"/>
  <c r="Z160" i="4"/>
  <c r="T160" i="4"/>
  <c r="O160" i="4"/>
  <c r="N160" i="4"/>
  <c r="AA160" i="4" s="1"/>
  <c r="AB160" i="4" s="1"/>
  <c r="A160" i="4"/>
  <c r="AE159" i="4"/>
  <c r="AD159" i="4"/>
  <c r="AC159" i="4"/>
  <c r="Z159" i="4"/>
  <c r="T159" i="4"/>
  <c r="O159" i="4"/>
  <c r="N159" i="4"/>
  <c r="A159" i="4"/>
  <c r="AE158" i="4"/>
  <c r="AD158" i="4"/>
  <c r="AC158" i="4"/>
  <c r="Z158" i="4"/>
  <c r="T158" i="4"/>
  <c r="O158" i="4"/>
  <c r="N158" i="4"/>
  <c r="A158" i="4"/>
  <c r="AD157" i="4"/>
  <c r="AC157" i="4"/>
  <c r="Z157" i="4"/>
  <c r="T157" i="4"/>
  <c r="O157" i="4"/>
  <c r="N157" i="4"/>
  <c r="AA157" i="4" s="1"/>
  <c r="AB157" i="4" s="1"/>
  <c r="A157" i="4"/>
  <c r="AD156" i="4"/>
  <c r="AC156" i="4"/>
  <c r="Z156" i="4"/>
  <c r="T156" i="4"/>
  <c r="O156" i="4"/>
  <c r="N156" i="4"/>
  <c r="AA156" i="4" s="1"/>
  <c r="AB156" i="4" s="1"/>
  <c r="A156" i="4"/>
  <c r="AE155" i="4"/>
  <c r="AD155" i="4"/>
  <c r="AC155" i="4"/>
  <c r="Z155" i="4"/>
  <c r="T155" i="4"/>
  <c r="O155" i="4"/>
  <c r="N155" i="4"/>
  <c r="AA155" i="4" s="1"/>
  <c r="AB155" i="4" s="1"/>
  <c r="A155" i="4"/>
  <c r="AE154" i="4"/>
  <c r="AD154" i="4"/>
  <c r="AC154" i="4"/>
  <c r="Z154" i="4"/>
  <c r="T154" i="4"/>
  <c r="O154" i="4"/>
  <c r="N154" i="4"/>
  <c r="A154" i="4"/>
  <c r="AE153" i="4"/>
  <c r="AD153" i="4"/>
  <c r="AC153" i="4"/>
  <c r="Z153" i="4"/>
  <c r="T153" i="4"/>
  <c r="O153" i="4"/>
  <c r="N153" i="4"/>
  <c r="A153" i="4"/>
  <c r="AD152" i="4"/>
  <c r="AC152" i="4"/>
  <c r="Z152" i="4"/>
  <c r="T152" i="4"/>
  <c r="O152" i="4"/>
  <c r="N152" i="4"/>
  <c r="AA152" i="4" s="1"/>
  <c r="AB152" i="4" s="1"/>
  <c r="A152" i="4"/>
  <c r="AD151" i="4"/>
  <c r="AC151" i="4"/>
  <c r="Z151" i="4"/>
  <c r="T151" i="4"/>
  <c r="O151" i="4"/>
  <c r="N151" i="4"/>
  <c r="AA151" i="4" s="1"/>
  <c r="AB151" i="4" s="1"/>
  <c r="A151" i="4"/>
  <c r="AE150" i="4"/>
  <c r="AD150" i="4"/>
  <c r="AC150" i="4"/>
  <c r="Z150" i="4"/>
  <c r="T150" i="4"/>
  <c r="O150" i="4"/>
  <c r="N150" i="4"/>
  <c r="AA150" i="4" s="1"/>
  <c r="AB150" i="4" s="1"/>
  <c r="A150" i="4"/>
  <c r="AE149" i="4"/>
  <c r="AD149" i="4"/>
  <c r="AC149" i="4"/>
  <c r="Z149" i="4"/>
  <c r="T149" i="4"/>
  <c r="O149" i="4"/>
  <c r="N149" i="4"/>
  <c r="A149" i="4"/>
  <c r="AE148" i="4"/>
  <c r="AD148" i="4"/>
  <c r="AC148" i="4"/>
  <c r="Z148" i="4"/>
  <c r="T148" i="4"/>
  <c r="O148" i="4"/>
  <c r="N148" i="4"/>
  <c r="A148" i="4"/>
  <c r="AD147" i="4"/>
  <c r="AC147" i="4"/>
  <c r="Z147" i="4"/>
  <c r="T147" i="4"/>
  <c r="O147" i="4"/>
  <c r="N147" i="4"/>
  <c r="AA147" i="4" s="1"/>
  <c r="AB147" i="4" s="1"/>
  <c r="A147" i="4"/>
  <c r="AD146" i="4"/>
  <c r="AC146" i="4"/>
  <c r="Z146" i="4"/>
  <c r="T146" i="4"/>
  <c r="O146" i="4"/>
  <c r="N146" i="4"/>
  <c r="AA146" i="4" s="1"/>
  <c r="AB146" i="4" s="1"/>
  <c r="A146" i="4"/>
  <c r="AE145" i="4"/>
  <c r="AD145" i="4"/>
  <c r="AC145" i="4"/>
  <c r="Z145" i="4"/>
  <c r="T145" i="4"/>
  <c r="O145" i="4"/>
  <c r="N145" i="4"/>
  <c r="AA145" i="4" s="1"/>
  <c r="AB145" i="4" s="1"/>
  <c r="A145" i="4"/>
  <c r="AE144" i="4"/>
  <c r="AD144" i="4"/>
  <c r="AC144" i="4"/>
  <c r="Z144" i="4"/>
  <c r="T144" i="4"/>
  <c r="O144" i="4"/>
  <c r="N144" i="4"/>
  <c r="A144" i="4"/>
  <c r="AE143" i="4"/>
  <c r="AD143" i="4"/>
  <c r="AC143" i="4"/>
  <c r="Z143" i="4"/>
  <c r="T143" i="4"/>
  <c r="O143" i="4"/>
  <c r="N143" i="4"/>
  <c r="A143" i="4"/>
  <c r="AD142" i="4"/>
  <c r="AC142" i="4"/>
  <c r="Z142" i="4"/>
  <c r="T142" i="4"/>
  <c r="O142" i="4"/>
  <c r="N142" i="4"/>
  <c r="AA142" i="4" s="1"/>
  <c r="AB142" i="4" s="1"/>
  <c r="A142" i="4"/>
  <c r="AD141" i="4"/>
  <c r="AC141" i="4"/>
  <c r="Z141" i="4"/>
  <c r="T141" i="4"/>
  <c r="O141" i="4"/>
  <c r="N141" i="4"/>
  <c r="AA141" i="4" s="1"/>
  <c r="AB141" i="4" s="1"/>
  <c r="A141" i="4"/>
  <c r="AE140" i="4"/>
  <c r="AD140" i="4"/>
  <c r="AC140" i="4"/>
  <c r="Z140" i="4"/>
  <c r="T140" i="4"/>
  <c r="O140" i="4"/>
  <c r="N140" i="4"/>
  <c r="AA140" i="4" s="1"/>
  <c r="AB140" i="4" s="1"/>
  <c r="A140" i="4"/>
  <c r="AE139" i="4"/>
  <c r="AD139" i="4"/>
  <c r="AC139" i="4"/>
  <c r="Z139" i="4"/>
  <c r="T139" i="4"/>
  <c r="O139" i="4"/>
  <c r="N139" i="4"/>
  <c r="A139" i="4"/>
  <c r="AE138" i="4"/>
  <c r="AD138" i="4"/>
  <c r="AC138" i="4"/>
  <c r="Z138" i="4"/>
  <c r="T138" i="4"/>
  <c r="O138" i="4"/>
  <c r="N138" i="4"/>
  <c r="A138" i="4"/>
  <c r="AD137" i="4"/>
  <c r="AC137" i="4"/>
  <c r="Z137" i="4"/>
  <c r="T137" i="4"/>
  <c r="O137" i="4"/>
  <c r="N137" i="4"/>
  <c r="A137" i="4"/>
  <c r="AD136" i="4"/>
  <c r="AC136" i="4"/>
  <c r="Z136" i="4"/>
  <c r="T136" i="4"/>
  <c r="O136" i="4"/>
  <c r="N136" i="4"/>
  <c r="AA136" i="4" s="1"/>
  <c r="AB136" i="4" s="1"/>
  <c r="A136" i="4"/>
  <c r="AE135" i="4"/>
  <c r="AD135" i="4"/>
  <c r="AC135" i="4"/>
  <c r="Z135" i="4"/>
  <c r="T135" i="4"/>
  <c r="O135" i="4"/>
  <c r="N135" i="4"/>
  <c r="AA135" i="4" s="1"/>
  <c r="AB135" i="4" s="1"/>
  <c r="A135" i="4"/>
  <c r="AE134" i="4"/>
  <c r="AD134" i="4"/>
  <c r="AC134" i="4"/>
  <c r="Z134" i="4"/>
  <c r="T134" i="4"/>
  <c r="O134" i="4"/>
  <c r="N134" i="4"/>
  <c r="A134" i="4"/>
  <c r="AE133" i="4"/>
  <c r="AD133" i="4"/>
  <c r="AC133" i="4"/>
  <c r="Z133" i="4"/>
  <c r="T133" i="4"/>
  <c r="O133" i="4"/>
  <c r="N133" i="4"/>
  <c r="A133" i="4"/>
  <c r="AD132" i="4"/>
  <c r="AC132" i="4"/>
  <c r="Z132" i="4"/>
  <c r="T132" i="4"/>
  <c r="O132" i="4"/>
  <c r="N132" i="4"/>
  <c r="A132" i="4"/>
  <c r="AD131" i="4"/>
  <c r="AC131" i="4"/>
  <c r="Z131" i="4"/>
  <c r="T131" i="4"/>
  <c r="O131" i="4"/>
  <c r="N131" i="4"/>
  <c r="AA131" i="4" s="1"/>
  <c r="AB131" i="4" s="1"/>
  <c r="A131" i="4"/>
  <c r="AE130" i="4"/>
  <c r="AD130" i="4"/>
  <c r="AC130" i="4"/>
  <c r="Z130" i="4"/>
  <c r="T130" i="4"/>
  <c r="O130" i="4"/>
  <c r="N130" i="4"/>
  <c r="AA130" i="4" s="1"/>
  <c r="AB130" i="4" s="1"/>
  <c r="A130" i="4"/>
  <c r="AE129" i="4"/>
  <c r="AD129" i="4"/>
  <c r="AC129" i="4"/>
  <c r="Z129" i="4"/>
  <c r="T129" i="4"/>
  <c r="O129" i="4"/>
  <c r="N129" i="4"/>
  <c r="A129" i="4"/>
  <c r="AE128" i="4"/>
  <c r="AD128" i="4"/>
  <c r="AC128" i="4"/>
  <c r="Z128" i="4"/>
  <c r="T128" i="4"/>
  <c r="O128" i="4"/>
  <c r="N128" i="4"/>
  <c r="A128" i="4"/>
  <c r="AD127" i="4"/>
  <c r="AC127" i="4"/>
  <c r="Z127" i="4"/>
  <c r="T127" i="4"/>
  <c r="O127" i="4"/>
  <c r="N127" i="4"/>
  <c r="A127" i="4"/>
  <c r="AD126" i="4"/>
  <c r="AC126" i="4"/>
  <c r="Z126" i="4"/>
  <c r="T126" i="4"/>
  <c r="O126" i="4"/>
  <c r="N126" i="4"/>
  <c r="AA126" i="4" s="1"/>
  <c r="AB126" i="4" s="1"/>
  <c r="A126" i="4"/>
  <c r="AE125" i="4"/>
  <c r="AD125" i="4"/>
  <c r="AC125" i="4"/>
  <c r="Z125" i="4"/>
  <c r="T125" i="4"/>
  <c r="O125" i="4"/>
  <c r="N125" i="4"/>
  <c r="AA125" i="4" s="1"/>
  <c r="AB125" i="4" s="1"/>
  <c r="A125" i="4"/>
  <c r="AE124" i="4"/>
  <c r="AD124" i="4"/>
  <c r="AC124" i="4"/>
  <c r="Z124" i="4"/>
  <c r="T124" i="4"/>
  <c r="O124" i="4"/>
  <c r="N124" i="4"/>
  <c r="A124" i="4"/>
  <c r="AE123" i="4"/>
  <c r="AD123" i="4"/>
  <c r="AC123" i="4"/>
  <c r="Z123" i="4"/>
  <c r="T123" i="4"/>
  <c r="O123" i="4"/>
  <c r="N123" i="4"/>
  <c r="A123" i="4"/>
  <c r="AD122" i="4"/>
  <c r="AC122" i="4"/>
  <c r="Z122" i="4"/>
  <c r="T122" i="4"/>
  <c r="O122" i="4"/>
  <c r="N122" i="4"/>
  <c r="A122" i="4"/>
  <c r="AD121" i="4"/>
  <c r="AC121" i="4"/>
  <c r="Z121" i="4"/>
  <c r="T121" i="4"/>
  <c r="O121" i="4"/>
  <c r="N121" i="4"/>
  <c r="AA121" i="4" s="1"/>
  <c r="AB121" i="4" s="1"/>
  <c r="A121" i="4"/>
  <c r="AE120" i="4"/>
  <c r="AD120" i="4"/>
  <c r="AC120" i="4"/>
  <c r="Z120" i="4"/>
  <c r="T120" i="4"/>
  <c r="O120" i="4"/>
  <c r="N120" i="4"/>
  <c r="AA120" i="4" s="1"/>
  <c r="AB120" i="4" s="1"/>
  <c r="A120" i="4"/>
  <c r="AE119" i="4"/>
  <c r="AD119" i="4"/>
  <c r="AC119" i="4"/>
  <c r="Z119" i="4"/>
  <c r="T119" i="4"/>
  <c r="O119" i="4"/>
  <c r="N119" i="4"/>
  <c r="A119" i="4"/>
  <c r="AE118" i="4"/>
  <c r="AD118" i="4"/>
  <c r="AC118" i="4"/>
  <c r="Z118" i="4"/>
  <c r="T118" i="4"/>
  <c r="O118" i="4"/>
  <c r="N118" i="4"/>
  <c r="A118" i="4"/>
  <c r="AD117" i="4"/>
  <c r="AC117" i="4"/>
  <c r="Z117" i="4"/>
  <c r="T117" i="4"/>
  <c r="O117" i="4"/>
  <c r="N117" i="4"/>
  <c r="A117" i="4"/>
  <c r="AD116" i="4"/>
  <c r="AC116" i="4"/>
  <c r="Z116" i="4"/>
  <c r="T116" i="4"/>
  <c r="O116" i="4"/>
  <c r="N116" i="4"/>
  <c r="AA116" i="4" s="1"/>
  <c r="AB116" i="4" s="1"/>
  <c r="A116" i="4"/>
  <c r="AE115" i="4"/>
  <c r="AD115" i="4"/>
  <c r="AC115" i="4"/>
  <c r="Z115" i="4"/>
  <c r="T115" i="4"/>
  <c r="O115" i="4"/>
  <c r="N115" i="4"/>
  <c r="AA115" i="4" s="1"/>
  <c r="AB115" i="4" s="1"/>
  <c r="A115" i="4"/>
  <c r="AE114" i="4"/>
  <c r="AD114" i="4"/>
  <c r="AC114" i="4"/>
  <c r="Z114" i="4"/>
  <c r="T114" i="4"/>
  <c r="O114" i="4"/>
  <c r="N114" i="4"/>
  <c r="A114" i="4"/>
  <c r="AE113" i="4"/>
  <c r="AD113" i="4"/>
  <c r="AC113" i="4"/>
  <c r="Z113" i="4"/>
  <c r="T113" i="4"/>
  <c r="O113" i="4"/>
  <c r="N113" i="4"/>
  <c r="A113" i="4"/>
  <c r="AD112" i="4"/>
  <c r="AC112" i="4"/>
  <c r="Z112" i="4"/>
  <c r="T112" i="4"/>
  <c r="O112" i="4"/>
  <c r="N112" i="4"/>
  <c r="A112" i="4"/>
  <c r="AD111" i="4"/>
  <c r="AC111" i="4"/>
  <c r="Z111" i="4"/>
  <c r="T111" i="4"/>
  <c r="O111" i="4"/>
  <c r="N111" i="4"/>
  <c r="AA111" i="4" s="1"/>
  <c r="AB111" i="4" s="1"/>
  <c r="A111" i="4"/>
  <c r="AE110" i="4"/>
  <c r="AD110" i="4"/>
  <c r="AC110" i="4"/>
  <c r="Z110" i="4"/>
  <c r="T110" i="4"/>
  <c r="O110" i="4"/>
  <c r="N110" i="4"/>
  <c r="AA110" i="4" s="1"/>
  <c r="AB110" i="4" s="1"/>
  <c r="A110" i="4"/>
  <c r="AE109" i="4"/>
  <c r="AD109" i="4"/>
  <c r="AC109" i="4"/>
  <c r="Z109" i="4"/>
  <c r="T109" i="4"/>
  <c r="O109" i="4"/>
  <c r="N109" i="4"/>
  <c r="A109" i="4"/>
  <c r="AE108" i="4"/>
  <c r="AD108" i="4"/>
  <c r="AC108" i="4"/>
  <c r="Z108" i="4"/>
  <c r="T108" i="4"/>
  <c r="O108" i="4"/>
  <c r="N108" i="4"/>
  <c r="A108" i="4"/>
  <c r="AD107" i="4"/>
  <c r="AC107" i="4"/>
  <c r="Z107" i="4"/>
  <c r="T107" i="4"/>
  <c r="O107" i="4"/>
  <c r="N107" i="4"/>
  <c r="A107" i="4"/>
  <c r="AD106" i="4"/>
  <c r="AC106" i="4"/>
  <c r="Z106" i="4"/>
  <c r="T106" i="4"/>
  <c r="O106" i="4"/>
  <c r="N106" i="4"/>
  <c r="AA106" i="4" s="1"/>
  <c r="AB106" i="4" s="1"/>
  <c r="A106" i="4"/>
  <c r="AE105" i="4"/>
  <c r="AD105" i="4"/>
  <c r="AC105" i="4"/>
  <c r="Z105" i="4"/>
  <c r="T105" i="4"/>
  <c r="O105" i="4"/>
  <c r="N105" i="4"/>
  <c r="AA105" i="4" s="1"/>
  <c r="AB105" i="4" s="1"/>
  <c r="A105" i="4"/>
  <c r="AE104" i="4"/>
  <c r="AD104" i="4"/>
  <c r="AC104" i="4"/>
  <c r="Z104" i="4"/>
  <c r="T104" i="4"/>
  <c r="O104" i="4"/>
  <c r="N104" i="4"/>
  <c r="A104" i="4"/>
  <c r="AE103" i="4"/>
  <c r="AD103" i="4"/>
  <c r="AC103" i="4"/>
  <c r="Z103" i="4"/>
  <c r="T103" i="4"/>
  <c r="O103" i="4"/>
  <c r="N103" i="4"/>
  <c r="A103" i="4"/>
  <c r="AD102" i="4"/>
  <c r="AC102" i="4"/>
  <c r="Z102" i="4"/>
  <c r="T102" i="4"/>
  <c r="O102" i="4"/>
  <c r="N102" i="4"/>
  <c r="A102" i="4"/>
  <c r="AD101" i="4"/>
  <c r="AC101" i="4"/>
  <c r="Z101" i="4"/>
  <c r="T101" i="4"/>
  <c r="O101" i="4"/>
  <c r="N101" i="4"/>
  <c r="AA101" i="4" s="1"/>
  <c r="AB101" i="4" s="1"/>
  <c r="A101" i="4"/>
  <c r="AE100" i="4"/>
  <c r="AD100" i="4"/>
  <c r="AC100" i="4"/>
  <c r="Z100" i="4"/>
  <c r="T100" i="4"/>
  <c r="O100" i="4"/>
  <c r="N100" i="4"/>
  <c r="AA100" i="4" s="1"/>
  <c r="AB100" i="4" s="1"/>
  <c r="A100" i="4"/>
  <c r="AE99" i="4"/>
  <c r="AD99" i="4"/>
  <c r="AC99" i="4"/>
  <c r="Z99" i="4"/>
  <c r="T99" i="4"/>
  <c r="O99" i="4"/>
  <c r="N99" i="4"/>
  <c r="A99" i="4"/>
  <c r="AE98" i="4"/>
  <c r="AD98" i="4"/>
  <c r="AC98" i="4"/>
  <c r="Z98" i="4"/>
  <c r="T98" i="4"/>
  <c r="O98" i="4"/>
  <c r="N98" i="4"/>
  <c r="A98" i="4"/>
  <c r="AD97" i="4"/>
  <c r="AC97" i="4"/>
  <c r="Z97" i="4"/>
  <c r="T97" i="4"/>
  <c r="O97" i="4"/>
  <c r="N97" i="4"/>
  <c r="A97" i="4"/>
  <c r="AD96" i="4"/>
  <c r="AC96" i="4"/>
  <c r="Z96" i="4"/>
  <c r="T96" i="4"/>
  <c r="O96" i="4"/>
  <c r="N96" i="4"/>
  <c r="AA96" i="4" s="1"/>
  <c r="AB96" i="4" s="1"/>
  <c r="A96" i="4"/>
  <c r="AE95" i="4"/>
  <c r="AD95" i="4"/>
  <c r="AC95" i="4"/>
  <c r="Z95" i="4"/>
  <c r="T95" i="4"/>
  <c r="O95" i="4"/>
  <c r="N95" i="4"/>
  <c r="AA95" i="4" s="1"/>
  <c r="AB95" i="4" s="1"/>
  <c r="A95" i="4"/>
  <c r="AE94" i="4"/>
  <c r="AD94" i="4"/>
  <c r="AC94" i="4"/>
  <c r="Z94" i="4"/>
  <c r="T94" i="4"/>
  <c r="O94" i="4"/>
  <c r="N94" i="4"/>
  <c r="A94" i="4"/>
  <c r="AE93" i="4"/>
  <c r="AD93" i="4"/>
  <c r="AC93" i="4"/>
  <c r="Z93" i="4"/>
  <c r="T93" i="4"/>
  <c r="O93" i="4"/>
  <c r="N93" i="4"/>
  <c r="A93" i="4"/>
  <c r="AD92" i="4"/>
  <c r="AC92" i="4"/>
  <c r="Z92" i="4"/>
  <c r="T92" i="4"/>
  <c r="O92" i="4"/>
  <c r="N92" i="4"/>
  <c r="A92" i="4"/>
  <c r="AD91" i="4"/>
  <c r="AC91" i="4"/>
  <c r="Z91" i="4"/>
  <c r="T91" i="4"/>
  <c r="O91" i="4"/>
  <c r="N91" i="4"/>
  <c r="AA91" i="4" s="1"/>
  <c r="AB91" i="4" s="1"/>
  <c r="A91" i="4"/>
  <c r="AE90" i="4"/>
  <c r="AD90" i="4"/>
  <c r="AC90" i="4"/>
  <c r="Z90" i="4"/>
  <c r="T90" i="4"/>
  <c r="O90" i="4"/>
  <c r="N90" i="4"/>
  <c r="AA90" i="4" s="1"/>
  <c r="AB90" i="4" s="1"/>
  <c r="A90" i="4"/>
  <c r="AE89" i="4"/>
  <c r="AD89" i="4"/>
  <c r="AC89" i="4"/>
  <c r="Z89" i="4"/>
  <c r="T89" i="4"/>
  <c r="O89" i="4"/>
  <c r="N89" i="4"/>
  <c r="A89" i="4"/>
  <c r="AE88" i="4"/>
  <c r="AD88" i="4"/>
  <c r="AC88" i="4"/>
  <c r="Z88" i="4"/>
  <c r="T88" i="4"/>
  <c r="O88" i="4"/>
  <c r="N88" i="4"/>
  <c r="A88" i="4"/>
  <c r="AD87" i="4"/>
  <c r="AC87" i="4"/>
  <c r="Z87" i="4"/>
  <c r="T87" i="4"/>
  <c r="O87" i="4"/>
  <c r="N87" i="4"/>
  <c r="AA87" i="4" s="1"/>
  <c r="AB87" i="4" s="1"/>
  <c r="A87" i="4"/>
  <c r="AA86" i="4"/>
  <c r="Z86" i="4"/>
  <c r="T86" i="4"/>
  <c r="N86" i="4"/>
  <c r="Z85" i="4"/>
  <c r="T85" i="4"/>
  <c r="N85" i="4"/>
  <c r="AA85" i="4" s="1"/>
  <c r="AA84" i="4"/>
  <c r="Z84" i="4"/>
  <c r="T84" i="4"/>
  <c r="N84" i="4"/>
  <c r="Z83" i="4"/>
  <c r="T83" i="4"/>
  <c r="N83" i="4"/>
  <c r="AA83" i="4" s="1"/>
  <c r="Z82" i="4"/>
  <c r="T82" i="4"/>
  <c r="AA82" i="4" s="1"/>
  <c r="N82" i="4"/>
  <c r="AA81" i="4"/>
  <c r="Z81" i="4"/>
  <c r="T81" i="4"/>
  <c r="N81" i="4"/>
  <c r="Z80" i="4"/>
  <c r="T80" i="4"/>
  <c r="N80" i="4"/>
  <c r="AA80" i="4" s="1"/>
  <c r="Z79" i="4"/>
  <c r="T79" i="4"/>
  <c r="N79" i="4"/>
  <c r="AA79" i="4" s="1"/>
  <c r="Z78" i="4"/>
  <c r="T78" i="4"/>
  <c r="N78" i="4"/>
  <c r="AA78" i="4" s="1"/>
  <c r="Z77" i="4"/>
  <c r="T77" i="4"/>
  <c r="AA77" i="4" s="1"/>
  <c r="N77" i="4"/>
  <c r="AA76" i="4"/>
  <c r="Z76" i="4"/>
  <c r="T76" i="4"/>
  <c r="N76" i="4"/>
  <c r="Z75" i="4"/>
  <c r="T75" i="4"/>
  <c r="N75" i="4"/>
  <c r="Z74" i="4"/>
  <c r="T74" i="4"/>
  <c r="N74" i="4"/>
  <c r="AA74" i="4" s="1"/>
  <c r="Z73" i="4"/>
  <c r="T73" i="4"/>
  <c r="N73" i="4"/>
  <c r="AA73" i="4" s="1"/>
  <c r="AA72" i="4"/>
  <c r="Z72" i="4"/>
  <c r="T72" i="4"/>
  <c r="N72" i="4"/>
  <c r="AA71" i="4"/>
  <c r="Z71" i="4"/>
  <c r="T71" i="4"/>
  <c r="N71" i="4"/>
  <c r="Z70" i="4"/>
  <c r="T70" i="4"/>
  <c r="N70" i="4"/>
  <c r="Z69" i="4"/>
  <c r="T69" i="4"/>
  <c r="N69" i="4"/>
  <c r="AA69" i="4" s="1"/>
  <c r="Z68" i="4"/>
  <c r="T68" i="4"/>
  <c r="N68" i="4"/>
  <c r="AA68" i="4" s="1"/>
  <c r="AA67" i="4"/>
  <c r="Z67" i="4"/>
  <c r="T67" i="4"/>
  <c r="N67" i="4"/>
  <c r="Z66" i="4"/>
  <c r="AA66" i="4" s="1"/>
  <c r="T66" i="4"/>
  <c r="N66" i="4"/>
  <c r="Z65" i="4"/>
  <c r="T65" i="4"/>
  <c r="N65" i="4"/>
  <c r="AA65" i="4" s="1"/>
  <c r="AA64" i="4"/>
  <c r="Z64" i="4"/>
  <c r="T64" i="4"/>
  <c r="N64" i="4"/>
  <c r="Z63" i="4"/>
  <c r="T63" i="4"/>
  <c r="N63" i="4"/>
  <c r="AA63" i="4" s="1"/>
  <c r="Z62" i="4"/>
  <c r="T62" i="4"/>
  <c r="AA62" i="4" s="1"/>
  <c r="N62" i="4"/>
  <c r="AA61" i="4"/>
  <c r="Z61" i="4"/>
  <c r="T61" i="4"/>
  <c r="N61" i="4"/>
  <c r="Z60" i="4"/>
  <c r="T60" i="4"/>
  <c r="N60" i="4"/>
  <c r="AA60" i="4" s="1"/>
  <c r="AA59" i="4"/>
  <c r="Z59" i="4"/>
  <c r="T59" i="4"/>
  <c r="N59" i="4"/>
  <c r="Z58" i="4"/>
  <c r="T58" i="4"/>
  <c r="N58" i="4"/>
  <c r="AA58" i="4" s="1"/>
  <c r="Z57" i="4"/>
  <c r="T57" i="4"/>
  <c r="AA57" i="4" s="1"/>
  <c r="N57" i="4"/>
  <c r="AA56" i="4"/>
  <c r="Z56" i="4"/>
  <c r="T56" i="4"/>
  <c r="N56" i="4"/>
  <c r="Z55" i="4"/>
  <c r="T55" i="4"/>
  <c r="N55" i="4"/>
  <c r="AA55" i="4" s="1"/>
  <c r="Z54" i="4"/>
  <c r="T54" i="4"/>
  <c r="N54" i="4"/>
  <c r="AA54" i="4" s="1"/>
  <c r="Z53" i="4"/>
  <c r="T53" i="4"/>
  <c r="N53" i="4"/>
  <c r="AA53" i="4" s="1"/>
  <c r="Z52" i="4"/>
  <c r="T52" i="4"/>
  <c r="AA52" i="4" s="1"/>
  <c r="N52" i="4"/>
  <c r="AA51" i="4"/>
  <c r="Z51" i="4"/>
  <c r="T51" i="4"/>
  <c r="N51" i="4"/>
  <c r="Z50" i="4"/>
  <c r="T50" i="4"/>
  <c r="N50" i="4"/>
  <c r="Z49" i="4"/>
  <c r="T49" i="4"/>
  <c r="N49" i="4"/>
  <c r="AA49" i="4" s="1"/>
  <c r="Z48" i="4"/>
  <c r="T48" i="4"/>
  <c r="N48" i="4"/>
  <c r="AA48" i="4" s="1"/>
  <c r="AA47" i="4"/>
  <c r="Z47" i="4"/>
  <c r="T47" i="4"/>
  <c r="N47" i="4"/>
  <c r="AA46" i="4"/>
  <c r="Z46" i="4"/>
  <c r="T46" i="4"/>
  <c r="N46" i="4"/>
  <c r="Z45" i="4"/>
  <c r="T45" i="4"/>
  <c r="N45" i="4"/>
  <c r="Z44" i="4"/>
  <c r="T44" i="4"/>
  <c r="N44" i="4"/>
  <c r="AA44" i="4" s="1"/>
  <c r="Z43" i="4"/>
  <c r="T43" i="4"/>
  <c r="N43" i="4"/>
  <c r="AA43" i="4" s="1"/>
  <c r="AA42" i="4"/>
  <c r="Z42" i="4"/>
  <c r="T42" i="4"/>
  <c r="N42" i="4"/>
  <c r="Z41" i="4"/>
  <c r="AA41" i="4" s="1"/>
  <c r="T41" i="4"/>
  <c r="N41" i="4"/>
  <c r="Z40" i="4"/>
  <c r="T40" i="4"/>
  <c r="N40" i="4"/>
  <c r="AA40" i="4" s="1"/>
  <c r="AA39" i="4"/>
  <c r="Z39" i="4"/>
  <c r="T39" i="4"/>
  <c r="N39" i="4"/>
  <c r="Z38" i="4"/>
  <c r="T38" i="4"/>
  <c r="N38" i="4"/>
  <c r="AA38" i="4" s="1"/>
  <c r="Z37" i="4"/>
  <c r="T37" i="4"/>
  <c r="AA37" i="4" s="1"/>
  <c r="N37" i="4"/>
  <c r="AA36" i="4"/>
  <c r="Z36" i="4"/>
  <c r="T36" i="4"/>
  <c r="N36" i="4"/>
  <c r="Z35" i="4"/>
  <c r="T35" i="4"/>
  <c r="N35" i="4"/>
  <c r="AA35" i="4" s="1"/>
  <c r="AA34" i="4"/>
  <c r="Z34" i="4"/>
  <c r="T34" i="4"/>
  <c r="N34" i="4"/>
  <c r="Z33" i="4"/>
  <c r="T33" i="4"/>
  <c r="N33" i="4"/>
  <c r="AA33" i="4" s="1"/>
  <c r="Z32" i="4"/>
  <c r="T32" i="4"/>
  <c r="AA32" i="4" s="1"/>
  <c r="N32" i="4"/>
  <c r="AA31" i="4"/>
  <c r="Z31" i="4"/>
  <c r="T31" i="4"/>
  <c r="N31" i="4"/>
  <c r="Z30" i="4"/>
  <c r="T30" i="4"/>
  <c r="N30" i="4"/>
  <c r="AA30" i="4" s="1"/>
  <c r="Z29" i="4"/>
  <c r="T29" i="4"/>
  <c r="N29" i="4"/>
  <c r="AA29" i="4" s="1"/>
  <c r="Z28" i="4"/>
  <c r="T28" i="4"/>
  <c r="N28" i="4"/>
  <c r="AA28" i="4" s="1"/>
  <c r="Z27" i="4"/>
  <c r="T27" i="4"/>
  <c r="AA27" i="4" s="1"/>
  <c r="N27" i="4"/>
  <c r="AA26" i="4"/>
  <c r="Z26" i="4"/>
  <c r="T26" i="4"/>
  <c r="N26" i="4"/>
  <c r="Z25" i="4"/>
  <c r="T25" i="4"/>
  <c r="N25" i="4"/>
  <c r="Z24" i="4"/>
  <c r="T24" i="4"/>
  <c r="N24" i="4"/>
  <c r="AA24" i="4" s="1"/>
  <c r="Z23" i="4"/>
  <c r="T23" i="4"/>
  <c r="N23" i="4"/>
  <c r="AA23" i="4" s="1"/>
  <c r="AA22" i="4"/>
  <c r="Z22" i="4"/>
  <c r="T22" i="4"/>
  <c r="N22" i="4"/>
  <c r="AA21" i="4"/>
  <c r="Z21" i="4"/>
  <c r="T21" i="4"/>
  <c r="N21" i="4"/>
  <c r="Z20" i="4"/>
  <c r="T20" i="4"/>
  <c r="N20" i="4"/>
  <c r="Z19" i="4"/>
  <c r="T19" i="4"/>
  <c r="N19" i="4"/>
  <c r="AA19" i="4" s="1"/>
  <c r="Z18" i="4"/>
  <c r="T18" i="4"/>
  <c r="N18" i="4"/>
  <c r="AA18" i="4" s="1"/>
  <c r="AA17" i="4"/>
  <c r="Z17" i="4"/>
  <c r="T17" i="4"/>
  <c r="N17" i="4"/>
  <c r="Z16" i="4"/>
  <c r="AA16" i="4" s="1"/>
  <c r="T16" i="4"/>
  <c r="N16" i="4"/>
  <c r="Z15" i="4"/>
  <c r="T15" i="4"/>
  <c r="N15" i="4"/>
  <c r="AA15" i="4" s="1"/>
  <c r="AA14" i="4"/>
  <c r="Z14" i="4"/>
  <c r="T14" i="4"/>
  <c r="N14" i="4"/>
  <c r="Z13" i="4"/>
  <c r="T13" i="4"/>
  <c r="N13" i="4"/>
  <c r="AA13" i="4" s="1"/>
  <c r="Z12" i="4"/>
  <c r="T12" i="4"/>
  <c r="AA12" i="4" s="1"/>
  <c r="N12" i="4"/>
  <c r="AA11" i="4"/>
  <c r="Z11" i="4"/>
  <c r="T11" i="4"/>
  <c r="N11" i="4"/>
  <c r="Z10" i="4"/>
  <c r="T10" i="4"/>
  <c r="N10" i="4"/>
  <c r="AA10" i="4" s="1"/>
  <c r="AA9" i="4"/>
  <c r="Z9" i="4"/>
  <c r="T9" i="4"/>
  <c r="N9" i="4"/>
  <c r="AC8" i="4"/>
  <c r="Z8" i="4"/>
  <c r="T8" i="4"/>
  <c r="N8" i="4"/>
  <c r="A8" i="4"/>
  <c r="AC7" i="4"/>
  <c r="Z7" i="4"/>
  <c r="T7" i="4"/>
  <c r="N7" i="4"/>
  <c r="AB7" i="4" s="1"/>
  <c r="A7" i="4"/>
  <c r="AC6" i="4"/>
  <c r="Z6" i="4"/>
  <c r="AB6" i="4" s="1"/>
  <c r="T6" i="4"/>
  <c r="N6" i="4"/>
  <c r="A6" i="4"/>
  <c r="AC5" i="4"/>
  <c r="Z5" i="4"/>
  <c r="T5" i="4"/>
  <c r="N5" i="4"/>
  <c r="A5" i="4"/>
  <c r="AC4" i="4"/>
  <c r="Z4" i="4"/>
  <c r="T4" i="4"/>
  <c r="N4" i="4"/>
  <c r="AB4" i="4" s="1"/>
  <c r="A4" i="4"/>
  <c r="AC3" i="4"/>
  <c r="AB3" i="4"/>
  <c r="Z3" i="4"/>
  <c r="T3" i="4"/>
  <c r="N3" i="4"/>
  <c r="A3" i="4"/>
  <c r="AC2" i="4"/>
  <c r="Z2" i="4"/>
  <c r="T2" i="4"/>
  <c r="N2" i="4"/>
  <c r="A2" i="4"/>
  <c r="I1000" i="3"/>
  <c r="C1000" i="3"/>
  <c r="A1000" i="3"/>
  <c r="I999" i="3"/>
  <c r="C999" i="3"/>
  <c r="A999" i="3"/>
  <c r="I998" i="3"/>
  <c r="C998" i="3"/>
  <c r="A998" i="3"/>
  <c r="I997" i="3"/>
  <c r="C997" i="3"/>
  <c r="A997" i="3"/>
  <c r="I996" i="3"/>
  <c r="C996" i="3"/>
  <c r="A996" i="3"/>
  <c r="I995" i="3"/>
  <c r="C995" i="3"/>
  <c r="A995" i="3"/>
  <c r="I994" i="3"/>
  <c r="C994" i="3"/>
  <c r="A994" i="3"/>
  <c r="I993" i="3"/>
  <c r="C993" i="3"/>
  <c r="A993" i="3"/>
  <c r="I992" i="3"/>
  <c r="C992" i="3"/>
  <c r="A992" i="3"/>
  <c r="I991" i="3"/>
  <c r="C991" i="3"/>
  <c r="A991" i="3"/>
  <c r="I990" i="3"/>
  <c r="C990" i="3"/>
  <c r="A990" i="3"/>
  <c r="I989" i="3"/>
  <c r="C989" i="3"/>
  <c r="A989" i="3"/>
  <c r="I988" i="3"/>
  <c r="C988" i="3"/>
  <c r="A988" i="3"/>
  <c r="I987" i="3"/>
  <c r="C987" i="3"/>
  <c r="A987" i="3"/>
  <c r="I986" i="3"/>
  <c r="C986" i="3"/>
  <c r="A986" i="3"/>
  <c r="I985" i="3"/>
  <c r="C985" i="3"/>
  <c r="A985" i="3"/>
  <c r="I984" i="3"/>
  <c r="C984" i="3"/>
  <c r="A984" i="3"/>
  <c r="I983" i="3"/>
  <c r="C983" i="3"/>
  <c r="A983" i="3"/>
  <c r="I982" i="3"/>
  <c r="C982" i="3"/>
  <c r="A982" i="3"/>
  <c r="I981" i="3"/>
  <c r="C981" i="3"/>
  <c r="A981" i="3"/>
  <c r="I980" i="3"/>
  <c r="C980" i="3"/>
  <c r="A980" i="3"/>
  <c r="I979" i="3"/>
  <c r="C979" i="3"/>
  <c r="A979" i="3"/>
  <c r="I978" i="3"/>
  <c r="C978" i="3"/>
  <c r="A978" i="3"/>
  <c r="I977" i="3"/>
  <c r="C977" i="3"/>
  <c r="A977" i="3"/>
  <c r="I976" i="3"/>
  <c r="C976" i="3"/>
  <c r="A976" i="3"/>
  <c r="I975" i="3"/>
  <c r="C975" i="3"/>
  <c r="A975" i="3"/>
  <c r="I974" i="3"/>
  <c r="C974" i="3"/>
  <c r="A974" i="3"/>
  <c r="I973" i="3"/>
  <c r="C973" i="3"/>
  <c r="A973" i="3"/>
  <c r="I972" i="3"/>
  <c r="C972" i="3"/>
  <c r="A972" i="3"/>
  <c r="I971" i="3"/>
  <c r="C971" i="3"/>
  <c r="A971" i="3"/>
  <c r="I970" i="3"/>
  <c r="C970" i="3"/>
  <c r="A970" i="3"/>
  <c r="I969" i="3"/>
  <c r="C969" i="3"/>
  <c r="A969" i="3"/>
  <c r="I968" i="3"/>
  <c r="C968" i="3"/>
  <c r="A968" i="3"/>
  <c r="I967" i="3"/>
  <c r="C967" i="3"/>
  <c r="A967" i="3"/>
  <c r="I966" i="3"/>
  <c r="C966" i="3"/>
  <c r="A966" i="3"/>
  <c r="I965" i="3"/>
  <c r="C965" i="3"/>
  <c r="A965" i="3"/>
  <c r="I964" i="3"/>
  <c r="C964" i="3"/>
  <c r="A964" i="3"/>
  <c r="I963" i="3"/>
  <c r="C963" i="3"/>
  <c r="A963" i="3"/>
  <c r="I962" i="3"/>
  <c r="C962" i="3"/>
  <c r="A962" i="3"/>
  <c r="I961" i="3"/>
  <c r="C961" i="3"/>
  <c r="A961" i="3"/>
  <c r="I960" i="3"/>
  <c r="C960" i="3"/>
  <c r="A960" i="3"/>
  <c r="I959" i="3"/>
  <c r="C959" i="3"/>
  <c r="A959" i="3"/>
  <c r="I958" i="3"/>
  <c r="C958" i="3"/>
  <c r="A958" i="3"/>
  <c r="I957" i="3"/>
  <c r="C957" i="3"/>
  <c r="A957" i="3"/>
  <c r="I956" i="3"/>
  <c r="C956" i="3"/>
  <c r="A956" i="3"/>
  <c r="I955" i="3"/>
  <c r="C955" i="3"/>
  <c r="A955" i="3"/>
  <c r="I954" i="3"/>
  <c r="C954" i="3"/>
  <c r="A954" i="3"/>
  <c r="I953" i="3"/>
  <c r="C953" i="3"/>
  <c r="A953" i="3"/>
  <c r="I952" i="3"/>
  <c r="C952" i="3"/>
  <c r="A952" i="3"/>
  <c r="I951" i="3"/>
  <c r="C951" i="3"/>
  <c r="A951" i="3"/>
  <c r="I950" i="3"/>
  <c r="C950" i="3"/>
  <c r="A950" i="3"/>
  <c r="I949" i="3"/>
  <c r="C949" i="3"/>
  <c r="A949" i="3"/>
  <c r="I948" i="3"/>
  <c r="C948" i="3"/>
  <c r="A948" i="3"/>
  <c r="I947" i="3"/>
  <c r="C947" i="3"/>
  <c r="A947" i="3"/>
  <c r="I946" i="3"/>
  <c r="C946" i="3"/>
  <c r="A946" i="3"/>
  <c r="I945" i="3"/>
  <c r="C945" i="3"/>
  <c r="A945" i="3"/>
  <c r="I944" i="3"/>
  <c r="C944" i="3"/>
  <c r="A944" i="3"/>
  <c r="I943" i="3"/>
  <c r="C943" i="3"/>
  <c r="A943" i="3"/>
  <c r="I942" i="3"/>
  <c r="C942" i="3"/>
  <c r="A942" i="3"/>
  <c r="I941" i="3"/>
  <c r="C941" i="3"/>
  <c r="A941" i="3"/>
  <c r="I940" i="3"/>
  <c r="C940" i="3"/>
  <c r="A940" i="3"/>
  <c r="I939" i="3"/>
  <c r="C939" i="3"/>
  <c r="A939" i="3"/>
  <c r="I938" i="3"/>
  <c r="C938" i="3"/>
  <c r="A938" i="3"/>
  <c r="I937" i="3"/>
  <c r="C937" i="3"/>
  <c r="A937" i="3"/>
  <c r="I936" i="3"/>
  <c r="C936" i="3"/>
  <c r="A936" i="3"/>
  <c r="I935" i="3"/>
  <c r="C935" i="3"/>
  <c r="A935" i="3"/>
  <c r="I934" i="3"/>
  <c r="C934" i="3"/>
  <c r="A934" i="3"/>
  <c r="I933" i="3"/>
  <c r="C933" i="3"/>
  <c r="A933" i="3"/>
  <c r="I932" i="3"/>
  <c r="C932" i="3"/>
  <c r="A932" i="3"/>
  <c r="I931" i="3"/>
  <c r="C931" i="3"/>
  <c r="A931" i="3"/>
  <c r="I930" i="3"/>
  <c r="C930" i="3"/>
  <c r="A930" i="3"/>
  <c r="I929" i="3"/>
  <c r="C929" i="3"/>
  <c r="A929" i="3"/>
  <c r="I928" i="3"/>
  <c r="C928" i="3"/>
  <c r="A928" i="3"/>
  <c r="I927" i="3"/>
  <c r="C927" i="3"/>
  <c r="A927" i="3"/>
  <c r="I926" i="3"/>
  <c r="C926" i="3"/>
  <c r="A926" i="3"/>
  <c r="I925" i="3"/>
  <c r="C925" i="3"/>
  <c r="A925" i="3"/>
  <c r="I924" i="3"/>
  <c r="C924" i="3"/>
  <c r="A924" i="3"/>
  <c r="I923" i="3"/>
  <c r="C923" i="3"/>
  <c r="A923" i="3"/>
  <c r="I922" i="3"/>
  <c r="C922" i="3"/>
  <c r="A922" i="3"/>
  <c r="I921" i="3"/>
  <c r="C921" i="3"/>
  <c r="A921" i="3"/>
  <c r="I920" i="3"/>
  <c r="C920" i="3"/>
  <c r="A920" i="3"/>
  <c r="I919" i="3"/>
  <c r="C919" i="3"/>
  <c r="A919" i="3"/>
  <c r="I918" i="3"/>
  <c r="C918" i="3"/>
  <c r="A918" i="3"/>
  <c r="I917" i="3"/>
  <c r="C917" i="3"/>
  <c r="A917" i="3"/>
  <c r="I916" i="3"/>
  <c r="C916" i="3"/>
  <c r="A916" i="3"/>
  <c r="I915" i="3"/>
  <c r="C915" i="3"/>
  <c r="A915" i="3"/>
  <c r="I914" i="3"/>
  <c r="C914" i="3"/>
  <c r="A914" i="3"/>
  <c r="I913" i="3"/>
  <c r="C913" i="3"/>
  <c r="A913" i="3"/>
  <c r="I912" i="3"/>
  <c r="C912" i="3"/>
  <c r="A912" i="3"/>
  <c r="I911" i="3"/>
  <c r="C911" i="3"/>
  <c r="A911" i="3"/>
  <c r="I910" i="3"/>
  <c r="C910" i="3"/>
  <c r="A910" i="3"/>
  <c r="I909" i="3"/>
  <c r="C909" i="3"/>
  <c r="A909" i="3"/>
  <c r="I908" i="3"/>
  <c r="C908" i="3"/>
  <c r="A908" i="3"/>
  <c r="I907" i="3"/>
  <c r="C907" i="3"/>
  <c r="A907" i="3"/>
  <c r="I906" i="3"/>
  <c r="C906" i="3"/>
  <c r="A906" i="3"/>
  <c r="I905" i="3"/>
  <c r="C905" i="3"/>
  <c r="A905" i="3"/>
  <c r="I904" i="3"/>
  <c r="C904" i="3"/>
  <c r="A904" i="3"/>
  <c r="I903" i="3"/>
  <c r="C903" i="3"/>
  <c r="A903" i="3"/>
  <c r="I902" i="3"/>
  <c r="C902" i="3"/>
  <c r="A902" i="3"/>
  <c r="I901" i="3"/>
  <c r="C901" i="3"/>
  <c r="A901" i="3"/>
  <c r="I900" i="3"/>
  <c r="C900" i="3"/>
  <c r="A900" i="3"/>
  <c r="I899" i="3"/>
  <c r="C899" i="3"/>
  <c r="A899" i="3"/>
  <c r="I898" i="3"/>
  <c r="C898" i="3"/>
  <c r="A898" i="3"/>
  <c r="I897" i="3"/>
  <c r="C897" i="3"/>
  <c r="A897" i="3"/>
  <c r="I896" i="3"/>
  <c r="C896" i="3"/>
  <c r="A896" i="3"/>
  <c r="I895" i="3"/>
  <c r="C895" i="3"/>
  <c r="A895" i="3"/>
  <c r="I894" i="3"/>
  <c r="C894" i="3"/>
  <c r="A894" i="3"/>
  <c r="I893" i="3"/>
  <c r="C893" i="3"/>
  <c r="A893" i="3"/>
  <c r="I892" i="3"/>
  <c r="C892" i="3"/>
  <c r="A892" i="3"/>
  <c r="I891" i="3"/>
  <c r="C891" i="3"/>
  <c r="A891" i="3"/>
  <c r="I890" i="3"/>
  <c r="C890" i="3"/>
  <c r="A890" i="3"/>
  <c r="I889" i="3"/>
  <c r="C889" i="3"/>
  <c r="A889" i="3"/>
  <c r="I888" i="3"/>
  <c r="C888" i="3"/>
  <c r="A888" i="3"/>
  <c r="I887" i="3"/>
  <c r="C887" i="3"/>
  <c r="A887" i="3"/>
  <c r="I886" i="3"/>
  <c r="C886" i="3"/>
  <c r="A886" i="3"/>
  <c r="I885" i="3"/>
  <c r="C885" i="3"/>
  <c r="A885" i="3"/>
  <c r="I884" i="3"/>
  <c r="C884" i="3"/>
  <c r="A884" i="3"/>
  <c r="I883" i="3"/>
  <c r="C883" i="3"/>
  <c r="A883" i="3"/>
  <c r="I882" i="3"/>
  <c r="C882" i="3"/>
  <c r="A882" i="3"/>
  <c r="I881" i="3"/>
  <c r="C881" i="3"/>
  <c r="A881" i="3"/>
  <c r="I880" i="3"/>
  <c r="C880" i="3"/>
  <c r="A880" i="3"/>
  <c r="I879" i="3"/>
  <c r="C879" i="3"/>
  <c r="A879" i="3"/>
  <c r="I878" i="3"/>
  <c r="C878" i="3"/>
  <c r="A878" i="3"/>
  <c r="I877" i="3"/>
  <c r="C877" i="3"/>
  <c r="A877" i="3"/>
  <c r="I876" i="3"/>
  <c r="C876" i="3"/>
  <c r="A876" i="3"/>
  <c r="I875" i="3"/>
  <c r="C875" i="3"/>
  <c r="A875" i="3"/>
  <c r="I874" i="3"/>
  <c r="C874" i="3"/>
  <c r="A874" i="3"/>
  <c r="I873" i="3"/>
  <c r="C873" i="3"/>
  <c r="A873" i="3"/>
  <c r="I872" i="3"/>
  <c r="C872" i="3"/>
  <c r="A872" i="3"/>
  <c r="I871" i="3"/>
  <c r="C871" i="3"/>
  <c r="A871" i="3"/>
  <c r="I870" i="3"/>
  <c r="C870" i="3"/>
  <c r="A870" i="3"/>
  <c r="I869" i="3"/>
  <c r="C869" i="3"/>
  <c r="A869" i="3"/>
  <c r="I868" i="3"/>
  <c r="C868" i="3"/>
  <c r="A868" i="3"/>
  <c r="I867" i="3"/>
  <c r="C867" i="3"/>
  <c r="A867" i="3"/>
  <c r="I866" i="3"/>
  <c r="C866" i="3"/>
  <c r="A866" i="3"/>
  <c r="I865" i="3"/>
  <c r="C865" i="3"/>
  <c r="A865" i="3"/>
  <c r="I864" i="3"/>
  <c r="C864" i="3"/>
  <c r="A864" i="3"/>
  <c r="I863" i="3"/>
  <c r="C863" i="3"/>
  <c r="A863" i="3"/>
  <c r="I862" i="3"/>
  <c r="C862" i="3"/>
  <c r="A862" i="3"/>
  <c r="I861" i="3"/>
  <c r="C861" i="3"/>
  <c r="A861" i="3"/>
  <c r="I860" i="3"/>
  <c r="C860" i="3"/>
  <c r="A860" i="3"/>
  <c r="I859" i="3"/>
  <c r="C859" i="3"/>
  <c r="A859" i="3"/>
  <c r="I858" i="3"/>
  <c r="C858" i="3"/>
  <c r="A858" i="3"/>
  <c r="I857" i="3"/>
  <c r="C857" i="3"/>
  <c r="A857" i="3"/>
  <c r="I856" i="3"/>
  <c r="C856" i="3"/>
  <c r="A856" i="3"/>
  <c r="I855" i="3"/>
  <c r="C855" i="3"/>
  <c r="A855" i="3"/>
  <c r="I854" i="3"/>
  <c r="C854" i="3"/>
  <c r="A854" i="3"/>
  <c r="I853" i="3"/>
  <c r="C853" i="3"/>
  <c r="A853" i="3"/>
  <c r="I852" i="3"/>
  <c r="C852" i="3"/>
  <c r="A852" i="3"/>
  <c r="I851" i="3"/>
  <c r="C851" i="3"/>
  <c r="A851" i="3"/>
  <c r="I850" i="3"/>
  <c r="C850" i="3"/>
  <c r="A850" i="3"/>
  <c r="I849" i="3"/>
  <c r="C849" i="3"/>
  <c r="A849" i="3"/>
  <c r="I848" i="3"/>
  <c r="C848" i="3"/>
  <c r="A848" i="3"/>
  <c r="I847" i="3"/>
  <c r="C847" i="3"/>
  <c r="A847" i="3"/>
  <c r="I846" i="3"/>
  <c r="C846" i="3"/>
  <c r="A846" i="3"/>
  <c r="I845" i="3"/>
  <c r="C845" i="3"/>
  <c r="A845" i="3"/>
  <c r="I844" i="3"/>
  <c r="C844" i="3"/>
  <c r="A844" i="3"/>
  <c r="I843" i="3"/>
  <c r="C843" i="3"/>
  <c r="A843" i="3"/>
  <c r="I842" i="3"/>
  <c r="C842" i="3"/>
  <c r="A842" i="3"/>
  <c r="I841" i="3"/>
  <c r="C841" i="3"/>
  <c r="A841" i="3"/>
  <c r="I840" i="3"/>
  <c r="C840" i="3"/>
  <c r="A840" i="3"/>
  <c r="I839" i="3"/>
  <c r="C839" i="3"/>
  <c r="A839" i="3"/>
  <c r="I838" i="3"/>
  <c r="C838" i="3"/>
  <c r="A838" i="3"/>
  <c r="I837" i="3"/>
  <c r="C837" i="3"/>
  <c r="A837" i="3"/>
  <c r="I836" i="3"/>
  <c r="C836" i="3"/>
  <c r="A836" i="3"/>
  <c r="I835" i="3"/>
  <c r="C835" i="3"/>
  <c r="A835" i="3"/>
  <c r="I834" i="3"/>
  <c r="C834" i="3"/>
  <c r="A834" i="3"/>
  <c r="I833" i="3"/>
  <c r="C833" i="3"/>
  <c r="A833" i="3"/>
  <c r="I832" i="3"/>
  <c r="C832" i="3"/>
  <c r="A832" i="3"/>
  <c r="I831" i="3"/>
  <c r="C831" i="3"/>
  <c r="A831" i="3"/>
  <c r="I830" i="3"/>
  <c r="C830" i="3"/>
  <c r="A830" i="3"/>
  <c r="I829" i="3"/>
  <c r="C829" i="3"/>
  <c r="A829" i="3"/>
  <c r="I828" i="3"/>
  <c r="C828" i="3"/>
  <c r="A828" i="3"/>
  <c r="I827" i="3"/>
  <c r="C827" i="3"/>
  <c r="A827" i="3"/>
  <c r="I826" i="3"/>
  <c r="C826" i="3"/>
  <c r="A826" i="3"/>
  <c r="I825" i="3"/>
  <c r="C825" i="3"/>
  <c r="A825" i="3"/>
  <c r="I824" i="3"/>
  <c r="C824" i="3"/>
  <c r="A824" i="3"/>
  <c r="I823" i="3"/>
  <c r="C823" i="3"/>
  <c r="A823" i="3"/>
  <c r="I822" i="3"/>
  <c r="C822" i="3"/>
  <c r="A822" i="3"/>
  <c r="I821" i="3"/>
  <c r="C821" i="3"/>
  <c r="A821" i="3"/>
  <c r="I820" i="3"/>
  <c r="C820" i="3"/>
  <c r="A820" i="3"/>
  <c r="I819" i="3"/>
  <c r="C819" i="3"/>
  <c r="A819" i="3"/>
  <c r="I818" i="3"/>
  <c r="C818" i="3"/>
  <c r="A818" i="3"/>
  <c r="I817" i="3"/>
  <c r="C817" i="3"/>
  <c r="A817" i="3"/>
  <c r="I816" i="3"/>
  <c r="C816" i="3"/>
  <c r="A816" i="3"/>
  <c r="I815" i="3"/>
  <c r="C815" i="3"/>
  <c r="A815" i="3"/>
  <c r="I814" i="3"/>
  <c r="C814" i="3"/>
  <c r="A814" i="3"/>
  <c r="I813" i="3"/>
  <c r="C813" i="3"/>
  <c r="A813" i="3"/>
  <c r="I812" i="3"/>
  <c r="C812" i="3"/>
  <c r="A812" i="3"/>
  <c r="I811" i="3"/>
  <c r="C811" i="3"/>
  <c r="A811" i="3"/>
  <c r="I810" i="3"/>
  <c r="C810" i="3"/>
  <c r="A810" i="3"/>
  <c r="I809" i="3"/>
  <c r="C809" i="3"/>
  <c r="A809" i="3"/>
  <c r="I808" i="3"/>
  <c r="C808" i="3"/>
  <c r="A808" i="3"/>
  <c r="I807" i="3"/>
  <c r="C807" i="3"/>
  <c r="A807" i="3"/>
  <c r="I806" i="3"/>
  <c r="C806" i="3"/>
  <c r="A806" i="3"/>
  <c r="I805" i="3"/>
  <c r="C805" i="3"/>
  <c r="A805" i="3"/>
  <c r="I804" i="3"/>
  <c r="C804" i="3"/>
  <c r="A804" i="3"/>
  <c r="I803" i="3"/>
  <c r="C803" i="3"/>
  <c r="A803" i="3"/>
  <c r="I802" i="3"/>
  <c r="C802" i="3"/>
  <c r="A802" i="3"/>
  <c r="I801" i="3"/>
  <c r="C801" i="3"/>
  <c r="A801" i="3"/>
  <c r="I800" i="3"/>
  <c r="C800" i="3"/>
  <c r="A800" i="3"/>
  <c r="I799" i="3"/>
  <c r="C799" i="3"/>
  <c r="A799" i="3"/>
  <c r="I798" i="3"/>
  <c r="C798" i="3"/>
  <c r="A798" i="3"/>
  <c r="I797" i="3"/>
  <c r="C797" i="3"/>
  <c r="A797" i="3"/>
  <c r="I796" i="3"/>
  <c r="C796" i="3"/>
  <c r="A796" i="3"/>
  <c r="I795" i="3"/>
  <c r="C795" i="3"/>
  <c r="A795" i="3"/>
  <c r="I794" i="3"/>
  <c r="C794" i="3"/>
  <c r="A794" i="3"/>
  <c r="I793" i="3"/>
  <c r="C793" i="3"/>
  <c r="A793" i="3"/>
  <c r="I792" i="3"/>
  <c r="C792" i="3"/>
  <c r="A792" i="3"/>
  <c r="I791" i="3"/>
  <c r="C791" i="3"/>
  <c r="A791" i="3"/>
  <c r="I790" i="3"/>
  <c r="C790" i="3"/>
  <c r="A790" i="3"/>
  <c r="I789" i="3"/>
  <c r="C789" i="3"/>
  <c r="A789" i="3"/>
  <c r="I788" i="3"/>
  <c r="C788" i="3"/>
  <c r="A788" i="3"/>
  <c r="I787" i="3"/>
  <c r="C787" i="3"/>
  <c r="A787" i="3"/>
  <c r="I786" i="3"/>
  <c r="C786" i="3"/>
  <c r="A786" i="3"/>
  <c r="I785" i="3"/>
  <c r="C785" i="3"/>
  <c r="A785" i="3"/>
  <c r="I784" i="3"/>
  <c r="C784" i="3"/>
  <c r="A784" i="3"/>
  <c r="I783" i="3"/>
  <c r="C783" i="3"/>
  <c r="A783" i="3"/>
  <c r="I782" i="3"/>
  <c r="C782" i="3"/>
  <c r="A782" i="3"/>
  <c r="I781" i="3"/>
  <c r="C781" i="3"/>
  <c r="A781" i="3"/>
  <c r="I780" i="3"/>
  <c r="C780" i="3"/>
  <c r="A780" i="3"/>
  <c r="I779" i="3"/>
  <c r="C779" i="3"/>
  <c r="A779" i="3"/>
  <c r="I778" i="3"/>
  <c r="C778" i="3"/>
  <c r="A778" i="3"/>
  <c r="I777" i="3"/>
  <c r="C777" i="3"/>
  <c r="A777" i="3"/>
  <c r="I776" i="3"/>
  <c r="C776" i="3"/>
  <c r="A776" i="3"/>
  <c r="I775" i="3"/>
  <c r="C775" i="3"/>
  <c r="A775" i="3"/>
  <c r="I774" i="3"/>
  <c r="C774" i="3"/>
  <c r="A774" i="3"/>
  <c r="I773" i="3"/>
  <c r="C773" i="3"/>
  <c r="A773" i="3"/>
  <c r="I772" i="3"/>
  <c r="C772" i="3"/>
  <c r="A772" i="3"/>
  <c r="I771" i="3"/>
  <c r="C771" i="3"/>
  <c r="A771" i="3"/>
  <c r="I770" i="3"/>
  <c r="C770" i="3"/>
  <c r="A770" i="3"/>
  <c r="I769" i="3"/>
  <c r="C769" i="3"/>
  <c r="A769" i="3"/>
  <c r="I768" i="3"/>
  <c r="C768" i="3"/>
  <c r="A768" i="3"/>
  <c r="I767" i="3"/>
  <c r="C767" i="3"/>
  <c r="A767" i="3"/>
  <c r="I766" i="3"/>
  <c r="C766" i="3"/>
  <c r="A766" i="3"/>
  <c r="I765" i="3"/>
  <c r="C765" i="3"/>
  <c r="A765" i="3"/>
  <c r="I764" i="3"/>
  <c r="C764" i="3"/>
  <c r="A764" i="3"/>
  <c r="I763" i="3"/>
  <c r="C763" i="3"/>
  <c r="A763" i="3"/>
  <c r="I762" i="3"/>
  <c r="C762" i="3"/>
  <c r="A762" i="3"/>
  <c r="I761" i="3"/>
  <c r="C761" i="3"/>
  <c r="A761" i="3"/>
  <c r="I760" i="3"/>
  <c r="C760" i="3"/>
  <c r="A760" i="3"/>
  <c r="I759" i="3"/>
  <c r="C759" i="3"/>
  <c r="A759" i="3"/>
  <c r="I758" i="3"/>
  <c r="C758" i="3"/>
  <c r="A758" i="3"/>
  <c r="I757" i="3"/>
  <c r="C757" i="3"/>
  <c r="A757" i="3"/>
  <c r="I756" i="3"/>
  <c r="C756" i="3"/>
  <c r="A756" i="3"/>
  <c r="I755" i="3"/>
  <c r="C755" i="3"/>
  <c r="A755" i="3"/>
  <c r="I754" i="3"/>
  <c r="C754" i="3"/>
  <c r="A754" i="3"/>
  <c r="I753" i="3"/>
  <c r="C753" i="3"/>
  <c r="A753" i="3"/>
  <c r="I752" i="3"/>
  <c r="C752" i="3"/>
  <c r="A752" i="3"/>
  <c r="I751" i="3"/>
  <c r="C751" i="3"/>
  <c r="A751" i="3"/>
  <c r="I750" i="3"/>
  <c r="C750" i="3"/>
  <c r="A750" i="3"/>
  <c r="I749" i="3"/>
  <c r="C749" i="3"/>
  <c r="A749" i="3"/>
  <c r="I748" i="3"/>
  <c r="C748" i="3"/>
  <c r="A748" i="3"/>
  <c r="I747" i="3"/>
  <c r="C747" i="3"/>
  <c r="A747" i="3"/>
  <c r="I746" i="3"/>
  <c r="C746" i="3"/>
  <c r="A746" i="3"/>
  <c r="I745" i="3"/>
  <c r="C745" i="3"/>
  <c r="A745" i="3"/>
  <c r="I744" i="3"/>
  <c r="C744" i="3"/>
  <c r="A744" i="3"/>
  <c r="I743" i="3"/>
  <c r="C743" i="3"/>
  <c r="A743" i="3"/>
  <c r="I742" i="3"/>
  <c r="C742" i="3"/>
  <c r="A742" i="3"/>
  <c r="I741" i="3"/>
  <c r="C741" i="3"/>
  <c r="A741" i="3"/>
  <c r="I740" i="3"/>
  <c r="C740" i="3"/>
  <c r="A740" i="3"/>
  <c r="I739" i="3"/>
  <c r="C739" i="3"/>
  <c r="A739" i="3"/>
  <c r="I738" i="3"/>
  <c r="C738" i="3"/>
  <c r="A738" i="3"/>
  <c r="I737" i="3"/>
  <c r="C737" i="3"/>
  <c r="A737" i="3"/>
  <c r="I736" i="3"/>
  <c r="C736" i="3"/>
  <c r="A736" i="3"/>
  <c r="I735" i="3"/>
  <c r="C735" i="3"/>
  <c r="A735" i="3"/>
  <c r="I734" i="3"/>
  <c r="C734" i="3"/>
  <c r="A734" i="3"/>
  <c r="I733" i="3"/>
  <c r="C733" i="3"/>
  <c r="A733" i="3"/>
  <c r="I732" i="3"/>
  <c r="C732" i="3"/>
  <c r="A732" i="3"/>
  <c r="I731" i="3"/>
  <c r="C731" i="3"/>
  <c r="A731" i="3"/>
  <c r="I730" i="3"/>
  <c r="C730" i="3"/>
  <c r="A730" i="3"/>
  <c r="I729" i="3"/>
  <c r="C729" i="3"/>
  <c r="A729" i="3"/>
  <c r="I728" i="3"/>
  <c r="C728" i="3"/>
  <c r="A728" i="3"/>
  <c r="I727" i="3"/>
  <c r="C727" i="3"/>
  <c r="A727" i="3"/>
  <c r="I726" i="3"/>
  <c r="C726" i="3"/>
  <c r="A726" i="3"/>
  <c r="I725" i="3"/>
  <c r="C725" i="3"/>
  <c r="A725" i="3"/>
  <c r="I724" i="3"/>
  <c r="C724" i="3"/>
  <c r="A724" i="3"/>
  <c r="I723" i="3"/>
  <c r="C723" i="3"/>
  <c r="A723" i="3"/>
  <c r="I722" i="3"/>
  <c r="C722" i="3"/>
  <c r="A722" i="3"/>
  <c r="I721" i="3"/>
  <c r="C721" i="3"/>
  <c r="A721" i="3"/>
  <c r="I720" i="3"/>
  <c r="C720" i="3"/>
  <c r="A720" i="3"/>
  <c r="I719" i="3"/>
  <c r="C719" i="3"/>
  <c r="A719" i="3"/>
  <c r="I718" i="3"/>
  <c r="C718" i="3"/>
  <c r="A718" i="3"/>
  <c r="I717" i="3"/>
  <c r="C717" i="3"/>
  <c r="A717" i="3"/>
  <c r="I716" i="3"/>
  <c r="C716" i="3"/>
  <c r="A716" i="3"/>
  <c r="I715" i="3"/>
  <c r="C715" i="3"/>
  <c r="A715" i="3"/>
  <c r="I714" i="3"/>
  <c r="C714" i="3"/>
  <c r="A714" i="3"/>
  <c r="I713" i="3"/>
  <c r="C713" i="3"/>
  <c r="A713" i="3"/>
  <c r="I712" i="3"/>
  <c r="C712" i="3"/>
  <c r="A712" i="3"/>
  <c r="I711" i="3"/>
  <c r="C711" i="3"/>
  <c r="A711" i="3"/>
  <c r="I710" i="3"/>
  <c r="C710" i="3"/>
  <c r="A710" i="3"/>
  <c r="I709" i="3"/>
  <c r="C709" i="3"/>
  <c r="A709" i="3"/>
  <c r="I708" i="3"/>
  <c r="C708" i="3"/>
  <c r="A708" i="3"/>
  <c r="I707" i="3"/>
  <c r="C707" i="3"/>
  <c r="A707" i="3"/>
  <c r="I706" i="3"/>
  <c r="C706" i="3"/>
  <c r="A706" i="3"/>
  <c r="I705" i="3"/>
  <c r="C705" i="3"/>
  <c r="A705" i="3"/>
  <c r="I704" i="3"/>
  <c r="C704" i="3"/>
  <c r="A704" i="3"/>
  <c r="I703" i="3"/>
  <c r="C703" i="3"/>
  <c r="A703" i="3"/>
  <c r="I702" i="3"/>
  <c r="C702" i="3"/>
  <c r="A702" i="3"/>
  <c r="I701" i="3"/>
  <c r="C701" i="3"/>
  <c r="A701" i="3"/>
  <c r="I700" i="3"/>
  <c r="C700" i="3"/>
  <c r="A700" i="3"/>
  <c r="I699" i="3"/>
  <c r="C699" i="3"/>
  <c r="A699" i="3"/>
  <c r="I698" i="3"/>
  <c r="C698" i="3"/>
  <c r="A698" i="3"/>
  <c r="I697" i="3"/>
  <c r="C697" i="3"/>
  <c r="A697" i="3"/>
  <c r="I696" i="3"/>
  <c r="C696" i="3"/>
  <c r="A696" i="3"/>
  <c r="I695" i="3"/>
  <c r="C695" i="3"/>
  <c r="A695" i="3"/>
  <c r="I694" i="3"/>
  <c r="C694" i="3"/>
  <c r="A694" i="3"/>
  <c r="I693" i="3"/>
  <c r="C693" i="3"/>
  <c r="A693" i="3"/>
  <c r="I692" i="3"/>
  <c r="C692" i="3"/>
  <c r="A692" i="3"/>
  <c r="I691" i="3"/>
  <c r="C691" i="3"/>
  <c r="A691" i="3"/>
  <c r="I690" i="3"/>
  <c r="C690" i="3"/>
  <c r="A690" i="3"/>
  <c r="I689" i="3"/>
  <c r="C689" i="3"/>
  <c r="A689" i="3"/>
  <c r="I688" i="3"/>
  <c r="C688" i="3"/>
  <c r="A688" i="3"/>
  <c r="I687" i="3"/>
  <c r="C687" i="3"/>
  <c r="A687" i="3"/>
  <c r="I686" i="3"/>
  <c r="C686" i="3"/>
  <c r="A686" i="3"/>
  <c r="I685" i="3"/>
  <c r="C685" i="3"/>
  <c r="A685" i="3"/>
  <c r="I684" i="3"/>
  <c r="C684" i="3"/>
  <c r="A684" i="3"/>
  <c r="I683" i="3"/>
  <c r="C683" i="3"/>
  <c r="A683" i="3"/>
  <c r="I682" i="3"/>
  <c r="C682" i="3"/>
  <c r="A682" i="3"/>
  <c r="I681" i="3"/>
  <c r="C681" i="3"/>
  <c r="A681" i="3"/>
  <c r="I680" i="3"/>
  <c r="C680" i="3"/>
  <c r="A680" i="3"/>
  <c r="I679" i="3"/>
  <c r="C679" i="3"/>
  <c r="A679" i="3"/>
  <c r="I678" i="3"/>
  <c r="C678" i="3"/>
  <c r="A678" i="3"/>
  <c r="I677" i="3"/>
  <c r="C677" i="3"/>
  <c r="A677" i="3"/>
  <c r="I676" i="3"/>
  <c r="C676" i="3"/>
  <c r="A676" i="3"/>
  <c r="I675" i="3"/>
  <c r="C675" i="3"/>
  <c r="A675" i="3"/>
  <c r="I674" i="3"/>
  <c r="C674" i="3"/>
  <c r="A674" i="3"/>
  <c r="I673" i="3"/>
  <c r="C673" i="3"/>
  <c r="A673" i="3"/>
  <c r="I672" i="3"/>
  <c r="C672" i="3"/>
  <c r="A672" i="3"/>
  <c r="I671" i="3"/>
  <c r="C671" i="3"/>
  <c r="A671" i="3"/>
  <c r="I670" i="3"/>
  <c r="C670" i="3"/>
  <c r="A670" i="3"/>
  <c r="I669" i="3"/>
  <c r="C669" i="3"/>
  <c r="A669" i="3"/>
  <c r="I668" i="3"/>
  <c r="C668" i="3"/>
  <c r="A668" i="3"/>
  <c r="I667" i="3"/>
  <c r="C667" i="3"/>
  <c r="A667" i="3"/>
  <c r="I666" i="3"/>
  <c r="C666" i="3"/>
  <c r="A666" i="3"/>
  <c r="I665" i="3"/>
  <c r="C665" i="3"/>
  <c r="A665" i="3"/>
  <c r="I664" i="3"/>
  <c r="C664" i="3"/>
  <c r="A664" i="3"/>
  <c r="I663" i="3"/>
  <c r="C663" i="3"/>
  <c r="A663" i="3"/>
  <c r="I662" i="3"/>
  <c r="C662" i="3"/>
  <c r="A662" i="3"/>
  <c r="I661" i="3"/>
  <c r="C661" i="3"/>
  <c r="A661" i="3"/>
  <c r="I660" i="3"/>
  <c r="C660" i="3"/>
  <c r="A660" i="3"/>
  <c r="I659" i="3"/>
  <c r="C659" i="3"/>
  <c r="A659" i="3"/>
  <c r="I658" i="3"/>
  <c r="C658" i="3"/>
  <c r="A658" i="3"/>
  <c r="I657" i="3"/>
  <c r="C657" i="3"/>
  <c r="A657" i="3"/>
  <c r="I656" i="3"/>
  <c r="C656" i="3"/>
  <c r="A656" i="3"/>
  <c r="I655" i="3"/>
  <c r="C655" i="3"/>
  <c r="A655" i="3"/>
  <c r="I654" i="3"/>
  <c r="C654" i="3"/>
  <c r="A654" i="3"/>
  <c r="I653" i="3"/>
  <c r="C653" i="3"/>
  <c r="A653" i="3"/>
  <c r="I652" i="3"/>
  <c r="C652" i="3"/>
  <c r="A652" i="3"/>
  <c r="I651" i="3"/>
  <c r="C651" i="3"/>
  <c r="A651" i="3"/>
  <c r="I650" i="3"/>
  <c r="C650" i="3"/>
  <c r="A650" i="3"/>
  <c r="I649" i="3"/>
  <c r="C649" i="3"/>
  <c r="A649" i="3"/>
  <c r="I648" i="3"/>
  <c r="C648" i="3"/>
  <c r="A648" i="3"/>
  <c r="I647" i="3"/>
  <c r="C647" i="3"/>
  <c r="A647" i="3"/>
  <c r="I646" i="3"/>
  <c r="C646" i="3"/>
  <c r="A646" i="3"/>
  <c r="I645" i="3"/>
  <c r="C645" i="3"/>
  <c r="A645" i="3"/>
  <c r="I644" i="3"/>
  <c r="C644" i="3"/>
  <c r="A644" i="3"/>
  <c r="I643" i="3"/>
  <c r="C643" i="3"/>
  <c r="A643" i="3"/>
  <c r="I642" i="3"/>
  <c r="C642" i="3"/>
  <c r="A642" i="3"/>
  <c r="I641" i="3"/>
  <c r="C641" i="3"/>
  <c r="A641" i="3"/>
  <c r="I640" i="3"/>
  <c r="C640" i="3"/>
  <c r="A640" i="3"/>
  <c r="I639" i="3"/>
  <c r="C639" i="3"/>
  <c r="A639" i="3"/>
  <c r="I638" i="3"/>
  <c r="C638" i="3"/>
  <c r="A638" i="3"/>
  <c r="I637" i="3"/>
  <c r="C637" i="3"/>
  <c r="A637" i="3"/>
  <c r="I636" i="3"/>
  <c r="C636" i="3"/>
  <c r="A636" i="3"/>
  <c r="I635" i="3"/>
  <c r="C635" i="3"/>
  <c r="A635" i="3"/>
  <c r="I634" i="3"/>
  <c r="C634" i="3"/>
  <c r="A634" i="3"/>
  <c r="I633" i="3"/>
  <c r="C633" i="3"/>
  <c r="A633" i="3"/>
  <c r="I632" i="3"/>
  <c r="C632" i="3"/>
  <c r="A632" i="3"/>
  <c r="I631" i="3"/>
  <c r="C631" i="3"/>
  <c r="A631" i="3"/>
  <c r="I630" i="3"/>
  <c r="C630" i="3"/>
  <c r="A630" i="3"/>
  <c r="I629" i="3"/>
  <c r="C629" i="3"/>
  <c r="A629" i="3"/>
  <c r="I628" i="3"/>
  <c r="C628" i="3"/>
  <c r="A628" i="3"/>
  <c r="I627" i="3"/>
  <c r="C627" i="3"/>
  <c r="A627" i="3"/>
  <c r="I626" i="3"/>
  <c r="C626" i="3"/>
  <c r="A626" i="3"/>
  <c r="I625" i="3"/>
  <c r="C625" i="3"/>
  <c r="A625" i="3"/>
  <c r="I624" i="3"/>
  <c r="C624" i="3"/>
  <c r="A624" i="3"/>
  <c r="I623" i="3"/>
  <c r="C623" i="3"/>
  <c r="A623" i="3"/>
  <c r="I622" i="3"/>
  <c r="C622" i="3"/>
  <c r="A622" i="3"/>
  <c r="I621" i="3"/>
  <c r="C621" i="3"/>
  <c r="A621" i="3"/>
  <c r="I620" i="3"/>
  <c r="C620" i="3"/>
  <c r="A620" i="3"/>
  <c r="I619" i="3"/>
  <c r="C619" i="3"/>
  <c r="A619" i="3"/>
  <c r="I618" i="3"/>
  <c r="C618" i="3"/>
  <c r="A618" i="3"/>
  <c r="I617" i="3"/>
  <c r="C617" i="3"/>
  <c r="A617" i="3"/>
  <c r="I616" i="3"/>
  <c r="C616" i="3"/>
  <c r="A616" i="3"/>
  <c r="I615" i="3"/>
  <c r="C615" i="3"/>
  <c r="A615" i="3"/>
  <c r="I614" i="3"/>
  <c r="C614" i="3"/>
  <c r="A614" i="3"/>
  <c r="I613" i="3"/>
  <c r="C613" i="3"/>
  <c r="A613" i="3"/>
  <c r="I612" i="3"/>
  <c r="C612" i="3"/>
  <c r="A612" i="3"/>
  <c r="I611" i="3"/>
  <c r="C611" i="3"/>
  <c r="A611" i="3"/>
  <c r="I610" i="3"/>
  <c r="C610" i="3"/>
  <c r="A610" i="3"/>
  <c r="I609" i="3"/>
  <c r="C609" i="3"/>
  <c r="A609" i="3"/>
  <c r="I608" i="3"/>
  <c r="C608" i="3"/>
  <c r="A608" i="3"/>
  <c r="I607" i="3"/>
  <c r="C607" i="3"/>
  <c r="A607" i="3"/>
  <c r="I606" i="3"/>
  <c r="C606" i="3"/>
  <c r="A606" i="3"/>
  <c r="I605" i="3"/>
  <c r="C605" i="3"/>
  <c r="A605" i="3"/>
  <c r="I604" i="3"/>
  <c r="C604" i="3"/>
  <c r="A604" i="3"/>
  <c r="I603" i="3"/>
  <c r="C603" i="3"/>
  <c r="A603" i="3"/>
  <c r="I602" i="3"/>
  <c r="C602" i="3"/>
  <c r="A602" i="3"/>
  <c r="I601" i="3"/>
  <c r="C601" i="3"/>
  <c r="A601" i="3"/>
  <c r="I600" i="3"/>
  <c r="C600" i="3"/>
  <c r="A600" i="3"/>
  <c r="I599" i="3"/>
  <c r="C599" i="3"/>
  <c r="A599" i="3"/>
  <c r="I598" i="3"/>
  <c r="C598" i="3"/>
  <c r="A598" i="3"/>
  <c r="I597" i="3"/>
  <c r="C597" i="3"/>
  <c r="A597" i="3"/>
  <c r="I596" i="3"/>
  <c r="C596" i="3"/>
  <c r="A596" i="3"/>
  <c r="I595" i="3"/>
  <c r="C595" i="3"/>
  <c r="A595" i="3"/>
  <c r="I594" i="3"/>
  <c r="C594" i="3"/>
  <c r="A594" i="3"/>
  <c r="I593" i="3"/>
  <c r="C593" i="3"/>
  <c r="A593" i="3"/>
  <c r="I592" i="3"/>
  <c r="C592" i="3"/>
  <c r="A592" i="3"/>
  <c r="I591" i="3"/>
  <c r="C591" i="3"/>
  <c r="A591" i="3"/>
  <c r="I590" i="3"/>
  <c r="C590" i="3"/>
  <c r="A590" i="3"/>
  <c r="I589" i="3"/>
  <c r="C589" i="3"/>
  <c r="A589" i="3"/>
  <c r="I588" i="3"/>
  <c r="C588" i="3"/>
  <c r="A588" i="3"/>
  <c r="I587" i="3"/>
  <c r="C587" i="3"/>
  <c r="A587" i="3"/>
  <c r="I586" i="3"/>
  <c r="C586" i="3"/>
  <c r="A586" i="3"/>
  <c r="I585" i="3"/>
  <c r="C585" i="3"/>
  <c r="A585" i="3"/>
  <c r="I584" i="3"/>
  <c r="C584" i="3"/>
  <c r="A584" i="3"/>
  <c r="I583" i="3"/>
  <c r="C583" i="3"/>
  <c r="A583" i="3"/>
  <c r="I582" i="3"/>
  <c r="C582" i="3"/>
  <c r="A582" i="3"/>
  <c r="I581" i="3"/>
  <c r="C581" i="3"/>
  <c r="A581" i="3"/>
  <c r="I580" i="3"/>
  <c r="C580" i="3"/>
  <c r="A580" i="3"/>
  <c r="I579" i="3"/>
  <c r="C579" i="3"/>
  <c r="A579" i="3"/>
  <c r="I578" i="3"/>
  <c r="C578" i="3"/>
  <c r="A578" i="3"/>
  <c r="I577" i="3"/>
  <c r="C577" i="3"/>
  <c r="A577" i="3"/>
  <c r="I576" i="3"/>
  <c r="C576" i="3"/>
  <c r="A576" i="3"/>
  <c r="I575" i="3"/>
  <c r="C575" i="3"/>
  <c r="A575" i="3"/>
  <c r="I574" i="3"/>
  <c r="C574" i="3"/>
  <c r="A574" i="3"/>
  <c r="I573" i="3"/>
  <c r="C573" i="3"/>
  <c r="A573" i="3"/>
  <c r="I572" i="3"/>
  <c r="C572" i="3"/>
  <c r="A572" i="3"/>
  <c r="I571" i="3"/>
  <c r="C571" i="3"/>
  <c r="A571" i="3"/>
  <c r="I570" i="3"/>
  <c r="C570" i="3"/>
  <c r="A570" i="3"/>
  <c r="I569" i="3"/>
  <c r="C569" i="3"/>
  <c r="A569" i="3"/>
  <c r="I568" i="3"/>
  <c r="C568" i="3"/>
  <c r="A568" i="3"/>
  <c r="I567" i="3"/>
  <c r="C567" i="3"/>
  <c r="A567" i="3"/>
  <c r="I566" i="3"/>
  <c r="C566" i="3"/>
  <c r="A566" i="3"/>
  <c r="I565" i="3"/>
  <c r="C565" i="3"/>
  <c r="A565" i="3"/>
  <c r="I564" i="3"/>
  <c r="C564" i="3"/>
  <c r="A564" i="3"/>
  <c r="I563" i="3"/>
  <c r="C563" i="3"/>
  <c r="A563" i="3"/>
  <c r="I562" i="3"/>
  <c r="C562" i="3"/>
  <c r="A562" i="3"/>
  <c r="I561" i="3"/>
  <c r="C561" i="3"/>
  <c r="A561" i="3"/>
  <c r="I560" i="3"/>
  <c r="C560" i="3"/>
  <c r="A560" i="3"/>
  <c r="I559" i="3"/>
  <c r="C559" i="3"/>
  <c r="A559" i="3"/>
  <c r="I558" i="3"/>
  <c r="C558" i="3"/>
  <c r="A558" i="3"/>
  <c r="I557" i="3"/>
  <c r="C557" i="3"/>
  <c r="A557" i="3"/>
  <c r="I556" i="3"/>
  <c r="C556" i="3"/>
  <c r="A556" i="3"/>
  <c r="I555" i="3"/>
  <c r="C555" i="3"/>
  <c r="A555" i="3"/>
  <c r="I554" i="3"/>
  <c r="C554" i="3"/>
  <c r="A554" i="3"/>
  <c r="I553" i="3"/>
  <c r="C553" i="3"/>
  <c r="A553" i="3"/>
  <c r="I552" i="3"/>
  <c r="C552" i="3"/>
  <c r="A552" i="3"/>
  <c r="I551" i="3"/>
  <c r="C551" i="3"/>
  <c r="A551" i="3"/>
  <c r="I550" i="3"/>
  <c r="C550" i="3"/>
  <c r="A550" i="3"/>
  <c r="I549" i="3"/>
  <c r="C549" i="3"/>
  <c r="A549" i="3"/>
  <c r="I548" i="3"/>
  <c r="C548" i="3"/>
  <c r="A548" i="3"/>
  <c r="I547" i="3"/>
  <c r="C547" i="3"/>
  <c r="A547" i="3"/>
  <c r="I546" i="3"/>
  <c r="C546" i="3"/>
  <c r="A546" i="3"/>
  <c r="I545" i="3"/>
  <c r="C545" i="3"/>
  <c r="A545" i="3"/>
  <c r="I544" i="3"/>
  <c r="C544" i="3"/>
  <c r="A544" i="3"/>
  <c r="I543" i="3"/>
  <c r="C543" i="3"/>
  <c r="A543" i="3"/>
  <c r="I542" i="3"/>
  <c r="C542" i="3"/>
  <c r="A542" i="3"/>
  <c r="I541" i="3"/>
  <c r="C541" i="3"/>
  <c r="A541" i="3"/>
  <c r="I540" i="3"/>
  <c r="C540" i="3"/>
  <c r="A540" i="3"/>
  <c r="I539" i="3"/>
  <c r="C539" i="3"/>
  <c r="A539" i="3"/>
  <c r="I538" i="3"/>
  <c r="C538" i="3"/>
  <c r="A538" i="3"/>
  <c r="I537" i="3"/>
  <c r="C537" i="3"/>
  <c r="A537" i="3"/>
  <c r="I536" i="3"/>
  <c r="C536" i="3"/>
  <c r="A536" i="3"/>
  <c r="I535" i="3"/>
  <c r="C535" i="3"/>
  <c r="A535" i="3"/>
  <c r="I534" i="3"/>
  <c r="C534" i="3"/>
  <c r="A534" i="3"/>
  <c r="I533" i="3"/>
  <c r="C533" i="3"/>
  <c r="A533" i="3"/>
  <c r="I532" i="3"/>
  <c r="C532" i="3"/>
  <c r="A532" i="3"/>
  <c r="I531" i="3"/>
  <c r="C531" i="3"/>
  <c r="A531" i="3"/>
  <c r="I530" i="3"/>
  <c r="C530" i="3"/>
  <c r="A530" i="3"/>
  <c r="I529" i="3"/>
  <c r="C529" i="3"/>
  <c r="A529" i="3"/>
  <c r="I528" i="3"/>
  <c r="C528" i="3"/>
  <c r="A528" i="3"/>
  <c r="I527" i="3"/>
  <c r="C527" i="3"/>
  <c r="A527" i="3"/>
  <c r="I526" i="3"/>
  <c r="C526" i="3"/>
  <c r="A526" i="3"/>
  <c r="I525" i="3"/>
  <c r="C525" i="3"/>
  <c r="A525" i="3"/>
  <c r="I524" i="3"/>
  <c r="C524" i="3"/>
  <c r="A524" i="3"/>
  <c r="I523" i="3"/>
  <c r="C523" i="3"/>
  <c r="A523" i="3"/>
  <c r="I522" i="3"/>
  <c r="C522" i="3"/>
  <c r="A522" i="3"/>
  <c r="I521" i="3"/>
  <c r="C521" i="3"/>
  <c r="A521" i="3"/>
  <c r="I520" i="3"/>
  <c r="C520" i="3"/>
  <c r="A520" i="3"/>
  <c r="I519" i="3"/>
  <c r="C519" i="3"/>
  <c r="A519" i="3"/>
  <c r="I518" i="3"/>
  <c r="C518" i="3"/>
  <c r="A518" i="3"/>
  <c r="I517" i="3"/>
  <c r="C517" i="3"/>
  <c r="A517" i="3"/>
  <c r="I516" i="3"/>
  <c r="C516" i="3"/>
  <c r="A516" i="3"/>
  <c r="I515" i="3"/>
  <c r="C515" i="3"/>
  <c r="A515" i="3"/>
  <c r="I514" i="3"/>
  <c r="C514" i="3"/>
  <c r="A514" i="3"/>
  <c r="I513" i="3"/>
  <c r="C513" i="3"/>
  <c r="A513" i="3"/>
  <c r="I512" i="3"/>
  <c r="C512" i="3"/>
  <c r="A512" i="3"/>
  <c r="I511" i="3"/>
  <c r="C511" i="3"/>
  <c r="A511" i="3"/>
  <c r="I510" i="3"/>
  <c r="C510" i="3"/>
  <c r="A510" i="3"/>
  <c r="I509" i="3"/>
  <c r="C509" i="3"/>
  <c r="A509" i="3"/>
  <c r="I508" i="3"/>
  <c r="C508" i="3"/>
  <c r="A508" i="3"/>
  <c r="I507" i="3"/>
  <c r="C507" i="3"/>
  <c r="A507" i="3"/>
  <c r="I506" i="3"/>
  <c r="C506" i="3"/>
  <c r="A506" i="3"/>
  <c r="I505" i="3"/>
  <c r="C505" i="3"/>
  <c r="A505" i="3"/>
  <c r="I504" i="3"/>
  <c r="C504" i="3"/>
  <c r="A504" i="3"/>
  <c r="I503" i="3"/>
  <c r="C503" i="3"/>
  <c r="A503" i="3"/>
  <c r="I502" i="3"/>
  <c r="C502" i="3"/>
  <c r="A502" i="3"/>
  <c r="I501" i="3"/>
  <c r="C501" i="3"/>
  <c r="A501" i="3"/>
  <c r="I500" i="3"/>
  <c r="C500" i="3"/>
  <c r="A500" i="3"/>
  <c r="I499" i="3"/>
  <c r="C499" i="3"/>
  <c r="A499" i="3"/>
  <c r="I498" i="3"/>
  <c r="C498" i="3"/>
  <c r="A498" i="3"/>
  <c r="I497" i="3"/>
  <c r="C497" i="3"/>
  <c r="A497" i="3"/>
  <c r="I496" i="3"/>
  <c r="C496" i="3"/>
  <c r="A496" i="3"/>
  <c r="I495" i="3"/>
  <c r="C495" i="3"/>
  <c r="A495" i="3"/>
  <c r="I494" i="3"/>
  <c r="C494" i="3"/>
  <c r="A494" i="3"/>
  <c r="I493" i="3"/>
  <c r="C493" i="3"/>
  <c r="A493" i="3"/>
  <c r="I492" i="3"/>
  <c r="C492" i="3"/>
  <c r="A492" i="3"/>
  <c r="I491" i="3"/>
  <c r="C491" i="3"/>
  <c r="A491" i="3"/>
  <c r="I490" i="3"/>
  <c r="C490" i="3"/>
  <c r="A490" i="3"/>
  <c r="I489" i="3"/>
  <c r="C489" i="3"/>
  <c r="A489" i="3"/>
  <c r="I488" i="3"/>
  <c r="C488" i="3"/>
  <c r="A488" i="3"/>
  <c r="I487" i="3"/>
  <c r="C487" i="3"/>
  <c r="A487" i="3"/>
  <c r="I486" i="3"/>
  <c r="C486" i="3"/>
  <c r="A486" i="3"/>
  <c r="I485" i="3"/>
  <c r="C485" i="3"/>
  <c r="A485" i="3"/>
  <c r="I484" i="3"/>
  <c r="C484" i="3"/>
  <c r="A484" i="3"/>
  <c r="I483" i="3"/>
  <c r="C483" i="3"/>
  <c r="A483" i="3"/>
  <c r="I482" i="3"/>
  <c r="C482" i="3"/>
  <c r="A482" i="3"/>
  <c r="I481" i="3"/>
  <c r="C481" i="3"/>
  <c r="A481" i="3"/>
  <c r="I480" i="3"/>
  <c r="C480" i="3"/>
  <c r="A480" i="3"/>
  <c r="I479" i="3"/>
  <c r="C479" i="3"/>
  <c r="A479" i="3"/>
  <c r="I478" i="3"/>
  <c r="C478" i="3"/>
  <c r="A478" i="3"/>
  <c r="I477" i="3"/>
  <c r="C477" i="3"/>
  <c r="A477" i="3"/>
  <c r="I476" i="3"/>
  <c r="C476" i="3"/>
  <c r="A476" i="3"/>
  <c r="I475" i="3"/>
  <c r="C475" i="3"/>
  <c r="A475" i="3"/>
  <c r="I474" i="3"/>
  <c r="C474" i="3"/>
  <c r="A474" i="3"/>
  <c r="I473" i="3"/>
  <c r="C473" i="3"/>
  <c r="A473" i="3"/>
  <c r="I472" i="3"/>
  <c r="C472" i="3"/>
  <c r="A472" i="3"/>
  <c r="I471" i="3"/>
  <c r="C471" i="3"/>
  <c r="A471" i="3"/>
  <c r="I470" i="3"/>
  <c r="C470" i="3"/>
  <c r="A470" i="3"/>
  <c r="I469" i="3"/>
  <c r="C469" i="3"/>
  <c r="A469" i="3"/>
  <c r="I468" i="3"/>
  <c r="C468" i="3"/>
  <c r="A468" i="3"/>
  <c r="I467" i="3"/>
  <c r="C467" i="3"/>
  <c r="A467" i="3"/>
  <c r="I466" i="3"/>
  <c r="C466" i="3"/>
  <c r="A466" i="3"/>
  <c r="I465" i="3"/>
  <c r="C465" i="3"/>
  <c r="A465" i="3"/>
  <c r="I464" i="3"/>
  <c r="C464" i="3"/>
  <c r="A464" i="3"/>
  <c r="I463" i="3"/>
  <c r="C463" i="3"/>
  <c r="A463" i="3"/>
  <c r="I462" i="3"/>
  <c r="C462" i="3"/>
  <c r="A462" i="3"/>
  <c r="I461" i="3"/>
  <c r="C461" i="3"/>
  <c r="A461" i="3"/>
  <c r="I460" i="3"/>
  <c r="C460" i="3"/>
  <c r="A460" i="3"/>
  <c r="I459" i="3"/>
  <c r="C459" i="3"/>
  <c r="A459" i="3"/>
  <c r="I458" i="3"/>
  <c r="C458" i="3"/>
  <c r="A458" i="3"/>
  <c r="I457" i="3"/>
  <c r="C457" i="3"/>
  <c r="A457" i="3"/>
  <c r="I456" i="3"/>
  <c r="C456" i="3"/>
  <c r="A456" i="3"/>
  <c r="I455" i="3"/>
  <c r="C455" i="3"/>
  <c r="A455" i="3"/>
  <c r="I454" i="3"/>
  <c r="C454" i="3"/>
  <c r="A454" i="3"/>
  <c r="I453" i="3"/>
  <c r="C453" i="3"/>
  <c r="A453" i="3"/>
  <c r="I452" i="3"/>
  <c r="C452" i="3"/>
  <c r="A452" i="3"/>
  <c r="I451" i="3"/>
  <c r="C451" i="3"/>
  <c r="A451" i="3"/>
  <c r="I450" i="3"/>
  <c r="C450" i="3"/>
  <c r="A450" i="3"/>
  <c r="I449" i="3"/>
  <c r="C449" i="3"/>
  <c r="A449" i="3"/>
  <c r="I448" i="3"/>
  <c r="C448" i="3"/>
  <c r="A448" i="3"/>
  <c r="I447" i="3"/>
  <c r="C447" i="3"/>
  <c r="A447" i="3"/>
  <c r="I446" i="3"/>
  <c r="C446" i="3"/>
  <c r="A446" i="3"/>
  <c r="I445" i="3"/>
  <c r="C445" i="3"/>
  <c r="A445" i="3"/>
  <c r="I444" i="3"/>
  <c r="C444" i="3"/>
  <c r="A444" i="3"/>
  <c r="I443" i="3"/>
  <c r="C443" i="3"/>
  <c r="A443" i="3"/>
  <c r="I442" i="3"/>
  <c r="C442" i="3"/>
  <c r="A442" i="3"/>
  <c r="I441" i="3"/>
  <c r="C441" i="3"/>
  <c r="A441" i="3"/>
  <c r="I440" i="3"/>
  <c r="C440" i="3"/>
  <c r="A440" i="3"/>
  <c r="I439" i="3"/>
  <c r="C439" i="3"/>
  <c r="A439" i="3"/>
  <c r="I438" i="3"/>
  <c r="C438" i="3"/>
  <c r="A438" i="3"/>
  <c r="I437" i="3"/>
  <c r="C437" i="3"/>
  <c r="A437" i="3"/>
  <c r="I436" i="3"/>
  <c r="C436" i="3"/>
  <c r="A436" i="3"/>
  <c r="I435" i="3"/>
  <c r="C435" i="3"/>
  <c r="A435" i="3"/>
  <c r="I434" i="3"/>
  <c r="C434" i="3"/>
  <c r="A434" i="3"/>
  <c r="I433" i="3"/>
  <c r="C433" i="3"/>
  <c r="A433" i="3"/>
  <c r="I432" i="3"/>
  <c r="C432" i="3"/>
  <c r="A432" i="3"/>
  <c r="I431" i="3"/>
  <c r="C431" i="3"/>
  <c r="A431" i="3"/>
  <c r="I430" i="3"/>
  <c r="C430" i="3"/>
  <c r="A430" i="3"/>
  <c r="I429" i="3"/>
  <c r="C429" i="3"/>
  <c r="A429" i="3"/>
  <c r="I428" i="3"/>
  <c r="C428" i="3"/>
  <c r="A428" i="3"/>
  <c r="I427" i="3"/>
  <c r="C427" i="3"/>
  <c r="A427" i="3"/>
  <c r="I426" i="3"/>
  <c r="C426" i="3"/>
  <c r="A426" i="3"/>
  <c r="I425" i="3"/>
  <c r="C425" i="3"/>
  <c r="A425" i="3"/>
  <c r="I424" i="3"/>
  <c r="C424" i="3"/>
  <c r="A424" i="3"/>
  <c r="I423" i="3"/>
  <c r="C423" i="3"/>
  <c r="A423" i="3"/>
  <c r="I422" i="3"/>
  <c r="C422" i="3"/>
  <c r="A422" i="3"/>
  <c r="I421" i="3"/>
  <c r="C421" i="3"/>
  <c r="A421" i="3"/>
  <c r="I420" i="3"/>
  <c r="C420" i="3"/>
  <c r="A420" i="3"/>
  <c r="I419" i="3"/>
  <c r="C419" i="3"/>
  <c r="A419" i="3"/>
  <c r="I418" i="3"/>
  <c r="C418" i="3"/>
  <c r="A418" i="3"/>
  <c r="I417" i="3"/>
  <c r="C417" i="3"/>
  <c r="A417" i="3"/>
  <c r="I416" i="3"/>
  <c r="C416" i="3"/>
  <c r="A416" i="3"/>
  <c r="I415" i="3"/>
  <c r="C415" i="3"/>
  <c r="A415" i="3"/>
  <c r="I414" i="3"/>
  <c r="C414" i="3"/>
  <c r="A414" i="3"/>
  <c r="I413" i="3"/>
  <c r="C413" i="3"/>
  <c r="A413" i="3"/>
  <c r="I412" i="3"/>
  <c r="C412" i="3"/>
  <c r="A412" i="3"/>
  <c r="I411" i="3"/>
  <c r="C411" i="3"/>
  <c r="A411" i="3"/>
  <c r="I410" i="3"/>
  <c r="C410" i="3"/>
  <c r="A410" i="3"/>
  <c r="I409" i="3"/>
  <c r="C409" i="3"/>
  <c r="A409" i="3"/>
  <c r="I408" i="3"/>
  <c r="C408" i="3"/>
  <c r="A408" i="3"/>
  <c r="I407" i="3"/>
  <c r="C407" i="3"/>
  <c r="A407" i="3"/>
  <c r="I406" i="3"/>
  <c r="C406" i="3"/>
  <c r="A406" i="3"/>
  <c r="I405" i="3"/>
  <c r="C405" i="3"/>
  <c r="A405" i="3"/>
  <c r="I404" i="3"/>
  <c r="C404" i="3"/>
  <c r="A404" i="3"/>
  <c r="I403" i="3"/>
  <c r="C403" i="3"/>
  <c r="A403" i="3"/>
  <c r="I402" i="3"/>
  <c r="C402" i="3"/>
  <c r="A402" i="3"/>
  <c r="I401" i="3"/>
  <c r="C401" i="3"/>
  <c r="A401" i="3"/>
  <c r="I400" i="3"/>
  <c r="C400" i="3"/>
  <c r="A400" i="3"/>
  <c r="I399" i="3"/>
  <c r="C399" i="3"/>
  <c r="A399" i="3"/>
  <c r="I398" i="3"/>
  <c r="C398" i="3"/>
  <c r="A398" i="3"/>
  <c r="I397" i="3"/>
  <c r="C397" i="3"/>
  <c r="A397" i="3"/>
  <c r="I396" i="3"/>
  <c r="C396" i="3"/>
  <c r="A396" i="3"/>
  <c r="I395" i="3"/>
  <c r="C395" i="3"/>
  <c r="A395" i="3"/>
  <c r="I394" i="3"/>
  <c r="C394" i="3"/>
  <c r="A394" i="3"/>
  <c r="I393" i="3"/>
  <c r="C393" i="3"/>
  <c r="A393" i="3"/>
  <c r="I392" i="3"/>
  <c r="C392" i="3"/>
  <c r="A392" i="3"/>
  <c r="I391" i="3"/>
  <c r="C391" i="3"/>
  <c r="A391" i="3"/>
  <c r="I390" i="3"/>
  <c r="C390" i="3"/>
  <c r="A390" i="3"/>
  <c r="I389" i="3"/>
  <c r="C389" i="3"/>
  <c r="A389" i="3"/>
  <c r="I388" i="3"/>
  <c r="C388" i="3"/>
  <c r="A388" i="3"/>
  <c r="I387" i="3"/>
  <c r="C387" i="3"/>
  <c r="A387" i="3"/>
  <c r="I386" i="3"/>
  <c r="C386" i="3"/>
  <c r="A386" i="3"/>
  <c r="I385" i="3"/>
  <c r="C385" i="3"/>
  <c r="A385" i="3"/>
  <c r="I384" i="3"/>
  <c r="C384" i="3"/>
  <c r="A384" i="3"/>
  <c r="I383" i="3"/>
  <c r="C383" i="3"/>
  <c r="A383" i="3"/>
  <c r="I382" i="3"/>
  <c r="C382" i="3"/>
  <c r="A382" i="3"/>
  <c r="I381" i="3"/>
  <c r="C381" i="3"/>
  <c r="A381" i="3"/>
  <c r="I380" i="3"/>
  <c r="C380" i="3"/>
  <c r="A380" i="3"/>
  <c r="I379" i="3"/>
  <c r="C379" i="3"/>
  <c r="A379" i="3"/>
  <c r="I378" i="3"/>
  <c r="C378" i="3"/>
  <c r="A378" i="3"/>
  <c r="I377" i="3"/>
  <c r="C377" i="3"/>
  <c r="A377" i="3"/>
  <c r="I376" i="3"/>
  <c r="C376" i="3"/>
  <c r="A376" i="3"/>
  <c r="I375" i="3"/>
  <c r="C375" i="3"/>
  <c r="A375" i="3"/>
  <c r="I374" i="3"/>
  <c r="C374" i="3"/>
  <c r="A374" i="3"/>
  <c r="I373" i="3"/>
  <c r="C373" i="3"/>
  <c r="A373" i="3"/>
  <c r="I372" i="3"/>
  <c r="C372" i="3"/>
  <c r="A372" i="3"/>
  <c r="I371" i="3"/>
  <c r="C371" i="3"/>
  <c r="A371" i="3"/>
  <c r="I370" i="3"/>
  <c r="C370" i="3"/>
  <c r="A370" i="3"/>
  <c r="I369" i="3"/>
  <c r="C369" i="3"/>
  <c r="A369" i="3"/>
  <c r="I368" i="3"/>
  <c r="C368" i="3"/>
  <c r="A368" i="3"/>
  <c r="I367" i="3"/>
  <c r="C367" i="3"/>
  <c r="A367" i="3"/>
  <c r="I366" i="3"/>
  <c r="C366" i="3"/>
  <c r="A366" i="3"/>
  <c r="I365" i="3"/>
  <c r="C365" i="3"/>
  <c r="A365" i="3"/>
  <c r="I364" i="3"/>
  <c r="C364" i="3"/>
  <c r="A364" i="3"/>
  <c r="I363" i="3"/>
  <c r="C363" i="3"/>
  <c r="A363" i="3"/>
  <c r="I362" i="3"/>
  <c r="C362" i="3"/>
  <c r="A362" i="3"/>
  <c r="I361" i="3"/>
  <c r="C361" i="3"/>
  <c r="A361" i="3"/>
  <c r="I360" i="3"/>
  <c r="C360" i="3"/>
  <c r="A360" i="3"/>
  <c r="I359" i="3"/>
  <c r="C359" i="3"/>
  <c r="A359" i="3"/>
  <c r="I358" i="3"/>
  <c r="C358" i="3"/>
  <c r="A358" i="3"/>
  <c r="I357" i="3"/>
  <c r="C357" i="3"/>
  <c r="A357" i="3"/>
  <c r="I356" i="3"/>
  <c r="C356" i="3"/>
  <c r="A356" i="3"/>
  <c r="I355" i="3"/>
  <c r="C355" i="3"/>
  <c r="A355" i="3"/>
  <c r="I354" i="3"/>
  <c r="C354" i="3"/>
  <c r="A354" i="3"/>
  <c r="I353" i="3"/>
  <c r="C353" i="3"/>
  <c r="A353" i="3"/>
  <c r="I352" i="3"/>
  <c r="C352" i="3"/>
  <c r="A352" i="3"/>
  <c r="I351" i="3"/>
  <c r="C351" i="3"/>
  <c r="A351" i="3"/>
  <c r="I350" i="3"/>
  <c r="C350" i="3"/>
  <c r="A350" i="3"/>
  <c r="I349" i="3"/>
  <c r="C349" i="3"/>
  <c r="A349" i="3"/>
  <c r="I348" i="3"/>
  <c r="C348" i="3"/>
  <c r="A348" i="3"/>
  <c r="I347" i="3"/>
  <c r="C347" i="3"/>
  <c r="A347" i="3"/>
  <c r="I346" i="3"/>
  <c r="C346" i="3"/>
  <c r="A346" i="3"/>
  <c r="I345" i="3"/>
  <c r="C345" i="3"/>
  <c r="A345" i="3"/>
  <c r="I344" i="3"/>
  <c r="C344" i="3"/>
  <c r="A344" i="3"/>
  <c r="I343" i="3"/>
  <c r="C343" i="3"/>
  <c r="A343" i="3"/>
  <c r="I342" i="3"/>
  <c r="C342" i="3"/>
  <c r="A342" i="3"/>
  <c r="I341" i="3"/>
  <c r="C341" i="3"/>
  <c r="A341" i="3"/>
  <c r="I340" i="3"/>
  <c r="C340" i="3"/>
  <c r="A340" i="3"/>
  <c r="I339" i="3"/>
  <c r="C339" i="3"/>
  <c r="A339" i="3"/>
  <c r="I338" i="3"/>
  <c r="C338" i="3"/>
  <c r="A338" i="3"/>
  <c r="I337" i="3"/>
  <c r="C337" i="3"/>
  <c r="A337" i="3"/>
  <c r="I336" i="3"/>
  <c r="C336" i="3"/>
  <c r="A336" i="3"/>
  <c r="I335" i="3"/>
  <c r="C335" i="3"/>
  <c r="A335" i="3"/>
  <c r="I334" i="3"/>
  <c r="C334" i="3"/>
  <c r="A334" i="3"/>
  <c r="I333" i="3"/>
  <c r="C333" i="3"/>
  <c r="A333" i="3"/>
  <c r="I332" i="3"/>
  <c r="C332" i="3"/>
  <c r="A332" i="3"/>
  <c r="I331" i="3"/>
  <c r="C331" i="3"/>
  <c r="A331" i="3"/>
  <c r="I330" i="3"/>
  <c r="C330" i="3"/>
  <c r="A330" i="3"/>
  <c r="I329" i="3"/>
  <c r="C329" i="3"/>
  <c r="A329" i="3"/>
  <c r="I328" i="3"/>
  <c r="C328" i="3"/>
  <c r="A328" i="3"/>
  <c r="I327" i="3"/>
  <c r="C327" i="3"/>
  <c r="A327" i="3"/>
  <c r="I326" i="3"/>
  <c r="C326" i="3"/>
  <c r="A326" i="3"/>
  <c r="I325" i="3"/>
  <c r="C325" i="3"/>
  <c r="A325" i="3"/>
  <c r="I324" i="3"/>
  <c r="C324" i="3"/>
  <c r="A324" i="3"/>
  <c r="I323" i="3"/>
  <c r="C323" i="3"/>
  <c r="A323" i="3"/>
  <c r="I322" i="3"/>
  <c r="C322" i="3"/>
  <c r="A322" i="3"/>
  <c r="I321" i="3"/>
  <c r="C321" i="3"/>
  <c r="A321" i="3"/>
  <c r="I320" i="3"/>
  <c r="C320" i="3"/>
  <c r="A320" i="3"/>
  <c r="I319" i="3"/>
  <c r="C319" i="3"/>
  <c r="A319" i="3"/>
  <c r="I318" i="3"/>
  <c r="C318" i="3"/>
  <c r="A318" i="3"/>
  <c r="I317" i="3"/>
  <c r="C317" i="3"/>
  <c r="A317" i="3"/>
  <c r="I316" i="3"/>
  <c r="C316" i="3"/>
  <c r="A316" i="3"/>
  <c r="I315" i="3"/>
  <c r="C315" i="3"/>
  <c r="A315" i="3"/>
  <c r="I314" i="3"/>
  <c r="C314" i="3"/>
  <c r="A314" i="3"/>
  <c r="I313" i="3"/>
  <c r="C313" i="3"/>
  <c r="A313" i="3"/>
  <c r="I312" i="3"/>
  <c r="C312" i="3"/>
  <c r="A312" i="3"/>
  <c r="I311" i="3"/>
  <c r="C311" i="3"/>
  <c r="A311" i="3"/>
  <c r="I310" i="3"/>
  <c r="C310" i="3"/>
  <c r="A310" i="3"/>
  <c r="I309" i="3"/>
  <c r="C309" i="3"/>
  <c r="A309" i="3"/>
  <c r="I308" i="3"/>
  <c r="C308" i="3"/>
  <c r="A308" i="3"/>
  <c r="I307" i="3"/>
  <c r="C307" i="3"/>
  <c r="A307" i="3"/>
  <c r="I306" i="3"/>
  <c r="C306" i="3"/>
  <c r="A306" i="3"/>
  <c r="I305" i="3"/>
  <c r="C305" i="3"/>
  <c r="A305" i="3"/>
  <c r="I304" i="3"/>
  <c r="C304" i="3"/>
  <c r="A304" i="3"/>
  <c r="I303" i="3"/>
  <c r="C303" i="3"/>
  <c r="A303" i="3"/>
  <c r="I302" i="3"/>
  <c r="C302" i="3"/>
  <c r="A302" i="3"/>
  <c r="I301" i="3"/>
  <c r="C301" i="3"/>
  <c r="A301" i="3"/>
  <c r="I300" i="3"/>
  <c r="C300" i="3"/>
  <c r="A300" i="3"/>
  <c r="I299" i="3"/>
  <c r="C299" i="3"/>
  <c r="A299" i="3"/>
  <c r="I298" i="3"/>
  <c r="C298" i="3"/>
  <c r="A298" i="3"/>
  <c r="I297" i="3"/>
  <c r="C297" i="3"/>
  <c r="A297" i="3"/>
  <c r="I296" i="3"/>
  <c r="C296" i="3"/>
  <c r="A296" i="3"/>
  <c r="I295" i="3"/>
  <c r="C295" i="3"/>
  <c r="A295" i="3"/>
  <c r="I294" i="3"/>
  <c r="C294" i="3"/>
  <c r="A294" i="3"/>
  <c r="I293" i="3"/>
  <c r="C293" i="3"/>
  <c r="A293" i="3"/>
  <c r="I292" i="3"/>
  <c r="C292" i="3"/>
  <c r="A292" i="3"/>
  <c r="I291" i="3"/>
  <c r="C291" i="3"/>
  <c r="A291" i="3"/>
  <c r="I290" i="3"/>
  <c r="C290" i="3"/>
  <c r="A290" i="3"/>
  <c r="I289" i="3"/>
  <c r="C289" i="3"/>
  <c r="A289" i="3"/>
  <c r="I288" i="3"/>
  <c r="C288" i="3"/>
  <c r="A288" i="3"/>
  <c r="I287" i="3"/>
  <c r="C287" i="3"/>
  <c r="A287" i="3"/>
  <c r="I286" i="3"/>
  <c r="C286" i="3"/>
  <c r="A286" i="3"/>
  <c r="I285" i="3"/>
  <c r="C285" i="3"/>
  <c r="A285" i="3"/>
  <c r="I284" i="3"/>
  <c r="C284" i="3"/>
  <c r="A284" i="3"/>
  <c r="I283" i="3"/>
  <c r="C283" i="3"/>
  <c r="A283" i="3"/>
  <c r="I282" i="3"/>
  <c r="C282" i="3"/>
  <c r="A282" i="3"/>
  <c r="I281" i="3"/>
  <c r="C281" i="3"/>
  <c r="A281" i="3"/>
  <c r="I280" i="3"/>
  <c r="C280" i="3"/>
  <c r="A280" i="3"/>
  <c r="I279" i="3"/>
  <c r="C279" i="3"/>
  <c r="A279" i="3"/>
  <c r="I278" i="3"/>
  <c r="C278" i="3"/>
  <c r="A278" i="3"/>
  <c r="I277" i="3"/>
  <c r="C277" i="3"/>
  <c r="A277" i="3"/>
  <c r="I276" i="3"/>
  <c r="C276" i="3"/>
  <c r="A276" i="3"/>
  <c r="I275" i="3"/>
  <c r="C275" i="3"/>
  <c r="A275" i="3"/>
  <c r="I274" i="3"/>
  <c r="C274" i="3"/>
  <c r="A274" i="3"/>
  <c r="I273" i="3"/>
  <c r="C273" i="3"/>
  <c r="A273" i="3"/>
  <c r="I272" i="3"/>
  <c r="C272" i="3"/>
  <c r="A272" i="3"/>
  <c r="I271" i="3"/>
  <c r="C271" i="3"/>
  <c r="A271" i="3"/>
  <c r="I270" i="3"/>
  <c r="C270" i="3"/>
  <c r="A270" i="3"/>
  <c r="I269" i="3"/>
  <c r="C269" i="3"/>
  <c r="A269" i="3"/>
  <c r="I268" i="3"/>
  <c r="C268" i="3"/>
  <c r="A268" i="3"/>
  <c r="I267" i="3"/>
  <c r="C267" i="3"/>
  <c r="A267" i="3"/>
  <c r="I266" i="3"/>
  <c r="C266" i="3"/>
  <c r="A266" i="3"/>
  <c r="I265" i="3"/>
  <c r="C265" i="3"/>
  <c r="A265" i="3"/>
  <c r="I264" i="3"/>
  <c r="C264" i="3"/>
  <c r="A264" i="3"/>
  <c r="I263" i="3"/>
  <c r="C263" i="3"/>
  <c r="A263" i="3"/>
  <c r="I262" i="3"/>
  <c r="C262" i="3"/>
  <c r="A262" i="3"/>
  <c r="I261" i="3"/>
  <c r="C261" i="3"/>
  <c r="A261" i="3"/>
  <c r="I260" i="3"/>
  <c r="C260" i="3"/>
  <c r="A260" i="3"/>
  <c r="I259" i="3"/>
  <c r="C259" i="3"/>
  <c r="A259" i="3"/>
  <c r="I258" i="3"/>
  <c r="C258" i="3"/>
  <c r="A258" i="3"/>
  <c r="I257" i="3"/>
  <c r="C257" i="3"/>
  <c r="A257" i="3"/>
  <c r="I256" i="3"/>
  <c r="C256" i="3"/>
  <c r="A256" i="3"/>
  <c r="I255" i="3"/>
  <c r="C255" i="3"/>
  <c r="A255" i="3"/>
  <c r="I254" i="3"/>
  <c r="C254" i="3"/>
  <c r="A254" i="3"/>
  <c r="I253" i="3"/>
  <c r="C253" i="3"/>
  <c r="A253" i="3"/>
  <c r="I252" i="3"/>
  <c r="C252" i="3"/>
  <c r="A252" i="3"/>
  <c r="I251" i="3"/>
  <c r="C251" i="3"/>
  <c r="A251" i="3"/>
  <c r="I250" i="3"/>
  <c r="C250" i="3"/>
  <c r="A250" i="3"/>
  <c r="I249" i="3"/>
  <c r="C249" i="3"/>
  <c r="A249" i="3"/>
  <c r="I248" i="3"/>
  <c r="C248" i="3"/>
  <c r="A248" i="3"/>
  <c r="I247" i="3"/>
  <c r="C247" i="3"/>
  <c r="A247" i="3"/>
  <c r="I246" i="3"/>
  <c r="C246" i="3"/>
  <c r="A246" i="3"/>
  <c r="I245" i="3"/>
  <c r="C245" i="3"/>
  <c r="A245" i="3"/>
  <c r="I244" i="3"/>
  <c r="C244" i="3"/>
  <c r="A244" i="3"/>
  <c r="I243" i="3"/>
  <c r="C243" i="3"/>
  <c r="A243" i="3"/>
  <c r="I242" i="3"/>
  <c r="C242" i="3"/>
  <c r="A242" i="3"/>
  <c r="I241" i="3"/>
  <c r="C241" i="3"/>
  <c r="A241" i="3"/>
  <c r="I240" i="3"/>
  <c r="C240" i="3"/>
  <c r="A240" i="3"/>
  <c r="I239" i="3"/>
  <c r="C239" i="3"/>
  <c r="A239" i="3"/>
  <c r="I238" i="3"/>
  <c r="C238" i="3"/>
  <c r="A238" i="3"/>
  <c r="I237" i="3"/>
  <c r="C237" i="3"/>
  <c r="A237" i="3"/>
  <c r="I236" i="3"/>
  <c r="C236" i="3"/>
  <c r="A236" i="3"/>
  <c r="I235" i="3"/>
  <c r="C235" i="3"/>
  <c r="A235" i="3"/>
  <c r="I234" i="3"/>
  <c r="C234" i="3"/>
  <c r="A234" i="3"/>
  <c r="I233" i="3"/>
  <c r="C233" i="3"/>
  <c r="A233" i="3"/>
  <c r="I232" i="3"/>
  <c r="C232" i="3"/>
  <c r="A232" i="3"/>
  <c r="I231" i="3"/>
  <c r="C231" i="3"/>
  <c r="A231" i="3"/>
  <c r="I230" i="3"/>
  <c r="C230" i="3"/>
  <c r="A230" i="3"/>
  <c r="I229" i="3"/>
  <c r="C229" i="3"/>
  <c r="A229" i="3"/>
  <c r="I228" i="3"/>
  <c r="C228" i="3"/>
  <c r="A228" i="3"/>
  <c r="I227" i="3"/>
  <c r="C227" i="3"/>
  <c r="A227" i="3"/>
  <c r="I226" i="3"/>
  <c r="C226" i="3"/>
  <c r="A226" i="3"/>
  <c r="I225" i="3"/>
  <c r="C225" i="3"/>
  <c r="A225" i="3"/>
  <c r="I224" i="3"/>
  <c r="C224" i="3"/>
  <c r="A224" i="3"/>
  <c r="I223" i="3"/>
  <c r="C223" i="3"/>
  <c r="A223" i="3"/>
  <c r="I222" i="3"/>
  <c r="C222" i="3"/>
  <c r="A222" i="3"/>
  <c r="I221" i="3"/>
  <c r="C221" i="3"/>
  <c r="A221" i="3"/>
  <c r="I220" i="3"/>
  <c r="C220" i="3"/>
  <c r="A220" i="3"/>
  <c r="I219" i="3"/>
  <c r="C219" i="3"/>
  <c r="A219" i="3"/>
  <c r="I218" i="3"/>
  <c r="C218" i="3"/>
  <c r="A218" i="3"/>
  <c r="I217" i="3"/>
  <c r="C217" i="3"/>
  <c r="A217" i="3"/>
  <c r="I216" i="3"/>
  <c r="C216" i="3"/>
  <c r="A216" i="3"/>
  <c r="I215" i="3"/>
  <c r="C215" i="3"/>
  <c r="A215" i="3"/>
  <c r="I214" i="3"/>
  <c r="C214" i="3"/>
  <c r="A214" i="3"/>
  <c r="I213" i="3"/>
  <c r="C213" i="3"/>
  <c r="A213" i="3"/>
  <c r="I212" i="3"/>
  <c r="C212" i="3"/>
  <c r="A212" i="3"/>
  <c r="I211" i="3"/>
  <c r="C211" i="3"/>
  <c r="A211" i="3"/>
  <c r="I210" i="3"/>
  <c r="C210" i="3"/>
  <c r="A210" i="3"/>
  <c r="I209" i="3"/>
  <c r="C209" i="3"/>
  <c r="A209" i="3"/>
  <c r="I208" i="3"/>
  <c r="C208" i="3"/>
  <c r="A208" i="3"/>
  <c r="I207" i="3"/>
  <c r="C207" i="3"/>
  <c r="A207" i="3"/>
  <c r="I206" i="3"/>
  <c r="C206" i="3"/>
  <c r="A206" i="3"/>
  <c r="I205" i="3"/>
  <c r="C205" i="3"/>
  <c r="A205" i="3"/>
  <c r="I204" i="3"/>
  <c r="C204" i="3"/>
  <c r="A204" i="3"/>
  <c r="I203" i="3"/>
  <c r="C203" i="3"/>
  <c r="A203" i="3"/>
  <c r="I202" i="3"/>
  <c r="C202" i="3"/>
  <c r="A202" i="3"/>
  <c r="I201" i="3"/>
  <c r="C201" i="3"/>
  <c r="A201" i="3"/>
  <c r="I200" i="3"/>
  <c r="C200" i="3"/>
  <c r="A200" i="3"/>
  <c r="I199" i="3"/>
  <c r="C199" i="3"/>
  <c r="A199" i="3"/>
  <c r="I198" i="3"/>
  <c r="C198" i="3"/>
  <c r="A198" i="3"/>
  <c r="I197" i="3"/>
  <c r="C197" i="3"/>
  <c r="A197" i="3"/>
  <c r="I196" i="3"/>
  <c r="C196" i="3"/>
  <c r="A196" i="3"/>
  <c r="I195" i="3"/>
  <c r="C195" i="3"/>
  <c r="A195" i="3"/>
  <c r="I194" i="3"/>
  <c r="C194" i="3"/>
  <c r="A194" i="3"/>
  <c r="I193" i="3"/>
  <c r="C193" i="3"/>
  <c r="A193" i="3"/>
  <c r="I192" i="3"/>
  <c r="C192" i="3"/>
  <c r="A192" i="3"/>
  <c r="I191" i="3"/>
  <c r="C191" i="3"/>
  <c r="A191" i="3"/>
  <c r="I190" i="3"/>
  <c r="C190" i="3"/>
  <c r="A190" i="3"/>
  <c r="I189" i="3"/>
  <c r="C189" i="3"/>
  <c r="A189" i="3"/>
  <c r="I188" i="3"/>
  <c r="C188" i="3"/>
  <c r="A188" i="3"/>
  <c r="I187" i="3"/>
  <c r="C187" i="3"/>
  <c r="A187" i="3"/>
  <c r="I186" i="3"/>
  <c r="C186" i="3"/>
  <c r="A186" i="3"/>
  <c r="I185" i="3"/>
  <c r="C185" i="3"/>
  <c r="A185" i="3"/>
  <c r="I184" i="3"/>
  <c r="C184" i="3"/>
  <c r="A184" i="3"/>
  <c r="I183" i="3"/>
  <c r="C183" i="3"/>
  <c r="A183" i="3"/>
  <c r="I182" i="3"/>
  <c r="C182" i="3"/>
  <c r="A182" i="3"/>
  <c r="I181" i="3"/>
  <c r="C181" i="3"/>
  <c r="A181" i="3"/>
  <c r="I180" i="3"/>
  <c r="C180" i="3"/>
  <c r="A180" i="3"/>
  <c r="I179" i="3"/>
  <c r="C179" i="3"/>
  <c r="A179" i="3"/>
  <c r="I178" i="3"/>
  <c r="C178" i="3"/>
  <c r="A178" i="3"/>
  <c r="I177" i="3"/>
  <c r="C177" i="3"/>
  <c r="A177" i="3"/>
  <c r="I176" i="3"/>
  <c r="C176" i="3"/>
  <c r="A176" i="3"/>
  <c r="I175" i="3"/>
  <c r="C175" i="3"/>
  <c r="A175" i="3"/>
  <c r="I174" i="3"/>
  <c r="C174" i="3"/>
  <c r="A174" i="3"/>
  <c r="I173" i="3"/>
  <c r="C173" i="3"/>
  <c r="A173" i="3"/>
  <c r="I172" i="3"/>
  <c r="C172" i="3"/>
  <c r="A172" i="3"/>
  <c r="I171" i="3"/>
  <c r="C171" i="3"/>
  <c r="A171" i="3"/>
  <c r="I170" i="3"/>
  <c r="C170" i="3"/>
  <c r="A170" i="3"/>
  <c r="I169" i="3"/>
  <c r="C169" i="3"/>
  <c r="A169" i="3"/>
  <c r="I168" i="3"/>
  <c r="C168" i="3"/>
  <c r="A168" i="3"/>
  <c r="I167" i="3"/>
  <c r="C167" i="3"/>
  <c r="A167" i="3"/>
  <c r="I166" i="3"/>
  <c r="C166" i="3"/>
  <c r="A166" i="3"/>
  <c r="I165" i="3"/>
  <c r="C165" i="3"/>
  <c r="A165" i="3"/>
  <c r="I164" i="3"/>
  <c r="C164" i="3"/>
  <c r="A164" i="3"/>
  <c r="I163" i="3"/>
  <c r="C163" i="3"/>
  <c r="A163" i="3"/>
  <c r="I162" i="3"/>
  <c r="C162" i="3"/>
  <c r="A162" i="3"/>
  <c r="I161" i="3"/>
  <c r="C161" i="3"/>
  <c r="A161" i="3"/>
  <c r="I160" i="3"/>
  <c r="C160" i="3"/>
  <c r="A160" i="3"/>
  <c r="I159" i="3"/>
  <c r="C159" i="3"/>
  <c r="A159" i="3"/>
  <c r="I158" i="3"/>
  <c r="C158" i="3"/>
  <c r="A158" i="3"/>
  <c r="I157" i="3"/>
  <c r="C157" i="3"/>
  <c r="A157" i="3"/>
  <c r="I156" i="3"/>
  <c r="C156" i="3"/>
  <c r="A156" i="3"/>
  <c r="I155" i="3"/>
  <c r="C155" i="3"/>
  <c r="A155" i="3"/>
  <c r="I154" i="3"/>
  <c r="C154" i="3"/>
  <c r="A154" i="3"/>
  <c r="I153" i="3"/>
  <c r="C153" i="3"/>
  <c r="A153" i="3"/>
  <c r="I152" i="3"/>
  <c r="C152" i="3"/>
  <c r="A152" i="3"/>
  <c r="I151" i="3"/>
  <c r="C151" i="3"/>
  <c r="A151" i="3"/>
  <c r="I150" i="3"/>
  <c r="C150" i="3"/>
  <c r="A150" i="3"/>
  <c r="I149" i="3"/>
  <c r="C149" i="3"/>
  <c r="A149" i="3"/>
  <c r="I148" i="3"/>
  <c r="C148" i="3"/>
  <c r="A148" i="3"/>
  <c r="I147" i="3"/>
  <c r="C147" i="3"/>
  <c r="A147" i="3"/>
  <c r="I146" i="3"/>
  <c r="C146" i="3"/>
  <c r="A146" i="3"/>
  <c r="I145" i="3"/>
  <c r="C145" i="3"/>
  <c r="A145" i="3"/>
  <c r="I144" i="3"/>
  <c r="C144" i="3"/>
  <c r="A144" i="3"/>
  <c r="I143" i="3"/>
  <c r="C143" i="3"/>
  <c r="A143" i="3"/>
  <c r="I142" i="3"/>
  <c r="C142" i="3"/>
  <c r="A142" i="3"/>
  <c r="I141" i="3"/>
  <c r="C141" i="3"/>
  <c r="A141" i="3"/>
  <c r="I140" i="3"/>
  <c r="C140" i="3"/>
  <c r="A140" i="3"/>
  <c r="I139" i="3"/>
  <c r="C139" i="3"/>
  <c r="A139" i="3"/>
  <c r="I138" i="3"/>
  <c r="C138" i="3"/>
  <c r="A138" i="3"/>
  <c r="I137" i="3"/>
  <c r="C137" i="3"/>
  <c r="A137" i="3"/>
  <c r="I136" i="3"/>
  <c r="C136" i="3"/>
  <c r="A136" i="3"/>
  <c r="I135" i="3"/>
  <c r="C135" i="3"/>
  <c r="A135" i="3"/>
  <c r="I134" i="3"/>
  <c r="C134" i="3"/>
  <c r="A134" i="3"/>
  <c r="I133" i="3"/>
  <c r="C133" i="3"/>
  <c r="A133" i="3"/>
  <c r="I132" i="3"/>
  <c r="C132" i="3"/>
  <c r="A132" i="3"/>
  <c r="I131" i="3"/>
  <c r="C131" i="3"/>
  <c r="A131" i="3"/>
  <c r="I130" i="3"/>
  <c r="C130" i="3"/>
  <c r="A130" i="3"/>
  <c r="I129" i="3"/>
  <c r="C129" i="3"/>
  <c r="A129" i="3"/>
  <c r="I128" i="3"/>
  <c r="C128" i="3"/>
  <c r="A128" i="3"/>
  <c r="I127" i="3"/>
  <c r="C127" i="3"/>
  <c r="A127" i="3"/>
  <c r="I126" i="3"/>
  <c r="C126" i="3"/>
  <c r="A126" i="3"/>
  <c r="I125" i="3"/>
  <c r="C125" i="3"/>
  <c r="A125" i="3"/>
  <c r="I124" i="3"/>
  <c r="C124" i="3"/>
  <c r="A124" i="3"/>
  <c r="I123" i="3"/>
  <c r="C123" i="3"/>
  <c r="A123" i="3"/>
  <c r="I122" i="3"/>
  <c r="C122" i="3"/>
  <c r="A122" i="3"/>
  <c r="I121" i="3"/>
  <c r="C121" i="3"/>
  <c r="A121" i="3"/>
  <c r="I120" i="3"/>
  <c r="C120" i="3"/>
  <c r="A120" i="3"/>
  <c r="I119" i="3"/>
  <c r="C119" i="3"/>
  <c r="A119" i="3"/>
  <c r="I118" i="3"/>
  <c r="C118" i="3"/>
  <c r="A118" i="3"/>
  <c r="I117" i="3"/>
  <c r="C117" i="3"/>
  <c r="A117" i="3"/>
  <c r="I116" i="3"/>
  <c r="C116" i="3"/>
  <c r="A116" i="3"/>
  <c r="I115" i="3"/>
  <c r="C115" i="3"/>
  <c r="A115" i="3"/>
  <c r="I114" i="3"/>
  <c r="C114" i="3"/>
  <c r="A114" i="3"/>
  <c r="I113" i="3"/>
  <c r="C113" i="3"/>
  <c r="A113" i="3"/>
  <c r="I112" i="3"/>
  <c r="C112" i="3"/>
  <c r="A112" i="3"/>
  <c r="I111" i="3"/>
  <c r="C111" i="3"/>
  <c r="A111" i="3"/>
  <c r="I110" i="3"/>
  <c r="C110" i="3"/>
  <c r="A110" i="3"/>
  <c r="I109" i="3"/>
  <c r="C109" i="3"/>
  <c r="A109" i="3"/>
  <c r="I108" i="3"/>
  <c r="C108" i="3"/>
  <c r="A108" i="3"/>
  <c r="I107" i="3"/>
  <c r="C107" i="3"/>
  <c r="A107" i="3"/>
  <c r="I106" i="3"/>
  <c r="C106" i="3"/>
  <c r="A106" i="3"/>
  <c r="I105" i="3"/>
  <c r="C105" i="3"/>
  <c r="A105" i="3"/>
  <c r="I104" i="3"/>
  <c r="C104" i="3"/>
  <c r="A104" i="3"/>
  <c r="I103" i="3"/>
  <c r="C103" i="3"/>
  <c r="A103" i="3"/>
  <c r="I102" i="3"/>
  <c r="C102" i="3"/>
  <c r="A102" i="3"/>
  <c r="I101" i="3"/>
  <c r="C101" i="3"/>
  <c r="A101" i="3"/>
  <c r="I100" i="3"/>
  <c r="C100" i="3"/>
  <c r="A100" i="3"/>
  <c r="I99" i="3"/>
  <c r="C99" i="3"/>
  <c r="A99" i="3"/>
  <c r="I98" i="3"/>
  <c r="C98" i="3"/>
  <c r="A98" i="3"/>
  <c r="I97" i="3"/>
  <c r="C97" i="3"/>
  <c r="A97" i="3"/>
  <c r="I96" i="3"/>
  <c r="C96" i="3"/>
  <c r="A96" i="3"/>
  <c r="I95" i="3"/>
  <c r="C95" i="3"/>
  <c r="A95" i="3"/>
  <c r="I94" i="3"/>
  <c r="C94" i="3"/>
  <c r="A94" i="3"/>
  <c r="I93" i="3"/>
  <c r="C93" i="3"/>
  <c r="A93" i="3"/>
  <c r="I92" i="3"/>
  <c r="C92" i="3"/>
  <c r="A92" i="3"/>
  <c r="I91" i="3"/>
  <c r="C91" i="3"/>
  <c r="A91" i="3"/>
  <c r="I90" i="3"/>
  <c r="C90" i="3"/>
  <c r="A90" i="3"/>
  <c r="I89" i="3"/>
  <c r="C89" i="3"/>
  <c r="A89" i="3"/>
  <c r="I88" i="3"/>
  <c r="C88" i="3"/>
  <c r="A88" i="3"/>
  <c r="I87" i="3"/>
  <c r="C87" i="3"/>
  <c r="A87" i="3"/>
  <c r="I86" i="3"/>
  <c r="C86" i="3"/>
  <c r="A86" i="3"/>
  <c r="I85" i="3"/>
  <c r="C85" i="3"/>
  <c r="A85" i="3"/>
  <c r="I84" i="3"/>
  <c r="C84" i="3"/>
  <c r="A84" i="3"/>
  <c r="I83" i="3"/>
  <c r="C83" i="3"/>
  <c r="A83" i="3"/>
  <c r="I82" i="3"/>
  <c r="C82" i="3"/>
  <c r="A82" i="3"/>
  <c r="I81" i="3"/>
  <c r="C81" i="3"/>
  <c r="A81" i="3"/>
  <c r="I80" i="3"/>
  <c r="C80" i="3"/>
  <c r="A80" i="3"/>
  <c r="I79" i="3"/>
  <c r="C79" i="3"/>
  <c r="A79" i="3"/>
  <c r="I78" i="3"/>
  <c r="C78" i="3"/>
  <c r="A78" i="3"/>
  <c r="I77" i="3"/>
  <c r="C77" i="3"/>
  <c r="A77" i="3"/>
  <c r="I76" i="3"/>
  <c r="C76" i="3"/>
  <c r="A76" i="3"/>
  <c r="I75" i="3"/>
  <c r="C75" i="3"/>
  <c r="A75" i="3"/>
  <c r="I74" i="3"/>
  <c r="C74" i="3"/>
  <c r="A74" i="3"/>
  <c r="I73" i="3"/>
  <c r="C73" i="3"/>
  <c r="A73" i="3"/>
  <c r="I72" i="3"/>
  <c r="C72" i="3"/>
  <c r="A72" i="3"/>
  <c r="I71" i="3"/>
  <c r="C71" i="3"/>
  <c r="A71" i="3"/>
  <c r="I70" i="3"/>
  <c r="C70" i="3"/>
  <c r="A70" i="3"/>
  <c r="I69" i="3"/>
  <c r="C69" i="3"/>
  <c r="A69" i="3"/>
  <c r="I68" i="3"/>
  <c r="C68" i="3"/>
  <c r="A68" i="3"/>
  <c r="I67" i="3"/>
  <c r="C67" i="3"/>
  <c r="A67" i="3"/>
  <c r="I66" i="3"/>
  <c r="C66" i="3"/>
  <c r="A66" i="3"/>
  <c r="I65" i="3"/>
  <c r="C65" i="3"/>
  <c r="A65" i="3"/>
  <c r="I64" i="3"/>
  <c r="C64" i="3"/>
  <c r="A64" i="3"/>
  <c r="I63" i="3"/>
  <c r="C63" i="3"/>
  <c r="A63" i="3"/>
  <c r="I62" i="3"/>
  <c r="C62" i="3"/>
  <c r="A62" i="3"/>
  <c r="I61" i="3"/>
  <c r="C61" i="3"/>
  <c r="A61" i="3"/>
  <c r="I60" i="3"/>
  <c r="C60" i="3"/>
  <c r="A60" i="3"/>
  <c r="I59" i="3"/>
  <c r="C59" i="3"/>
  <c r="A59" i="3"/>
  <c r="I58" i="3"/>
  <c r="C58" i="3"/>
  <c r="A58" i="3"/>
  <c r="I57" i="3"/>
  <c r="C57" i="3"/>
  <c r="A57" i="3"/>
  <c r="I56" i="3"/>
  <c r="C56" i="3"/>
  <c r="A56" i="3"/>
  <c r="I55" i="3"/>
  <c r="C55" i="3"/>
  <c r="A55" i="3"/>
  <c r="I54" i="3"/>
  <c r="C54" i="3"/>
  <c r="A54" i="3"/>
  <c r="I53" i="3"/>
  <c r="C53" i="3"/>
  <c r="A53" i="3"/>
  <c r="I52" i="3"/>
  <c r="C52" i="3"/>
  <c r="A52" i="3"/>
  <c r="I51" i="3"/>
  <c r="C51" i="3"/>
  <c r="A51" i="3"/>
  <c r="I50" i="3"/>
  <c r="C50" i="3"/>
  <c r="A50" i="3"/>
  <c r="I49" i="3"/>
  <c r="C49" i="3"/>
  <c r="A49" i="3"/>
  <c r="I48" i="3"/>
  <c r="C48" i="3"/>
  <c r="A48" i="3"/>
  <c r="I47" i="3"/>
  <c r="C47" i="3"/>
  <c r="A47" i="3"/>
  <c r="I46" i="3"/>
  <c r="C46" i="3"/>
  <c r="A46" i="3"/>
  <c r="I45" i="3"/>
  <c r="C45" i="3"/>
  <c r="A45" i="3"/>
  <c r="I44" i="3"/>
  <c r="C44" i="3"/>
  <c r="A44" i="3"/>
  <c r="I43" i="3"/>
  <c r="C43" i="3"/>
  <c r="A43" i="3"/>
  <c r="I42" i="3"/>
  <c r="C42" i="3"/>
  <c r="A42" i="3"/>
  <c r="I41" i="3"/>
  <c r="C41" i="3"/>
  <c r="A41" i="3"/>
  <c r="I40" i="3"/>
  <c r="C40" i="3"/>
  <c r="A40" i="3"/>
  <c r="I39" i="3"/>
  <c r="C39" i="3"/>
  <c r="A39" i="3"/>
  <c r="I38" i="3"/>
  <c r="C38" i="3"/>
  <c r="A38" i="3"/>
  <c r="I37" i="3"/>
  <c r="C37" i="3"/>
  <c r="A37" i="3"/>
  <c r="I36" i="3"/>
  <c r="C36" i="3"/>
  <c r="A36" i="3"/>
  <c r="I35" i="3"/>
  <c r="C35" i="3"/>
  <c r="A35" i="3"/>
  <c r="I34" i="3"/>
  <c r="C34" i="3"/>
  <c r="A34" i="3"/>
  <c r="I33" i="3"/>
  <c r="C33" i="3"/>
  <c r="A33" i="3"/>
  <c r="I32" i="3"/>
  <c r="C32" i="3"/>
  <c r="A32" i="3"/>
  <c r="I31" i="3"/>
  <c r="I30" i="3"/>
  <c r="I29" i="3"/>
  <c r="I28" i="3"/>
  <c r="I27" i="3"/>
  <c r="I26" i="3"/>
  <c r="I25" i="3"/>
  <c r="I24" i="3"/>
  <c r="I23" i="3"/>
  <c r="I22" i="3"/>
  <c r="I21" i="3"/>
  <c r="I20" i="3"/>
  <c r="I19" i="3"/>
  <c r="I18" i="3"/>
  <c r="I17" i="3"/>
  <c r="I16" i="3"/>
  <c r="I15" i="3"/>
  <c r="I14" i="3"/>
  <c r="I13" i="3"/>
  <c r="I12" i="3"/>
  <c r="I11" i="3"/>
  <c r="I10" i="3"/>
  <c r="I9" i="3"/>
  <c r="I8" i="3"/>
  <c r="C8" i="3"/>
  <c r="A8" i="3"/>
  <c r="I7" i="3"/>
  <c r="C7" i="3"/>
  <c r="A7" i="3"/>
  <c r="I6" i="3"/>
  <c r="C6" i="3"/>
  <c r="A6" i="3"/>
  <c r="I5" i="3"/>
  <c r="C5" i="3"/>
  <c r="A5" i="3"/>
  <c r="I4" i="3"/>
  <c r="C4" i="3"/>
  <c r="A4" i="3"/>
  <c r="I3" i="3"/>
  <c r="C3" i="3"/>
  <c r="A3" i="3"/>
  <c r="I2" i="3"/>
  <c r="C2" i="3"/>
  <c r="A2" i="3"/>
  <c r="R1000" i="2"/>
  <c r="L1000" i="2"/>
  <c r="A1000" i="2"/>
  <c r="R999" i="2"/>
  <c r="L999" i="2"/>
  <c r="A999" i="2"/>
  <c r="R998" i="2"/>
  <c r="L998" i="2"/>
  <c r="A998" i="2"/>
  <c r="R997" i="2"/>
  <c r="L997" i="2"/>
  <c r="A997" i="2"/>
  <c r="R996" i="2"/>
  <c r="L996" i="2"/>
  <c r="A996" i="2"/>
  <c r="R995" i="2"/>
  <c r="L995" i="2"/>
  <c r="A995" i="2"/>
  <c r="R994" i="2"/>
  <c r="L994" i="2"/>
  <c r="A994" i="2"/>
  <c r="R993" i="2"/>
  <c r="L993" i="2"/>
  <c r="A993" i="2"/>
  <c r="R992" i="2"/>
  <c r="L992" i="2"/>
  <c r="A992" i="2"/>
  <c r="R991" i="2"/>
  <c r="L991" i="2"/>
  <c r="A991" i="2"/>
  <c r="R990" i="2"/>
  <c r="L990" i="2"/>
  <c r="A990" i="2"/>
  <c r="R989" i="2"/>
  <c r="L989" i="2"/>
  <c r="A989" i="2"/>
  <c r="R988" i="2"/>
  <c r="L988" i="2"/>
  <c r="A988" i="2"/>
  <c r="R987" i="2"/>
  <c r="L987" i="2"/>
  <c r="A987" i="2"/>
  <c r="R986" i="2"/>
  <c r="L986" i="2"/>
  <c r="A986" i="2"/>
  <c r="R985" i="2"/>
  <c r="L985" i="2"/>
  <c r="A985" i="2"/>
  <c r="R984" i="2"/>
  <c r="L984" i="2"/>
  <c r="A984" i="2"/>
  <c r="R983" i="2"/>
  <c r="L983" i="2"/>
  <c r="A983" i="2"/>
  <c r="R982" i="2"/>
  <c r="L982" i="2"/>
  <c r="A982" i="2"/>
  <c r="R981" i="2"/>
  <c r="L981" i="2"/>
  <c r="A981" i="2"/>
  <c r="R980" i="2"/>
  <c r="L980" i="2"/>
  <c r="A980" i="2"/>
  <c r="R979" i="2"/>
  <c r="L979" i="2"/>
  <c r="A979" i="2"/>
  <c r="R978" i="2"/>
  <c r="L978" i="2"/>
  <c r="A978" i="2"/>
  <c r="R977" i="2"/>
  <c r="L977" i="2"/>
  <c r="A977" i="2"/>
  <c r="R976" i="2"/>
  <c r="L976" i="2"/>
  <c r="A976" i="2"/>
  <c r="R975" i="2"/>
  <c r="L975" i="2"/>
  <c r="A975" i="2"/>
  <c r="R974" i="2"/>
  <c r="L974" i="2"/>
  <c r="A974" i="2"/>
  <c r="R973" i="2"/>
  <c r="L973" i="2"/>
  <c r="A973" i="2"/>
  <c r="R972" i="2"/>
  <c r="L972" i="2"/>
  <c r="A972" i="2"/>
  <c r="R971" i="2"/>
  <c r="L971" i="2"/>
  <c r="A971" i="2"/>
  <c r="R970" i="2"/>
  <c r="L970" i="2"/>
  <c r="A970" i="2"/>
  <c r="R969" i="2"/>
  <c r="L969" i="2"/>
  <c r="A969" i="2"/>
  <c r="R968" i="2"/>
  <c r="L968" i="2"/>
  <c r="A968" i="2"/>
  <c r="R967" i="2"/>
  <c r="L967" i="2"/>
  <c r="A967" i="2"/>
  <c r="R966" i="2"/>
  <c r="L966" i="2"/>
  <c r="A966" i="2"/>
  <c r="R965" i="2"/>
  <c r="L965" i="2"/>
  <c r="A965" i="2"/>
  <c r="R964" i="2"/>
  <c r="L964" i="2"/>
  <c r="A964" i="2"/>
  <c r="R963" i="2"/>
  <c r="L963" i="2"/>
  <c r="A963" i="2"/>
  <c r="R962" i="2"/>
  <c r="L962" i="2"/>
  <c r="A962" i="2"/>
  <c r="R961" i="2"/>
  <c r="L961" i="2"/>
  <c r="A961" i="2"/>
  <c r="R960" i="2"/>
  <c r="L960" i="2"/>
  <c r="A960" i="2"/>
  <c r="R959" i="2"/>
  <c r="L959" i="2"/>
  <c r="A959" i="2"/>
  <c r="R958" i="2"/>
  <c r="L958" i="2"/>
  <c r="A958" i="2"/>
  <c r="R957" i="2"/>
  <c r="L957" i="2"/>
  <c r="A957" i="2"/>
  <c r="R956" i="2"/>
  <c r="L956" i="2"/>
  <c r="A956" i="2"/>
  <c r="R955" i="2"/>
  <c r="L955" i="2"/>
  <c r="A955" i="2"/>
  <c r="R954" i="2"/>
  <c r="L954" i="2"/>
  <c r="A954" i="2"/>
  <c r="R953" i="2"/>
  <c r="L953" i="2"/>
  <c r="A953" i="2"/>
  <c r="R952" i="2"/>
  <c r="L952" i="2"/>
  <c r="A952" i="2"/>
  <c r="R951" i="2"/>
  <c r="L951" i="2"/>
  <c r="A951" i="2"/>
  <c r="R950" i="2"/>
  <c r="L950" i="2"/>
  <c r="A950" i="2"/>
  <c r="R949" i="2"/>
  <c r="L949" i="2"/>
  <c r="A949" i="2"/>
  <c r="R948" i="2"/>
  <c r="L948" i="2"/>
  <c r="A948" i="2"/>
  <c r="R947" i="2"/>
  <c r="L947" i="2"/>
  <c r="A947" i="2"/>
  <c r="R946" i="2"/>
  <c r="L946" i="2"/>
  <c r="A946" i="2"/>
  <c r="R945" i="2"/>
  <c r="L945" i="2"/>
  <c r="A945" i="2"/>
  <c r="R944" i="2"/>
  <c r="L944" i="2"/>
  <c r="A944" i="2"/>
  <c r="R943" i="2"/>
  <c r="L943" i="2"/>
  <c r="A943" i="2"/>
  <c r="R942" i="2"/>
  <c r="L942" i="2"/>
  <c r="A942" i="2"/>
  <c r="R941" i="2"/>
  <c r="L941" i="2"/>
  <c r="A941" i="2"/>
  <c r="R940" i="2"/>
  <c r="L940" i="2"/>
  <c r="A940" i="2"/>
  <c r="R939" i="2"/>
  <c r="L939" i="2"/>
  <c r="A939" i="2"/>
  <c r="R938" i="2"/>
  <c r="L938" i="2"/>
  <c r="A938" i="2"/>
  <c r="R937" i="2"/>
  <c r="L937" i="2"/>
  <c r="A937" i="2"/>
  <c r="R936" i="2"/>
  <c r="L936" i="2"/>
  <c r="A936" i="2"/>
  <c r="R935" i="2"/>
  <c r="L935" i="2"/>
  <c r="A935" i="2"/>
  <c r="R934" i="2"/>
  <c r="L934" i="2"/>
  <c r="A934" i="2"/>
  <c r="R933" i="2"/>
  <c r="L933" i="2"/>
  <c r="A933" i="2"/>
  <c r="R932" i="2"/>
  <c r="L932" i="2"/>
  <c r="A932" i="2"/>
  <c r="R931" i="2"/>
  <c r="L931" i="2"/>
  <c r="A931" i="2"/>
  <c r="R930" i="2"/>
  <c r="L930" i="2"/>
  <c r="A930" i="2"/>
  <c r="R929" i="2"/>
  <c r="L929" i="2"/>
  <c r="A929" i="2"/>
  <c r="R928" i="2"/>
  <c r="L928" i="2"/>
  <c r="A928" i="2"/>
  <c r="R927" i="2"/>
  <c r="L927" i="2"/>
  <c r="A927" i="2"/>
  <c r="R926" i="2"/>
  <c r="L926" i="2"/>
  <c r="A926" i="2"/>
  <c r="R925" i="2"/>
  <c r="L925" i="2"/>
  <c r="A925" i="2"/>
  <c r="R924" i="2"/>
  <c r="L924" i="2"/>
  <c r="A924" i="2"/>
  <c r="R923" i="2"/>
  <c r="L923" i="2"/>
  <c r="A923" i="2"/>
  <c r="R922" i="2"/>
  <c r="L922" i="2"/>
  <c r="A922" i="2"/>
  <c r="R921" i="2"/>
  <c r="L921" i="2"/>
  <c r="A921" i="2"/>
  <c r="R920" i="2"/>
  <c r="L920" i="2"/>
  <c r="A920" i="2"/>
  <c r="R919" i="2"/>
  <c r="L919" i="2"/>
  <c r="A919" i="2"/>
  <c r="R918" i="2"/>
  <c r="L918" i="2"/>
  <c r="A918" i="2"/>
  <c r="R917" i="2"/>
  <c r="L917" i="2"/>
  <c r="A917" i="2"/>
  <c r="R916" i="2"/>
  <c r="L916" i="2"/>
  <c r="A916" i="2"/>
  <c r="R915" i="2"/>
  <c r="L915" i="2"/>
  <c r="A915" i="2"/>
  <c r="R914" i="2"/>
  <c r="L914" i="2"/>
  <c r="A914" i="2"/>
  <c r="R913" i="2"/>
  <c r="L913" i="2"/>
  <c r="A913" i="2"/>
  <c r="R912" i="2"/>
  <c r="L912" i="2"/>
  <c r="A912" i="2"/>
  <c r="R911" i="2"/>
  <c r="L911" i="2"/>
  <c r="A911" i="2"/>
  <c r="R910" i="2"/>
  <c r="L910" i="2"/>
  <c r="A910" i="2"/>
  <c r="R909" i="2"/>
  <c r="L909" i="2"/>
  <c r="A909" i="2"/>
  <c r="R908" i="2"/>
  <c r="L908" i="2"/>
  <c r="A908" i="2"/>
  <c r="R907" i="2"/>
  <c r="L907" i="2"/>
  <c r="A907" i="2"/>
  <c r="R906" i="2"/>
  <c r="L906" i="2"/>
  <c r="A906" i="2"/>
  <c r="R905" i="2"/>
  <c r="L905" i="2"/>
  <c r="A905" i="2"/>
  <c r="R904" i="2"/>
  <c r="L904" i="2"/>
  <c r="A904" i="2"/>
  <c r="R903" i="2"/>
  <c r="L903" i="2"/>
  <c r="A903" i="2"/>
  <c r="R902" i="2"/>
  <c r="L902" i="2"/>
  <c r="A902" i="2"/>
  <c r="R901" i="2"/>
  <c r="L901" i="2"/>
  <c r="A901" i="2"/>
  <c r="R900" i="2"/>
  <c r="L900" i="2"/>
  <c r="A900" i="2"/>
  <c r="R899" i="2"/>
  <c r="L899" i="2"/>
  <c r="A899" i="2"/>
  <c r="R898" i="2"/>
  <c r="L898" i="2"/>
  <c r="A898" i="2"/>
  <c r="R897" i="2"/>
  <c r="L897" i="2"/>
  <c r="A897" i="2"/>
  <c r="R896" i="2"/>
  <c r="L896" i="2"/>
  <c r="A896" i="2"/>
  <c r="R895" i="2"/>
  <c r="L895" i="2"/>
  <c r="A895" i="2"/>
  <c r="R894" i="2"/>
  <c r="L894" i="2"/>
  <c r="A894" i="2"/>
  <c r="R893" i="2"/>
  <c r="L893" i="2"/>
  <c r="A893" i="2"/>
  <c r="R892" i="2"/>
  <c r="L892" i="2"/>
  <c r="A892" i="2"/>
  <c r="R891" i="2"/>
  <c r="L891" i="2"/>
  <c r="A891" i="2"/>
  <c r="R890" i="2"/>
  <c r="L890" i="2"/>
  <c r="A890" i="2"/>
  <c r="R889" i="2"/>
  <c r="L889" i="2"/>
  <c r="A889" i="2"/>
  <c r="R888" i="2"/>
  <c r="L888" i="2"/>
  <c r="A888" i="2"/>
  <c r="R887" i="2"/>
  <c r="L887" i="2"/>
  <c r="A887" i="2"/>
  <c r="R886" i="2"/>
  <c r="L886" i="2"/>
  <c r="A886" i="2"/>
  <c r="R885" i="2"/>
  <c r="L885" i="2"/>
  <c r="A885" i="2"/>
  <c r="R884" i="2"/>
  <c r="L884" i="2"/>
  <c r="A884" i="2"/>
  <c r="R883" i="2"/>
  <c r="L883" i="2"/>
  <c r="A883" i="2"/>
  <c r="R882" i="2"/>
  <c r="L882" i="2"/>
  <c r="A882" i="2"/>
  <c r="R881" i="2"/>
  <c r="L881" i="2"/>
  <c r="A881" i="2"/>
  <c r="R880" i="2"/>
  <c r="L880" i="2"/>
  <c r="A880" i="2"/>
  <c r="R879" i="2"/>
  <c r="L879" i="2"/>
  <c r="A879" i="2"/>
  <c r="R878" i="2"/>
  <c r="L878" i="2"/>
  <c r="A878" i="2"/>
  <c r="R877" i="2"/>
  <c r="L877" i="2"/>
  <c r="A877" i="2"/>
  <c r="R876" i="2"/>
  <c r="L876" i="2"/>
  <c r="A876" i="2"/>
  <c r="R875" i="2"/>
  <c r="L875" i="2"/>
  <c r="A875" i="2"/>
  <c r="R874" i="2"/>
  <c r="L874" i="2"/>
  <c r="A874" i="2"/>
  <c r="R873" i="2"/>
  <c r="L873" i="2"/>
  <c r="A873" i="2"/>
  <c r="R872" i="2"/>
  <c r="L872" i="2"/>
  <c r="A872" i="2"/>
  <c r="R871" i="2"/>
  <c r="L871" i="2"/>
  <c r="A871" i="2"/>
  <c r="R870" i="2"/>
  <c r="L870" i="2"/>
  <c r="A870" i="2"/>
  <c r="R869" i="2"/>
  <c r="L869" i="2"/>
  <c r="A869" i="2"/>
  <c r="R868" i="2"/>
  <c r="L868" i="2"/>
  <c r="A868" i="2"/>
  <c r="R867" i="2"/>
  <c r="L867" i="2"/>
  <c r="A867" i="2"/>
  <c r="R866" i="2"/>
  <c r="L866" i="2"/>
  <c r="A866" i="2"/>
  <c r="R865" i="2"/>
  <c r="L865" i="2"/>
  <c r="A865" i="2"/>
  <c r="R864" i="2"/>
  <c r="L864" i="2"/>
  <c r="A864" i="2"/>
  <c r="R863" i="2"/>
  <c r="L863" i="2"/>
  <c r="A863" i="2"/>
  <c r="R862" i="2"/>
  <c r="L862" i="2"/>
  <c r="A862" i="2"/>
  <c r="R861" i="2"/>
  <c r="L861" i="2"/>
  <c r="A861" i="2"/>
  <c r="R860" i="2"/>
  <c r="L860" i="2"/>
  <c r="A860" i="2"/>
  <c r="R859" i="2"/>
  <c r="L859" i="2"/>
  <c r="A859" i="2"/>
  <c r="R858" i="2"/>
  <c r="L858" i="2"/>
  <c r="A858" i="2"/>
  <c r="R857" i="2"/>
  <c r="L857" i="2"/>
  <c r="A857" i="2"/>
  <c r="R856" i="2"/>
  <c r="L856" i="2"/>
  <c r="A856" i="2"/>
  <c r="R855" i="2"/>
  <c r="L855" i="2"/>
  <c r="A855" i="2"/>
  <c r="R854" i="2"/>
  <c r="L854" i="2"/>
  <c r="A854" i="2"/>
  <c r="R853" i="2"/>
  <c r="L853" i="2"/>
  <c r="A853" i="2"/>
  <c r="R852" i="2"/>
  <c r="L852" i="2"/>
  <c r="A852" i="2"/>
  <c r="R851" i="2"/>
  <c r="L851" i="2"/>
  <c r="A851" i="2"/>
  <c r="R850" i="2"/>
  <c r="L850" i="2"/>
  <c r="A850" i="2"/>
  <c r="R849" i="2"/>
  <c r="L849" i="2"/>
  <c r="A849" i="2"/>
  <c r="R848" i="2"/>
  <c r="L848" i="2"/>
  <c r="A848" i="2"/>
  <c r="R847" i="2"/>
  <c r="L847" i="2"/>
  <c r="A847" i="2"/>
  <c r="R846" i="2"/>
  <c r="L846" i="2"/>
  <c r="A846" i="2"/>
  <c r="R845" i="2"/>
  <c r="L845" i="2"/>
  <c r="A845" i="2"/>
  <c r="R844" i="2"/>
  <c r="L844" i="2"/>
  <c r="A844" i="2"/>
  <c r="R843" i="2"/>
  <c r="L843" i="2"/>
  <c r="A843" i="2"/>
  <c r="R842" i="2"/>
  <c r="L842" i="2"/>
  <c r="A842" i="2"/>
  <c r="R841" i="2"/>
  <c r="L841" i="2"/>
  <c r="A841" i="2"/>
  <c r="R840" i="2"/>
  <c r="L840" i="2"/>
  <c r="A840" i="2"/>
  <c r="R839" i="2"/>
  <c r="L839" i="2"/>
  <c r="A839" i="2"/>
  <c r="R838" i="2"/>
  <c r="L838" i="2"/>
  <c r="A838" i="2"/>
  <c r="R837" i="2"/>
  <c r="L837" i="2"/>
  <c r="A837" i="2"/>
  <c r="R836" i="2"/>
  <c r="L836" i="2"/>
  <c r="A836" i="2"/>
  <c r="R835" i="2"/>
  <c r="L835" i="2"/>
  <c r="A835" i="2"/>
  <c r="R834" i="2"/>
  <c r="L834" i="2"/>
  <c r="A834" i="2"/>
  <c r="R833" i="2"/>
  <c r="L833" i="2"/>
  <c r="A833" i="2"/>
  <c r="R832" i="2"/>
  <c r="L832" i="2"/>
  <c r="A832" i="2"/>
  <c r="R831" i="2"/>
  <c r="L831" i="2"/>
  <c r="A831" i="2"/>
  <c r="R830" i="2"/>
  <c r="L830" i="2"/>
  <c r="A830" i="2"/>
  <c r="R829" i="2"/>
  <c r="L829" i="2"/>
  <c r="A829" i="2"/>
  <c r="R828" i="2"/>
  <c r="L828" i="2"/>
  <c r="A828" i="2"/>
  <c r="R827" i="2"/>
  <c r="L827" i="2"/>
  <c r="A827" i="2"/>
  <c r="R826" i="2"/>
  <c r="L826" i="2"/>
  <c r="A826" i="2"/>
  <c r="R825" i="2"/>
  <c r="L825" i="2"/>
  <c r="A825" i="2"/>
  <c r="R824" i="2"/>
  <c r="L824" i="2"/>
  <c r="A824" i="2"/>
  <c r="R823" i="2"/>
  <c r="L823" i="2"/>
  <c r="A823" i="2"/>
  <c r="R822" i="2"/>
  <c r="L822" i="2"/>
  <c r="A822" i="2"/>
  <c r="R821" i="2"/>
  <c r="L821" i="2"/>
  <c r="A821" i="2"/>
  <c r="R820" i="2"/>
  <c r="L820" i="2"/>
  <c r="A820" i="2"/>
  <c r="R819" i="2"/>
  <c r="L819" i="2"/>
  <c r="A819" i="2"/>
  <c r="R818" i="2"/>
  <c r="L818" i="2"/>
  <c r="A818" i="2"/>
  <c r="R817" i="2"/>
  <c r="L817" i="2"/>
  <c r="A817" i="2"/>
  <c r="R816" i="2"/>
  <c r="L816" i="2"/>
  <c r="A816" i="2"/>
  <c r="R815" i="2"/>
  <c r="L815" i="2"/>
  <c r="A815" i="2"/>
  <c r="R814" i="2"/>
  <c r="L814" i="2"/>
  <c r="A814" i="2"/>
  <c r="R813" i="2"/>
  <c r="L813" i="2"/>
  <c r="A813" i="2"/>
  <c r="R812" i="2"/>
  <c r="L812" i="2"/>
  <c r="A812" i="2"/>
  <c r="R811" i="2"/>
  <c r="L811" i="2"/>
  <c r="A811" i="2"/>
  <c r="R810" i="2"/>
  <c r="L810" i="2"/>
  <c r="A810" i="2"/>
  <c r="R809" i="2"/>
  <c r="L809" i="2"/>
  <c r="A809" i="2"/>
  <c r="R808" i="2"/>
  <c r="L808" i="2"/>
  <c r="A808" i="2"/>
  <c r="R807" i="2"/>
  <c r="L807" i="2"/>
  <c r="A807" i="2"/>
  <c r="R806" i="2"/>
  <c r="L806" i="2"/>
  <c r="A806" i="2"/>
  <c r="R805" i="2"/>
  <c r="L805" i="2"/>
  <c r="A805" i="2"/>
  <c r="R804" i="2"/>
  <c r="L804" i="2"/>
  <c r="A804" i="2"/>
  <c r="R803" i="2"/>
  <c r="L803" i="2"/>
  <c r="A803" i="2"/>
  <c r="R802" i="2"/>
  <c r="L802" i="2"/>
  <c r="A802" i="2"/>
  <c r="R801" i="2"/>
  <c r="L801" i="2"/>
  <c r="A801" i="2"/>
  <c r="R800" i="2"/>
  <c r="L800" i="2"/>
  <c r="A800" i="2"/>
  <c r="R799" i="2"/>
  <c r="L799" i="2"/>
  <c r="A799" i="2"/>
  <c r="R798" i="2"/>
  <c r="L798" i="2"/>
  <c r="A798" i="2"/>
  <c r="R797" i="2"/>
  <c r="L797" i="2"/>
  <c r="A797" i="2"/>
  <c r="R796" i="2"/>
  <c r="L796" i="2"/>
  <c r="A796" i="2"/>
  <c r="R795" i="2"/>
  <c r="L795" i="2"/>
  <c r="A795" i="2"/>
  <c r="R794" i="2"/>
  <c r="L794" i="2"/>
  <c r="A794" i="2"/>
  <c r="R793" i="2"/>
  <c r="L793" i="2"/>
  <c r="A793" i="2"/>
  <c r="R792" i="2"/>
  <c r="L792" i="2"/>
  <c r="A792" i="2"/>
  <c r="R791" i="2"/>
  <c r="L791" i="2"/>
  <c r="A791" i="2"/>
  <c r="R790" i="2"/>
  <c r="L790" i="2"/>
  <c r="A790" i="2"/>
  <c r="R789" i="2"/>
  <c r="L789" i="2"/>
  <c r="A789" i="2"/>
  <c r="R788" i="2"/>
  <c r="L788" i="2"/>
  <c r="A788" i="2"/>
  <c r="R787" i="2"/>
  <c r="L787" i="2"/>
  <c r="A787" i="2"/>
  <c r="R786" i="2"/>
  <c r="L786" i="2"/>
  <c r="A786" i="2"/>
  <c r="R785" i="2"/>
  <c r="L785" i="2"/>
  <c r="A785" i="2"/>
  <c r="R784" i="2"/>
  <c r="L784" i="2"/>
  <c r="A784" i="2"/>
  <c r="R783" i="2"/>
  <c r="L783" i="2"/>
  <c r="A783" i="2"/>
  <c r="R782" i="2"/>
  <c r="L782" i="2"/>
  <c r="A782" i="2"/>
  <c r="R781" i="2"/>
  <c r="L781" i="2"/>
  <c r="A781" i="2"/>
  <c r="R780" i="2"/>
  <c r="L780" i="2"/>
  <c r="A780" i="2"/>
  <c r="R779" i="2"/>
  <c r="L779" i="2"/>
  <c r="A779" i="2"/>
  <c r="R778" i="2"/>
  <c r="L778" i="2"/>
  <c r="A778" i="2"/>
  <c r="R777" i="2"/>
  <c r="L777" i="2"/>
  <c r="A777" i="2"/>
  <c r="R776" i="2"/>
  <c r="L776" i="2"/>
  <c r="A776" i="2"/>
  <c r="R775" i="2"/>
  <c r="L775" i="2"/>
  <c r="A775" i="2"/>
  <c r="R774" i="2"/>
  <c r="L774" i="2"/>
  <c r="A774" i="2"/>
  <c r="R773" i="2"/>
  <c r="L773" i="2"/>
  <c r="A773" i="2"/>
  <c r="R772" i="2"/>
  <c r="L772" i="2"/>
  <c r="A772" i="2"/>
  <c r="R771" i="2"/>
  <c r="L771" i="2"/>
  <c r="A771" i="2"/>
  <c r="R770" i="2"/>
  <c r="L770" i="2"/>
  <c r="A770" i="2"/>
  <c r="R769" i="2"/>
  <c r="L769" i="2"/>
  <c r="A769" i="2"/>
  <c r="R768" i="2"/>
  <c r="L768" i="2"/>
  <c r="A768" i="2"/>
  <c r="R767" i="2"/>
  <c r="L767" i="2"/>
  <c r="A767" i="2"/>
  <c r="R766" i="2"/>
  <c r="L766" i="2"/>
  <c r="A766" i="2"/>
  <c r="R765" i="2"/>
  <c r="L765" i="2"/>
  <c r="A765" i="2"/>
  <c r="R764" i="2"/>
  <c r="L764" i="2"/>
  <c r="A764" i="2"/>
  <c r="R763" i="2"/>
  <c r="L763" i="2"/>
  <c r="A763" i="2"/>
  <c r="R762" i="2"/>
  <c r="L762" i="2"/>
  <c r="A762" i="2"/>
  <c r="R761" i="2"/>
  <c r="L761" i="2"/>
  <c r="A761" i="2"/>
  <c r="R760" i="2"/>
  <c r="L760" i="2"/>
  <c r="A760" i="2"/>
  <c r="R759" i="2"/>
  <c r="L759" i="2"/>
  <c r="A759" i="2"/>
  <c r="R758" i="2"/>
  <c r="L758" i="2"/>
  <c r="A758" i="2"/>
  <c r="R757" i="2"/>
  <c r="L757" i="2"/>
  <c r="A757" i="2"/>
  <c r="R756" i="2"/>
  <c r="L756" i="2"/>
  <c r="A756" i="2"/>
  <c r="R755" i="2"/>
  <c r="L755" i="2"/>
  <c r="A755" i="2"/>
  <c r="R754" i="2"/>
  <c r="L754" i="2"/>
  <c r="A754" i="2"/>
  <c r="R753" i="2"/>
  <c r="L753" i="2"/>
  <c r="A753" i="2"/>
  <c r="R752" i="2"/>
  <c r="L752" i="2"/>
  <c r="A752" i="2"/>
  <c r="R751" i="2"/>
  <c r="L751" i="2"/>
  <c r="A751" i="2"/>
  <c r="R750" i="2"/>
  <c r="L750" i="2"/>
  <c r="A750" i="2"/>
  <c r="R749" i="2"/>
  <c r="L749" i="2"/>
  <c r="A749" i="2"/>
  <c r="R748" i="2"/>
  <c r="L748" i="2"/>
  <c r="A748" i="2"/>
  <c r="R747" i="2"/>
  <c r="L747" i="2"/>
  <c r="A747" i="2"/>
  <c r="R746" i="2"/>
  <c r="L746" i="2"/>
  <c r="A746" i="2"/>
  <c r="R745" i="2"/>
  <c r="L745" i="2"/>
  <c r="A745" i="2"/>
  <c r="R744" i="2"/>
  <c r="L744" i="2"/>
  <c r="A744" i="2"/>
  <c r="R743" i="2"/>
  <c r="L743" i="2"/>
  <c r="A743" i="2"/>
  <c r="R742" i="2"/>
  <c r="L742" i="2"/>
  <c r="A742" i="2"/>
  <c r="R741" i="2"/>
  <c r="L741" i="2"/>
  <c r="A741" i="2"/>
  <c r="R740" i="2"/>
  <c r="L740" i="2"/>
  <c r="A740" i="2"/>
  <c r="R739" i="2"/>
  <c r="L739" i="2"/>
  <c r="A739" i="2"/>
  <c r="R738" i="2"/>
  <c r="L738" i="2"/>
  <c r="A738" i="2"/>
  <c r="R737" i="2"/>
  <c r="L737" i="2"/>
  <c r="A737" i="2"/>
  <c r="R736" i="2"/>
  <c r="L736" i="2"/>
  <c r="A736" i="2"/>
  <c r="R735" i="2"/>
  <c r="L735" i="2"/>
  <c r="A735" i="2"/>
  <c r="R734" i="2"/>
  <c r="L734" i="2"/>
  <c r="A734" i="2"/>
  <c r="R733" i="2"/>
  <c r="L733" i="2"/>
  <c r="A733" i="2"/>
  <c r="R732" i="2"/>
  <c r="L732" i="2"/>
  <c r="A732" i="2"/>
  <c r="R731" i="2"/>
  <c r="L731" i="2"/>
  <c r="A731" i="2"/>
  <c r="R730" i="2"/>
  <c r="L730" i="2"/>
  <c r="A730" i="2"/>
  <c r="R729" i="2"/>
  <c r="L729" i="2"/>
  <c r="A729" i="2"/>
  <c r="R728" i="2"/>
  <c r="L728" i="2"/>
  <c r="A728" i="2"/>
  <c r="R727" i="2"/>
  <c r="L727" i="2"/>
  <c r="A727" i="2"/>
  <c r="R726" i="2"/>
  <c r="L726" i="2"/>
  <c r="A726" i="2"/>
  <c r="R725" i="2"/>
  <c r="L725" i="2"/>
  <c r="A725" i="2"/>
  <c r="R724" i="2"/>
  <c r="L724" i="2"/>
  <c r="A724" i="2"/>
  <c r="R723" i="2"/>
  <c r="L723" i="2"/>
  <c r="A723" i="2"/>
  <c r="R722" i="2"/>
  <c r="L722" i="2"/>
  <c r="A722" i="2"/>
  <c r="R721" i="2"/>
  <c r="L721" i="2"/>
  <c r="A721" i="2"/>
  <c r="R720" i="2"/>
  <c r="L720" i="2"/>
  <c r="A720" i="2"/>
  <c r="R719" i="2"/>
  <c r="L719" i="2"/>
  <c r="A719" i="2"/>
  <c r="R718" i="2"/>
  <c r="L718" i="2"/>
  <c r="A718" i="2"/>
  <c r="R717" i="2"/>
  <c r="L717" i="2"/>
  <c r="A717" i="2"/>
  <c r="R716" i="2"/>
  <c r="L716" i="2"/>
  <c r="A716" i="2"/>
  <c r="R715" i="2"/>
  <c r="L715" i="2"/>
  <c r="A715" i="2"/>
  <c r="R714" i="2"/>
  <c r="L714" i="2"/>
  <c r="A714" i="2"/>
  <c r="R713" i="2"/>
  <c r="L713" i="2"/>
  <c r="A713" i="2"/>
  <c r="R712" i="2"/>
  <c r="L712" i="2"/>
  <c r="A712" i="2"/>
  <c r="R711" i="2"/>
  <c r="L711" i="2"/>
  <c r="A711" i="2"/>
  <c r="R710" i="2"/>
  <c r="L710" i="2"/>
  <c r="A710" i="2"/>
  <c r="R709" i="2"/>
  <c r="L709" i="2"/>
  <c r="A709" i="2"/>
  <c r="R708" i="2"/>
  <c r="L708" i="2"/>
  <c r="A708" i="2"/>
  <c r="R707" i="2"/>
  <c r="L707" i="2"/>
  <c r="A707" i="2"/>
  <c r="R706" i="2"/>
  <c r="L706" i="2"/>
  <c r="A706" i="2"/>
  <c r="R705" i="2"/>
  <c r="L705" i="2"/>
  <c r="A705" i="2"/>
  <c r="R704" i="2"/>
  <c r="L704" i="2"/>
  <c r="A704" i="2"/>
  <c r="R703" i="2"/>
  <c r="L703" i="2"/>
  <c r="A703" i="2"/>
  <c r="R702" i="2"/>
  <c r="L702" i="2"/>
  <c r="A702" i="2"/>
  <c r="R701" i="2"/>
  <c r="L701" i="2"/>
  <c r="A701" i="2"/>
  <c r="R700" i="2"/>
  <c r="L700" i="2"/>
  <c r="A700" i="2"/>
  <c r="R699" i="2"/>
  <c r="L699" i="2"/>
  <c r="A699" i="2"/>
  <c r="R698" i="2"/>
  <c r="L698" i="2"/>
  <c r="A698" i="2"/>
  <c r="R697" i="2"/>
  <c r="L697" i="2"/>
  <c r="A697" i="2"/>
  <c r="R696" i="2"/>
  <c r="L696" i="2"/>
  <c r="A696" i="2"/>
  <c r="R695" i="2"/>
  <c r="L695" i="2"/>
  <c r="A695" i="2"/>
  <c r="R694" i="2"/>
  <c r="L694" i="2"/>
  <c r="A694" i="2"/>
  <c r="R693" i="2"/>
  <c r="L693" i="2"/>
  <c r="A693" i="2"/>
  <c r="R692" i="2"/>
  <c r="L692" i="2"/>
  <c r="A692" i="2"/>
  <c r="R691" i="2"/>
  <c r="L691" i="2"/>
  <c r="A691" i="2"/>
  <c r="R690" i="2"/>
  <c r="L690" i="2"/>
  <c r="A690" i="2"/>
  <c r="R689" i="2"/>
  <c r="L689" i="2"/>
  <c r="A689" i="2"/>
  <c r="R688" i="2"/>
  <c r="L688" i="2"/>
  <c r="A688" i="2"/>
  <c r="R687" i="2"/>
  <c r="L687" i="2"/>
  <c r="A687" i="2"/>
  <c r="R686" i="2"/>
  <c r="L686" i="2"/>
  <c r="A686" i="2"/>
  <c r="R685" i="2"/>
  <c r="L685" i="2"/>
  <c r="A685" i="2"/>
  <c r="R684" i="2"/>
  <c r="L684" i="2"/>
  <c r="A684" i="2"/>
  <c r="R683" i="2"/>
  <c r="L683" i="2"/>
  <c r="A683" i="2"/>
  <c r="R682" i="2"/>
  <c r="L682" i="2"/>
  <c r="A682" i="2"/>
  <c r="R681" i="2"/>
  <c r="L681" i="2"/>
  <c r="A681" i="2"/>
  <c r="R680" i="2"/>
  <c r="L680" i="2"/>
  <c r="A680" i="2"/>
  <c r="R679" i="2"/>
  <c r="L679" i="2"/>
  <c r="A679" i="2"/>
  <c r="R678" i="2"/>
  <c r="L678" i="2"/>
  <c r="A678" i="2"/>
  <c r="R677" i="2"/>
  <c r="L677" i="2"/>
  <c r="A677" i="2"/>
  <c r="R676" i="2"/>
  <c r="L676" i="2"/>
  <c r="A676" i="2"/>
  <c r="R675" i="2"/>
  <c r="L675" i="2"/>
  <c r="A675" i="2"/>
  <c r="R674" i="2"/>
  <c r="L674" i="2"/>
  <c r="A674" i="2"/>
  <c r="R673" i="2"/>
  <c r="L673" i="2"/>
  <c r="A673" i="2"/>
  <c r="R672" i="2"/>
  <c r="L672" i="2"/>
  <c r="A672" i="2"/>
  <c r="R671" i="2"/>
  <c r="L671" i="2"/>
  <c r="A671" i="2"/>
  <c r="R670" i="2"/>
  <c r="L670" i="2"/>
  <c r="A670" i="2"/>
  <c r="R669" i="2"/>
  <c r="L669" i="2"/>
  <c r="A669" i="2"/>
  <c r="R668" i="2"/>
  <c r="L668" i="2"/>
  <c r="A668" i="2"/>
  <c r="R667" i="2"/>
  <c r="L667" i="2"/>
  <c r="A667" i="2"/>
  <c r="R666" i="2"/>
  <c r="L666" i="2"/>
  <c r="A666" i="2"/>
  <c r="R665" i="2"/>
  <c r="L665" i="2"/>
  <c r="A665" i="2"/>
  <c r="R664" i="2"/>
  <c r="L664" i="2"/>
  <c r="A664" i="2"/>
  <c r="R663" i="2"/>
  <c r="L663" i="2"/>
  <c r="A663" i="2"/>
  <c r="R662" i="2"/>
  <c r="L662" i="2"/>
  <c r="A662" i="2"/>
  <c r="R661" i="2"/>
  <c r="L661" i="2"/>
  <c r="A661" i="2"/>
  <c r="R660" i="2"/>
  <c r="L660" i="2"/>
  <c r="A660" i="2"/>
  <c r="R659" i="2"/>
  <c r="L659" i="2"/>
  <c r="A659" i="2"/>
  <c r="R658" i="2"/>
  <c r="L658" i="2"/>
  <c r="A658" i="2"/>
  <c r="R657" i="2"/>
  <c r="L657" i="2"/>
  <c r="A657" i="2"/>
  <c r="R656" i="2"/>
  <c r="L656" i="2"/>
  <c r="A656" i="2"/>
  <c r="R655" i="2"/>
  <c r="L655" i="2"/>
  <c r="A655" i="2"/>
  <c r="R654" i="2"/>
  <c r="L654" i="2"/>
  <c r="A654" i="2"/>
  <c r="R653" i="2"/>
  <c r="L653" i="2"/>
  <c r="A653" i="2"/>
  <c r="R652" i="2"/>
  <c r="L652" i="2"/>
  <c r="A652" i="2"/>
  <c r="R651" i="2"/>
  <c r="L651" i="2"/>
  <c r="A651" i="2"/>
  <c r="R650" i="2"/>
  <c r="L650" i="2"/>
  <c r="A650" i="2"/>
  <c r="R649" i="2"/>
  <c r="L649" i="2"/>
  <c r="A649" i="2"/>
  <c r="R648" i="2"/>
  <c r="L648" i="2"/>
  <c r="A648" i="2"/>
  <c r="R647" i="2"/>
  <c r="L647" i="2"/>
  <c r="A647" i="2"/>
  <c r="R646" i="2"/>
  <c r="L646" i="2"/>
  <c r="A646" i="2"/>
  <c r="R645" i="2"/>
  <c r="L645" i="2"/>
  <c r="A645" i="2"/>
  <c r="R644" i="2"/>
  <c r="L644" i="2"/>
  <c r="A644" i="2"/>
  <c r="R643" i="2"/>
  <c r="L643" i="2"/>
  <c r="A643" i="2"/>
  <c r="R642" i="2"/>
  <c r="L642" i="2"/>
  <c r="A642" i="2"/>
  <c r="R641" i="2"/>
  <c r="L641" i="2"/>
  <c r="A641" i="2"/>
  <c r="R640" i="2"/>
  <c r="L640" i="2"/>
  <c r="A640" i="2"/>
  <c r="R639" i="2"/>
  <c r="L639" i="2"/>
  <c r="A639" i="2"/>
  <c r="R638" i="2"/>
  <c r="L638" i="2"/>
  <c r="A638" i="2"/>
  <c r="R637" i="2"/>
  <c r="L637" i="2"/>
  <c r="A637" i="2"/>
  <c r="R636" i="2"/>
  <c r="L636" i="2"/>
  <c r="A636" i="2"/>
  <c r="R635" i="2"/>
  <c r="L635" i="2"/>
  <c r="A635" i="2"/>
  <c r="R634" i="2"/>
  <c r="L634" i="2"/>
  <c r="A634" i="2"/>
  <c r="R633" i="2"/>
  <c r="L633" i="2"/>
  <c r="A633" i="2"/>
  <c r="R632" i="2"/>
  <c r="L632" i="2"/>
  <c r="A632" i="2"/>
  <c r="R631" i="2"/>
  <c r="L631" i="2"/>
  <c r="A631" i="2"/>
  <c r="R630" i="2"/>
  <c r="L630" i="2"/>
  <c r="A630" i="2"/>
  <c r="R629" i="2"/>
  <c r="L629" i="2"/>
  <c r="A629" i="2"/>
  <c r="R628" i="2"/>
  <c r="L628" i="2"/>
  <c r="A628" i="2"/>
  <c r="R627" i="2"/>
  <c r="L627" i="2"/>
  <c r="A627" i="2"/>
  <c r="R626" i="2"/>
  <c r="L626" i="2"/>
  <c r="A626" i="2"/>
  <c r="R625" i="2"/>
  <c r="L625" i="2"/>
  <c r="A625" i="2"/>
  <c r="R624" i="2"/>
  <c r="L624" i="2"/>
  <c r="A624" i="2"/>
  <c r="R623" i="2"/>
  <c r="L623" i="2"/>
  <c r="A623" i="2"/>
  <c r="R622" i="2"/>
  <c r="L622" i="2"/>
  <c r="A622" i="2"/>
  <c r="R621" i="2"/>
  <c r="L621" i="2"/>
  <c r="A621" i="2"/>
  <c r="R620" i="2"/>
  <c r="L620" i="2"/>
  <c r="A620" i="2"/>
  <c r="R619" i="2"/>
  <c r="L619" i="2"/>
  <c r="A619" i="2"/>
  <c r="R618" i="2"/>
  <c r="L618" i="2"/>
  <c r="A618" i="2"/>
  <c r="R617" i="2"/>
  <c r="L617" i="2"/>
  <c r="A617" i="2"/>
  <c r="R616" i="2"/>
  <c r="L616" i="2"/>
  <c r="A616" i="2"/>
  <c r="R615" i="2"/>
  <c r="L615" i="2"/>
  <c r="A615" i="2"/>
  <c r="R614" i="2"/>
  <c r="L614" i="2"/>
  <c r="A614" i="2"/>
  <c r="R613" i="2"/>
  <c r="L613" i="2"/>
  <c r="A613" i="2"/>
  <c r="R612" i="2"/>
  <c r="L612" i="2"/>
  <c r="A612" i="2"/>
  <c r="R611" i="2"/>
  <c r="L611" i="2"/>
  <c r="A611" i="2"/>
  <c r="R610" i="2"/>
  <c r="L610" i="2"/>
  <c r="A610" i="2"/>
  <c r="R609" i="2"/>
  <c r="L609" i="2"/>
  <c r="A609" i="2"/>
  <c r="R608" i="2"/>
  <c r="L608" i="2"/>
  <c r="A608" i="2"/>
  <c r="R607" i="2"/>
  <c r="L607" i="2"/>
  <c r="A607" i="2"/>
  <c r="R606" i="2"/>
  <c r="L606" i="2"/>
  <c r="A606" i="2"/>
  <c r="R605" i="2"/>
  <c r="L605" i="2"/>
  <c r="A605" i="2"/>
  <c r="R604" i="2"/>
  <c r="L604" i="2"/>
  <c r="A604" i="2"/>
  <c r="R603" i="2"/>
  <c r="L603" i="2"/>
  <c r="A603" i="2"/>
  <c r="R602" i="2"/>
  <c r="L602" i="2"/>
  <c r="A602" i="2"/>
  <c r="R601" i="2"/>
  <c r="L601" i="2"/>
  <c r="A601" i="2"/>
  <c r="R600" i="2"/>
  <c r="L600" i="2"/>
  <c r="A600" i="2"/>
  <c r="R599" i="2"/>
  <c r="L599" i="2"/>
  <c r="A599" i="2"/>
  <c r="R598" i="2"/>
  <c r="L598" i="2"/>
  <c r="A598" i="2"/>
  <c r="R597" i="2"/>
  <c r="L597" i="2"/>
  <c r="A597" i="2"/>
  <c r="R596" i="2"/>
  <c r="L596" i="2"/>
  <c r="A596" i="2"/>
  <c r="R595" i="2"/>
  <c r="L595" i="2"/>
  <c r="A595" i="2"/>
  <c r="R594" i="2"/>
  <c r="L594" i="2"/>
  <c r="A594" i="2"/>
  <c r="R593" i="2"/>
  <c r="L593" i="2"/>
  <c r="A593" i="2"/>
  <c r="R592" i="2"/>
  <c r="L592" i="2"/>
  <c r="A592" i="2"/>
  <c r="R591" i="2"/>
  <c r="L591" i="2"/>
  <c r="A591" i="2"/>
  <c r="R590" i="2"/>
  <c r="L590" i="2"/>
  <c r="A590" i="2"/>
  <c r="R589" i="2"/>
  <c r="L589" i="2"/>
  <c r="A589" i="2"/>
  <c r="R588" i="2"/>
  <c r="L588" i="2"/>
  <c r="A588" i="2"/>
  <c r="R587" i="2"/>
  <c r="L587" i="2"/>
  <c r="A587" i="2"/>
  <c r="R586" i="2"/>
  <c r="L586" i="2"/>
  <c r="A586" i="2"/>
  <c r="R585" i="2"/>
  <c r="L585" i="2"/>
  <c r="A585" i="2"/>
  <c r="R584" i="2"/>
  <c r="L584" i="2"/>
  <c r="A584" i="2"/>
  <c r="R583" i="2"/>
  <c r="L583" i="2"/>
  <c r="A583" i="2"/>
  <c r="R582" i="2"/>
  <c r="L582" i="2"/>
  <c r="A582" i="2"/>
  <c r="R581" i="2"/>
  <c r="L581" i="2"/>
  <c r="A581" i="2"/>
  <c r="R580" i="2"/>
  <c r="L580" i="2"/>
  <c r="A580" i="2"/>
  <c r="R579" i="2"/>
  <c r="L579" i="2"/>
  <c r="A579" i="2"/>
  <c r="R578" i="2"/>
  <c r="L578" i="2"/>
  <c r="A578" i="2"/>
  <c r="R577" i="2"/>
  <c r="L577" i="2"/>
  <c r="A577" i="2"/>
  <c r="R576" i="2"/>
  <c r="L576" i="2"/>
  <c r="A576" i="2"/>
  <c r="R575" i="2"/>
  <c r="L575" i="2"/>
  <c r="A575" i="2"/>
  <c r="R574" i="2"/>
  <c r="L574" i="2"/>
  <c r="A574" i="2"/>
  <c r="R573" i="2"/>
  <c r="L573" i="2"/>
  <c r="A573" i="2"/>
  <c r="R572" i="2"/>
  <c r="L572" i="2"/>
  <c r="A572" i="2"/>
  <c r="R571" i="2"/>
  <c r="L571" i="2"/>
  <c r="A571" i="2"/>
  <c r="R570" i="2"/>
  <c r="L570" i="2"/>
  <c r="A570" i="2"/>
  <c r="R569" i="2"/>
  <c r="L569" i="2"/>
  <c r="A569" i="2"/>
  <c r="R568" i="2"/>
  <c r="L568" i="2"/>
  <c r="A568" i="2"/>
  <c r="R567" i="2"/>
  <c r="L567" i="2"/>
  <c r="A567" i="2"/>
  <c r="R566" i="2"/>
  <c r="L566" i="2"/>
  <c r="A566" i="2"/>
  <c r="R565" i="2"/>
  <c r="L565" i="2"/>
  <c r="A565" i="2"/>
  <c r="R564" i="2"/>
  <c r="L564" i="2"/>
  <c r="A564" i="2"/>
  <c r="R563" i="2"/>
  <c r="L563" i="2"/>
  <c r="A563" i="2"/>
  <c r="R562" i="2"/>
  <c r="L562" i="2"/>
  <c r="A562" i="2"/>
  <c r="R561" i="2"/>
  <c r="L561" i="2"/>
  <c r="A561" i="2"/>
  <c r="R560" i="2"/>
  <c r="L560" i="2"/>
  <c r="A560" i="2"/>
  <c r="R559" i="2"/>
  <c r="L559" i="2"/>
  <c r="A559" i="2"/>
  <c r="R558" i="2"/>
  <c r="L558" i="2"/>
  <c r="A558" i="2"/>
  <c r="R557" i="2"/>
  <c r="L557" i="2"/>
  <c r="A557" i="2"/>
  <c r="R556" i="2"/>
  <c r="L556" i="2"/>
  <c r="A556" i="2"/>
  <c r="R555" i="2"/>
  <c r="L555" i="2"/>
  <c r="A555" i="2"/>
  <c r="R554" i="2"/>
  <c r="L554" i="2"/>
  <c r="A554" i="2"/>
  <c r="R553" i="2"/>
  <c r="L553" i="2"/>
  <c r="A553" i="2"/>
  <c r="R552" i="2"/>
  <c r="L552" i="2"/>
  <c r="A552" i="2"/>
  <c r="R551" i="2"/>
  <c r="L551" i="2"/>
  <c r="A551" i="2"/>
  <c r="R550" i="2"/>
  <c r="L550" i="2"/>
  <c r="A550" i="2"/>
  <c r="R549" i="2"/>
  <c r="L549" i="2"/>
  <c r="A549" i="2"/>
  <c r="R548" i="2"/>
  <c r="L548" i="2"/>
  <c r="A548" i="2"/>
  <c r="R547" i="2"/>
  <c r="L547" i="2"/>
  <c r="A547" i="2"/>
  <c r="R546" i="2"/>
  <c r="L546" i="2"/>
  <c r="A546" i="2"/>
  <c r="R545" i="2"/>
  <c r="L545" i="2"/>
  <c r="A545" i="2"/>
  <c r="R544" i="2"/>
  <c r="L544" i="2"/>
  <c r="A544" i="2"/>
  <c r="R543" i="2"/>
  <c r="L543" i="2"/>
  <c r="A543" i="2"/>
  <c r="R542" i="2"/>
  <c r="L542" i="2"/>
  <c r="A542" i="2"/>
  <c r="R541" i="2"/>
  <c r="L541" i="2"/>
  <c r="A541" i="2"/>
  <c r="R540" i="2"/>
  <c r="L540" i="2"/>
  <c r="A540" i="2"/>
  <c r="R539" i="2"/>
  <c r="L539" i="2"/>
  <c r="A539" i="2"/>
  <c r="R538" i="2"/>
  <c r="L538" i="2"/>
  <c r="A538" i="2"/>
  <c r="R537" i="2"/>
  <c r="L537" i="2"/>
  <c r="A537" i="2"/>
  <c r="R536" i="2"/>
  <c r="L536" i="2"/>
  <c r="A536" i="2"/>
  <c r="R535" i="2"/>
  <c r="L535" i="2"/>
  <c r="A535" i="2"/>
  <c r="R534" i="2"/>
  <c r="L534" i="2"/>
  <c r="A534" i="2"/>
  <c r="R533" i="2"/>
  <c r="L533" i="2"/>
  <c r="A533" i="2"/>
  <c r="R532" i="2"/>
  <c r="L532" i="2"/>
  <c r="A532" i="2"/>
  <c r="R531" i="2"/>
  <c r="L531" i="2"/>
  <c r="A531" i="2"/>
  <c r="R530" i="2"/>
  <c r="L530" i="2"/>
  <c r="A530" i="2"/>
  <c r="R529" i="2"/>
  <c r="L529" i="2"/>
  <c r="A529" i="2"/>
  <c r="R528" i="2"/>
  <c r="L528" i="2"/>
  <c r="A528" i="2"/>
  <c r="R527" i="2"/>
  <c r="L527" i="2"/>
  <c r="A527" i="2"/>
  <c r="R526" i="2"/>
  <c r="L526" i="2"/>
  <c r="A526" i="2"/>
  <c r="R525" i="2"/>
  <c r="L525" i="2"/>
  <c r="A525" i="2"/>
  <c r="R524" i="2"/>
  <c r="L524" i="2"/>
  <c r="A524" i="2"/>
  <c r="R523" i="2"/>
  <c r="L523" i="2"/>
  <c r="A523" i="2"/>
  <c r="R522" i="2"/>
  <c r="L522" i="2"/>
  <c r="A522" i="2"/>
  <c r="R521" i="2"/>
  <c r="L521" i="2"/>
  <c r="A521" i="2"/>
  <c r="R520" i="2"/>
  <c r="L520" i="2"/>
  <c r="A520" i="2"/>
  <c r="R519" i="2"/>
  <c r="L519" i="2"/>
  <c r="A519" i="2"/>
  <c r="R518" i="2"/>
  <c r="L518" i="2"/>
  <c r="A518" i="2"/>
  <c r="R517" i="2"/>
  <c r="L517" i="2"/>
  <c r="A517" i="2"/>
  <c r="R516" i="2"/>
  <c r="L516" i="2"/>
  <c r="A516" i="2"/>
  <c r="R515" i="2"/>
  <c r="L515" i="2"/>
  <c r="A515" i="2"/>
  <c r="R514" i="2"/>
  <c r="L514" i="2"/>
  <c r="A514" i="2"/>
  <c r="R513" i="2"/>
  <c r="L513" i="2"/>
  <c r="A513" i="2"/>
  <c r="R512" i="2"/>
  <c r="L512" i="2"/>
  <c r="A512" i="2"/>
  <c r="R511" i="2"/>
  <c r="L511" i="2"/>
  <c r="A511" i="2"/>
  <c r="R510" i="2"/>
  <c r="L510" i="2"/>
  <c r="A510" i="2"/>
  <c r="R509" i="2"/>
  <c r="L509" i="2"/>
  <c r="A509" i="2"/>
  <c r="R508" i="2"/>
  <c r="L508" i="2"/>
  <c r="A508" i="2"/>
  <c r="R507" i="2"/>
  <c r="L507" i="2"/>
  <c r="A507" i="2"/>
  <c r="R506" i="2"/>
  <c r="L506" i="2"/>
  <c r="A506" i="2"/>
  <c r="R505" i="2"/>
  <c r="L505" i="2"/>
  <c r="A505" i="2"/>
  <c r="R504" i="2"/>
  <c r="L504" i="2"/>
  <c r="A504" i="2"/>
  <c r="R503" i="2"/>
  <c r="L503" i="2"/>
  <c r="A503" i="2"/>
  <c r="R502" i="2"/>
  <c r="L502" i="2"/>
  <c r="A502" i="2"/>
  <c r="R501" i="2"/>
  <c r="L501" i="2"/>
  <c r="A501" i="2"/>
  <c r="R500" i="2"/>
  <c r="L500" i="2"/>
  <c r="A500" i="2"/>
  <c r="R499" i="2"/>
  <c r="L499" i="2"/>
  <c r="A499" i="2"/>
  <c r="R498" i="2"/>
  <c r="L498" i="2"/>
  <c r="A498" i="2"/>
  <c r="R497" i="2"/>
  <c r="L497" i="2"/>
  <c r="A497" i="2"/>
  <c r="R496" i="2"/>
  <c r="L496" i="2"/>
  <c r="A496" i="2"/>
  <c r="R495" i="2"/>
  <c r="L495" i="2"/>
  <c r="A495" i="2"/>
  <c r="R494" i="2"/>
  <c r="L494" i="2"/>
  <c r="A494" i="2"/>
  <c r="R493" i="2"/>
  <c r="L493" i="2"/>
  <c r="A493" i="2"/>
  <c r="R492" i="2"/>
  <c r="L492" i="2"/>
  <c r="A492" i="2"/>
  <c r="R491" i="2"/>
  <c r="L491" i="2"/>
  <c r="A491" i="2"/>
  <c r="R490" i="2"/>
  <c r="L490" i="2"/>
  <c r="A490" i="2"/>
  <c r="R489" i="2"/>
  <c r="L489" i="2"/>
  <c r="A489" i="2"/>
  <c r="R488" i="2"/>
  <c r="L488" i="2"/>
  <c r="A488" i="2"/>
  <c r="R487" i="2"/>
  <c r="L487" i="2"/>
  <c r="A487" i="2"/>
  <c r="R486" i="2"/>
  <c r="L486" i="2"/>
  <c r="A486" i="2"/>
  <c r="R485" i="2"/>
  <c r="L485" i="2"/>
  <c r="A485" i="2"/>
  <c r="R484" i="2"/>
  <c r="L484" i="2"/>
  <c r="A484" i="2"/>
  <c r="R483" i="2"/>
  <c r="L483" i="2"/>
  <c r="A483" i="2"/>
  <c r="R482" i="2"/>
  <c r="L482" i="2"/>
  <c r="A482" i="2"/>
  <c r="R481" i="2"/>
  <c r="L481" i="2"/>
  <c r="A481" i="2"/>
  <c r="R480" i="2"/>
  <c r="L480" i="2"/>
  <c r="A480" i="2"/>
  <c r="R479" i="2"/>
  <c r="L479" i="2"/>
  <c r="A479" i="2"/>
  <c r="R478" i="2"/>
  <c r="L478" i="2"/>
  <c r="A478" i="2"/>
  <c r="R477" i="2"/>
  <c r="L477" i="2"/>
  <c r="A477" i="2"/>
  <c r="R476" i="2"/>
  <c r="L476" i="2"/>
  <c r="A476" i="2"/>
  <c r="R475" i="2"/>
  <c r="L475" i="2"/>
  <c r="A475" i="2"/>
  <c r="R474" i="2"/>
  <c r="L474" i="2"/>
  <c r="A474" i="2"/>
  <c r="R473" i="2"/>
  <c r="L473" i="2"/>
  <c r="A473" i="2"/>
  <c r="R472" i="2"/>
  <c r="L472" i="2"/>
  <c r="A472" i="2"/>
  <c r="R471" i="2"/>
  <c r="L471" i="2"/>
  <c r="A471" i="2"/>
  <c r="R470" i="2"/>
  <c r="L470" i="2"/>
  <c r="A470" i="2"/>
  <c r="R469" i="2"/>
  <c r="L469" i="2"/>
  <c r="A469" i="2"/>
  <c r="R468" i="2"/>
  <c r="L468" i="2"/>
  <c r="A468" i="2"/>
  <c r="R467" i="2"/>
  <c r="L467" i="2"/>
  <c r="A467" i="2"/>
  <c r="R466" i="2"/>
  <c r="L466" i="2"/>
  <c r="A466" i="2"/>
  <c r="R465" i="2"/>
  <c r="L465" i="2"/>
  <c r="A465" i="2"/>
  <c r="R464" i="2"/>
  <c r="L464" i="2"/>
  <c r="A464" i="2"/>
  <c r="R463" i="2"/>
  <c r="L463" i="2"/>
  <c r="A463" i="2"/>
  <c r="R462" i="2"/>
  <c r="L462" i="2"/>
  <c r="A462" i="2"/>
  <c r="R461" i="2"/>
  <c r="L461" i="2"/>
  <c r="A461" i="2"/>
  <c r="R460" i="2"/>
  <c r="L460" i="2"/>
  <c r="A460" i="2"/>
  <c r="R459" i="2"/>
  <c r="L459" i="2"/>
  <c r="A459" i="2"/>
  <c r="R458" i="2"/>
  <c r="L458" i="2"/>
  <c r="A458" i="2"/>
  <c r="R457" i="2"/>
  <c r="L457" i="2"/>
  <c r="A457" i="2"/>
  <c r="R456" i="2"/>
  <c r="L456" i="2"/>
  <c r="A456" i="2"/>
  <c r="R455" i="2"/>
  <c r="L455" i="2"/>
  <c r="A455" i="2"/>
  <c r="R454" i="2"/>
  <c r="L454" i="2"/>
  <c r="A454" i="2"/>
  <c r="R453" i="2"/>
  <c r="L453" i="2"/>
  <c r="A453" i="2"/>
  <c r="R452" i="2"/>
  <c r="L452" i="2"/>
  <c r="A452" i="2"/>
  <c r="R451" i="2"/>
  <c r="L451" i="2"/>
  <c r="A451" i="2"/>
  <c r="R450" i="2"/>
  <c r="L450" i="2"/>
  <c r="A450" i="2"/>
  <c r="R449" i="2"/>
  <c r="L449" i="2"/>
  <c r="A449" i="2"/>
  <c r="R448" i="2"/>
  <c r="L448" i="2"/>
  <c r="A448" i="2"/>
  <c r="R447" i="2"/>
  <c r="L447" i="2"/>
  <c r="A447" i="2"/>
  <c r="R446" i="2"/>
  <c r="L446" i="2"/>
  <c r="A446" i="2"/>
  <c r="R445" i="2"/>
  <c r="L445" i="2"/>
  <c r="A445" i="2"/>
  <c r="R444" i="2"/>
  <c r="L444" i="2"/>
  <c r="A444" i="2"/>
  <c r="R443" i="2"/>
  <c r="L443" i="2"/>
  <c r="A443" i="2"/>
  <c r="R442" i="2"/>
  <c r="L442" i="2"/>
  <c r="A442" i="2"/>
  <c r="R441" i="2"/>
  <c r="L441" i="2"/>
  <c r="A441" i="2"/>
  <c r="R440" i="2"/>
  <c r="L440" i="2"/>
  <c r="A440" i="2"/>
  <c r="R439" i="2"/>
  <c r="L439" i="2"/>
  <c r="A439" i="2"/>
  <c r="R438" i="2"/>
  <c r="L438" i="2"/>
  <c r="A438" i="2"/>
  <c r="R437" i="2"/>
  <c r="L437" i="2"/>
  <c r="A437" i="2"/>
  <c r="R436" i="2"/>
  <c r="L436" i="2"/>
  <c r="A436" i="2"/>
  <c r="R435" i="2"/>
  <c r="L435" i="2"/>
  <c r="A435" i="2"/>
  <c r="R434" i="2"/>
  <c r="L434" i="2"/>
  <c r="A434" i="2"/>
  <c r="R433" i="2"/>
  <c r="L433" i="2"/>
  <c r="A433" i="2"/>
  <c r="R432" i="2"/>
  <c r="L432" i="2"/>
  <c r="A432" i="2"/>
  <c r="R431" i="2"/>
  <c r="L431" i="2"/>
  <c r="A431" i="2"/>
  <c r="R430" i="2"/>
  <c r="L430" i="2"/>
  <c r="A430" i="2"/>
  <c r="R429" i="2"/>
  <c r="L429" i="2"/>
  <c r="A429" i="2"/>
  <c r="R428" i="2"/>
  <c r="L428" i="2"/>
  <c r="A428" i="2"/>
  <c r="R427" i="2"/>
  <c r="L427" i="2"/>
  <c r="A427" i="2"/>
  <c r="R426" i="2"/>
  <c r="L426" i="2"/>
  <c r="A426" i="2"/>
  <c r="R425" i="2"/>
  <c r="L425" i="2"/>
  <c r="A425" i="2"/>
  <c r="R424" i="2"/>
  <c r="L424" i="2"/>
  <c r="A424" i="2"/>
  <c r="R423" i="2"/>
  <c r="L423" i="2"/>
  <c r="A423" i="2"/>
  <c r="R422" i="2"/>
  <c r="L422" i="2"/>
  <c r="A422" i="2"/>
  <c r="R421" i="2"/>
  <c r="L421" i="2"/>
  <c r="A421" i="2"/>
  <c r="R420" i="2"/>
  <c r="L420" i="2"/>
  <c r="A420" i="2"/>
  <c r="R419" i="2"/>
  <c r="L419" i="2"/>
  <c r="A419" i="2"/>
  <c r="R418" i="2"/>
  <c r="L418" i="2"/>
  <c r="A418" i="2"/>
  <c r="R417" i="2"/>
  <c r="L417" i="2"/>
  <c r="A417" i="2"/>
  <c r="R416" i="2"/>
  <c r="L416" i="2"/>
  <c r="A416" i="2"/>
  <c r="R415" i="2"/>
  <c r="L415" i="2"/>
  <c r="A415" i="2"/>
  <c r="R414" i="2"/>
  <c r="L414" i="2"/>
  <c r="A414" i="2"/>
  <c r="R413" i="2"/>
  <c r="L413" i="2"/>
  <c r="A413" i="2"/>
  <c r="R412" i="2"/>
  <c r="L412" i="2"/>
  <c r="A412" i="2"/>
  <c r="R411" i="2"/>
  <c r="L411" i="2"/>
  <c r="A411" i="2"/>
  <c r="R410" i="2"/>
  <c r="L410" i="2"/>
  <c r="A410" i="2"/>
  <c r="R409" i="2"/>
  <c r="L409" i="2"/>
  <c r="A409" i="2"/>
  <c r="R408" i="2"/>
  <c r="L408" i="2"/>
  <c r="A408" i="2"/>
  <c r="R407" i="2"/>
  <c r="L407" i="2"/>
  <c r="A407" i="2"/>
  <c r="R406" i="2"/>
  <c r="L406" i="2"/>
  <c r="A406" i="2"/>
  <c r="R405" i="2"/>
  <c r="L405" i="2"/>
  <c r="A405" i="2"/>
  <c r="R404" i="2"/>
  <c r="L404" i="2"/>
  <c r="A404" i="2"/>
  <c r="R403" i="2"/>
  <c r="L403" i="2"/>
  <c r="A403" i="2"/>
  <c r="R402" i="2"/>
  <c r="L402" i="2"/>
  <c r="A402" i="2"/>
  <c r="R401" i="2"/>
  <c r="L401" i="2"/>
  <c r="A401" i="2"/>
  <c r="R400" i="2"/>
  <c r="L400" i="2"/>
  <c r="A400" i="2"/>
  <c r="R399" i="2"/>
  <c r="L399" i="2"/>
  <c r="A399" i="2"/>
  <c r="R398" i="2"/>
  <c r="L398" i="2"/>
  <c r="A398" i="2"/>
  <c r="R397" i="2"/>
  <c r="L397" i="2"/>
  <c r="A397" i="2"/>
  <c r="R396" i="2"/>
  <c r="L396" i="2"/>
  <c r="A396" i="2"/>
  <c r="R395" i="2"/>
  <c r="L395" i="2"/>
  <c r="A395" i="2"/>
  <c r="R394" i="2"/>
  <c r="L394" i="2"/>
  <c r="A394" i="2"/>
  <c r="R393" i="2"/>
  <c r="L393" i="2"/>
  <c r="A393" i="2"/>
  <c r="R392" i="2"/>
  <c r="L392" i="2"/>
  <c r="A392" i="2"/>
  <c r="R391" i="2"/>
  <c r="L391" i="2"/>
  <c r="A391" i="2"/>
  <c r="R390" i="2"/>
  <c r="L390" i="2"/>
  <c r="A390" i="2"/>
  <c r="R389" i="2"/>
  <c r="L389" i="2"/>
  <c r="A389" i="2"/>
  <c r="R388" i="2"/>
  <c r="L388" i="2"/>
  <c r="A388" i="2"/>
  <c r="R387" i="2"/>
  <c r="L387" i="2"/>
  <c r="A387" i="2"/>
  <c r="R386" i="2"/>
  <c r="L386" i="2"/>
  <c r="A386" i="2"/>
  <c r="R385" i="2"/>
  <c r="L385" i="2"/>
  <c r="A385" i="2"/>
  <c r="R384" i="2"/>
  <c r="L384" i="2"/>
  <c r="A384" i="2"/>
  <c r="R383" i="2"/>
  <c r="L383" i="2"/>
  <c r="A383" i="2"/>
  <c r="R382" i="2"/>
  <c r="L382" i="2"/>
  <c r="A382" i="2"/>
  <c r="R381" i="2"/>
  <c r="L381" i="2"/>
  <c r="A381" i="2"/>
  <c r="R380" i="2"/>
  <c r="L380" i="2"/>
  <c r="A380" i="2"/>
  <c r="R379" i="2"/>
  <c r="L379" i="2"/>
  <c r="A379" i="2"/>
  <c r="R378" i="2"/>
  <c r="L378" i="2"/>
  <c r="A378" i="2"/>
  <c r="R377" i="2"/>
  <c r="L377" i="2"/>
  <c r="A377" i="2"/>
  <c r="R376" i="2"/>
  <c r="L376" i="2"/>
  <c r="A376" i="2"/>
  <c r="R375" i="2"/>
  <c r="L375" i="2"/>
  <c r="A375" i="2"/>
  <c r="R374" i="2"/>
  <c r="L374" i="2"/>
  <c r="A374" i="2"/>
  <c r="R373" i="2"/>
  <c r="L373" i="2"/>
  <c r="A373" i="2"/>
  <c r="R372" i="2"/>
  <c r="L372" i="2"/>
  <c r="A372" i="2"/>
  <c r="R371" i="2"/>
  <c r="L371" i="2"/>
  <c r="A371" i="2"/>
  <c r="R370" i="2"/>
  <c r="L370" i="2"/>
  <c r="A370" i="2"/>
  <c r="R369" i="2"/>
  <c r="L369" i="2"/>
  <c r="A369" i="2"/>
  <c r="R368" i="2"/>
  <c r="L368" i="2"/>
  <c r="A368" i="2"/>
  <c r="R367" i="2"/>
  <c r="L367" i="2"/>
  <c r="A367" i="2"/>
  <c r="R366" i="2"/>
  <c r="L366" i="2"/>
  <c r="A366" i="2"/>
  <c r="R365" i="2"/>
  <c r="L365" i="2"/>
  <c r="A365" i="2"/>
  <c r="R364" i="2"/>
  <c r="L364" i="2"/>
  <c r="A364" i="2"/>
  <c r="R363" i="2"/>
  <c r="L363" i="2"/>
  <c r="A363" i="2"/>
  <c r="R362" i="2"/>
  <c r="L362" i="2"/>
  <c r="A362" i="2"/>
  <c r="R361" i="2"/>
  <c r="L361" i="2"/>
  <c r="A361" i="2"/>
  <c r="R360" i="2"/>
  <c r="L360" i="2"/>
  <c r="A360" i="2"/>
  <c r="R359" i="2"/>
  <c r="L359" i="2"/>
  <c r="A359" i="2"/>
  <c r="R358" i="2"/>
  <c r="L358" i="2"/>
  <c r="A358" i="2"/>
  <c r="R357" i="2"/>
  <c r="L357" i="2"/>
  <c r="A357" i="2"/>
  <c r="R356" i="2"/>
  <c r="L356" i="2"/>
  <c r="A356" i="2"/>
  <c r="R355" i="2"/>
  <c r="L355" i="2"/>
  <c r="A355" i="2"/>
  <c r="R354" i="2"/>
  <c r="L354" i="2"/>
  <c r="A354" i="2"/>
  <c r="R353" i="2"/>
  <c r="L353" i="2"/>
  <c r="A353" i="2"/>
  <c r="R352" i="2"/>
  <c r="L352" i="2"/>
  <c r="A352" i="2"/>
  <c r="R351" i="2"/>
  <c r="L351" i="2"/>
  <c r="A351" i="2"/>
  <c r="R350" i="2"/>
  <c r="L350" i="2"/>
  <c r="A350" i="2"/>
  <c r="R349" i="2"/>
  <c r="L349" i="2"/>
  <c r="A349" i="2"/>
  <c r="R348" i="2"/>
  <c r="L348" i="2"/>
  <c r="A348" i="2"/>
  <c r="R347" i="2"/>
  <c r="L347" i="2"/>
  <c r="A347" i="2"/>
  <c r="R346" i="2"/>
  <c r="L346" i="2"/>
  <c r="A346" i="2"/>
  <c r="R345" i="2"/>
  <c r="L345" i="2"/>
  <c r="A345" i="2"/>
  <c r="R344" i="2"/>
  <c r="L344" i="2"/>
  <c r="A344" i="2"/>
  <c r="R343" i="2"/>
  <c r="L343" i="2"/>
  <c r="A343" i="2"/>
  <c r="R342" i="2"/>
  <c r="L342" i="2"/>
  <c r="A342" i="2"/>
  <c r="R341" i="2"/>
  <c r="L341" i="2"/>
  <c r="A341" i="2"/>
  <c r="R340" i="2"/>
  <c r="L340" i="2"/>
  <c r="A340" i="2"/>
  <c r="R339" i="2"/>
  <c r="L339" i="2"/>
  <c r="A339" i="2"/>
  <c r="R338" i="2"/>
  <c r="L338" i="2"/>
  <c r="A338" i="2"/>
  <c r="R337" i="2"/>
  <c r="L337" i="2"/>
  <c r="A337" i="2"/>
  <c r="R336" i="2"/>
  <c r="L336" i="2"/>
  <c r="A336" i="2"/>
  <c r="R335" i="2"/>
  <c r="L335" i="2"/>
  <c r="A335" i="2"/>
  <c r="R334" i="2"/>
  <c r="L334" i="2"/>
  <c r="A334" i="2"/>
  <c r="R333" i="2"/>
  <c r="L333" i="2"/>
  <c r="A333" i="2"/>
  <c r="R332" i="2"/>
  <c r="L332" i="2"/>
  <c r="A332" i="2"/>
  <c r="R331" i="2"/>
  <c r="L331" i="2"/>
  <c r="A331" i="2"/>
  <c r="R330" i="2"/>
  <c r="L330" i="2"/>
  <c r="A330" i="2"/>
  <c r="R329" i="2"/>
  <c r="L329" i="2"/>
  <c r="A329" i="2"/>
  <c r="R328" i="2"/>
  <c r="L328" i="2"/>
  <c r="A328" i="2"/>
  <c r="R327" i="2"/>
  <c r="L327" i="2"/>
  <c r="A327" i="2"/>
  <c r="R326" i="2"/>
  <c r="L326" i="2"/>
  <c r="A326" i="2"/>
  <c r="R325" i="2"/>
  <c r="L325" i="2"/>
  <c r="A325" i="2"/>
  <c r="R324" i="2"/>
  <c r="L324" i="2"/>
  <c r="A324" i="2"/>
  <c r="R323" i="2"/>
  <c r="L323" i="2"/>
  <c r="A323" i="2"/>
  <c r="R322" i="2"/>
  <c r="L322" i="2"/>
  <c r="A322" i="2"/>
  <c r="R321" i="2"/>
  <c r="L321" i="2"/>
  <c r="A321" i="2"/>
  <c r="R320" i="2"/>
  <c r="L320" i="2"/>
  <c r="A320" i="2"/>
  <c r="R319" i="2"/>
  <c r="L319" i="2"/>
  <c r="A319" i="2"/>
  <c r="R318" i="2"/>
  <c r="L318" i="2"/>
  <c r="A318" i="2"/>
  <c r="R317" i="2"/>
  <c r="L317" i="2"/>
  <c r="A317" i="2"/>
  <c r="R316" i="2"/>
  <c r="L316" i="2"/>
  <c r="A316" i="2"/>
  <c r="R315" i="2"/>
  <c r="L315" i="2"/>
  <c r="A315" i="2"/>
  <c r="R314" i="2"/>
  <c r="L314" i="2"/>
  <c r="A314" i="2"/>
  <c r="R313" i="2"/>
  <c r="L313" i="2"/>
  <c r="A313" i="2"/>
  <c r="R312" i="2"/>
  <c r="L312" i="2"/>
  <c r="A312" i="2"/>
  <c r="R311" i="2"/>
  <c r="L311" i="2"/>
  <c r="A311" i="2"/>
  <c r="R310" i="2"/>
  <c r="L310" i="2"/>
  <c r="A310" i="2"/>
  <c r="R309" i="2"/>
  <c r="L309" i="2"/>
  <c r="A309" i="2"/>
  <c r="R308" i="2"/>
  <c r="L308" i="2"/>
  <c r="A308" i="2"/>
  <c r="R307" i="2"/>
  <c r="L307" i="2"/>
  <c r="A307" i="2"/>
  <c r="R306" i="2"/>
  <c r="L306" i="2"/>
  <c r="A306" i="2"/>
  <c r="R305" i="2"/>
  <c r="L305" i="2"/>
  <c r="A305" i="2"/>
  <c r="R304" i="2"/>
  <c r="L304" i="2"/>
  <c r="A304" i="2"/>
  <c r="R303" i="2"/>
  <c r="L303" i="2"/>
  <c r="A303" i="2"/>
  <c r="R302" i="2"/>
  <c r="L302" i="2"/>
  <c r="A302" i="2"/>
  <c r="R301" i="2"/>
  <c r="L301" i="2"/>
  <c r="A301" i="2"/>
  <c r="R300" i="2"/>
  <c r="L300" i="2"/>
  <c r="A300" i="2"/>
  <c r="R299" i="2"/>
  <c r="L299" i="2"/>
  <c r="A299" i="2"/>
  <c r="R298" i="2"/>
  <c r="L298" i="2"/>
  <c r="A298" i="2"/>
  <c r="R297" i="2"/>
  <c r="L297" i="2"/>
  <c r="A297" i="2"/>
  <c r="R296" i="2"/>
  <c r="L296" i="2"/>
  <c r="A296" i="2"/>
  <c r="R295" i="2"/>
  <c r="L295" i="2"/>
  <c r="A295" i="2"/>
  <c r="R294" i="2"/>
  <c r="L294" i="2"/>
  <c r="A294" i="2"/>
  <c r="R293" i="2"/>
  <c r="L293" i="2"/>
  <c r="A293" i="2"/>
  <c r="R292" i="2"/>
  <c r="L292" i="2"/>
  <c r="A292" i="2"/>
  <c r="R291" i="2"/>
  <c r="L291" i="2"/>
  <c r="A291" i="2"/>
  <c r="R290" i="2"/>
  <c r="L290" i="2"/>
  <c r="A290" i="2"/>
  <c r="R289" i="2"/>
  <c r="L289" i="2"/>
  <c r="A289" i="2"/>
  <c r="R288" i="2"/>
  <c r="L288" i="2"/>
  <c r="A288" i="2"/>
  <c r="R287" i="2"/>
  <c r="L287" i="2"/>
  <c r="A287" i="2"/>
  <c r="R286" i="2"/>
  <c r="L286" i="2"/>
  <c r="A286" i="2"/>
  <c r="R285" i="2"/>
  <c r="L285" i="2"/>
  <c r="A285" i="2"/>
  <c r="R284" i="2"/>
  <c r="L284" i="2"/>
  <c r="A284" i="2"/>
  <c r="R283" i="2"/>
  <c r="L283" i="2"/>
  <c r="A283" i="2"/>
  <c r="R282" i="2"/>
  <c r="L282" i="2"/>
  <c r="A282" i="2"/>
  <c r="R281" i="2"/>
  <c r="L281" i="2"/>
  <c r="A281" i="2"/>
  <c r="R280" i="2"/>
  <c r="L280" i="2"/>
  <c r="A280" i="2"/>
  <c r="R279" i="2"/>
  <c r="L279" i="2"/>
  <c r="A279" i="2"/>
  <c r="R278" i="2"/>
  <c r="L278" i="2"/>
  <c r="A278" i="2"/>
  <c r="R277" i="2"/>
  <c r="L277" i="2"/>
  <c r="A277" i="2"/>
  <c r="R276" i="2"/>
  <c r="L276" i="2"/>
  <c r="A276" i="2"/>
  <c r="R275" i="2"/>
  <c r="L275" i="2"/>
  <c r="A275" i="2"/>
  <c r="R274" i="2"/>
  <c r="L274" i="2"/>
  <c r="A274" i="2"/>
  <c r="R273" i="2"/>
  <c r="L273" i="2"/>
  <c r="A273" i="2"/>
  <c r="R272" i="2"/>
  <c r="L272" i="2"/>
  <c r="A272" i="2"/>
  <c r="R271" i="2"/>
  <c r="L271" i="2"/>
  <c r="A271" i="2"/>
  <c r="R270" i="2"/>
  <c r="L270" i="2"/>
  <c r="A270" i="2"/>
  <c r="R269" i="2"/>
  <c r="L269" i="2"/>
  <c r="A269" i="2"/>
  <c r="R268" i="2"/>
  <c r="L268" i="2"/>
  <c r="A268" i="2"/>
  <c r="R267" i="2"/>
  <c r="L267" i="2"/>
  <c r="A267" i="2"/>
  <c r="R266" i="2"/>
  <c r="L266" i="2"/>
  <c r="A266" i="2"/>
  <c r="R265" i="2"/>
  <c r="L265" i="2"/>
  <c r="A265" i="2"/>
  <c r="R264" i="2"/>
  <c r="L264" i="2"/>
  <c r="A264" i="2"/>
  <c r="R263" i="2"/>
  <c r="L263" i="2"/>
  <c r="A263" i="2"/>
  <c r="R262" i="2"/>
  <c r="L262" i="2"/>
  <c r="A262" i="2"/>
  <c r="R261" i="2"/>
  <c r="L261" i="2"/>
  <c r="A261" i="2"/>
  <c r="R260" i="2"/>
  <c r="L260" i="2"/>
  <c r="A260" i="2"/>
  <c r="R259" i="2"/>
  <c r="L259" i="2"/>
  <c r="A259" i="2"/>
  <c r="R258" i="2"/>
  <c r="L258" i="2"/>
  <c r="A258" i="2"/>
  <c r="R257" i="2"/>
  <c r="L257" i="2"/>
  <c r="A257" i="2"/>
  <c r="R256" i="2"/>
  <c r="L256" i="2"/>
  <c r="A256" i="2"/>
  <c r="R255" i="2"/>
  <c r="L255" i="2"/>
  <c r="A255" i="2"/>
  <c r="R254" i="2"/>
  <c r="L254" i="2"/>
  <c r="A254" i="2"/>
  <c r="R253" i="2"/>
  <c r="L253" i="2"/>
  <c r="A253" i="2"/>
  <c r="R252" i="2"/>
  <c r="L252" i="2"/>
  <c r="A252" i="2"/>
  <c r="R251" i="2"/>
  <c r="L251" i="2"/>
  <c r="A251" i="2"/>
  <c r="R250" i="2"/>
  <c r="L250" i="2"/>
  <c r="A250" i="2"/>
  <c r="R249" i="2"/>
  <c r="L249" i="2"/>
  <c r="A249" i="2"/>
  <c r="R248" i="2"/>
  <c r="L248" i="2"/>
  <c r="A248" i="2"/>
  <c r="R247" i="2"/>
  <c r="L247" i="2"/>
  <c r="A247" i="2"/>
  <c r="R246" i="2"/>
  <c r="L246" i="2"/>
  <c r="A246" i="2"/>
  <c r="R245" i="2"/>
  <c r="L245" i="2"/>
  <c r="A245" i="2"/>
  <c r="R244" i="2"/>
  <c r="L244" i="2"/>
  <c r="A244" i="2"/>
  <c r="R243" i="2"/>
  <c r="L243" i="2"/>
  <c r="A243" i="2"/>
  <c r="R242" i="2"/>
  <c r="L242" i="2"/>
  <c r="A242" i="2"/>
  <c r="R241" i="2"/>
  <c r="L241" i="2"/>
  <c r="A241" i="2"/>
  <c r="R240" i="2"/>
  <c r="L240" i="2"/>
  <c r="A240" i="2"/>
  <c r="R239" i="2"/>
  <c r="L239" i="2"/>
  <c r="A239" i="2"/>
  <c r="R238" i="2"/>
  <c r="L238" i="2"/>
  <c r="A238" i="2"/>
  <c r="R237" i="2"/>
  <c r="L237" i="2"/>
  <c r="A237" i="2"/>
  <c r="R236" i="2"/>
  <c r="L236" i="2"/>
  <c r="A236" i="2"/>
  <c r="R235" i="2"/>
  <c r="L235" i="2"/>
  <c r="A235" i="2"/>
  <c r="R234" i="2"/>
  <c r="L234" i="2"/>
  <c r="A234" i="2"/>
  <c r="R233" i="2"/>
  <c r="L233" i="2"/>
  <c r="A233" i="2"/>
  <c r="R232" i="2"/>
  <c r="L232" i="2"/>
  <c r="A232" i="2"/>
  <c r="R231" i="2"/>
  <c r="L231" i="2"/>
  <c r="A231" i="2"/>
  <c r="R230" i="2"/>
  <c r="L230" i="2"/>
  <c r="A230" i="2"/>
  <c r="R229" i="2"/>
  <c r="L229" i="2"/>
  <c r="A229" i="2"/>
  <c r="R228" i="2"/>
  <c r="L228" i="2"/>
  <c r="A228" i="2"/>
  <c r="R227" i="2"/>
  <c r="L227" i="2"/>
  <c r="A227" i="2"/>
  <c r="R226" i="2"/>
  <c r="L226" i="2"/>
  <c r="A226" i="2"/>
  <c r="R225" i="2"/>
  <c r="L225" i="2"/>
  <c r="A225" i="2"/>
  <c r="R224" i="2"/>
  <c r="L224" i="2"/>
  <c r="A224" i="2"/>
  <c r="R223" i="2"/>
  <c r="L223" i="2"/>
  <c r="A223" i="2"/>
  <c r="R222" i="2"/>
  <c r="L222" i="2"/>
  <c r="A222" i="2"/>
  <c r="R221" i="2"/>
  <c r="L221" i="2"/>
  <c r="A221" i="2"/>
  <c r="R220" i="2"/>
  <c r="L220" i="2"/>
  <c r="A220" i="2"/>
  <c r="R219" i="2"/>
  <c r="L219" i="2"/>
  <c r="A219" i="2"/>
  <c r="R218" i="2"/>
  <c r="L218" i="2"/>
  <c r="A218" i="2"/>
  <c r="R217" i="2"/>
  <c r="L217" i="2"/>
  <c r="A217" i="2"/>
  <c r="R216" i="2"/>
  <c r="L216" i="2"/>
  <c r="A216" i="2"/>
  <c r="R215" i="2"/>
  <c r="L215" i="2"/>
  <c r="A215" i="2"/>
  <c r="R214" i="2"/>
  <c r="L214" i="2"/>
  <c r="A214" i="2"/>
  <c r="R213" i="2"/>
  <c r="L213" i="2"/>
  <c r="A213" i="2"/>
  <c r="R212" i="2"/>
  <c r="L212" i="2"/>
  <c r="A212" i="2"/>
  <c r="R211" i="2"/>
  <c r="L211" i="2"/>
  <c r="A211" i="2"/>
  <c r="R210" i="2"/>
  <c r="L210" i="2"/>
  <c r="A210" i="2"/>
  <c r="R209" i="2"/>
  <c r="L209" i="2"/>
  <c r="A209" i="2"/>
  <c r="R208" i="2"/>
  <c r="L208" i="2"/>
  <c r="A208" i="2"/>
  <c r="R207" i="2"/>
  <c r="L207" i="2"/>
  <c r="A207" i="2"/>
  <c r="R206" i="2"/>
  <c r="L206" i="2"/>
  <c r="A206" i="2"/>
  <c r="R205" i="2"/>
  <c r="L205" i="2"/>
  <c r="A205" i="2"/>
  <c r="R204" i="2"/>
  <c r="L204" i="2"/>
  <c r="A204" i="2"/>
  <c r="R203" i="2"/>
  <c r="L203" i="2"/>
  <c r="A203" i="2"/>
  <c r="R202" i="2"/>
  <c r="L202" i="2"/>
  <c r="A202" i="2"/>
  <c r="R201" i="2"/>
  <c r="L201" i="2"/>
  <c r="A201" i="2"/>
  <c r="R200" i="2"/>
  <c r="L200" i="2"/>
  <c r="A200" i="2"/>
  <c r="R199" i="2"/>
  <c r="L199" i="2"/>
  <c r="A199" i="2"/>
  <c r="R198" i="2"/>
  <c r="L198" i="2"/>
  <c r="A198" i="2"/>
  <c r="R197" i="2"/>
  <c r="L197" i="2"/>
  <c r="A197" i="2"/>
  <c r="R196" i="2"/>
  <c r="L196" i="2"/>
  <c r="A196" i="2"/>
  <c r="R195" i="2"/>
  <c r="L195" i="2"/>
  <c r="A195" i="2"/>
  <c r="R194" i="2"/>
  <c r="L194" i="2"/>
  <c r="A194" i="2"/>
  <c r="R193" i="2"/>
  <c r="L193" i="2"/>
  <c r="A193" i="2"/>
  <c r="R192" i="2"/>
  <c r="L192" i="2"/>
  <c r="A192" i="2"/>
  <c r="R191" i="2"/>
  <c r="L191" i="2"/>
  <c r="A191" i="2"/>
  <c r="R190" i="2"/>
  <c r="L190" i="2"/>
  <c r="A190" i="2"/>
  <c r="R189" i="2"/>
  <c r="L189" i="2"/>
  <c r="A189" i="2"/>
  <c r="R188" i="2"/>
  <c r="L188" i="2"/>
  <c r="A188" i="2"/>
  <c r="R187" i="2"/>
  <c r="L187" i="2"/>
  <c r="A187" i="2"/>
  <c r="R186" i="2"/>
  <c r="L186" i="2"/>
  <c r="A186" i="2"/>
  <c r="R185" i="2"/>
  <c r="L185" i="2"/>
  <c r="A185" i="2"/>
  <c r="R184" i="2"/>
  <c r="L184" i="2"/>
  <c r="A184" i="2"/>
  <c r="R183" i="2"/>
  <c r="L183" i="2"/>
  <c r="A183" i="2"/>
  <c r="R182" i="2"/>
  <c r="L182" i="2"/>
  <c r="A182" i="2"/>
  <c r="R181" i="2"/>
  <c r="L181" i="2"/>
  <c r="A181" i="2"/>
  <c r="R180" i="2"/>
  <c r="L180" i="2"/>
  <c r="A180" i="2"/>
  <c r="R179" i="2"/>
  <c r="L179" i="2"/>
  <c r="A179" i="2"/>
  <c r="R178" i="2"/>
  <c r="L178" i="2"/>
  <c r="A178" i="2"/>
  <c r="R177" i="2"/>
  <c r="L177" i="2"/>
  <c r="A177" i="2"/>
  <c r="R176" i="2"/>
  <c r="L176" i="2"/>
  <c r="A176" i="2"/>
  <c r="R175" i="2"/>
  <c r="L175" i="2"/>
  <c r="A175" i="2"/>
  <c r="R174" i="2"/>
  <c r="L174" i="2"/>
  <c r="A174" i="2"/>
  <c r="R173" i="2"/>
  <c r="L173" i="2"/>
  <c r="A173" i="2"/>
  <c r="R172" i="2"/>
  <c r="L172" i="2"/>
  <c r="A172" i="2"/>
  <c r="R171" i="2"/>
  <c r="L171" i="2"/>
  <c r="A171" i="2"/>
  <c r="R170" i="2"/>
  <c r="L170" i="2"/>
  <c r="A170" i="2"/>
  <c r="R169" i="2"/>
  <c r="L169" i="2"/>
  <c r="A169" i="2"/>
  <c r="R168" i="2"/>
  <c r="L168" i="2"/>
  <c r="A168" i="2"/>
  <c r="R167" i="2"/>
  <c r="L167" i="2"/>
  <c r="A167" i="2"/>
  <c r="R166" i="2"/>
  <c r="L166" i="2"/>
  <c r="A166" i="2"/>
  <c r="R165" i="2"/>
  <c r="L165" i="2"/>
  <c r="A165" i="2"/>
  <c r="R164" i="2"/>
  <c r="L164" i="2"/>
  <c r="A164" i="2"/>
  <c r="R163" i="2"/>
  <c r="L163" i="2"/>
  <c r="A163" i="2"/>
  <c r="R162" i="2"/>
  <c r="L162" i="2"/>
  <c r="A162" i="2"/>
  <c r="R161" i="2"/>
  <c r="L161" i="2"/>
  <c r="A161" i="2"/>
  <c r="R160" i="2"/>
  <c r="L160" i="2"/>
  <c r="A160" i="2"/>
  <c r="R159" i="2"/>
  <c r="L159" i="2"/>
  <c r="A159" i="2"/>
  <c r="R158" i="2"/>
  <c r="L158" i="2"/>
  <c r="A158" i="2"/>
  <c r="R157" i="2"/>
  <c r="L157" i="2"/>
  <c r="A157" i="2"/>
  <c r="R156" i="2"/>
  <c r="L156" i="2"/>
  <c r="A156" i="2"/>
  <c r="R155" i="2"/>
  <c r="L155" i="2"/>
  <c r="A155" i="2"/>
  <c r="R154" i="2"/>
  <c r="L154" i="2"/>
  <c r="A154" i="2"/>
  <c r="R153" i="2"/>
  <c r="L153" i="2"/>
  <c r="A153" i="2"/>
  <c r="R152" i="2"/>
  <c r="L152" i="2"/>
  <c r="A152" i="2"/>
  <c r="R151" i="2"/>
  <c r="L151" i="2"/>
  <c r="A151" i="2"/>
  <c r="R150" i="2"/>
  <c r="L150" i="2"/>
  <c r="A150" i="2"/>
  <c r="R149" i="2"/>
  <c r="L149" i="2"/>
  <c r="A149" i="2"/>
  <c r="R148" i="2"/>
  <c r="L148" i="2"/>
  <c r="A148" i="2"/>
  <c r="R147" i="2"/>
  <c r="L147" i="2"/>
  <c r="A147" i="2"/>
  <c r="R146" i="2"/>
  <c r="L146" i="2"/>
  <c r="A146" i="2"/>
  <c r="R145" i="2"/>
  <c r="L145" i="2"/>
  <c r="A145" i="2"/>
  <c r="R144" i="2"/>
  <c r="L144" i="2"/>
  <c r="A144" i="2"/>
  <c r="R143" i="2"/>
  <c r="L143" i="2"/>
  <c r="A143" i="2"/>
  <c r="R142" i="2"/>
  <c r="L142" i="2"/>
  <c r="A142" i="2"/>
  <c r="R141" i="2"/>
  <c r="L141" i="2"/>
  <c r="A141" i="2"/>
  <c r="R140" i="2"/>
  <c r="L140" i="2"/>
  <c r="A140" i="2"/>
  <c r="R139" i="2"/>
  <c r="L139" i="2"/>
  <c r="A139" i="2"/>
  <c r="R138" i="2"/>
  <c r="L138" i="2"/>
  <c r="A138" i="2"/>
  <c r="R137" i="2"/>
  <c r="L137" i="2"/>
  <c r="A137" i="2"/>
  <c r="R136" i="2"/>
  <c r="L136" i="2"/>
  <c r="A136" i="2"/>
  <c r="R135" i="2"/>
  <c r="L135" i="2"/>
  <c r="A135" i="2"/>
  <c r="R134" i="2"/>
  <c r="L134" i="2"/>
  <c r="A134" i="2"/>
  <c r="R133" i="2"/>
  <c r="L133" i="2"/>
  <c r="A133" i="2"/>
  <c r="R132" i="2"/>
  <c r="L132" i="2"/>
  <c r="A132" i="2"/>
  <c r="R131" i="2"/>
  <c r="L131" i="2"/>
  <c r="A131" i="2"/>
  <c r="R130" i="2"/>
  <c r="L130" i="2"/>
  <c r="A130" i="2"/>
  <c r="R129" i="2"/>
  <c r="L129" i="2"/>
  <c r="A129" i="2"/>
  <c r="R128" i="2"/>
  <c r="L128" i="2"/>
  <c r="A128" i="2"/>
  <c r="R127" i="2"/>
  <c r="L127" i="2"/>
  <c r="A127" i="2"/>
  <c r="R126" i="2"/>
  <c r="L126" i="2"/>
  <c r="A126" i="2"/>
  <c r="R125" i="2"/>
  <c r="L125" i="2"/>
  <c r="A125" i="2"/>
  <c r="R124" i="2"/>
  <c r="L124" i="2"/>
  <c r="A124" i="2"/>
  <c r="R123" i="2"/>
  <c r="L123" i="2"/>
  <c r="A123" i="2"/>
  <c r="R122" i="2"/>
  <c r="L122" i="2"/>
  <c r="A122" i="2"/>
  <c r="R121" i="2"/>
  <c r="L121" i="2"/>
  <c r="A121" i="2"/>
  <c r="R120" i="2"/>
  <c r="L120" i="2"/>
  <c r="A120" i="2"/>
  <c r="R119" i="2"/>
  <c r="L119" i="2"/>
  <c r="A119" i="2"/>
  <c r="R118" i="2"/>
  <c r="L118" i="2"/>
  <c r="A118" i="2"/>
  <c r="R117" i="2"/>
  <c r="L117" i="2"/>
  <c r="A117" i="2"/>
  <c r="R116" i="2"/>
  <c r="L116" i="2"/>
  <c r="A116" i="2"/>
  <c r="R115" i="2"/>
  <c r="L115" i="2"/>
  <c r="A115" i="2"/>
  <c r="R114" i="2"/>
  <c r="L114" i="2"/>
  <c r="A114" i="2"/>
  <c r="R113" i="2"/>
  <c r="L113" i="2"/>
  <c r="A113" i="2"/>
  <c r="R112" i="2"/>
  <c r="L112" i="2"/>
  <c r="A112" i="2"/>
  <c r="R111" i="2"/>
  <c r="L111" i="2"/>
  <c r="A111" i="2"/>
  <c r="R110" i="2"/>
  <c r="L110" i="2"/>
  <c r="A110" i="2"/>
  <c r="R109" i="2"/>
  <c r="L109" i="2"/>
  <c r="A109" i="2"/>
  <c r="R108" i="2"/>
  <c r="L108" i="2"/>
  <c r="A108" i="2"/>
  <c r="R107" i="2"/>
  <c r="L107" i="2"/>
  <c r="A107" i="2"/>
  <c r="R106" i="2"/>
  <c r="L106" i="2"/>
  <c r="A106" i="2"/>
  <c r="R105" i="2"/>
  <c r="L105" i="2"/>
  <c r="A105" i="2"/>
  <c r="R104" i="2"/>
  <c r="L104" i="2"/>
  <c r="A104" i="2"/>
  <c r="R103" i="2"/>
  <c r="L103" i="2"/>
  <c r="A103" i="2"/>
  <c r="R102" i="2"/>
  <c r="L102" i="2"/>
  <c r="A102" i="2"/>
  <c r="R101" i="2"/>
  <c r="L101" i="2"/>
  <c r="A101" i="2"/>
  <c r="R100" i="2"/>
  <c r="L100" i="2"/>
  <c r="A100" i="2"/>
  <c r="R99" i="2"/>
  <c r="L99" i="2"/>
  <c r="A99" i="2"/>
  <c r="R98" i="2"/>
  <c r="L98" i="2"/>
  <c r="A98" i="2"/>
  <c r="R97" i="2"/>
  <c r="L97" i="2"/>
  <c r="A97" i="2"/>
  <c r="R96" i="2"/>
  <c r="L96" i="2"/>
  <c r="A96" i="2"/>
  <c r="R95" i="2"/>
  <c r="L95" i="2"/>
  <c r="A95" i="2"/>
  <c r="R94" i="2"/>
  <c r="L94" i="2"/>
  <c r="A94" i="2"/>
  <c r="R93" i="2"/>
  <c r="L93" i="2"/>
  <c r="A93" i="2"/>
  <c r="R92" i="2"/>
  <c r="L92" i="2"/>
  <c r="A92" i="2"/>
  <c r="R91" i="2"/>
  <c r="L91" i="2"/>
  <c r="A91" i="2"/>
  <c r="R90" i="2"/>
  <c r="L90" i="2"/>
  <c r="A90" i="2"/>
  <c r="R89" i="2"/>
  <c r="L89" i="2"/>
  <c r="A89" i="2"/>
  <c r="R88" i="2"/>
  <c r="L88" i="2"/>
  <c r="A88" i="2"/>
  <c r="R87" i="2"/>
  <c r="L87" i="2"/>
  <c r="A87" i="2"/>
  <c r="R86" i="2"/>
  <c r="L86" i="2"/>
  <c r="A86" i="2"/>
  <c r="R85" i="2"/>
  <c r="L85" i="2"/>
  <c r="A85" i="2"/>
  <c r="R84" i="2"/>
  <c r="L84" i="2"/>
  <c r="A84" i="2"/>
  <c r="R83" i="2"/>
  <c r="L83" i="2"/>
  <c r="A83" i="2"/>
  <c r="R82" i="2"/>
  <c r="L82" i="2"/>
  <c r="A82" i="2"/>
  <c r="R81" i="2"/>
  <c r="L81" i="2"/>
  <c r="A81" i="2"/>
  <c r="R80" i="2"/>
  <c r="L80" i="2"/>
  <c r="A80" i="2"/>
  <c r="R79" i="2"/>
  <c r="L79" i="2"/>
  <c r="A79" i="2"/>
  <c r="R78" i="2"/>
  <c r="L78" i="2"/>
  <c r="A78" i="2"/>
  <c r="R77" i="2"/>
  <c r="L77" i="2"/>
  <c r="A77" i="2"/>
  <c r="R76" i="2"/>
  <c r="L76" i="2"/>
  <c r="A76" i="2"/>
  <c r="R75" i="2"/>
  <c r="L75" i="2"/>
  <c r="A75" i="2"/>
  <c r="R74" i="2"/>
  <c r="L74" i="2"/>
  <c r="A74" i="2"/>
  <c r="R73" i="2"/>
  <c r="L73" i="2"/>
  <c r="A73" i="2"/>
  <c r="R72" i="2"/>
  <c r="L72" i="2"/>
  <c r="A72" i="2"/>
  <c r="R71" i="2"/>
  <c r="L71" i="2"/>
  <c r="A71" i="2"/>
  <c r="R70" i="2"/>
  <c r="L70" i="2"/>
  <c r="A70" i="2"/>
  <c r="R69" i="2"/>
  <c r="L69" i="2"/>
  <c r="A69" i="2"/>
  <c r="R68" i="2"/>
  <c r="L68" i="2"/>
  <c r="A68" i="2"/>
  <c r="R67" i="2"/>
  <c r="L67" i="2"/>
  <c r="A67" i="2"/>
  <c r="R66" i="2"/>
  <c r="L66" i="2"/>
  <c r="A66" i="2"/>
  <c r="R65" i="2"/>
  <c r="L65" i="2"/>
  <c r="A65" i="2"/>
  <c r="R64" i="2"/>
  <c r="L64" i="2"/>
  <c r="A64" i="2"/>
  <c r="R63" i="2"/>
  <c r="L63" i="2"/>
  <c r="A63" i="2"/>
  <c r="R62" i="2"/>
  <c r="L62" i="2"/>
  <c r="A62" i="2"/>
  <c r="R61" i="2"/>
  <c r="L61" i="2"/>
  <c r="A61" i="2"/>
  <c r="R60" i="2"/>
  <c r="L60" i="2"/>
  <c r="A60" i="2"/>
  <c r="R59" i="2"/>
  <c r="L59" i="2"/>
  <c r="A59" i="2"/>
  <c r="R58" i="2"/>
  <c r="L58" i="2"/>
  <c r="A58" i="2"/>
  <c r="R57" i="2"/>
  <c r="L57" i="2"/>
  <c r="A57" i="2"/>
  <c r="R56" i="2"/>
  <c r="L56" i="2"/>
  <c r="A56" i="2"/>
  <c r="R55" i="2"/>
  <c r="L55" i="2"/>
  <c r="A55" i="2"/>
  <c r="R54" i="2"/>
  <c r="L54" i="2"/>
  <c r="A54" i="2"/>
  <c r="R53" i="2"/>
  <c r="L53" i="2"/>
  <c r="A53" i="2"/>
  <c r="R52" i="2"/>
  <c r="L52" i="2"/>
  <c r="A52" i="2"/>
  <c r="R51" i="2"/>
  <c r="L51" i="2"/>
  <c r="A51" i="2"/>
  <c r="R50" i="2"/>
  <c r="L50" i="2"/>
  <c r="A50" i="2"/>
  <c r="R49" i="2"/>
  <c r="L49" i="2"/>
  <c r="A49" i="2"/>
  <c r="R48" i="2"/>
  <c r="L48" i="2"/>
  <c r="A48" i="2"/>
  <c r="R47" i="2"/>
  <c r="L47" i="2"/>
  <c r="A47" i="2"/>
  <c r="R46" i="2"/>
  <c r="L46" i="2"/>
  <c r="A46" i="2"/>
  <c r="R45" i="2"/>
  <c r="L45" i="2"/>
  <c r="A45" i="2"/>
  <c r="R44" i="2"/>
  <c r="L44" i="2"/>
  <c r="A44" i="2"/>
  <c r="R43" i="2"/>
  <c r="L43" i="2"/>
  <c r="A43" i="2"/>
  <c r="R42" i="2"/>
  <c r="L42" i="2"/>
  <c r="A42" i="2"/>
  <c r="R41" i="2"/>
  <c r="L41" i="2"/>
  <c r="A41" i="2"/>
  <c r="R40" i="2"/>
  <c r="L40" i="2"/>
  <c r="A40" i="2"/>
  <c r="R39" i="2"/>
  <c r="L39" i="2"/>
  <c r="A39" i="2"/>
  <c r="R38" i="2"/>
  <c r="L38" i="2"/>
  <c r="A38" i="2"/>
  <c r="R37" i="2"/>
  <c r="L37" i="2"/>
  <c r="A37" i="2"/>
  <c r="R36" i="2"/>
  <c r="L36" i="2"/>
  <c r="A36" i="2"/>
  <c r="R35" i="2"/>
  <c r="L35" i="2"/>
  <c r="A35" i="2"/>
  <c r="R34" i="2"/>
  <c r="L34" i="2"/>
  <c r="A34" i="2"/>
  <c r="R33" i="2"/>
  <c r="L33" i="2"/>
  <c r="A33" i="2"/>
  <c r="R32" i="2"/>
  <c r="L32" i="2"/>
  <c r="A32" i="2"/>
  <c r="R31" i="2"/>
  <c r="L31" i="2"/>
  <c r="A31" i="2"/>
  <c r="R30" i="2"/>
  <c r="L30" i="2"/>
  <c r="A30" i="2"/>
  <c r="R29" i="2"/>
  <c r="L29" i="2"/>
  <c r="A29" i="2"/>
  <c r="R28" i="2"/>
  <c r="L28" i="2"/>
  <c r="A28" i="2"/>
  <c r="R27" i="2"/>
  <c r="L27" i="2"/>
  <c r="A27" i="2"/>
  <c r="R26" i="2"/>
  <c r="L26" i="2"/>
  <c r="A26" i="2"/>
  <c r="R25" i="2"/>
  <c r="L25" i="2"/>
  <c r="A25" i="2"/>
  <c r="R24" i="2"/>
  <c r="L24" i="2"/>
  <c r="A24" i="2"/>
  <c r="R23" i="2"/>
  <c r="L23" i="2"/>
  <c r="A23" i="2"/>
  <c r="R22" i="2"/>
  <c r="L22" i="2"/>
  <c r="A22" i="2"/>
  <c r="R21" i="2"/>
  <c r="L21" i="2"/>
  <c r="A21" i="2"/>
  <c r="R20" i="2"/>
  <c r="L20" i="2"/>
  <c r="A20" i="2"/>
  <c r="R19" i="2"/>
  <c r="L19" i="2"/>
  <c r="A19" i="2"/>
  <c r="R18" i="2"/>
  <c r="L18" i="2"/>
  <c r="A18" i="2"/>
  <c r="R17" i="2"/>
  <c r="L17" i="2"/>
  <c r="A17" i="2"/>
  <c r="R16" i="2"/>
  <c r="L16" i="2"/>
  <c r="A16" i="2"/>
  <c r="R15" i="2"/>
  <c r="L15" i="2"/>
  <c r="A15" i="2"/>
  <c r="R14" i="2"/>
  <c r="L14" i="2"/>
  <c r="A14" i="2"/>
  <c r="R13" i="2"/>
  <c r="L13" i="2"/>
  <c r="A13" i="2"/>
  <c r="R12" i="2"/>
  <c r="L12" i="2"/>
  <c r="A12" i="2"/>
  <c r="R11" i="2"/>
  <c r="L11" i="2"/>
  <c r="A11" i="2"/>
  <c r="R10" i="2"/>
  <c r="L10" i="2"/>
  <c r="A10" i="2"/>
  <c r="R9" i="2"/>
  <c r="L9" i="2"/>
  <c r="A9" i="2"/>
  <c r="R8" i="2"/>
  <c r="L8" i="2"/>
  <c r="A8" i="2"/>
  <c r="R7" i="2"/>
  <c r="L7" i="2"/>
  <c r="A7" i="2"/>
  <c r="R6" i="2"/>
  <c r="L6" i="2"/>
  <c r="A6" i="2"/>
  <c r="R5" i="2"/>
  <c r="L5" i="2"/>
  <c r="A5" i="2"/>
  <c r="R4" i="2"/>
  <c r="L4" i="2"/>
  <c r="A4" i="2"/>
  <c r="R3" i="2"/>
  <c r="L3" i="2"/>
  <c r="A3" i="2"/>
  <c r="R2" i="2"/>
  <c r="L2" i="2"/>
  <c r="A2" i="2"/>
  <c r="F31" i="1"/>
  <c r="F30" i="1"/>
  <c r="F29" i="1"/>
  <c r="B27" i="1"/>
  <c r="F25" i="1"/>
  <c r="B25" i="1"/>
  <c r="F24" i="1"/>
  <c r="B24" i="1"/>
  <c r="F23" i="1"/>
  <c r="B23" i="1"/>
  <c r="B20" i="1"/>
  <c r="B19" i="1"/>
  <c r="B18" i="1"/>
  <c r="B17" i="1"/>
  <c r="F16" i="1"/>
  <c r="B16" i="1"/>
  <c r="F15" i="1"/>
  <c r="B15" i="1"/>
  <c r="F14" i="1"/>
  <c r="B14" i="1"/>
  <c r="F13" i="1"/>
  <c r="B13" i="1"/>
  <c r="F9" i="1"/>
  <c r="B9" i="1"/>
  <c r="F8" i="1"/>
  <c r="B8" i="1"/>
  <c r="F7" i="1"/>
  <c r="B7" i="1"/>
  <c r="F6" i="1"/>
  <c r="B6" i="1"/>
  <c r="AA20" i="4" l="1"/>
  <c r="AA45" i="4"/>
  <c r="AA70" i="4"/>
  <c r="AA88" i="4"/>
  <c r="AB88" i="4" s="1"/>
  <c r="AE91" i="4"/>
  <c r="AA93" i="4"/>
  <c r="AB93" i="4" s="1"/>
  <c r="AE96" i="4"/>
  <c r="AA98" i="4"/>
  <c r="AB98" i="4" s="1"/>
  <c r="AE101" i="4"/>
  <c r="AA103" i="4"/>
  <c r="AB103" i="4" s="1"/>
  <c r="AE106" i="4"/>
  <c r="AA108" i="4"/>
  <c r="AB108" i="4" s="1"/>
  <c r="AE111" i="4"/>
  <c r="AA113" i="4"/>
  <c r="AB113" i="4" s="1"/>
  <c r="AE116" i="4"/>
  <c r="AA118" i="4"/>
  <c r="AB118" i="4" s="1"/>
  <c r="AE121" i="4"/>
  <c r="AA123" i="4"/>
  <c r="AB123" i="4" s="1"/>
  <c r="AE126" i="4"/>
  <c r="AA128" i="4"/>
  <c r="AB128" i="4" s="1"/>
  <c r="AE131" i="4"/>
  <c r="AA133" i="4"/>
  <c r="AB133" i="4" s="1"/>
  <c r="AE136" i="4"/>
  <c r="AA138" i="4"/>
  <c r="AB138" i="4" s="1"/>
  <c r="AE141" i="4"/>
  <c r="AA143" i="4"/>
  <c r="AB143" i="4" s="1"/>
  <c r="AE146" i="4"/>
  <c r="AA148" i="4"/>
  <c r="AB148" i="4" s="1"/>
  <c r="AE151" i="4"/>
  <c r="AA153" i="4"/>
  <c r="AB153" i="4" s="1"/>
  <c r="AE156" i="4"/>
  <c r="AA158" i="4"/>
  <c r="AB158" i="4" s="1"/>
  <c r="AE161" i="4"/>
  <c r="AA163" i="4"/>
  <c r="AB163" i="4" s="1"/>
  <c r="AE166" i="4"/>
  <c r="AA168" i="4"/>
  <c r="AB168" i="4" s="1"/>
  <c r="AE171" i="4"/>
  <c r="AA173" i="4"/>
  <c r="AB173" i="4" s="1"/>
  <c r="AA184" i="4"/>
  <c r="AB184" i="4" s="1"/>
  <c r="AE184" i="4"/>
  <c r="AA194" i="4"/>
  <c r="AB194" i="4" s="1"/>
  <c r="AE194" i="4"/>
  <c r="AA204" i="4"/>
  <c r="AB204" i="4" s="1"/>
  <c r="AE204" i="4"/>
  <c r="AA218" i="4"/>
  <c r="AB218" i="4" s="1"/>
  <c r="AA228" i="4"/>
  <c r="AB228" i="4" s="1"/>
  <c r="AA238" i="4"/>
  <c r="AB238" i="4" s="1"/>
  <c r="AA248" i="4"/>
  <c r="AB248" i="4" s="1"/>
  <c r="AA258" i="4"/>
  <c r="AB258" i="4" s="1"/>
  <c r="AA268" i="4"/>
  <c r="AB268" i="4" s="1"/>
  <c r="AA278" i="4"/>
  <c r="AB278" i="4" s="1"/>
  <c r="AA288" i="4"/>
  <c r="AB288" i="4" s="1"/>
  <c r="AD313" i="4"/>
  <c r="O313" i="4"/>
  <c r="AE313" i="4" s="1"/>
  <c r="AD322" i="4"/>
  <c r="O322" i="4"/>
  <c r="AD337" i="4"/>
  <c r="O337" i="4"/>
  <c r="AE353" i="4"/>
  <c r="AE382" i="4"/>
  <c r="AA382" i="4"/>
  <c r="AB382" i="4" s="1"/>
  <c r="AE397" i="4"/>
  <c r="AA397" i="4"/>
  <c r="AB397" i="4" s="1"/>
  <c r="AD2" i="4"/>
  <c r="O2" i="4"/>
  <c r="AA177" i="4"/>
  <c r="AB177" i="4" s="1"/>
  <c r="AE177" i="4"/>
  <c r="AA187" i="4"/>
  <c r="AB187" i="4" s="1"/>
  <c r="AE187" i="4"/>
  <c r="AA197" i="4"/>
  <c r="AB197" i="4" s="1"/>
  <c r="AE197" i="4"/>
  <c r="AA207" i="4"/>
  <c r="AB207" i="4" s="1"/>
  <c r="AE207" i="4"/>
  <c r="AD295" i="4"/>
  <c r="O295" i="4"/>
  <c r="AE295" i="4" s="1"/>
  <c r="AA316" i="4"/>
  <c r="AB316" i="4" s="1"/>
  <c r="AE316" i="4"/>
  <c r="AE337" i="4"/>
  <c r="AD355" i="4"/>
  <c r="O355" i="4"/>
  <c r="AE355" i="4" s="1"/>
  <c r="AD372" i="4"/>
  <c r="O372" i="4"/>
  <c r="AD394" i="4"/>
  <c r="O394" i="4"/>
  <c r="AD404" i="4"/>
  <c r="O404" i="4"/>
  <c r="AE417" i="4"/>
  <c r="AA417" i="4"/>
  <c r="AB417" i="4" s="1"/>
  <c r="AD467" i="4"/>
  <c r="O467" i="4"/>
  <c r="AA467" i="4" s="1"/>
  <c r="AB467" i="4" s="1"/>
  <c r="AE2" i="4"/>
  <c r="AD5" i="4"/>
  <c r="O5" i="4"/>
  <c r="AA92" i="4"/>
  <c r="AB92" i="4" s="1"/>
  <c r="AA97" i="4"/>
  <c r="AB97" i="4" s="1"/>
  <c r="AA102" i="4"/>
  <c r="AB102" i="4" s="1"/>
  <c r="AA107" i="4"/>
  <c r="AB107" i="4" s="1"/>
  <c r="AA112" i="4"/>
  <c r="AB112" i="4" s="1"/>
  <c r="AA117" i="4"/>
  <c r="AB117" i="4" s="1"/>
  <c r="AA122" i="4"/>
  <c r="AB122" i="4" s="1"/>
  <c r="AA127" i="4"/>
  <c r="AB127" i="4" s="1"/>
  <c r="AA132" i="4"/>
  <c r="AB132" i="4" s="1"/>
  <c r="AA137" i="4"/>
  <c r="AB137" i="4" s="1"/>
  <c r="AA180" i="4"/>
  <c r="AB180" i="4" s="1"/>
  <c r="AE180" i="4"/>
  <c r="AA190" i="4"/>
  <c r="AB190" i="4" s="1"/>
  <c r="AE190" i="4"/>
  <c r="AA200" i="4"/>
  <c r="AB200" i="4" s="1"/>
  <c r="AE200" i="4"/>
  <c r="AA210" i="4"/>
  <c r="AB210" i="4" s="1"/>
  <c r="AE210" i="4"/>
  <c r="AE220" i="4"/>
  <c r="AA220" i="4"/>
  <c r="AB220" i="4" s="1"/>
  <c r="AE230" i="4"/>
  <c r="AA230" i="4"/>
  <c r="AB230" i="4" s="1"/>
  <c r="AE240" i="4"/>
  <c r="AA240" i="4"/>
  <c r="AB240" i="4" s="1"/>
  <c r="AE250" i="4"/>
  <c r="AA250" i="4"/>
  <c r="AB250" i="4" s="1"/>
  <c r="AE260" i="4"/>
  <c r="AA260" i="4"/>
  <c r="AB260" i="4" s="1"/>
  <c r="AE270" i="4"/>
  <c r="AA270" i="4"/>
  <c r="AB270" i="4" s="1"/>
  <c r="AE280" i="4"/>
  <c r="AA280" i="4"/>
  <c r="AB280" i="4" s="1"/>
  <c r="AA324" i="4"/>
  <c r="AB324" i="4" s="1"/>
  <c r="AE324" i="4"/>
  <c r="AA379" i="4"/>
  <c r="AB379" i="4" s="1"/>
  <c r="AE379" i="4"/>
  <c r="AA394" i="4"/>
  <c r="AB394" i="4" s="1"/>
  <c r="AA404" i="4"/>
  <c r="AB404" i="4" s="1"/>
  <c r="AE404" i="4"/>
  <c r="AA414" i="4"/>
  <c r="AB414" i="4" s="1"/>
  <c r="AE414" i="4"/>
  <c r="AD437" i="4"/>
  <c r="O437" i="4"/>
  <c r="AA437" i="4" s="1"/>
  <c r="AB437" i="4" s="1"/>
  <c r="AD451" i="4"/>
  <c r="O451" i="4"/>
  <c r="AD462" i="4"/>
  <c r="O462" i="4"/>
  <c r="AA462" i="4" s="1"/>
  <c r="AB462" i="4" s="1"/>
  <c r="AE5" i="4"/>
  <c r="AD8" i="4"/>
  <c r="O8" i="4"/>
  <c r="AA183" i="4"/>
  <c r="AB183" i="4" s="1"/>
  <c r="AE183" i="4"/>
  <c r="AA193" i="4"/>
  <c r="AB193" i="4" s="1"/>
  <c r="AE193" i="4"/>
  <c r="AA203" i="4"/>
  <c r="AB203" i="4" s="1"/>
  <c r="AE203" i="4"/>
  <c r="AD374" i="4"/>
  <c r="O374" i="4"/>
  <c r="AD381" i="4"/>
  <c r="O381" i="4"/>
  <c r="AE8" i="4"/>
  <c r="AA176" i="4"/>
  <c r="AB176" i="4" s="1"/>
  <c r="AE176" i="4"/>
  <c r="AA186" i="4"/>
  <c r="AB186" i="4" s="1"/>
  <c r="AE186" i="4"/>
  <c r="AA196" i="4"/>
  <c r="AB196" i="4" s="1"/>
  <c r="AE196" i="4"/>
  <c r="AA206" i="4"/>
  <c r="AB206" i="4" s="1"/>
  <c r="AE206" i="4"/>
  <c r="AE219" i="4"/>
  <c r="AA219" i="4"/>
  <c r="AB219" i="4" s="1"/>
  <c r="AE229" i="4"/>
  <c r="AA229" i="4"/>
  <c r="AB229" i="4" s="1"/>
  <c r="AE239" i="4"/>
  <c r="AA239" i="4"/>
  <c r="AB239" i="4" s="1"/>
  <c r="AE249" i="4"/>
  <c r="AA249" i="4"/>
  <c r="AB249" i="4" s="1"/>
  <c r="AE259" i="4"/>
  <c r="AA259" i="4"/>
  <c r="AB259" i="4" s="1"/>
  <c r="AE269" i="4"/>
  <c r="AA269" i="4"/>
  <c r="AB269" i="4" s="1"/>
  <c r="AE279" i="4"/>
  <c r="AA279" i="4"/>
  <c r="AB279" i="4" s="1"/>
  <c r="AE289" i="4"/>
  <c r="AA289" i="4"/>
  <c r="AB289" i="4" s="1"/>
  <c r="AE309" i="4"/>
  <c r="AA309" i="4"/>
  <c r="AB309" i="4" s="1"/>
  <c r="AD312" i="4"/>
  <c r="O312" i="4"/>
  <c r="AD349" i="4"/>
  <c r="O349" i="4"/>
  <c r="AD391" i="4"/>
  <c r="O391" i="4"/>
  <c r="AD432" i="4"/>
  <c r="O432" i="4"/>
  <c r="AE432" i="4" s="1"/>
  <c r="AD4" i="4"/>
  <c r="O4" i="4"/>
  <c r="AA4" i="4" s="1"/>
  <c r="AA179" i="4"/>
  <c r="AB179" i="4" s="1"/>
  <c r="AE179" i="4"/>
  <c r="AA189" i="4"/>
  <c r="AB189" i="4" s="1"/>
  <c r="AE189" i="4"/>
  <c r="AA199" i="4"/>
  <c r="AB199" i="4" s="1"/>
  <c r="AE199" i="4"/>
  <c r="AA209" i="4"/>
  <c r="AB209" i="4" s="1"/>
  <c r="AE209" i="4"/>
  <c r="AD321" i="4"/>
  <c r="O321" i="4"/>
  <c r="AA331" i="4"/>
  <c r="AB331" i="4" s="1"/>
  <c r="AE331" i="4"/>
  <c r="AE336" i="4"/>
  <c r="AA363" i="4"/>
  <c r="AB363" i="4" s="1"/>
  <c r="AE363" i="4"/>
  <c r="AE378" i="4"/>
  <c r="AA378" i="4"/>
  <c r="AB378" i="4" s="1"/>
  <c r="AB2" i="4"/>
  <c r="AE4" i="4"/>
  <c r="AA5" i="4"/>
  <c r="AD7" i="4"/>
  <c r="O7" i="4"/>
  <c r="AA7" i="4" s="1"/>
  <c r="AA182" i="4"/>
  <c r="AB182" i="4" s="1"/>
  <c r="AE182" i="4"/>
  <c r="AA192" i="4"/>
  <c r="AB192" i="4" s="1"/>
  <c r="AE192" i="4"/>
  <c r="AA202" i="4"/>
  <c r="AB202" i="4" s="1"/>
  <c r="AE202" i="4"/>
  <c r="AE290" i="4"/>
  <c r="AA294" i="4"/>
  <c r="AB294" i="4" s="1"/>
  <c r="AE294" i="4"/>
  <c r="O297" i="4"/>
  <c r="AA297" i="4" s="1"/>
  <c r="AB297" i="4" s="1"/>
  <c r="AE338" i="4"/>
  <c r="AA338" i="4"/>
  <c r="AB338" i="4" s="1"/>
  <c r="AA341" i="4"/>
  <c r="AB341" i="4" s="1"/>
  <c r="AE341" i="4"/>
  <c r="AA385" i="4"/>
  <c r="AB385" i="4" s="1"/>
  <c r="AE385" i="4"/>
  <c r="AE394" i="4"/>
  <c r="AD405" i="4"/>
  <c r="O405" i="4"/>
  <c r="AE405" i="4" s="1"/>
  <c r="AD426" i="4"/>
  <c r="O426" i="4"/>
  <c r="AA426" i="4" s="1"/>
  <c r="AB426" i="4" s="1"/>
  <c r="AD455" i="4"/>
  <c r="O455" i="4"/>
  <c r="AE455" i="4" s="1"/>
  <c r="AB5" i="4"/>
  <c r="AA8" i="4"/>
  <c r="AA185" i="4"/>
  <c r="AB185" i="4" s="1"/>
  <c r="AE185" i="4"/>
  <c r="AA195" i="4"/>
  <c r="AB195" i="4" s="1"/>
  <c r="AE195" i="4"/>
  <c r="AA205" i="4"/>
  <c r="AB205" i="4" s="1"/>
  <c r="AE205" i="4"/>
  <c r="AA214" i="4"/>
  <c r="AB214" i="4" s="1"/>
  <c r="AA224" i="4"/>
  <c r="AB224" i="4" s="1"/>
  <c r="AA234" i="4"/>
  <c r="AB234" i="4" s="1"/>
  <c r="AA244" i="4"/>
  <c r="AB244" i="4" s="1"/>
  <c r="AA254" i="4"/>
  <c r="AB254" i="4" s="1"/>
  <c r="AA264" i="4"/>
  <c r="AB264" i="4" s="1"/>
  <c r="AA274" i="4"/>
  <c r="AB274" i="4" s="1"/>
  <c r="AA284" i="4"/>
  <c r="AB284" i="4" s="1"/>
  <c r="O294" i="4"/>
  <c r="AD308" i="4"/>
  <c r="O308" i="4"/>
  <c r="AA308" i="4" s="1"/>
  <c r="AB308" i="4" s="1"/>
  <c r="AD325" i="4"/>
  <c r="O325" i="4"/>
  <c r="AA325" i="4" s="1"/>
  <c r="AB325" i="4" s="1"/>
  <c r="AD345" i="4"/>
  <c r="O345" i="4"/>
  <c r="AE345" i="4" s="1"/>
  <c r="AD351" i="4"/>
  <c r="O351" i="4"/>
  <c r="AD436" i="4"/>
  <c r="O436" i="4"/>
  <c r="AE462" i="4"/>
  <c r="AE478" i="4"/>
  <c r="AA478" i="4"/>
  <c r="AB478" i="4" s="1"/>
  <c r="AD3" i="4"/>
  <c r="O3" i="4"/>
  <c r="AA3" i="4" s="1"/>
  <c r="AB8" i="4"/>
  <c r="AA25" i="4"/>
  <c r="AA50" i="4"/>
  <c r="AA75" i="4"/>
  <c r="AE87" i="4"/>
  <c r="AA89" i="4"/>
  <c r="AB89" i="4" s="1"/>
  <c r="AE92" i="4"/>
  <c r="AA94" i="4"/>
  <c r="AB94" i="4" s="1"/>
  <c r="AE97" i="4"/>
  <c r="AA99" i="4"/>
  <c r="AB99" i="4" s="1"/>
  <c r="AE102" i="4"/>
  <c r="AA104" i="4"/>
  <c r="AB104" i="4" s="1"/>
  <c r="AE107" i="4"/>
  <c r="AA109" i="4"/>
  <c r="AB109" i="4" s="1"/>
  <c r="AE112" i="4"/>
  <c r="AA114" i="4"/>
  <c r="AB114" i="4" s="1"/>
  <c r="AE117" i="4"/>
  <c r="AA119" i="4"/>
  <c r="AB119" i="4" s="1"/>
  <c r="AE122" i="4"/>
  <c r="AA124" i="4"/>
  <c r="AB124" i="4" s="1"/>
  <c r="AE127" i="4"/>
  <c r="AA129" i="4"/>
  <c r="AB129" i="4" s="1"/>
  <c r="AE132" i="4"/>
  <c r="AA134" i="4"/>
  <c r="AB134" i="4" s="1"/>
  <c r="AE137" i="4"/>
  <c r="AA139" i="4"/>
  <c r="AB139" i="4" s="1"/>
  <c r="AE142" i="4"/>
  <c r="AA144" i="4"/>
  <c r="AB144" i="4" s="1"/>
  <c r="AE147" i="4"/>
  <c r="AA149" i="4"/>
  <c r="AB149" i="4" s="1"/>
  <c r="AE152" i="4"/>
  <c r="AA154" i="4"/>
  <c r="AB154" i="4" s="1"/>
  <c r="AE157" i="4"/>
  <c r="AA159" i="4"/>
  <c r="AB159" i="4" s="1"/>
  <c r="AE162" i="4"/>
  <c r="AA164" i="4"/>
  <c r="AB164" i="4" s="1"/>
  <c r="AE167" i="4"/>
  <c r="AA169" i="4"/>
  <c r="AB169" i="4" s="1"/>
  <c r="AE172" i="4"/>
  <c r="AA174" i="4"/>
  <c r="AB174" i="4" s="1"/>
  <c r="AA178" i="4"/>
  <c r="AB178" i="4" s="1"/>
  <c r="AE178" i="4"/>
  <c r="AA188" i="4"/>
  <c r="AB188" i="4" s="1"/>
  <c r="AE188" i="4"/>
  <c r="AA198" i="4"/>
  <c r="AB198" i="4" s="1"/>
  <c r="AE198" i="4"/>
  <c r="AA208" i="4"/>
  <c r="AB208" i="4" s="1"/>
  <c r="AE208" i="4"/>
  <c r="AE308" i="4"/>
  <c r="AA317" i="4"/>
  <c r="AB317" i="4" s="1"/>
  <c r="AA336" i="4"/>
  <c r="AB336" i="4" s="1"/>
  <c r="AA345" i="4"/>
  <c r="AB345" i="4" s="1"/>
  <c r="AD362" i="4"/>
  <c r="O362" i="4"/>
  <c r="AA362" i="4" s="1"/>
  <c r="AB362" i="4" s="1"/>
  <c r="AD375" i="4"/>
  <c r="O375" i="4"/>
  <c r="AE375" i="4" s="1"/>
  <c r="AD387" i="4"/>
  <c r="O387" i="4"/>
  <c r="AA387" i="4" s="1"/>
  <c r="AB387" i="4" s="1"/>
  <c r="AA415" i="4"/>
  <c r="AB415" i="4" s="1"/>
  <c r="AD423" i="4"/>
  <c r="O423" i="4"/>
  <c r="AE423" i="4" s="1"/>
  <c r="AE436" i="4"/>
  <c r="AA436" i="4"/>
  <c r="AB436" i="4" s="1"/>
  <c r="AE468" i="4"/>
  <c r="AA468" i="4"/>
  <c r="AB468" i="4" s="1"/>
  <c r="AA469" i="4"/>
  <c r="AB469" i="4" s="1"/>
  <c r="AE3" i="4"/>
  <c r="AD6" i="4"/>
  <c r="O6" i="4"/>
  <c r="AA6" i="4" s="1"/>
  <c r="AA181" i="4"/>
  <c r="AB181" i="4" s="1"/>
  <c r="AE181" i="4"/>
  <c r="AA191" i="4"/>
  <c r="AB191" i="4" s="1"/>
  <c r="AE191" i="4"/>
  <c r="AA201" i="4"/>
  <c r="AB201" i="4" s="1"/>
  <c r="AE201" i="4"/>
  <c r="AE211" i="4"/>
  <c r="AA211" i="4"/>
  <c r="AB211" i="4" s="1"/>
  <c r="AE221" i="4"/>
  <c r="AA221" i="4"/>
  <c r="AB221" i="4" s="1"/>
  <c r="AE231" i="4"/>
  <c r="AA231" i="4"/>
  <c r="AB231" i="4" s="1"/>
  <c r="AE241" i="4"/>
  <c r="AA241" i="4"/>
  <c r="AB241" i="4" s="1"/>
  <c r="AE251" i="4"/>
  <c r="AA251" i="4"/>
  <c r="AB251" i="4" s="1"/>
  <c r="AE261" i="4"/>
  <c r="AA261" i="4"/>
  <c r="AB261" i="4" s="1"/>
  <c r="AE271" i="4"/>
  <c r="AA271" i="4"/>
  <c r="AB271" i="4" s="1"/>
  <c r="AE281" i="4"/>
  <c r="AA281" i="4"/>
  <c r="AB281" i="4" s="1"/>
  <c r="AD293" i="4"/>
  <c r="O293" i="4"/>
  <c r="AA293" i="4" s="1"/>
  <c r="AB293" i="4" s="1"/>
  <c r="O305" i="4"/>
  <c r="AE305" i="4" s="1"/>
  <c r="AD397" i="4"/>
  <c r="O397" i="4"/>
  <c r="AE446" i="4"/>
  <c r="AA446" i="4"/>
  <c r="AB446" i="4" s="1"/>
  <c r="AE482" i="4"/>
  <c r="AD552" i="4"/>
  <c r="O552" i="4"/>
  <c r="AE552" i="4" s="1"/>
  <c r="AD585" i="4"/>
  <c r="O585" i="4"/>
  <c r="AE585" i="4" s="1"/>
  <c r="O609" i="4"/>
  <c r="AA609" i="4" s="1"/>
  <c r="AB609" i="4" s="1"/>
  <c r="AD609" i="4"/>
  <c r="O619" i="4"/>
  <c r="AD619" i="4"/>
  <c r="AD298" i="4"/>
  <c r="O298" i="4"/>
  <c r="AA298" i="4" s="1"/>
  <c r="AB298" i="4" s="1"/>
  <c r="AA322" i="4"/>
  <c r="AB322" i="4" s="1"/>
  <c r="AE322" i="4"/>
  <c r="AE330" i="4"/>
  <c r="AE374" i="4"/>
  <c r="AD376" i="4"/>
  <c r="O376" i="4"/>
  <c r="AA376" i="4" s="1"/>
  <c r="AB376" i="4" s="1"/>
  <c r="AD441" i="4"/>
  <c r="O441" i="4"/>
  <c r="AD472" i="4"/>
  <c r="O472" i="4"/>
  <c r="AA472" i="4" s="1"/>
  <c r="AB472" i="4" s="1"/>
  <c r="AD493" i="4"/>
  <c r="O493" i="4"/>
  <c r="AE522" i="4"/>
  <c r="AA533" i="4"/>
  <c r="AB533" i="4" s="1"/>
  <c r="AE533" i="4"/>
  <c r="AD541" i="4"/>
  <c r="O541" i="4"/>
  <c r="AD561" i="4"/>
  <c r="O561" i="4"/>
  <c r="AE569" i="4"/>
  <c r="AA569" i="4"/>
  <c r="AB569" i="4" s="1"/>
  <c r="AE609" i="4"/>
  <c r="AE212" i="4"/>
  <c r="AA216" i="4"/>
  <c r="AB216" i="4" s="1"/>
  <c r="AE222" i="4"/>
  <c r="AA226" i="4"/>
  <c r="AB226" i="4" s="1"/>
  <c r="AE232" i="4"/>
  <c r="AA236" i="4"/>
  <c r="AB236" i="4" s="1"/>
  <c r="AE242" i="4"/>
  <c r="AA246" i="4"/>
  <c r="AB246" i="4" s="1"/>
  <c r="AE252" i="4"/>
  <c r="AA256" i="4"/>
  <c r="AB256" i="4" s="1"/>
  <c r="AE262" i="4"/>
  <c r="AA266" i="4"/>
  <c r="AB266" i="4" s="1"/>
  <c r="AE272" i="4"/>
  <c r="AA276" i="4"/>
  <c r="AB276" i="4" s="1"/>
  <c r="AE282" i="4"/>
  <c r="AA286" i="4"/>
  <c r="AB286" i="4" s="1"/>
  <c r="AA291" i="4"/>
  <c r="AB291" i="4" s="1"/>
  <c r="AD302" i="4"/>
  <c r="O302" i="4"/>
  <c r="AA306" i="4"/>
  <c r="AB306" i="4" s="1"/>
  <c r="AA314" i="4"/>
  <c r="AB314" i="4" s="1"/>
  <c r="AE314" i="4"/>
  <c r="AD328" i="4"/>
  <c r="O328" i="4"/>
  <c r="AA328" i="4" s="1"/>
  <c r="AB328" i="4" s="1"/>
  <c r="AE334" i="4"/>
  <c r="AE346" i="4"/>
  <c r="AD353" i="4"/>
  <c r="O353" i="4"/>
  <c r="AA353" i="4" s="1"/>
  <c r="AB353" i="4" s="1"/>
  <c r="AE356" i="4"/>
  <c r="AA356" i="4"/>
  <c r="AB356" i="4" s="1"/>
  <c r="AE376" i="4"/>
  <c r="AE388" i="4"/>
  <c r="AA388" i="4"/>
  <c r="AB388" i="4" s="1"/>
  <c r="AE398" i="4"/>
  <c r="AA398" i="4"/>
  <c r="AB398" i="4" s="1"/>
  <c r="AE407" i="4"/>
  <c r="AA407" i="4"/>
  <c r="AB407" i="4" s="1"/>
  <c r="AE427" i="4"/>
  <c r="AA427" i="4"/>
  <c r="AB427" i="4" s="1"/>
  <c r="AD431" i="4"/>
  <c r="O431" i="4"/>
  <c r="AD434" i="4"/>
  <c r="O434" i="4"/>
  <c r="AA434" i="4" s="1"/>
  <c r="AB434" i="4" s="1"/>
  <c r="AD453" i="4"/>
  <c r="O453" i="4"/>
  <c r="AA453" i="4" s="1"/>
  <c r="AB453" i="4" s="1"/>
  <c r="AE456" i="4"/>
  <c r="AA456" i="4"/>
  <c r="AB456" i="4" s="1"/>
  <c r="AE483" i="4"/>
  <c r="AA493" i="4"/>
  <c r="AB493" i="4" s="1"/>
  <c r="AE493" i="4"/>
  <c r="AD502" i="4"/>
  <c r="O502" i="4"/>
  <c r="AE502" i="4" s="1"/>
  <c r="O527" i="4"/>
  <c r="AA527" i="4" s="1"/>
  <c r="AB527" i="4" s="1"/>
  <c r="AD535" i="4"/>
  <c r="O535" i="4"/>
  <c r="AA535" i="4" s="1"/>
  <c r="AB535" i="4" s="1"/>
  <c r="O574" i="4"/>
  <c r="AD481" i="4"/>
  <c r="O481" i="4"/>
  <c r="AA482" i="4"/>
  <c r="AB482" i="4" s="1"/>
  <c r="AE507" i="4"/>
  <c r="AD511" i="4"/>
  <c r="O511" i="4"/>
  <c r="AE519" i="4"/>
  <c r="AA519" i="4"/>
  <c r="AB519" i="4" s="1"/>
  <c r="AA554" i="4"/>
  <c r="AB554" i="4" s="1"/>
  <c r="AE554" i="4"/>
  <c r="O602" i="4"/>
  <c r="AE602" i="4" s="1"/>
  <c r="AD602" i="4"/>
  <c r="AA650" i="4"/>
  <c r="AB650" i="4" s="1"/>
  <c r="AE650" i="4"/>
  <c r="O658" i="4"/>
  <c r="AD658" i="4"/>
  <c r="AA545" i="4"/>
  <c r="AB545" i="4" s="1"/>
  <c r="AE545" i="4"/>
  <c r="AE568" i="4"/>
  <c r="AA568" i="4"/>
  <c r="AB568" i="4" s="1"/>
  <c r="AD573" i="4"/>
  <c r="O573" i="4"/>
  <c r="O660" i="4"/>
  <c r="AD660" i="4"/>
  <c r="AA504" i="4"/>
  <c r="AB504" i="4" s="1"/>
  <c r="AE504" i="4"/>
  <c r="AE556" i="4"/>
  <c r="AA556" i="4"/>
  <c r="AB556" i="4" s="1"/>
  <c r="AA573" i="4"/>
  <c r="AB573" i="4" s="1"/>
  <c r="AE589" i="4"/>
  <c r="AA589" i="4"/>
  <c r="AB589" i="4" s="1"/>
  <c r="AE596" i="4"/>
  <c r="AA596" i="4"/>
  <c r="AB596" i="4" s="1"/>
  <c r="AA639" i="4"/>
  <c r="AB639" i="4" s="1"/>
  <c r="AE639" i="4"/>
  <c r="AA327" i="4"/>
  <c r="AB327" i="4" s="1"/>
  <c r="AA337" i="4"/>
  <c r="AB337" i="4" s="1"/>
  <c r="AA355" i="4"/>
  <c r="AB355" i="4" s="1"/>
  <c r="AE362" i="4"/>
  <c r="AE372" i="4"/>
  <c r="AA375" i="4"/>
  <c r="AB375" i="4" s="1"/>
  <c r="AD384" i="4"/>
  <c r="O384" i="4"/>
  <c r="AE384" i="4" s="1"/>
  <c r="AD416" i="4"/>
  <c r="O416" i="4"/>
  <c r="AA416" i="4" s="1"/>
  <c r="AB416" i="4" s="1"/>
  <c r="AA423" i="4"/>
  <c r="AB423" i="4" s="1"/>
  <c r="AE426" i="4"/>
  <c r="AE444" i="4"/>
  <c r="AA455" i="4"/>
  <c r="AB455" i="4" s="1"/>
  <c r="AE467" i="4"/>
  <c r="O474" i="4"/>
  <c r="AE518" i="4"/>
  <c r="AA518" i="4"/>
  <c r="AB518" i="4" s="1"/>
  <c r="AD523" i="4"/>
  <c r="O523" i="4"/>
  <c r="AE523" i="4" s="1"/>
  <c r="AE532" i="4"/>
  <c r="AA532" i="4"/>
  <c r="AB532" i="4" s="1"/>
  <c r="AD547" i="4"/>
  <c r="O547" i="4"/>
  <c r="AA547" i="4" s="1"/>
  <c r="AB547" i="4" s="1"/>
  <c r="AD562" i="4"/>
  <c r="O562" i="4"/>
  <c r="AA562" i="4" s="1"/>
  <c r="AB562" i="4" s="1"/>
  <c r="AE586" i="4"/>
  <c r="AA586" i="4"/>
  <c r="AB586" i="4" s="1"/>
  <c r="O633" i="4"/>
  <c r="AD633" i="4"/>
  <c r="AE227" i="4"/>
  <c r="AE277" i="4"/>
  <c r="AA323" i="4"/>
  <c r="AB323" i="4" s="1"/>
  <c r="AA369" i="4"/>
  <c r="AB369" i="4" s="1"/>
  <c r="AE369" i="4"/>
  <c r="AA384" i="4"/>
  <c r="AB384" i="4" s="1"/>
  <c r="AD393" i="4"/>
  <c r="O393" i="4"/>
  <c r="AE393" i="4" s="1"/>
  <c r="AA413" i="4"/>
  <c r="AB413" i="4" s="1"/>
  <c r="AA433" i="4"/>
  <c r="AB433" i="4" s="1"/>
  <c r="AE433" i="4"/>
  <c r="AD442" i="4"/>
  <c r="O442" i="4"/>
  <c r="AE442" i="4" s="1"/>
  <c r="AD445" i="4"/>
  <c r="O445" i="4"/>
  <c r="AD464" i="4"/>
  <c r="O464" i="4"/>
  <c r="AE476" i="4"/>
  <c r="AA476" i="4"/>
  <c r="AB476" i="4" s="1"/>
  <c r="AE506" i="4"/>
  <c r="AA506" i="4"/>
  <c r="AB506" i="4" s="1"/>
  <c r="O515" i="4"/>
  <c r="AE515" i="4" s="1"/>
  <c r="AE562" i="4"/>
  <c r="O649" i="4"/>
  <c r="AA649" i="4" s="1"/>
  <c r="AB649" i="4" s="1"/>
  <c r="AD649" i="4"/>
  <c r="AD292" i="4"/>
  <c r="O292" i="4"/>
  <c r="AA296" i="4"/>
  <c r="AB296" i="4" s="1"/>
  <c r="AE304" i="4"/>
  <c r="O323" i="4"/>
  <c r="AE323" i="4" s="1"/>
  <c r="AD339" i="4"/>
  <c r="O339" i="4"/>
  <c r="AA339" i="4" s="1"/>
  <c r="AB339" i="4" s="1"/>
  <c r="O365" i="4"/>
  <c r="AE365" i="4" s="1"/>
  <c r="AD403" i="4"/>
  <c r="O403" i="4"/>
  <c r="AE403" i="4" s="1"/>
  <c r="AD412" i="4"/>
  <c r="O412" i="4"/>
  <c r="O413" i="4"/>
  <c r="AE413" i="4" s="1"/>
  <c r="AE445" i="4"/>
  <c r="AD447" i="4"/>
  <c r="O447" i="4"/>
  <c r="AA447" i="4" s="1"/>
  <c r="AB447" i="4" s="1"/>
  <c r="AA464" i="4"/>
  <c r="AB464" i="4" s="1"/>
  <c r="AE464" i="4"/>
  <c r="AA473" i="4"/>
  <c r="AB473" i="4" s="1"/>
  <c r="AE494" i="4"/>
  <c r="AD512" i="4"/>
  <c r="O512" i="4"/>
  <c r="AA512" i="4" s="1"/>
  <c r="AB512" i="4" s="1"/>
  <c r="AE536" i="4"/>
  <c r="AA536" i="4"/>
  <c r="AB536" i="4" s="1"/>
  <c r="AD544" i="4"/>
  <c r="O544" i="4"/>
  <c r="AE544" i="4" s="1"/>
  <c r="O553" i="4"/>
  <c r="AA553" i="4" s="1"/>
  <c r="AB553" i="4" s="1"/>
  <c r="AA614" i="4"/>
  <c r="AB614" i="4" s="1"/>
  <c r="AA641" i="4"/>
  <c r="AB641" i="4" s="1"/>
  <c r="AE641" i="4"/>
  <c r="AE215" i="4"/>
  <c r="AE225" i="4"/>
  <c r="AE235" i="4"/>
  <c r="AE245" i="4"/>
  <c r="AE255" i="4"/>
  <c r="AE265" i="4"/>
  <c r="AE275" i="4"/>
  <c r="AE285" i="4"/>
  <c r="AE299" i="4"/>
  <c r="AD303" i="4"/>
  <c r="O303" i="4"/>
  <c r="AA303" i="4" s="1"/>
  <c r="AB303" i="4" s="1"/>
  <c r="O304" i="4"/>
  <c r="AA304" i="4" s="1"/>
  <c r="AB304" i="4" s="1"/>
  <c r="AE307" i="4"/>
  <c r="AA315" i="4"/>
  <c r="AB315" i="4" s="1"/>
  <c r="AD318" i="4"/>
  <c r="O318" i="4"/>
  <c r="AA318" i="4" s="1"/>
  <c r="AB318" i="4" s="1"/>
  <c r="AA329" i="4"/>
  <c r="AB329" i="4" s="1"/>
  <c r="AE329" i="4"/>
  <c r="AD332" i="4"/>
  <c r="O332" i="4"/>
  <c r="AD336" i="4"/>
  <c r="O336" i="4"/>
  <c r="AE339" i="4"/>
  <c r="AD343" i="4"/>
  <c r="O343" i="4"/>
  <c r="AE343" i="4" s="1"/>
  <c r="O344" i="4"/>
  <c r="AA344" i="4" s="1"/>
  <c r="AB344" i="4" s="1"/>
  <c r="AE347" i="4"/>
  <c r="AD361" i="4"/>
  <c r="O361" i="4"/>
  <c r="AA372" i="4"/>
  <c r="AB372" i="4" s="1"/>
  <c r="AE386" i="4"/>
  <c r="AE408" i="4"/>
  <c r="AA408" i="4"/>
  <c r="AB408" i="4" s="1"/>
  <c r="AD422" i="4"/>
  <c r="O422" i="4"/>
  <c r="AA422" i="4" s="1"/>
  <c r="AB422" i="4" s="1"/>
  <c r="AD461" i="4"/>
  <c r="O461" i="4"/>
  <c r="O473" i="4"/>
  <c r="AE473" i="4" s="1"/>
  <c r="AA485" i="4"/>
  <c r="AB485" i="4" s="1"/>
  <c r="AE485" i="4"/>
  <c r="AA486" i="4"/>
  <c r="AB486" i="4" s="1"/>
  <c r="AD491" i="4"/>
  <c r="O491" i="4"/>
  <c r="O494" i="4"/>
  <c r="AA494" i="4" s="1"/>
  <c r="AB494" i="4" s="1"/>
  <c r="AE495" i="4"/>
  <c r="O497" i="4"/>
  <c r="AA497" i="4" s="1"/>
  <c r="AB497" i="4" s="1"/>
  <c r="AE573" i="4"/>
  <c r="AA578" i="4"/>
  <c r="AB578" i="4" s="1"/>
  <c r="AA583" i="4"/>
  <c r="AB583" i="4" s="1"/>
  <c r="AE583" i="4"/>
  <c r="AE593" i="4"/>
  <c r="AD595" i="4"/>
  <c r="O595" i="4"/>
  <c r="AD352" i="4"/>
  <c r="O352" i="4"/>
  <c r="AA352" i="4" s="1"/>
  <c r="AB352" i="4" s="1"/>
  <c r="AE366" i="4"/>
  <c r="AD371" i="4"/>
  <c r="O371" i="4"/>
  <c r="AA395" i="4"/>
  <c r="AB395" i="4" s="1"/>
  <c r="AE418" i="4"/>
  <c r="AA424" i="4"/>
  <c r="AB424" i="4" s="1"/>
  <c r="AE437" i="4"/>
  <c r="AA443" i="4"/>
  <c r="AB443" i="4" s="1"/>
  <c r="AD452" i="4"/>
  <c r="O452" i="4"/>
  <c r="AA452" i="4" s="1"/>
  <c r="AB452" i="4" s="1"/>
  <c r="AA458" i="4"/>
  <c r="AB458" i="4" s="1"/>
  <c r="AA465" i="4"/>
  <c r="AB465" i="4" s="1"/>
  <c r="AA474" i="4"/>
  <c r="AB474" i="4" s="1"/>
  <c r="AE474" i="4"/>
  <c r="AE477" i="4"/>
  <c r="AD482" i="4"/>
  <c r="O482" i="4"/>
  <c r="AA503" i="4"/>
  <c r="AB503" i="4" s="1"/>
  <c r="AA508" i="4"/>
  <c r="AB508" i="4" s="1"/>
  <c r="AA515" i="4"/>
  <c r="AB515" i="4" s="1"/>
  <c r="AA524" i="4"/>
  <c r="AB524" i="4" s="1"/>
  <c r="AE524" i="4"/>
  <c r="AE527" i="4"/>
  <c r="AD532" i="4"/>
  <c r="O532" i="4"/>
  <c r="AA565" i="4"/>
  <c r="AB565" i="4" s="1"/>
  <c r="AA574" i="4"/>
  <c r="AB574" i="4" s="1"/>
  <c r="AE574" i="4"/>
  <c r="AE577" i="4"/>
  <c r="AD582" i="4"/>
  <c r="O582" i="4"/>
  <c r="AA582" i="4" s="1"/>
  <c r="AB582" i="4" s="1"/>
  <c r="AD593" i="4"/>
  <c r="O593" i="4"/>
  <c r="AA593" i="4" s="1"/>
  <c r="AB593" i="4" s="1"/>
  <c r="O652" i="4"/>
  <c r="AA652" i="4" s="1"/>
  <c r="AB652" i="4" s="1"/>
  <c r="AD652" i="4"/>
  <c r="AE660" i="4"/>
  <c r="AD531" i="4"/>
  <c r="O531" i="4"/>
  <c r="AD581" i="4"/>
  <c r="O581" i="4"/>
  <c r="AA595" i="4"/>
  <c r="AB595" i="4" s="1"/>
  <c r="AE595" i="4"/>
  <c r="AE611" i="4"/>
  <c r="O632" i="4"/>
  <c r="AA632" i="4" s="1"/>
  <c r="AB632" i="4" s="1"/>
  <c r="AD632" i="4"/>
  <c r="AA505" i="4"/>
  <c r="AB505" i="4" s="1"/>
  <c r="AA514" i="4"/>
  <c r="AB514" i="4" s="1"/>
  <c r="AE514" i="4"/>
  <c r="AE517" i="4"/>
  <c r="AD522" i="4"/>
  <c r="O522" i="4"/>
  <c r="AA522" i="4" s="1"/>
  <c r="AB522" i="4" s="1"/>
  <c r="AE567" i="4"/>
  <c r="AD572" i="4"/>
  <c r="O572" i="4"/>
  <c r="AD592" i="4"/>
  <c r="O592" i="4"/>
  <c r="AE613" i="4"/>
  <c r="AA613" i="4"/>
  <c r="AB613" i="4" s="1"/>
  <c r="AE623" i="4"/>
  <c r="AA623" i="4"/>
  <c r="AB623" i="4" s="1"/>
  <c r="AE672" i="4"/>
  <c r="AD342" i="4"/>
  <c r="O342" i="4"/>
  <c r="AA374" i="4"/>
  <c r="AB374" i="4" s="1"/>
  <c r="AE387" i="4"/>
  <c r="AE395" i="4"/>
  <c r="AD402" i="4"/>
  <c r="O402" i="4"/>
  <c r="AD421" i="4"/>
  <c r="O421" i="4"/>
  <c r="AE424" i="4"/>
  <c r="AA445" i="4"/>
  <c r="AB445" i="4" s="1"/>
  <c r="AE465" i="4"/>
  <c r="AE496" i="4"/>
  <c r="AD501" i="4"/>
  <c r="O501" i="4"/>
  <c r="O505" i="4"/>
  <c r="AE505" i="4" s="1"/>
  <c r="O514" i="4"/>
  <c r="O517" i="4"/>
  <c r="AA517" i="4" s="1"/>
  <c r="AB517" i="4" s="1"/>
  <c r="O543" i="4"/>
  <c r="AE543" i="4" s="1"/>
  <c r="AD551" i="4"/>
  <c r="O551" i="4"/>
  <c r="O555" i="4"/>
  <c r="AE555" i="4" s="1"/>
  <c r="O564" i="4"/>
  <c r="AA564" i="4" s="1"/>
  <c r="AB564" i="4" s="1"/>
  <c r="AE565" i="4"/>
  <c r="O567" i="4"/>
  <c r="AA567" i="4" s="1"/>
  <c r="AB567" i="4" s="1"/>
  <c r="O653" i="4"/>
  <c r="AD653" i="4"/>
  <c r="AD682" i="4"/>
  <c r="O682" i="4"/>
  <c r="AE325" i="4"/>
  <c r="AA335" i="4"/>
  <c r="AB335" i="4" s="1"/>
  <c r="AE377" i="4"/>
  <c r="AD392" i="4"/>
  <c r="O392" i="4"/>
  <c r="AD411" i="4"/>
  <c r="O411" i="4"/>
  <c r="AE443" i="4"/>
  <c r="AA463" i="4"/>
  <c r="AB463" i="4" s="1"/>
  <c r="AD492" i="4"/>
  <c r="O492" i="4"/>
  <c r="AE503" i="4"/>
  <c r="AA525" i="4"/>
  <c r="AB525" i="4" s="1"/>
  <c r="AE534" i="4"/>
  <c r="AD542" i="4"/>
  <c r="O542" i="4"/>
  <c r="AA575" i="4"/>
  <c r="AB575" i="4" s="1"/>
  <c r="AA584" i="4"/>
  <c r="AB584" i="4" s="1"/>
  <c r="AE584" i="4"/>
  <c r="O603" i="4"/>
  <c r="AA603" i="4" s="1"/>
  <c r="AB603" i="4" s="1"/>
  <c r="AD603" i="4"/>
  <c r="AA637" i="4"/>
  <c r="AB637" i="4" s="1"/>
  <c r="AE637" i="4"/>
  <c r="AA669" i="4"/>
  <c r="AB669" i="4" s="1"/>
  <c r="AE669" i="4"/>
  <c r="AA680" i="4"/>
  <c r="AB680" i="4" s="1"/>
  <c r="AE680" i="4"/>
  <c r="O291" i="4"/>
  <c r="AE291" i="4" s="1"/>
  <c r="O301" i="4"/>
  <c r="AE301" i="4" s="1"/>
  <c r="O311" i="4"/>
  <c r="AE311" i="4" s="1"/>
  <c r="O327" i="4"/>
  <c r="AE327" i="4" s="1"/>
  <c r="O335" i="4"/>
  <c r="AE335" i="4" s="1"/>
  <c r="AE348" i="4"/>
  <c r="AA354" i="4"/>
  <c r="AB354" i="4" s="1"/>
  <c r="O364" i="4"/>
  <c r="AE364" i="4" s="1"/>
  <c r="AE367" i="4"/>
  <c r="AA373" i="4"/>
  <c r="AB373" i="4" s="1"/>
  <c r="O377" i="4"/>
  <c r="AA377" i="4" s="1"/>
  <c r="AB377" i="4" s="1"/>
  <c r="AD382" i="4"/>
  <c r="O382" i="4"/>
  <c r="O383" i="4"/>
  <c r="AE383" i="4" s="1"/>
  <c r="AE396" i="4"/>
  <c r="AD401" i="4"/>
  <c r="O401" i="4"/>
  <c r="O406" i="4"/>
  <c r="AA406" i="4" s="1"/>
  <c r="AB406" i="4" s="1"/>
  <c r="AA425" i="4"/>
  <c r="AB425" i="4" s="1"/>
  <c r="O435" i="4"/>
  <c r="AE435" i="4" s="1"/>
  <c r="AE448" i="4"/>
  <c r="AA454" i="4"/>
  <c r="AB454" i="4" s="1"/>
  <c r="O463" i="4"/>
  <c r="AE463" i="4" s="1"/>
  <c r="AE466" i="4"/>
  <c r="AD471" i="4"/>
  <c r="O471" i="4"/>
  <c r="O475" i="4"/>
  <c r="AE475" i="4" s="1"/>
  <c r="O484" i="4"/>
  <c r="AA484" i="4" s="1"/>
  <c r="AB484" i="4" s="1"/>
  <c r="O487" i="4"/>
  <c r="AA487" i="4" s="1"/>
  <c r="AB487" i="4" s="1"/>
  <c r="O513" i="4"/>
  <c r="AE513" i="4" s="1"/>
  <c r="AE516" i="4"/>
  <c r="AD521" i="4"/>
  <c r="O521" i="4"/>
  <c r="O525" i="4"/>
  <c r="AE525" i="4" s="1"/>
  <c r="AA526" i="4"/>
  <c r="AB526" i="4" s="1"/>
  <c r="O534" i="4"/>
  <c r="AA534" i="4" s="1"/>
  <c r="AB534" i="4" s="1"/>
  <c r="O537" i="4"/>
  <c r="AA537" i="4" s="1"/>
  <c r="AB537" i="4" s="1"/>
  <c r="O563" i="4"/>
  <c r="AE563" i="4" s="1"/>
  <c r="AE566" i="4"/>
  <c r="AD571" i="4"/>
  <c r="O571" i="4"/>
  <c r="O575" i="4"/>
  <c r="AE575" i="4" s="1"/>
  <c r="AA576" i="4"/>
  <c r="AB576" i="4" s="1"/>
  <c r="O584" i="4"/>
  <c r="O587" i="4"/>
  <c r="AA587" i="4" s="1"/>
  <c r="AB587" i="4" s="1"/>
  <c r="AA588" i="4"/>
  <c r="AB588" i="4" s="1"/>
  <c r="AA594" i="4"/>
  <c r="AB594" i="4" s="1"/>
  <c r="AE594" i="4"/>
  <c r="AE614" i="4"/>
  <c r="AE624" i="4"/>
  <c r="AA659" i="4"/>
  <c r="AB659" i="4" s="1"/>
  <c r="AE659" i="4"/>
  <c r="AA693" i="4"/>
  <c r="AB693" i="4" s="1"/>
  <c r="AE693" i="4"/>
  <c r="AA699" i="4"/>
  <c r="AB699" i="4" s="1"/>
  <c r="AE699" i="4"/>
  <c r="AA760" i="4"/>
  <c r="AB760" i="4" s="1"/>
  <c r="AE760" i="4"/>
  <c r="AA783" i="4"/>
  <c r="AB783" i="4" s="1"/>
  <c r="AE783" i="4"/>
  <c r="O798" i="4"/>
  <c r="AD798" i="4"/>
  <c r="AD613" i="4"/>
  <c r="AD623" i="4"/>
  <c r="O642" i="4"/>
  <c r="AA642" i="4" s="1"/>
  <c r="AB642" i="4" s="1"/>
  <c r="AD642" i="4"/>
  <c r="AE657" i="4"/>
  <c r="AA670" i="4"/>
  <c r="AB670" i="4" s="1"/>
  <c r="O673" i="4"/>
  <c r="AA673" i="4" s="1"/>
  <c r="AB673" i="4" s="1"/>
  <c r="AD673" i="4"/>
  <c r="AA678" i="4"/>
  <c r="AB678" i="4" s="1"/>
  <c r="AA683" i="4"/>
  <c r="AB683" i="4" s="1"/>
  <c r="AE683" i="4"/>
  <c r="AA690" i="4"/>
  <c r="AB690" i="4" s="1"/>
  <c r="O747" i="4"/>
  <c r="AE747" i="4" s="1"/>
  <c r="AD747" i="4"/>
  <c r="AA792" i="4"/>
  <c r="AB792" i="4" s="1"/>
  <c r="AA878" i="4"/>
  <c r="AB878" i="4" s="1"/>
  <c r="AE878" i="4"/>
  <c r="AE687" i="4"/>
  <c r="AD701" i="4"/>
  <c r="O701" i="4"/>
  <c r="AA729" i="4"/>
  <c r="AB729" i="4" s="1"/>
  <c r="AE729" i="4"/>
  <c r="AA738" i="4"/>
  <c r="AB738" i="4" s="1"/>
  <c r="AE738" i="4"/>
  <c r="AD762" i="4"/>
  <c r="O762" i="4"/>
  <c r="AA768" i="4"/>
  <c r="AB768" i="4" s="1"/>
  <c r="AE768" i="4"/>
  <c r="O777" i="4"/>
  <c r="AE777" i="4" s="1"/>
  <c r="AD777" i="4"/>
  <c r="AA803" i="4"/>
  <c r="AB803" i="4" s="1"/>
  <c r="AE803" i="4"/>
  <c r="AA611" i="4"/>
  <c r="AB611" i="4" s="1"/>
  <c r="AA617" i="4"/>
  <c r="AB617" i="4" s="1"/>
  <c r="AA621" i="4"/>
  <c r="AB621" i="4" s="1"/>
  <c r="AA625" i="4"/>
  <c r="AB625" i="4" s="1"/>
  <c r="AA630" i="4"/>
  <c r="AB630" i="4" s="1"/>
  <c r="AE633" i="4"/>
  <c r="AE653" i="4"/>
  <c r="AA654" i="4"/>
  <c r="AB654" i="4" s="1"/>
  <c r="AA658" i="4"/>
  <c r="AB658" i="4" s="1"/>
  <c r="O677" i="4"/>
  <c r="AE677" i="4" s="1"/>
  <c r="AD677" i="4"/>
  <c r="O717" i="4"/>
  <c r="AD717" i="4"/>
  <c r="AA773" i="4"/>
  <c r="AB773" i="4" s="1"/>
  <c r="AE773" i="4"/>
  <c r="AA629" i="4"/>
  <c r="AB629" i="4" s="1"/>
  <c r="AE629" i="4"/>
  <c r="O638" i="4"/>
  <c r="AA638" i="4" s="1"/>
  <c r="AB638" i="4" s="1"/>
  <c r="AD638" i="4"/>
  <c r="O672" i="4"/>
  <c r="AA672" i="4" s="1"/>
  <c r="AB672" i="4" s="1"/>
  <c r="AD672" i="4"/>
  <c r="AD680" i="4"/>
  <c r="O680" i="4"/>
  <c r="O689" i="4"/>
  <c r="AE689" i="4" s="1"/>
  <c r="AD689" i="4"/>
  <c r="AA698" i="4"/>
  <c r="AB698" i="4" s="1"/>
  <c r="AE698" i="4"/>
  <c r="O707" i="4"/>
  <c r="AA707" i="4" s="1"/>
  <c r="AB707" i="4" s="1"/>
  <c r="AD707" i="4"/>
  <c r="AA717" i="4"/>
  <c r="AB717" i="4" s="1"/>
  <c r="AA743" i="4"/>
  <c r="AB743" i="4" s="1"/>
  <c r="AE743" i="4"/>
  <c r="AA749" i="4"/>
  <c r="AB749" i="4" s="1"/>
  <c r="AE749" i="4"/>
  <c r="AA713" i="4"/>
  <c r="AB713" i="4" s="1"/>
  <c r="AE713" i="4"/>
  <c r="AD722" i="4"/>
  <c r="O722" i="4"/>
  <c r="AA722" i="4" s="1"/>
  <c r="AB722" i="4" s="1"/>
  <c r="AA733" i="4"/>
  <c r="AB733" i="4" s="1"/>
  <c r="AE733" i="4"/>
  <c r="AA740" i="4"/>
  <c r="AB740" i="4" s="1"/>
  <c r="AA788" i="4"/>
  <c r="AB788" i="4" s="1"/>
  <c r="AE788" i="4"/>
  <c r="O797" i="4"/>
  <c r="AE797" i="4" s="1"/>
  <c r="AD797" i="4"/>
  <c r="AD818" i="4"/>
  <c r="O818" i="4"/>
  <c r="AE818" i="4" s="1"/>
  <c r="AD820" i="4"/>
  <c r="O820" i="4"/>
  <c r="AE820" i="4" s="1"/>
  <c r="AA619" i="4"/>
  <c r="AB619" i="4" s="1"/>
  <c r="AE619" i="4"/>
  <c r="O628" i="4"/>
  <c r="AE628" i="4" s="1"/>
  <c r="AD628" i="4"/>
  <c r="AE632" i="4"/>
  <c r="AA633" i="4"/>
  <c r="AB633" i="4" s="1"/>
  <c r="AE649" i="4"/>
  <c r="AA653" i="4"/>
  <c r="AB653" i="4" s="1"/>
  <c r="AA660" i="4"/>
  <c r="AB660" i="4" s="1"/>
  <c r="O663" i="4"/>
  <c r="AA663" i="4" s="1"/>
  <c r="AB663" i="4" s="1"/>
  <c r="AD663" i="4"/>
  <c r="AA682" i="4"/>
  <c r="AB682" i="4" s="1"/>
  <c r="AE682" i="4"/>
  <c r="AA710" i="4"/>
  <c r="AB710" i="4" s="1"/>
  <c r="AE710" i="4"/>
  <c r="O716" i="4"/>
  <c r="AE716" i="4" s="1"/>
  <c r="AD716" i="4"/>
  <c r="AE722" i="4"/>
  <c r="AA728" i="4"/>
  <c r="AB728" i="4" s="1"/>
  <c r="AE728" i="4"/>
  <c r="AA737" i="4"/>
  <c r="AB737" i="4" s="1"/>
  <c r="AE737" i="4"/>
  <c r="AD751" i="4"/>
  <c r="O751" i="4"/>
  <c r="AA751" i="4" s="1"/>
  <c r="AB751" i="4" s="1"/>
  <c r="O767" i="4"/>
  <c r="AE767" i="4" s="1"/>
  <c r="AD767" i="4"/>
  <c r="O791" i="4"/>
  <c r="AA608" i="4"/>
  <c r="AB608" i="4" s="1"/>
  <c r="AD610" i="4"/>
  <c r="O612" i="4"/>
  <c r="AA612" i="4" s="1"/>
  <c r="AB612" i="4" s="1"/>
  <c r="AD612" i="4"/>
  <c r="AD616" i="4"/>
  <c r="AD620" i="4"/>
  <c r="O622" i="4"/>
  <c r="AA622" i="4" s="1"/>
  <c r="AB622" i="4" s="1"/>
  <c r="AD622" i="4"/>
  <c r="AA664" i="4"/>
  <c r="AB664" i="4" s="1"/>
  <c r="O668" i="4"/>
  <c r="AE668" i="4" s="1"/>
  <c r="AD668" i="4"/>
  <c r="AE678" i="4"/>
  <c r="O697" i="4"/>
  <c r="AE697" i="4" s="1"/>
  <c r="AD697" i="4"/>
  <c r="O769" i="4"/>
  <c r="AE769" i="4" s="1"/>
  <c r="AD769" i="4"/>
  <c r="AE780" i="4"/>
  <c r="O807" i="4"/>
  <c r="AD807" i="4"/>
  <c r="AD836" i="4"/>
  <c r="O836" i="4"/>
  <c r="O591" i="4"/>
  <c r="O601" i="4"/>
  <c r="AE612" i="4"/>
  <c r="O618" i="4"/>
  <c r="AE618" i="4" s="1"/>
  <c r="AD618" i="4"/>
  <c r="AD629" i="4"/>
  <c r="O643" i="4"/>
  <c r="AA643" i="4" s="1"/>
  <c r="AB643" i="4" s="1"/>
  <c r="AD643" i="4"/>
  <c r="O648" i="4"/>
  <c r="AE648" i="4" s="1"/>
  <c r="AD648" i="4"/>
  <c r="AE658" i="4"/>
  <c r="AA668" i="4"/>
  <c r="AB668" i="4" s="1"/>
  <c r="AA688" i="4"/>
  <c r="AB688" i="4" s="1"/>
  <c r="AE688" i="4"/>
  <c r="AA709" i="4"/>
  <c r="AB709" i="4" s="1"/>
  <c r="AD712" i="4"/>
  <c r="O712" i="4"/>
  <c r="AE717" i="4"/>
  <c r="AD726" i="4"/>
  <c r="AA730" i="4"/>
  <c r="AB730" i="4" s="1"/>
  <c r="O739" i="4"/>
  <c r="AE739" i="4" s="1"/>
  <c r="AD739" i="4"/>
  <c r="AD749" i="4"/>
  <c r="O757" i="4"/>
  <c r="AE757" i="4" s="1"/>
  <c r="AD757" i="4"/>
  <c r="AE759" i="4"/>
  <c r="O787" i="4"/>
  <c r="AE787" i="4" s="1"/>
  <c r="AD787" i="4"/>
  <c r="AA807" i="4"/>
  <c r="AB807" i="4" s="1"/>
  <c r="AE807" i="4"/>
  <c r="O611" i="4"/>
  <c r="AD611" i="4"/>
  <c r="AA618" i="4"/>
  <c r="AB618" i="4" s="1"/>
  <c r="AE643" i="4"/>
  <c r="AA644" i="4"/>
  <c r="AB644" i="4" s="1"/>
  <c r="AA648" i="4"/>
  <c r="AB648" i="4" s="1"/>
  <c r="O662" i="4"/>
  <c r="AA662" i="4" s="1"/>
  <c r="AB662" i="4" s="1"/>
  <c r="AD662" i="4"/>
  <c r="AD669" i="4"/>
  <c r="AA679" i="4"/>
  <c r="AB679" i="4" s="1"/>
  <c r="AE679" i="4"/>
  <c r="AD686" i="4"/>
  <c r="O691" i="4"/>
  <c r="AA702" i="4"/>
  <c r="AB702" i="4" s="1"/>
  <c r="AE702" i="4"/>
  <c r="AD732" i="4"/>
  <c r="O732" i="4"/>
  <c r="AA732" i="4" s="1"/>
  <c r="AB732" i="4" s="1"/>
  <c r="O748" i="4"/>
  <c r="AE748" i="4" s="1"/>
  <c r="AA763" i="4"/>
  <c r="AB763" i="4" s="1"/>
  <c r="AE763" i="4"/>
  <c r="AE770" i="4"/>
  <c r="AA809" i="4"/>
  <c r="AB809" i="4" s="1"/>
  <c r="AE809" i="4"/>
  <c r="AD827" i="4"/>
  <c r="O827" i="4"/>
  <c r="AA836" i="4"/>
  <c r="AB836" i="4" s="1"/>
  <c r="AE836" i="4"/>
  <c r="O687" i="4"/>
  <c r="AA687" i="4" s="1"/>
  <c r="AB687" i="4" s="1"/>
  <c r="AD687" i="4"/>
  <c r="AD702" i="4"/>
  <c r="O702" i="4"/>
  <c r="AA718" i="4"/>
  <c r="AB718" i="4" s="1"/>
  <c r="AE718" i="4"/>
  <c r="O737" i="4"/>
  <c r="AD737" i="4"/>
  <c r="AD752" i="4"/>
  <c r="O752" i="4"/>
  <c r="AE752" i="4" s="1"/>
  <c r="AA778" i="4"/>
  <c r="AB778" i="4" s="1"/>
  <c r="AE778" i="4"/>
  <c r="AA798" i="4"/>
  <c r="AB798" i="4" s="1"/>
  <c r="AE798" i="4"/>
  <c r="AD801" i="4"/>
  <c r="O801" i="4"/>
  <c r="AA816" i="4"/>
  <c r="AB816" i="4" s="1"/>
  <c r="AA827" i="4"/>
  <c r="AB827" i="4" s="1"/>
  <c r="AE827" i="4"/>
  <c r="AD862" i="4"/>
  <c r="O862" i="4"/>
  <c r="AE862" i="4" s="1"/>
  <c r="AA885" i="4"/>
  <c r="AB885" i="4" s="1"/>
  <c r="AE885" i="4"/>
  <c r="AD829" i="4"/>
  <c r="O829" i="4"/>
  <c r="AA895" i="4"/>
  <c r="AB895" i="4" s="1"/>
  <c r="AE895" i="4"/>
  <c r="AD840" i="4"/>
  <c r="O840" i="4"/>
  <c r="AA840" i="4" s="1"/>
  <c r="AB840" i="4" s="1"/>
  <c r="AA818" i="4"/>
  <c r="AB818" i="4" s="1"/>
  <c r="AA820" i="4"/>
  <c r="AB820" i="4" s="1"/>
  <c r="AA793" i="4"/>
  <c r="AB793" i="4" s="1"/>
  <c r="AE793" i="4"/>
  <c r="AD816" i="4"/>
  <c r="AA831" i="4"/>
  <c r="AB831" i="4" s="1"/>
  <c r="AE831" i="4"/>
  <c r="AD848" i="4"/>
  <c r="O848" i="4"/>
  <c r="AE848" i="4" s="1"/>
  <c r="AD866" i="4"/>
  <c r="O866" i="4"/>
  <c r="AA712" i="4"/>
  <c r="AB712" i="4" s="1"/>
  <c r="AE712" i="4"/>
  <c r="AA720" i="4"/>
  <c r="AB720" i="4" s="1"/>
  <c r="AA723" i="4"/>
  <c r="AB723" i="4" s="1"/>
  <c r="AE723" i="4"/>
  <c r="AA762" i="4"/>
  <c r="AB762" i="4" s="1"/>
  <c r="AE762" i="4"/>
  <c r="AA769" i="4"/>
  <c r="AB769" i="4" s="1"/>
  <c r="AD772" i="4"/>
  <c r="O772" i="4"/>
  <c r="AA772" i="4" s="1"/>
  <c r="AB772" i="4" s="1"/>
  <c r="AD788" i="4"/>
  <c r="AD802" i="4"/>
  <c r="O802" i="4"/>
  <c r="AE802" i="4" s="1"/>
  <c r="AA811" i="4"/>
  <c r="AB811" i="4" s="1"/>
  <c r="AE811" i="4"/>
  <c r="AE816" i="4"/>
  <c r="O845" i="4"/>
  <c r="AD845" i="4"/>
  <c r="O853" i="4"/>
  <c r="AE853" i="4" s="1"/>
  <c r="AD853" i="4"/>
  <c r="AD904" i="4"/>
  <c r="O904" i="4"/>
  <c r="AA904" i="4" s="1"/>
  <c r="AB904" i="4" s="1"/>
  <c r="AD692" i="4"/>
  <c r="O692" i="4"/>
  <c r="AA692" i="4" s="1"/>
  <c r="AB692" i="4" s="1"/>
  <c r="AD706" i="4"/>
  <c r="AA708" i="4"/>
  <c r="AB708" i="4" s="1"/>
  <c r="AE708" i="4"/>
  <c r="O727" i="4"/>
  <c r="AE727" i="4" s="1"/>
  <c r="AD727" i="4"/>
  <c r="AD742" i="4"/>
  <c r="O742" i="4"/>
  <c r="AA742" i="4" s="1"/>
  <c r="AB742" i="4" s="1"/>
  <c r="AD756" i="4"/>
  <c r="AA758" i="4"/>
  <c r="AB758" i="4" s="1"/>
  <c r="AE758" i="4"/>
  <c r="AA779" i="4"/>
  <c r="AB779" i="4" s="1"/>
  <c r="AD782" i="4"/>
  <c r="O782" i="4"/>
  <c r="AE782" i="4" s="1"/>
  <c r="AD621" i="4"/>
  <c r="AD631" i="4"/>
  <c r="AD641" i="4"/>
  <c r="AD651" i="4"/>
  <c r="AD661" i="4"/>
  <c r="AD671" i="4"/>
  <c r="O681" i="4"/>
  <c r="AE692" i="4"/>
  <c r="AA700" i="4"/>
  <c r="AB700" i="4" s="1"/>
  <c r="AA703" i="4"/>
  <c r="AB703" i="4" s="1"/>
  <c r="AE703" i="4"/>
  <c r="AA719" i="4"/>
  <c r="AB719" i="4" s="1"/>
  <c r="O731" i="4"/>
  <c r="AA750" i="4"/>
  <c r="AB750" i="4" s="1"/>
  <c r="AA753" i="4"/>
  <c r="AB753" i="4" s="1"/>
  <c r="AE753" i="4"/>
  <c r="AA782" i="4"/>
  <c r="AB782" i="4" s="1"/>
  <c r="AA789" i="4"/>
  <c r="AB789" i="4" s="1"/>
  <c r="AD792" i="4"/>
  <c r="O792" i="4"/>
  <c r="AE792" i="4" s="1"/>
  <c r="AA825" i="4"/>
  <c r="AB825" i="4" s="1"/>
  <c r="AA839" i="4"/>
  <c r="AB839" i="4" s="1"/>
  <c r="AE839" i="4"/>
  <c r="AE840" i="4"/>
  <c r="AA845" i="4"/>
  <c r="AB845" i="4" s="1"/>
  <c r="AA886" i="4"/>
  <c r="AB886" i="4" s="1"/>
  <c r="AE886" i="4"/>
  <c r="AA908" i="4"/>
  <c r="AB908" i="4" s="1"/>
  <c r="AE908" i="4"/>
  <c r="AA681" i="4"/>
  <c r="AB681" i="4" s="1"/>
  <c r="AA691" i="4"/>
  <c r="AB691" i="4" s="1"/>
  <c r="AA701" i="4"/>
  <c r="AB701" i="4" s="1"/>
  <c r="AA711" i="4"/>
  <c r="AB711" i="4" s="1"/>
  <c r="AA721" i="4"/>
  <c r="AB721" i="4" s="1"/>
  <c r="AA731" i="4"/>
  <c r="AB731" i="4" s="1"/>
  <c r="AA741" i="4"/>
  <c r="AB741" i="4" s="1"/>
  <c r="AA761" i="4"/>
  <c r="AB761" i="4" s="1"/>
  <c r="AA771" i="4"/>
  <c r="AB771" i="4" s="1"/>
  <c r="AA781" i="4"/>
  <c r="AB781" i="4" s="1"/>
  <c r="AA791" i="4"/>
  <c r="AB791" i="4" s="1"/>
  <c r="AA801" i="4"/>
  <c r="AB801" i="4" s="1"/>
  <c r="AD806" i="4"/>
  <c r="AD815" i="4"/>
  <c r="AA821" i="4"/>
  <c r="AB821" i="4" s="1"/>
  <c r="AE821" i="4"/>
  <c r="AD824" i="4"/>
  <c r="AD847" i="4"/>
  <c r="AA857" i="4"/>
  <c r="AB857" i="4" s="1"/>
  <c r="AA860" i="4"/>
  <c r="AB860" i="4" s="1"/>
  <c r="AA869" i="4"/>
  <c r="AB869" i="4" s="1"/>
  <c r="AE876" i="4"/>
  <c r="AE880" i="4"/>
  <c r="AA883" i="4"/>
  <c r="AB883" i="4" s="1"/>
  <c r="AA800" i="4"/>
  <c r="AB800" i="4" s="1"/>
  <c r="AA808" i="4"/>
  <c r="AB808" i="4" s="1"/>
  <c r="AA817" i="4"/>
  <c r="AB817" i="4" s="1"/>
  <c r="AA826" i="4"/>
  <c r="AB826" i="4" s="1"/>
  <c r="AA830" i="4"/>
  <c r="AB830" i="4" s="1"/>
  <c r="AE830" i="4"/>
  <c r="O849" i="4"/>
  <c r="AE849" i="4" s="1"/>
  <c r="O860" i="4"/>
  <c r="O869" i="4"/>
  <c r="AD874" i="4"/>
  <c r="O874" i="4"/>
  <c r="AA874" i="4" s="1"/>
  <c r="AB874" i="4" s="1"/>
  <c r="O880" i="4"/>
  <c r="AA880" i="4" s="1"/>
  <c r="AB880" i="4" s="1"/>
  <c r="AA891" i="4"/>
  <c r="AB891" i="4" s="1"/>
  <c r="AE891" i="4"/>
  <c r="AD944" i="4"/>
  <c r="O944" i="4"/>
  <c r="AE944" i="4" s="1"/>
  <c r="AA853" i="4"/>
  <c r="AB853" i="4" s="1"/>
  <c r="AE865" i="4"/>
  <c r="AA865" i="4"/>
  <c r="AB865" i="4" s="1"/>
  <c r="AA877" i="4"/>
  <c r="AB877" i="4" s="1"/>
  <c r="AE877" i="4"/>
  <c r="AA888" i="4"/>
  <c r="AB888" i="4" s="1"/>
  <c r="AA894" i="4"/>
  <c r="AB894" i="4" s="1"/>
  <c r="AE894" i="4"/>
  <c r="AD919" i="4"/>
  <c r="O919" i="4"/>
  <c r="AE919" i="4" s="1"/>
  <c r="AA797" i="4"/>
  <c r="AB797" i="4" s="1"/>
  <c r="AA829" i="4"/>
  <c r="AB829" i="4" s="1"/>
  <c r="AE829" i="4"/>
  <c r="AA851" i="4"/>
  <c r="AB851" i="4" s="1"/>
  <c r="AE851" i="4"/>
  <c r="AA859" i="4"/>
  <c r="AB859" i="4" s="1"/>
  <c r="AE859" i="4"/>
  <c r="AA862" i="4"/>
  <c r="AB862" i="4" s="1"/>
  <c r="AD879" i="4"/>
  <c r="O879" i="4"/>
  <c r="AE879" i="4" s="1"/>
  <c r="AD883" i="4"/>
  <c r="AA896" i="4"/>
  <c r="AB896" i="4" s="1"/>
  <c r="AE896" i="4"/>
  <c r="AA901" i="4"/>
  <c r="AB901" i="4" s="1"/>
  <c r="AE901" i="4"/>
  <c r="AA686" i="4"/>
  <c r="AB686" i="4" s="1"/>
  <c r="AA696" i="4"/>
  <c r="AB696" i="4" s="1"/>
  <c r="AA706" i="4"/>
  <c r="AB706" i="4" s="1"/>
  <c r="AA716" i="4"/>
  <c r="AB716" i="4" s="1"/>
  <c r="AA726" i="4"/>
  <c r="AB726" i="4" s="1"/>
  <c r="AA736" i="4"/>
  <c r="AB736" i="4" s="1"/>
  <c r="AA746" i="4"/>
  <c r="AB746" i="4" s="1"/>
  <c r="AA756" i="4"/>
  <c r="AB756" i="4" s="1"/>
  <c r="AA766" i="4"/>
  <c r="AB766" i="4" s="1"/>
  <c r="AA776" i="4"/>
  <c r="AB776" i="4" s="1"/>
  <c r="AA786" i="4"/>
  <c r="AB786" i="4" s="1"/>
  <c r="AA796" i="4"/>
  <c r="AB796" i="4" s="1"/>
  <c r="AA806" i="4"/>
  <c r="AB806" i="4" s="1"/>
  <c r="AE810" i="4"/>
  <c r="AA815" i="4"/>
  <c r="AB815" i="4" s="1"/>
  <c r="AE845" i="4"/>
  <c r="AA847" i="4"/>
  <c r="AB847" i="4" s="1"/>
  <c r="AA856" i="4"/>
  <c r="AB856" i="4" s="1"/>
  <c r="AE860" i="4"/>
  <c r="AD864" i="4"/>
  <c r="O864" i="4"/>
  <c r="AA864" i="4" s="1"/>
  <c r="AB864" i="4" s="1"/>
  <c r="AE869" i="4"/>
  <c r="AE883" i="4"/>
  <c r="AA890" i="4"/>
  <c r="AB890" i="4" s="1"/>
  <c r="AA893" i="4"/>
  <c r="AB893" i="4" s="1"/>
  <c r="AA914" i="4"/>
  <c r="AB914" i="4" s="1"/>
  <c r="AA685" i="4"/>
  <c r="AB685" i="4" s="1"/>
  <c r="AA695" i="4"/>
  <c r="AB695" i="4" s="1"/>
  <c r="AA705" i="4"/>
  <c r="AB705" i="4" s="1"/>
  <c r="AA715" i="4"/>
  <c r="AB715" i="4" s="1"/>
  <c r="AA725" i="4"/>
  <c r="AB725" i="4" s="1"/>
  <c r="AA735" i="4"/>
  <c r="AB735" i="4" s="1"/>
  <c r="AA745" i="4"/>
  <c r="AB745" i="4" s="1"/>
  <c r="AA755" i="4"/>
  <c r="AB755" i="4" s="1"/>
  <c r="AA765" i="4"/>
  <c r="AB765" i="4" s="1"/>
  <c r="AA775" i="4"/>
  <c r="AB775" i="4" s="1"/>
  <c r="AA785" i="4"/>
  <c r="AB785" i="4" s="1"/>
  <c r="AA795" i="4"/>
  <c r="AB795" i="4" s="1"/>
  <c r="AA805" i="4"/>
  <c r="AB805" i="4" s="1"/>
  <c r="AE808" i="4"/>
  <c r="O810" i="4"/>
  <c r="AA810" i="4" s="1"/>
  <c r="AB810" i="4" s="1"/>
  <c r="AA819" i="4"/>
  <c r="AB819" i="4" s="1"/>
  <c r="AE819" i="4"/>
  <c r="AD835" i="4"/>
  <c r="O838" i="4"/>
  <c r="AE838" i="4" s="1"/>
  <c r="AA841" i="4"/>
  <c r="AB841" i="4" s="1"/>
  <c r="AE841" i="4"/>
  <c r="AD844" i="4"/>
  <c r="AA854" i="4"/>
  <c r="AB854" i="4" s="1"/>
  <c r="AE864" i="4"/>
  <c r="AA867" i="4"/>
  <c r="AB867" i="4" s="1"/>
  <c r="O873" i="4"/>
  <c r="AA873" i="4" s="1"/>
  <c r="AB873" i="4" s="1"/>
  <c r="AD873" i="4"/>
  <c r="AE874" i="4"/>
  <c r="AA881" i="4"/>
  <c r="AB881" i="4" s="1"/>
  <c r="AE881" i="4"/>
  <c r="AD888" i="4"/>
  <c r="O890" i="4"/>
  <c r="AE890" i="4" s="1"/>
  <c r="AE681" i="4"/>
  <c r="AA684" i="4"/>
  <c r="AB684" i="4" s="1"/>
  <c r="AE691" i="4"/>
  <c r="AA694" i="4"/>
  <c r="AB694" i="4" s="1"/>
  <c r="AE701" i="4"/>
  <c r="AA704" i="4"/>
  <c r="AB704" i="4" s="1"/>
  <c r="AE711" i="4"/>
  <c r="AA714" i="4"/>
  <c r="AB714" i="4" s="1"/>
  <c r="AE721" i="4"/>
  <c r="AA724" i="4"/>
  <c r="AB724" i="4" s="1"/>
  <c r="AE731" i="4"/>
  <c r="AA734" i="4"/>
  <c r="AB734" i="4" s="1"/>
  <c r="AE741" i="4"/>
  <c r="AA744" i="4"/>
  <c r="AB744" i="4" s="1"/>
  <c r="AE751" i="4"/>
  <c r="AA754" i="4"/>
  <c r="AB754" i="4" s="1"/>
  <c r="AE761" i="4"/>
  <c r="AA764" i="4"/>
  <c r="AB764" i="4" s="1"/>
  <c r="AE771" i="4"/>
  <c r="AA774" i="4"/>
  <c r="AB774" i="4" s="1"/>
  <c r="AE781" i="4"/>
  <c r="AA784" i="4"/>
  <c r="AB784" i="4" s="1"/>
  <c r="AE791" i="4"/>
  <c r="AA794" i="4"/>
  <c r="AB794" i="4" s="1"/>
  <c r="AE801" i="4"/>
  <c r="AA804" i="4"/>
  <c r="AB804" i="4" s="1"/>
  <c r="AE817" i="4"/>
  <c r="O819" i="4"/>
  <c r="AE826" i="4"/>
  <c r="AA828" i="4"/>
  <c r="AB828" i="4" s="1"/>
  <c r="AE835" i="4"/>
  <c r="AA837" i="4"/>
  <c r="AB837" i="4" s="1"/>
  <c r="AA846" i="4"/>
  <c r="AB846" i="4" s="1"/>
  <c r="AA850" i="4"/>
  <c r="AB850" i="4" s="1"/>
  <c r="AE850" i="4"/>
  <c r="O854" i="4"/>
  <c r="AE854" i="4" s="1"/>
  <c r="AE861" i="4"/>
  <c r="AA884" i="4"/>
  <c r="AB884" i="4" s="1"/>
  <c r="AE884" i="4"/>
  <c r="AE888" i="4"/>
  <c r="AA898" i="4"/>
  <c r="AB898" i="4" s="1"/>
  <c r="AE898" i="4"/>
  <c r="AA870" i="4"/>
  <c r="AB870" i="4" s="1"/>
  <c r="AD964" i="4"/>
  <c r="O964" i="4"/>
  <c r="AE916" i="4"/>
  <c r="AA916" i="4"/>
  <c r="AB916" i="4" s="1"/>
  <c r="AD970" i="4"/>
  <c r="O970" i="4"/>
  <c r="AE970" i="4" s="1"/>
  <c r="AA913" i="4"/>
  <c r="AB913" i="4" s="1"/>
  <c r="AE913" i="4"/>
  <c r="AD924" i="4"/>
  <c r="O924" i="4"/>
  <c r="AD934" i="4"/>
  <c r="O934" i="4"/>
  <c r="AA900" i="4"/>
  <c r="AB900" i="4" s="1"/>
  <c r="AE900" i="4"/>
  <c r="AA906" i="4"/>
  <c r="AB906" i="4" s="1"/>
  <c r="AE924" i="4"/>
  <c r="AA924" i="4"/>
  <c r="AB924" i="4" s="1"/>
  <c r="AE934" i="4"/>
  <c r="AA934" i="4"/>
  <c r="AB934" i="4" s="1"/>
  <c r="O900" i="4"/>
  <c r="AA903" i="4"/>
  <c r="AB903" i="4" s="1"/>
  <c r="AE903" i="4"/>
  <c r="AA909" i="4"/>
  <c r="AB909" i="4" s="1"/>
  <c r="O918" i="4"/>
  <c r="AD954" i="4"/>
  <c r="O954" i="4"/>
  <c r="AA814" i="4"/>
  <c r="AB814" i="4" s="1"/>
  <c r="AA824" i="4"/>
  <c r="AB824" i="4" s="1"/>
  <c r="AA834" i="4"/>
  <c r="AB834" i="4" s="1"/>
  <c r="AA844" i="4"/>
  <c r="AB844" i="4" s="1"/>
  <c r="AE870" i="4"/>
  <c r="AA872" i="4"/>
  <c r="AB872" i="4" s="1"/>
  <c r="AA879" i="4"/>
  <c r="AB879" i="4" s="1"/>
  <c r="O909" i="4"/>
  <c r="AE909" i="4" s="1"/>
  <c r="O926" i="4"/>
  <c r="AA926" i="4" s="1"/>
  <c r="AB926" i="4" s="1"/>
  <c r="AE954" i="4"/>
  <c r="AA954" i="4"/>
  <c r="AB954" i="4" s="1"/>
  <c r="AA813" i="4"/>
  <c r="AB813" i="4" s="1"/>
  <c r="AA823" i="4"/>
  <c r="AB823" i="4" s="1"/>
  <c r="AA833" i="4"/>
  <c r="AB833" i="4" s="1"/>
  <c r="AA843" i="4"/>
  <c r="AB843" i="4" s="1"/>
  <c r="AE863" i="4"/>
  <c r="AA868" i="4"/>
  <c r="AB868" i="4" s="1"/>
  <c r="AA875" i="4"/>
  <c r="AB875" i="4" s="1"/>
  <c r="AD913" i="4"/>
  <c r="O915" i="4"/>
  <c r="AE915" i="4" s="1"/>
  <c r="AA812" i="4"/>
  <c r="AB812" i="4" s="1"/>
  <c r="AA822" i="4"/>
  <c r="AB822" i="4" s="1"/>
  <c r="AA832" i="4"/>
  <c r="AB832" i="4" s="1"/>
  <c r="AA842" i="4"/>
  <c r="AB842" i="4" s="1"/>
  <c r="AA852" i="4"/>
  <c r="AB852" i="4" s="1"/>
  <c r="AA871" i="4"/>
  <c r="AB871" i="4" s="1"/>
  <c r="O875" i="4"/>
  <c r="AE875" i="4" s="1"/>
  <c r="AA882" i="4"/>
  <c r="AB882" i="4" s="1"/>
  <c r="O889" i="4"/>
  <c r="AE889" i="4" s="1"/>
  <c r="O899" i="4"/>
  <c r="AE899" i="4" s="1"/>
  <c r="AA911" i="4"/>
  <c r="AB911" i="4" s="1"/>
  <c r="O917" i="4"/>
  <c r="AE917" i="4" s="1"/>
  <c r="AD917" i="4"/>
  <c r="AD923" i="4"/>
  <c r="O923" i="4"/>
  <c r="AA923" i="4" s="1"/>
  <c r="AB923" i="4" s="1"/>
  <c r="AA905" i="4"/>
  <c r="AB905" i="4" s="1"/>
  <c r="AA910" i="4"/>
  <c r="AB910" i="4" s="1"/>
  <c r="AA915" i="4"/>
  <c r="AB915" i="4" s="1"/>
  <c r="AE940" i="4"/>
  <c r="AA940" i="4"/>
  <c r="AB940" i="4" s="1"/>
  <c r="AE960" i="4"/>
  <c r="AA960" i="4"/>
  <c r="AB960" i="4" s="1"/>
  <c r="AE975" i="4"/>
  <c r="AA975" i="4"/>
  <c r="AB975" i="4" s="1"/>
  <c r="AD980" i="4"/>
  <c r="O980" i="4"/>
  <c r="AE980" i="4" s="1"/>
  <c r="AD996" i="4"/>
  <c r="O996" i="4"/>
  <c r="AA996" i="4" s="1"/>
  <c r="AB996" i="4" s="1"/>
  <c r="AE918" i="4"/>
  <c r="O930" i="4"/>
  <c r="AE930" i="4" s="1"/>
  <c r="AD933" i="4"/>
  <c r="O933" i="4"/>
  <c r="AA933" i="4" s="1"/>
  <c r="AB933" i="4" s="1"/>
  <c r="O940" i="4"/>
  <c r="AD943" i="4"/>
  <c r="O943" i="4"/>
  <c r="AA943" i="4" s="1"/>
  <c r="AB943" i="4" s="1"/>
  <c r="O950" i="4"/>
  <c r="AE950" i="4" s="1"/>
  <c r="AD953" i="4"/>
  <c r="O953" i="4"/>
  <c r="AA953" i="4" s="1"/>
  <c r="AB953" i="4" s="1"/>
  <c r="AD963" i="4"/>
  <c r="O963" i="4"/>
  <c r="AA963" i="4" s="1"/>
  <c r="AB963" i="4" s="1"/>
  <c r="AD969" i="4"/>
  <c r="O969" i="4"/>
  <c r="O936" i="4"/>
  <c r="AA936" i="4" s="1"/>
  <c r="AB936" i="4" s="1"/>
  <c r="O946" i="4"/>
  <c r="AA946" i="4" s="1"/>
  <c r="AB946" i="4" s="1"/>
  <c r="O956" i="4"/>
  <c r="AA956" i="4" s="1"/>
  <c r="AB956" i="4" s="1"/>
  <c r="O966" i="4"/>
  <c r="AA966" i="4" s="1"/>
  <c r="AB966" i="4" s="1"/>
  <c r="AD991" i="4"/>
  <c r="O991" i="4"/>
  <c r="AA991" i="4" s="1"/>
  <c r="AB991" i="4" s="1"/>
  <c r="AD974" i="4"/>
  <c r="O974" i="4"/>
  <c r="AA974" i="4" s="1"/>
  <c r="AB974" i="4" s="1"/>
  <c r="O929" i="4"/>
  <c r="AE929" i="4" s="1"/>
  <c r="O939" i="4"/>
  <c r="AA939" i="4" s="1"/>
  <c r="AB939" i="4" s="1"/>
  <c r="O949" i="4"/>
  <c r="AA949" i="4" s="1"/>
  <c r="AB949" i="4" s="1"/>
  <c r="O959" i="4"/>
  <c r="AA959" i="4" s="1"/>
  <c r="AB959" i="4" s="1"/>
  <c r="AD986" i="4"/>
  <c r="O986" i="4"/>
  <c r="AA986" i="4" s="1"/>
  <c r="AB986" i="4" s="1"/>
  <c r="AA887" i="4"/>
  <c r="AB887" i="4" s="1"/>
  <c r="AA892" i="4"/>
  <c r="AB892" i="4" s="1"/>
  <c r="AA897" i="4"/>
  <c r="AB897" i="4" s="1"/>
  <c r="AA902" i="4"/>
  <c r="AB902" i="4" s="1"/>
  <c r="AE905" i="4"/>
  <c r="AA907" i="4"/>
  <c r="AB907" i="4" s="1"/>
  <c r="AE910" i="4"/>
  <c r="AA912" i="4"/>
  <c r="AB912" i="4" s="1"/>
  <c r="AA918" i="4"/>
  <c r="AB918" i="4" s="1"/>
  <c r="AE945" i="4"/>
  <c r="AA945" i="4"/>
  <c r="AB945" i="4" s="1"/>
  <c r="AE955" i="4"/>
  <c r="AA955" i="4"/>
  <c r="AB955" i="4" s="1"/>
  <c r="O971" i="4"/>
  <c r="AA971" i="4" s="1"/>
  <c r="AB971" i="4" s="1"/>
  <c r="AD981" i="4"/>
  <c r="O981" i="4"/>
  <c r="AA981" i="4" s="1"/>
  <c r="AB981" i="4" s="1"/>
  <c r="AE920" i="4"/>
  <c r="O925" i="4"/>
  <c r="AE925" i="4" s="1"/>
  <c r="AD928" i="4"/>
  <c r="O928" i="4"/>
  <c r="AA928" i="4" s="1"/>
  <c r="AB928" i="4" s="1"/>
  <c r="O935" i="4"/>
  <c r="AE935" i="4" s="1"/>
  <c r="AD938" i="4"/>
  <c r="O938" i="4"/>
  <c r="AA938" i="4" s="1"/>
  <c r="AB938" i="4" s="1"/>
  <c r="O945" i="4"/>
  <c r="AD948" i="4"/>
  <c r="O948" i="4"/>
  <c r="AA948" i="4" s="1"/>
  <c r="AB948" i="4" s="1"/>
  <c r="O955" i="4"/>
  <c r="AD958" i="4"/>
  <c r="O958" i="4"/>
  <c r="AA958" i="4" s="1"/>
  <c r="AB958" i="4" s="1"/>
  <c r="O965" i="4"/>
  <c r="AE965" i="4" s="1"/>
  <c r="AE926" i="4"/>
  <c r="AE931" i="4"/>
  <c r="AE936" i="4"/>
  <c r="AE941" i="4"/>
  <c r="AE951" i="4"/>
  <c r="AE961" i="4"/>
  <c r="AE971" i="4"/>
  <c r="AE976" i="4"/>
  <c r="AE981" i="4"/>
  <c r="AE986" i="4"/>
  <c r="AE990" i="4"/>
  <c r="AE995" i="4"/>
  <c r="O1000" i="4"/>
  <c r="AE1000" i="4" s="1"/>
  <c r="AE964" i="4"/>
  <c r="AE969" i="4"/>
  <c r="AE974" i="4"/>
  <c r="AE979" i="4"/>
  <c r="AE999" i="4"/>
  <c r="O979" i="4"/>
  <c r="AA979" i="4" s="1"/>
  <c r="AB979" i="4" s="1"/>
  <c r="O984" i="4"/>
  <c r="AE984" i="4" s="1"/>
  <c r="O989" i="4"/>
  <c r="AE989" i="4" s="1"/>
  <c r="O994" i="4"/>
  <c r="AE994" i="4" s="1"/>
  <c r="O999" i="4"/>
  <c r="AA999" i="4" s="1"/>
  <c r="AB999" i="4" s="1"/>
  <c r="AE923" i="4"/>
  <c r="AE933" i="4"/>
  <c r="AE948" i="4"/>
  <c r="AE958" i="4"/>
  <c r="AE963" i="4"/>
  <c r="AE968" i="4"/>
  <c r="AE973" i="4"/>
  <c r="AA985" i="4"/>
  <c r="AB985" i="4" s="1"/>
  <c r="AA990" i="4"/>
  <c r="AB990" i="4" s="1"/>
  <c r="AA995" i="4"/>
  <c r="AB995" i="4" s="1"/>
  <c r="AE998" i="4"/>
  <c r="AE922" i="4"/>
  <c r="O968" i="4"/>
  <c r="AA968" i="4" s="1"/>
  <c r="AB968" i="4" s="1"/>
  <c r="O973" i="4"/>
  <c r="AA973" i="4" s="1"/>
  <c r="AB973" i="4" s="1"/>
  <c r="O978" i="4"/>
  <c r="AA978" i="4" s="1"/>
  <c r="AB978" i="4" s="1"/>
  <c r="O983" i="4"/>
  <c r="AA983" i="4" s="1"/>
  <c r="AB983" i="4" s="1"/>
  <c r="O988" i="4"/>
  <c r="AA988" i="4" s="1"/>
  <c r="AB988" i="4" s="1"/>
  <c r="O993" i="4"/>
  <c r="AA993" i="4" s="1"/>
  <c r="AB993" i="4" s="1"/>
  <c r="O998" i="4"/>
  <c r="AA998" i="4" s="1"/>
  <c r="AB998" i="4" s="1"/>
  <c r="AE921" i="4"/>
  <c r="AE927" i="4"/>
  <c r="AE932" i="4"/>
  <c r="AE937" i="4"/>
  <c r="AE942" i="4"/>
  <c r="AE947" i="4"/>
  <c r="AE952" i="4"/>
  <c r="AE957" i="4"/>
  <c r="AE962" i="4"/>
  <c r="AA964" i="4"/>
  <c r="AB964" i="4" s="1"/>
  <c r="AE967" i="4"/>
  <c r="AA969" i="4"/>
  <c r="AB969" i="4" s="1"/>
  <c r="AE972" i="4"/>
  <c r="AE977" i="4"/>
  <c r="AE982" i="4"/>
  <c r="AE987" i="4"/>
  <c r="AA989" i="4"/>
  <c r="AB989" i="4" s="1"/>
  <c r="AE992" i="4"/>
  <c r="AE997" i="4"/>
  <c r="AA601" i="4" l="1"/>
  <c r="AB601" i="4" s="1"/>
  <c r="AE601" i="4"/>
  <c r="AE966" i="4"/>
  <c r="AA965" i="4"/>
  <c r="AB965" i="4" s="1"/>
  <c r="AA950" i="4"/>
  <c r="AB950" i="4" s="1"/>
  <c r="AE939" i="4"/>
  <c r="AA944" i="4"/>
  <c r="AB944" i="4" s="1"/>
  <c r="AA747" i="4"/>
  <c r="AB747" i="4" s="1"/>
  <c r="AE866" i="4"/>
  <c r="AA866" i="4"/>
  <c r="AB866" i="4" s="1"/>
  <c r="AA602" i="4"/>
  <c r="AB602" i="4" s="1"/>
  <c r="AA748" i="4"/>
  <c r="AB748" i="4" s="1"/>
  <c r="AA475" i="4"/>
  <c r="AB475" i="4" s="1"/>
  <c r="AA543" i="4"/>
  <c r="AB543" i="4" s="1"/>
  <c r="AE447" i="4"/>
  <c r="AA361" i="4"/>
  <c r="AB361" i="4" s="1"/>
  <c r="AE361" i="4"/>
  <c r="AA412" i="4"/>
  <c r="AB412" i="4" s="1"/>
  <c r="AE412" i="4"/>
  <c r="AA365" i="4"/>
  <c r="AB365" i="4" s="1"/>
  <c r="AE582" i="4"/>
  <c r="AA585" i="4"/>
  <c r="AB585" i="4" s="1"/>
  <c r="AA301" i="4"/>
  <c r="AB301" i="4" s="1"/>
  <c r="F36" i="1"/>
  <c r="F28" i="1"/>
  <c r="F35" i="1"/>
  <c r="F38" i="1"/>
  <c r="F37" i="1"/>
  <c r="AA994" i="4"/>
  <c r="AB994" i="4" s="1"/>
  <c r="AA1000" i="4"/>
  <c r="AB1000" i="4" s="1"/>
  <c r="AE904" i="4"/>
  <c r="AA838" i="4"/>
  <c r="AB838" i="4" s="1"/>
  <c r="AA739" i="4"/>
  <c r="AB739" i="4" s="1"/>
  <c r="AA757" i="4"/>
  <c r="AB757" i="4" s="1"/>
  <c r="AE603" i="4"/>
  <c r="AA571" i="4"/>
  <c r="AB571" i="4" s="1"/>
  <c r="AE571" i="4"/>
  <c r="AE587" i="4"/>
  <c r="AA364" i="4"/>
  <c r="AB364" i="4" s="1"/>
  <c r="AA393" i="4"/>
  <c r="AB393" i="4" s="1"/>
  <c r="AE352" i="4"/>
  <c r="AA343" i="4"/>
  <c r="AB343" i="4" s="1"/>
  <c r="AA305" i="4"/>
  <c r="AB305" i="4" s="1"/>
  <c r="AA351" i="4"/>
  <c r="AB351" i="4" s="1"/>
  <c r="AE351" i="4"/>
  <c r="AA551" i="4"/>
  <c r="AB551" i="4" s="1"/>
  <c r="AE551" i="4"/>
  <c r="AA592" i="4"/>
  <c r="AB592" i="4" s="1"/>
  <c r="AE592" i="4"/>
  <c r="AE371" i="4"/>
  <c r="AA371" i="4"/>
  <c r="AB371" i="4" s="1"/>
  <c r="AA491" i="4"/>
  <c r="AB491" i="4" s="1"/>
  <c r="AE491" i="4"/>
  <c r="AA511" i="4"/>
  <c r="AB511" i="4" s="1"/>
  <c r="AE511" i="4"/>
  <c r="AE391" i="4"/>
  <c r="AA391" i="4"/>
  <c r="AB391" i="4" s="1"/>
  <c r="AE732" i="4"/>
  <c r="AA513" i="4"/>
  <c r="AB513" i="4" s="1"/>
  <c r="AA435" i="4"/>
  <c r="AB435" i="4" s="1"/>
  <c r="AA292" i="4"/>
  <c r="AB292" i="4" s="1"/>
  <c r="AE292" i="4"/>
  <c r="AA561" i="4"/>
  <c r="AB561" i="4" s="1"/>
  <c r="AE561" i="4"/>
  <c r="AE318" i="4"/>
  <c r="AE572" i="4"/>
  <c r="AA572" i="4"/>
  <c r="AB572" i="4" s="1"/>
  <c r="AA349" i="4"/>
  <c r="AB349" i="4" s="1"/>
  <c r="AE349" i="4"/>
  <c r="AE293" i="4"/>
  <c r="AA451" i="4"/>
  <c r="AB451" i="4" s="1"/>
  <c r="AE451" i="4"/>
  <c r="AE342" i="4"/>
  <c r="AA342" i="4"/>
  <c r="AB342" i="4" s="1"/>
  <c r="AA581" i="4"/>
  <c r="AB581" i="4" s="1"/>
  <c r="AE581" i="4"/>
  <c r="AE949" i="4"/>
  <c r="AA401" i="4"/>
  <c r="AB401" i="4" s="1"/>
  <c r="AE401" i="4"/>
  <c r="AA563" i="4"/>
  <c r="AB563" i="4" s="1"/>
  <c r="AE421" i="4"/>
  <c r="AA421" i="4"/>
  <c r="AB421" i="4" s="1"/>
  <c r="AE344" i="4"/>
  <c r="AE943" i="4"/>
  <c r="AE956" i="4"/>
  <c r="AA935" i="4"/>
  <c r="AB935" i="4" s="1"/>
  <c r="AA980" i="4"/>
  <c r="AB980" i="4" s="1"/>
  <c r="AE742" i="4"/>
  <c r="AE328" i="4"/>
  <c r="AA767" i="4"/>
  <c r="AB767" i="4" s="1"/>
  <c r="AA849" i="4"/>
  <c r="AB849" i="4" s="1"/>
  <c r="AA697" i="4"/>
  <c r="AB697" i="4" s="1"/>
  <c r="AA752" i="4"/>
  <c r="AB752" i="4" s="1"/>
  <c r="AA542" i="4"/>
  <c r="AB542" i="4" s="1"/>
  <c r="AE542" i="4"/>
  <c r="AE487" i="4"/>
  <c r="AA392" i="4"/>
  <c r="AB392" i="4" s="1"/>
  <c r="AE392" i="4"/>
  <c r="AE416" i="4"/>
  <c r="AE564" i="4"/>
  <c r="AE638" i="4"/>
  <c r="AA544" i="4"/>
  <c r="AB544" i="4" s="1"/>
  <c r="AA403" i="4"/>
  <c r="AB403" i="4" s="1"/>
  <c r="AE452" i="4"/>
  <c r="AE707" i="4"/>
  <c r="AA481" i="4"/>
  <c r="AB481" i="4" s="1"/>
  <c r="AE481" i="4"/>
  <c r="AE302" i="4"/>
  <c r="AA302" i="4"/>
  <c r="AB302" i="4" s="1"/>
  <c r="AA432" i="4"/>
  <c r="AB432" i="4" s="1"/>
  <c r="AA295" i="4"/>
  <c r="AB295" i="4" s="1"/>
  <c r="AE434" i="4"/>
  <c r="AE453" i="4"/>
  <c r="AE422" i="4"/>
  <c r="AE993" i="4"/>
  <c r="AA802" i="4"/>
  <c r="AB802" i="4" s="1"/>
  <c r="AA411" i="4"/>
  <c r="AB411" i="4" s="1"/>
  <c r="AE411" i="4"/>
  <c r="AA492" i="4"/>
  <c r="AB492" i="4" s="1"/>
  <c r="AE492" i="4"/>
  <c r="AE431" i="4"/>
  <c r="AA431" i="4"/>
  <c r="AB431" i="4" s="1"/>
  <c r="AE988" i="4"/>
  <c r="AA917" i="4"/>
  <c r="AB917" i="4" s="1"/>
  <c r="AE959" i="4"/>
  <c r="AA777" i="4"/>
  <c r="AB777" i="4" s="1"/>
  <c r="AA848" i="4"/>
  <c r="AB848" i="4" s="1"/>
  <c r="AE553" i="4"/>
  <c r="AE406" i="4"/>
  <c r="B29" i="1"/>
  <c r="B36" i="1"/>
  <c r="B28" i="1"/>
  <c r="B31" i="1"/>
  <c r="B35" i="1"/>
  <c r="B38" i="1"/>
  <c r="B30" i="1"/>
  <c r="B37" i="1"/>
  <c r="AE312" i="4"/>
  <c r="AA312" i="4"/>
  <c r="AB312" i="4" s="1"/>
  <c r="AA970" i="4"/>
  <c r="AB970" i="4" s="1"/>
  <c r="AE983" i="4"/>
  <c r="AA925" i="4"/>
  <c r="AB925" i="4" s="1"/>
  <c r="AA930" i="4"/>
  <c r="AB930" i="4" s="1"/>
  <c r="AA919" i="4"/>
  <c r="AB919" i="4" s="1"/>
  <c r="AE772" i="4"/>
  <c r="AA689" i="4"/>
  <c r="AB689" i="4" s="1"/>
  <c r="AE663" i="4"/>
  <c r="AE673" i="4"/>
  <c r="AE484" i="4"/>
  <c r="AE402" i="4"/>
  <c r="AA402" i="4"/>
  <c r="AB402" i="4" s="1"/>
  <c r="AE512" i="4"/>
  <c r="AA461" i="4"/>
  <c r="AB461" i="4" s="1"/>
  <c r="AE461" i="4"/>
  <c r="AA442" i="4"/>
  <c r="AB442" i="4" s="1"/>
  <c r="AE547" i="4"/>
  <c r="AE535" i="4"/>
  <c r="AE472" i="4"/>
  <c r="AA405" i="4"/>
  <c r="AB405" i="4" s="1"/>
  <c r="AA311" i="4"/>
  <c r="AB311" i="4" s="1"/>
  <c r="AE297" i="4"/>
  <c r="AA313" i="4"/>
  <c r="AB313" i="4" s="1"/>
  <c r="AE6" i="4"/>
  <c r="AE953" i="4"/>
  <c r="AA591" i="4"/>
  <c r="AB591" i="4" s="1"/>
  <c r="AE591" i="4"/>
  <c r="AA984" i="4"/>
  <c r="AB984" i="4" s="1"/>
  <c r="AA787" i="4"/>
  <c r="AB787" i="4" s="1"/>
  <c r="AA502" i="4"/>
  <c r="AB502" i="4" s="1"/>
  <c r="AA552" i="4"/>
  <c r="AB552" i="4" s="1"/>
  <c r="AA441" i="4"/>
  <c r="AB441" i="4" s="1"/>
  <c r="AE441" i="4"/>
  <c r="AA471" i="4"/>
  <c r="AB471" i="4" s="1"/>
  <c r="AE471" i="4"/>
  <c r="AE642" i="4"/>
  <c r="AA531" i="4"/>
  <c r="AB531" i="4" s="1"/>
  <c r="AE531" i="4"/>
  <c r="AA541" i="4"/>
  <c r="AB541" i="4" s="1"/>
  <c r="AE541" i="4"/>
  <c r="AE7" i="4"/>
  <c r="AE321" i="4"/>
  <c r="AA321" i="4"/>
  <c r="AB321" i="4" s="1"/>
  <c r="AE938" i="4"/>
  <c r="AE996" i="4"/>
  <c r="AE946" i="4"/>
  <c r="AA899" i="4"/>
  <c r="AB899" i="4" s="1"/>
  <c r="AA929" i="4"/>
  <c r="AB929" i="4" s="1"/>
  <c r="AE873" i="4"/>
  <c r="AE978" i="4"/>
  <c r="AE928" i="4"/>
  <c r="AE991" i="4"/>
  <c r="AA889" i="4"/>
  <c r="AB889" i="4" s="1"/>
  <c r="AA727" i="4"/>
  <c r="AB727" i="4" s="1"/>
  <c r="AA677" i="4"/>
  <c r="AB677" i="4" s="1"/>
  <c r="AE622" i="4"/>
  <c r="AA628" i="4"/>
  <c r="AB628" i="4" s="1"/>
  <c r="AE652" i="4"/>
  <c r="AE662" i="4"/>
  <c r="AA521" i="4"/>
  <c r="AB521" i="4" s="1"/>
  <c r="AE521" i="4"/>
  <c r="AE537" i="4"/>
  <c r="AA383" i="4"/>
  <c r="AB383" i="4" s="1"/>
  <c r="AA501" i="4"/>
  <c r="AB501" i="4" s="1"/>
  <c r="AE501" i="4"/>
  <c r="AA555" i="4"/>
  <c r="AB555" i="4" s="1"/>
  <c r="AE332" i="4"/>
  <c r="AA332" i="4"/>
  <c r="AB332" i="4" s="1"/>
  <c r="AE497" i="4"/>
  <c r="AA523" i="4"/>
  <c r="AB523" i="4" s="1"/>
  <c r="AE298" i="4"/>
  <c r="AA2" i="4"/>
  <c r="AE381" i="4"/>
  <c r="AA381" i="4"/>
  <c r="AB381" i="4" s="1"/>
  <c r="AE303" i="4"/>
  <c r="F27" i="1" l="1"/>
</calcChain>
</file>

<file path=xl/sharedStrings.xml><?xml version="1.0" encoding="utf-8"?>
<sst xmlns="http://schemas.openxmlformats.org/spreadsheetml/2006/main" count="476" uniqueCount="326">
  <si>
    <t>Technical Debt, Risk &amp; Application Portfolio Simulator</t>
  </si>
  <si>
    <t>Manage technical debt, application risk, and portfolio disposition using the Gartner TIME model.</t>
  </si>
  <si>
    <t>Edit dropdown options and scoring weights on the Lists sheet. Weights ship at even defaults; calibrated weights are part of the full simulator.</t>
  </si>
  <si>
    <t xml:space="preserve">  Debt Backlog - At a Glance</t>
  </si>
  <si>
    <t xml:space="preserve">  Debt - Active by Severity</t>
  </si>
  <si>
    <t>Total Items</t>
  </si>
  <si>
    <t>Critical Active</t>
  </si>
  <si>
    <t>Active Items</t>
  </si>
  <si>
    <t>High Active</t>
  </si>
  <si>
    <t>Overdue Items</t>
  </si>
  <si>
    <t>Medium Active</t>
  </si>
  <si>
    <t>Done Items</t>
  </si>
  <si>
    <t>Low Active</t>
  </si>
  <si>
    <t xml:space="preserve">  Debt Status Breakdown</t>
  </si>
  <si>
    <t xml:space="preserve">  Severity Breakdown (legend)</t>
  </si>
  <si>
    <t>Status</t>
  </si>
  <si>
    <t>Count</t>
  </si>
  <si>
    <t>Severity</t>
  </si>
  <si>
    <t>New</t>
  </si>
  <si>
    <t>Critical</t>
  </si>
  <si>
    <t>Triaged</t>
  </si>
  <si>
    <t>High</t>
  </si>
  <si>
    <t>Planned</t>
  </si>
  <si>
    <t>Medium</t>
  </si>
  <si>
    <t>In Progress</t>
  </si>
  <si>
    <t>Low</t>
  </si>
  <si>
    <t>Blocked</t>
  </si>
  <si>
    <t>Done</t>
  </si>
  <si>
    <t>Won't Fix</t>
  </si>
  <si>
    <t>Duplicate</t>
  </si>
  <si>
    <t xml:space="preserve">  Debt Cost Summary</t>
  </si>
  <si>
    <t xml:space="preserve">  Cost by Confidence</t>
  </si>
  <si>
    <t>Total Direct ($)</t>
  </si>
  <si>
    <t>High Confidence ($)</t>
  </si>
  <si>
    <t>Total Annual Carry ($)</t>
  </si>
  <si>
    <t>Medium Confidence ($)</t>
  </si>
  <si>
    <t>Total Contingent ($)</t>
  </si>
  <si>
    <t>Low Confidence ($)</t>
  </si>
  <si>
    <t xml:space="preserve">  Application Portfolio (APM) - TIME Classification</t>
  </si>
  <si>
    <t xml:space="preserve">  Portfolio Health Indicators</t>
  </si>
  <si>
    <t>Total Applications</t>
  </si>
  <si>
    <t>Average CPS</t>
  </si>
  <si>
    <t>INVEST</t>
  </si>
  <si>
    <t>High Risk Apps</t>
  </si>
  <si>
    <t>TOLERATE</t>
  </si>
  <si>
    <t>High Business Value</t>
  </si>
  <si>
    <t>MIGRATE</t>
  </si>
  <si>
    <t>Low Technical Health</t>
  </si>
  <si>
    <t>ELIMINATE</t>
  </si>
  <si>
    <t>High Cost Apps</t>
  </si>
  <si>
    <t xml:space="preserve">  TIME Breakdown</t>
  </si>
  <si>
    <t xml:space="preserve">  Risk Distribution</t>
  </si>
  <si>
    <t>TIME Quadrant</t>
  </si>
  <si>
    <t>Risk Score Range</t>
  </si>
  <si>
    <t>Invest</t>
  </si>
  <si>
    <t>&gt;=4.0 (High)</t>
  </si>
  <si>
    <t>Tolerate</t>
  </si>
  <si>
    <t>3.0 to 3.9</t>
  </si>
  <si>
    <t>Migrate</t>
  </si>
  <si>
    <t>2.0 to 2.9</t>
  </si>
  <si>
    <t>Eliminate</t>
  </si>
  <si>
    <t>&lt;2.0 (Low)</t>
  </si>
  <si>
    <t xml:space="preserve">  Gartner TIME Model</t>
  </si>
  <si>
    <t>TIME classifies apps on two axes: Business Value (BV) and Technical Health (TH).</t>
  </si>
  <si>
    <t>Invest: High BV + High TH   |   Migrate: High BV + Low TH   |   Tolerate: Low BV + High TH   |   Eliminate: Low BV + Low TH</t>
  </si>
  <si>
    <t>Threshold: &gt;= 3.0 is High on each axis. CPS, Risk and Cost are informational; they do not change TIME.</t>
  </si>
  <si>
    <t>Debt ID</t>
  </si>
  <si>
    <t>Title</t>
  </si>
  <si>
    <t>Description</t>
  </si>
  <si>
    <t>Product/Service</t>
  </si>
  <si>
    <t>Component/Module</t>
  </si>
  <si>
    <t>Debt Type</t>
  </si>
  <si>
    <t>Impact Area</t>
  </si>
  <si>
    <t>Impact</t>
  </si>
  <si>
    <t>Confidence</t>
  </si>
  <si>
    <t>Effort</t>
  </si>
  <si>
    <t>Debt Score</t>
  </si>
  <si>
    <t>Priority</t>
  </si>
  <si>
    <t>Owner</t>
  </si>
  <si>
    <t>Team</t>
  </si>
  <si>
    <t>Date Identified</t>
  </si>
  <si>
    <t>Age (days)</t>
  </si>
  <si>
    <t>Target Window</t>
  </si>
  <si>
    <t>Due Date</t>
  </si>
  <si>
    <t>Last Updated</t>
  </si>
  <si>
    <t>Dependencies/Related Work</t>
  </si>
  <si>
    <t>Link (Jira/Confluence/LeanIX)</t>
  </si>
  <si>
    <t>Notes</t>
  </si>
  <si>
    <t>Direct Remediation Cost ($)</t>
  </si>
  <si>
    <t>Annual Carry Cost ($)</t>
  </si>
  <si>
    <t>Contingent Risk Cost ($)</t>
  </si>
  <si>
    <t>Cost Confidence</t>
  </si>
  <si>
    <t>Legacy auth library past EOL</t>
  </si>
  <si>
    <t>Spring Security 4.x, end of life 2022, multiple CVEs unpatched.</t>
  </si>
  <si>
    <t>Customer Portal</t>
  </si>
  <si>
    <t>auth-service</t>
  </si>
  <si>
    <t>Security</t>
  </si>
  <si>
    <t>L</t>
  </si>
  <si>
    <t>J. Park</t>
  </si>
  <si>
    <t>Platform</t>
  </si>
  <si>
    <t>This Quarter</t>
  </si>
  <si>
    <t>Coordination with Identity team</t>
  </si>
  <si>
    <t>JIRA-TD-1041</t>
  </si>
  <si>
    <t>Blocks FedRAMP audit</t>
  </si>
  <si>
    <t>Orders table missing indexes</t>
  </si>
  <si>
    <t>Query perf degrading as volume grows, p95 over 2s.</t>
  </si>
  <si>
    <t>Order Management</t>
  </si>
  <si>
    <t>order-db</t>
  </si>
  <si>
    <t>Infrastructure</t>
  </si>
  <si>
    <t>Performance</t>
  </si>
  <si>
    <t>M</t>
  </si>
  <si>
    <t>M. Chen</t>
  </si>
  <si>
    <t>Data</t>
  </si>
  <si>
    <t>Next Sprint</t>
  </si>
  <si>
    <t>None</t>
  </si>
  <si>
    <t>JIRA-TD-1073</t>
  </si>
  <si>
    <t>Hardcoded config in payments</t>
  </si>
  <si>
    <t>Env values embedded in code, requires redeploy to change.</t>
  </si>
  <si>
    <t>Payments</t>
  </si>
  <si>
    <t>payment-processor</t>
  </si>
  <si>
    <t>Code Quality</t>
  </si>
  <si>
    <t>Maintainability</t>
  </si>
  <si>
    <t>S</t>
  </si>
  <si>
    <t>R. Singh</t>
  </si>
  <si>
    <t>Backend</t>
  </si>
  <si>
    <t>Next 2 Sprints</t>
  </si>
  <si>
    <t>JIRA-TD-1102</t>
  </si>
  <si>
    <t>No integration tests on billing</t>
  </si>
  <si>
    <t>Only unit tests, prod-only bugs found monthly.</t>
  </si>
  <si>
    <t>Billing</t>
  </si>
  <si>
    <t>billing-svc</t>
  </si>
  <si>
    <t>Test Coverage</t>
  </si>
  <si>
    <t>Reliability</t>
  </si>
  <si>
    <t>QA</t>
  </si>
  <si>
    <t>Next Quarter</t>
  </si>
  <si>
    <t>Test data framework</t>
  </si>
  <si>
    <t>Owner TBD</t>
  </si>
  <si>
    <t>React version 3 majors behind</t>
  </si>
  <si>
    <t>v16 in use, ecosystem moving to v19.</t>
  </si>
  <si>
    <t>web-ui</t>
  </si>
  <si>
    <t>Dependencies/Upgrades</t>
  </si>
  <si>
    <t>Developer Productivity</t>
  </si>
  <si>
    <t>L. Ramirez</t>
  </si>
  <si>
    <t>Frontend</t>
  </si>
  <si>
    <t>Design system rework</t>
  </si>
  <si>
    <t>JIRA-TD-0994</t>
  </si>
  <si>
    <t>Observability gaps on batch jobs</t>
  </si>
  <si>
    <t>Nightly reconciliation has no alerting, failures found by users.</t>
  </si>
  <si>
    <t>Finance Ops</t>
  </si>
  <si>
    <t>recon-batch</t>
  </si>
  <si>
    <t>Observability</t>
  </si>
  <si>
    <t>K. Osei</t>
  </si>
  <si>
    <t>DevOps</t>
  </si>
  <si>
    <t>Grafana dashboards</t>
  </si>
  <si>
    <t>JIRA-TD-1128</t>
  </si>
  <si>
    <t>Outdated API docs</t>
  </si>
  <si>
    <t>Swagger not regenerated in 18 months, partner integrations slowed.</t>
  </si>
  <si>
    <t>Partner API</t>
  </si>
  <si>
    <t>api-gateway</t>
  </si>
  <si>
    <t>Documentation</t>
  </si>
  <si>
    <t>XS</t>
  </si>
  <si>
    <t>T. Morgan</t>
  </si>
  <si>
    <t>Backlog</t>
  </si>
  <si>
    <t>Risk ID</t>
  </si>
  <si>
    <t>App ID</t>
  </si>
  <si>
    <t>Application Name</t>
  </si>
  <si>
    <t>Cybersecurity Risk (1-5)</t>
  </si>
  <si>
    <t>Compliance Risk (1-5)</t>
  </si>
  <si>
    <t>Operational Resilience (1-5)</t>
  </si>
  <si>
    <t>Vendor Risk (1-5)</t>
  </si>
  <si>
    <t>Knowledge Concentration (1-5)</t>
  </si>
  <si>
    <t>Risk Score (R)</t>
  </si>
  <si>
    <t>APM-0001</t>
  </si>
  <si>
    <t>Security Office</t>
  </si>
  <si>
    <t>High cyber risk due to exposed auth paths</t>
  </si>
  <si>
    <t>APM-0002</t>
  </si>
  <si>
    <t>Stable, well-managed</t>
  </si>
  <si>
    <t>APM-0003</t>
  </si>
  <si>
    <t>Compliance scope high, single-threaded ownership</t>
  </si>
  <si>
    <t>APM-0004</t>
  </si>
  <si>
    <t>Vendor EOL announced; no internal expertise left</t>
  </si>
  <si>
    <t>APM-0005</t>
  </si>
  <si>
    <t>Low risk overall</t>
  </si>
  <si>
    <t>APM-0006</t>
  </si>
  <si>
    <t>Ops resilience concerns - no DR tested</t>
  </si>
  <si>
    <t>APM-0007</t>
  </si>
  <si>
    <t>Moderate - compliance attention needed</t>
  </si>
  <si>
    <t>Product/Service (Capability)</t>
  </si>
  <si>
    <t>Business Owner</t>
  </si>
  <si>
    <t>IT Owner</t>
  </si>
  <si>
    <t>Vendor</t>
  </si>
  <si>
    <t>Hosting Model</t>
  </si>
  <si>
    <t>Strategic Alignment (1-5)</t>
  </si>
  <si>
    <t>Clinical / Business Criticality (1-5)</t>
  </si>
  <si>
    <t>User Reach &amp; Dependency (1-5)</t>
  </si>
  <si>
    <t>Differentiation (1-5)</t>
  </si>
  <si>
    <t>Regulatory Necessity (1-5)</t>
  </si>
  <si>
    <t>Business Value (BV)</t>
  </si>
  <si>
    <t>Annual Run Cost (1-5)</t>
  </si>
  <si>
    <t>Cost Trend (1-5)</t>
  </si>
  <si>
    <t>Cost Transparency (1-5)</t>
  </si>
  <si>
    <t>Modernization Cost (1-5)</t>
  </si>
  <si>
    <t>Cost Score (C)</t>
  </si>
  <si>
    <t>Technology Currency (1-5)</t>
  </si>
  <si>
    <t>Architecture Quality (1-5)</t>
  </si>
  <si>
    <t>Integration Complexity (1-5)</t>
  </si>
  <si>
    <t>Data Architecture Fit (1-5)</t>
  </si>
  <si>
    <t>Technical Debt (1-5)</t>
  </si>
  <si>
    <t>Technical Health (TH)</t>
  </si>
  <si>
    <t>Composite Portfolio Score (CPS)</t>
  </si>
  <si>
    <t>TIME Classification</t>
  </si>
  <si>
    <t>Clinical Criticality Flag</t>
  </si>
  <si>
    <t>Compliance Exposure Flag</t>
  </si>
  <si>
    <t>Quadrant (Value vs Risk)</t>
  </si>
  <si>
    <t>Tier</t>
  </si>
  <si>
    <t>Functional Fit</t>
  </si>
  <si>
    <t>Technical Fit</t>
  </si>
  <si>
    <t>(unused)</t>
  </si>
  <si>
    <t>Incidents</t>
  </si>
  <si>
    <t>Solution Type</t>
  </si>
  <si>
    <t>AppRat Phase</t>
  </si>
  <si>
    <t>AppRat Confidence</t>
  </si>
  <si>
    <t>AppRat Effort</t>
  </si>
  <si>
    <t>Budget</t>
  </si>
  <si>
    <t>Total Annual Cost ($)</t>
  </si>
  <si>
    <t>Primary self-service portal for retail customers, handles account mgmt, transactions, statements.</t>
  </si>
  <si>
    <t>Customer Engagement</t>
  </si>
  <si>
    <t>VP Digital</t>
  </si>
  <si>
    <t>In-house</t>
  </si>
  <si>
    <t>Public Cloud</t>
  </si>
  <si>
    <t>Order Management System</t>
  </si>
  <si>
    <t>Backbone order orchestration and fulfillment workflows across channels.</t>
  </si>
  <si>
    <t>Order to Cash</t>
  </si>
  <si>
    <t>COO</t>
  </si>
  <si>
    <t>Oracle</t>
  </si>
  <si>
    <t>Private Cloud</t>
  </si>
  <si>
    <t>Payment Processor</t>
  </si>
  <si>
    <t>Core payment gateway integration with card networks and fraud screening.</t>
  </si>
  <si>
    <t>VP Finance</t>
  </si>
  <si>
    <t>Legacy CRM</t>
  </si>
  <si>
    <t>Sales CRM in sunset. Superseded by newer cloud CRM; only 3 users remain on active tier.</t>
  </si>
  <si>
    <t>Sales Enablement</t>
  </si>
  <si>
    <t>VP Sales</t>
  </si>
  <si>
    <t>Siebel</t>
  </si>
  <si>
    <t>On-Premise</t>
  </si>
  <si>
    <t>Marketing Analytics</t>
  </si>
  <si>
    <t>Internal analytics platform for campaign performance and customer segmentation.</t>
  </si>
  <si>
    <t>Marketing</t>
  </si>
  <si>
    <t>VP Marketing</t>
  </si>
  <si>
    <t>Financial Reconciliation</t>
  </si>
  <si>
    <t>Nightly batch reconciliation between order, payment, and GL systems.</t>
  </si>
  <si>
    <t>Controller</t>
  </si>
  <si>
    <t>Partner API Gateway</t>
  </si>
  <si>
    <t>B2B integration layer exposing APIs to partner organizations.</t>
  </si>
  <si>
    <t>Integration</t>
  </si>
  <si>
    <t>VP Partnerships</t>
  </si>
  <si>
    <t>Kong</t>
  </si>
  <si>
    <t>SeverityPts</t>
  </si>
  <si>
    <t>ImpactPts</t>
  </si>
  <si>
    <t>ConfidenceWt</t>
  </si>
  <si>
    <t>EffortPts</t>
  </si>
  <si>
    <t>Score (1-5)</t>
  </si>
  <si>
    <t>APM Tier</t>
  </si>
  <si>
    <t>APM Functional Fit</t>
  </si>
  <si>
    <t>APM Technical Fit</t>
  </si>
  <si>
    <t>APM TIME Classification</t>
  </si>
  <si>
    <t>APM Incidents</t>
  </si>
  <si>
    <t>APM Solution Type</t>
  </si>
  <si>
    <t>APM AppRat Phase</t>
  </si>
  <si>
    <t>APM AppRat Confidence</t>
  </si>
  <si>
    <t>APM AppRat Effort</t>
  </si>
  <si>
    <t>Scoring Weights</t>
  </si>
  <si>
    <t>Weight</t>
  </si>
  <si>
    <t>P0</t>
  </si>
  <si>
    <t>missionCritical</t>
  </si>
  <si>
    <t>appropriate</t>
  </si>
  <si>
    <t>fullyAppropriate</t>
  </si>
  <si>
    <t>Sev1</t>
  </si>
  <si>
    <t>Custom</t>
  </si>
  <si>
    <t>1 - WIP: Replace</t>
  </si>
  <si>
    <t>BV: Strategic Alignment</t>
  </si>
  <si>
    <t>Architecture</t>
  </si>
  <si>
    <t>Scalability</t>
  </si>
  <si>
    <t>P1</t>
  </si>
  <si>
    <t>businessCritical</t>
  </si>
  <si>
    <t>perfect</t>
  </si>
  <si>
    <t>adequate</t>
  </si>
  <si>
    <t>1 - WIP: Migrate / Replatform</t>
  </si>
  <si>
    <t>BV: Clinical / Business Criticality</t>
  </si>
  <si>
    <t>P2</t>
  </si>
  <si>
    <t>insufficient</t>
  </si>
  <si>
    <t>inappropriate</t>
  </si>
  <si>
    <t>4 - DONE: Archive</t>
  </si>
  <si>
    <t>BV: User Reach &amp; Dependency</t>
  </si>
  <si>
    <t>P3</t>
  </si>
  <si>
    <t>Mobile</t>
  </si>
  <si>
    <t>unreasonable</t>
  </si>
  <si>
    <t>BV: Differentiation</t>
  </si>
  <si>
    <t>XL</t>
  </si>
  <si>
    <t>BV: Regulatory Necessity</t>
  </si>
  <si>
    <t>TBD</t>
  </si>
  <si>
    <t>Cost: Annual Run Cost</t>
  </si>
  <si>
    <t>Compliance</t>
  </si>
  <si>
    <t>Cost: Cost Trend</t>
  </si>
  <si>
    <t>Cost</t>
  </si>
  <si>
    <t>Cost: Cost Transparency</t>
  </si>
  <si>
    <t>User Experience</t>
  </si>
  <si>
    <t>Other</t>
  </si>
  <si>
    <t>Cost: Modernization Cost</t>
  </si>
  <si>
    <t>UX</t>
  </si>
  <si>
    <t>TH: Technology Currency</t>
  </si>
  <si>
    <t>Process</t>
  </si>
  <si>
    <t>TH: Architecture Quality</t>
  </si>
  <si>
    <t>TH: Integration Complexity</t>
  </si>
  <si>
    <t>TH: Data Architecture Fit</t>
  </si>
  <si>
    <t>TH: Technical Debt</t>
  </si>
  <si>
    <t>CPS: Business Value (+)</t>
  </si>
  <si>
    <t>CPS: Risk (-)</t>
  </si>
  <si>
    <t>CPS: Cost (-)</t>
  </si>
  <si>
    <t>CPS: Technical Health (+)</t>
  </si>
  <si>
    <t>Risk: Cybersecurity</t>
  </si>
  <si>
    <t>Risk: Compliance</t>
  </si>
  <si>
    <t>Risk: Operational Resilience</t>
  </si>
  <si>
    <t>Risk: Vendor</t>
  </si>
  <si>
    <t>Risk: Knowledge Concentration</t>
  </si>
  <si>
    <t>Even defaults. Each group should sum to 1.00 (CPS weights are applied with the signs shown). Calibrated weights are part of the full simulator.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</si>
</sst>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\$#,##0;[Red]&quot;$-&quot;#,##0;&quot;&quot;"/>
    <numFmt numFmtId="165" formatCode="yyyy\-mm\-dd"/>
    <numFmt numFmtId="166" formatCode="\$#,##0"/>
  </numFmts>
  <fonts count="25" x14ac:knownFonts="1">
    <font>
      <sz val="11"/>
      <color theme="1"/>
      <name val="Calibri"/>
      <family val="2"/>
      <charset val="1"/>
    </font>
    <font>
      <b/>
      <sz val="20"/>
      <color rgb="FF1A1A2E"/>
      <name val="Arial"/>
      <family val="2"/>
    </font>
    <font>
      <i/>
      <sz val="11"/>
      <color rgb="FF6B7280"/>
      <name val="Arial"/>
      <family val="2"/>
    </font>
    <font>
      <i/>
      <sz val="10"/>
      <color rgb="FF6B7280"/>
      <name val="Arial"/>
      <family val="2"/>
    </font>
    <font>
      <sz val="10"/>
      <name val="Arial"/>
      <family val="2"/>
    </font>
    <font>
      <b/>
      <sz val="12"/>
      <color rgb="FFFFFFFF"/>
      <name val="Arial"/>
      <family val="2"/>
    </font>
    <font>
      <b/>
      <sz val="10"/>
      <color rgb="FF000000"/>
      <name val="Arial"/>
      <family val="2"/>
    </font>
    <font>
      <b/>
      <sz val="12"/>
      <color rgb="FF1A1A2E"/>
      <name val="Arial"/>
      <family val="2"/>
    </font>
    <font>
      <b/>
      <sz val="12"/>
      <color rgb="FF991B1B"/>
      <name val="Arial"/>
      <family val="2"/>
    </font>
    <font>
      <b/>
      <sz val="12"/>
      <color rgb="FF9A3412"/>
      <name val="Arial"/>
      <family val="2"/>
    </font>
    <font>
      <b/>
      <sz val="12"/>
      <color rgb="FF713F12"/>
      <name val="Arial"/>
      <family val="2"/>
    </font>
    <font>
      <b/>
      <sz val="12"/>
      <color rgb="FF166534"/>
      <name val="Arial"/>
      <family val="2"/>
    </font>
    <font>
      <b/>
      <sz val="11"/>
      <color rgb="FFFFFFFF"/>
      <name val="Arial"/>
      <family val="2"/>
    </font>
    <font>
      <b/>
      <sz val="10"/>
      <color rgb="FFFFFFFF"/>
      <name val="Arial"/>
      <family val="2"/>
    </font>
    <font>
      <sz val="10"/>
      <color rgb="FF000000"/>
      <name val="Arial"/>
      <family val="2"/>
    </font>
    <font>
      <b/>
      <sz val="11"/>
      <color rgb="FF1A1A2E"/>
      <name val="Arial"/>
      <family val="2"/>
    </font>
    <font>
      <b/>
      <sz val="10"/>
      <color rgb="FF991B1B"/>
      <name val="Arial"/>
      <family val="2"/>
    </font>
    <font>
      <b/>
      <sz val="10"/>
      <color rgb="FF9A3412"/>
      <name val="Arial"/>
      <family val="2"/>
    </font>
    <font>
      <b/>
      <sz val="10"/>
      <color rgb="FF713F12"/>
      <name val="Arial"/>
      <family val="2"/>
    </font>
    <font>
      <b/>
      <sz val="10"/>
      <color rgb="FF166534"/>
      <name val="Arial"/>
      <family val="2"/>
    </font>
    <font>
      <b/>
      <sz val="10"/>
      <color rgb="FF1E40AF"/>
      <name val="Arial"/>
      <family val="2"/>
    </font>
    <font>
      <b/>
      <sz val="10"/>
      <color rgb="FF1A1A2E"/>
      <name val="Arial"/>
      <family val="2"/>
    </font>
    <font>
      <sz val="9"/>
      <name val="Arial"/>
      <family val="2"/>
    </font>
    <font>
      <sz val="10"/>
      <color rgb="FF1A1A2E"/>
      <name val="Arial"/>
      <family val="2"/>
    </font>
    <font>
      <sz val="10"/>
      <color rgb="FF6B7280"/>
      <name val="Arial"/>
      <family val="2"/>
    </font>
  </fonts>
  <fills count="18">
    <fill>
      <patternFill patternType="none"/>
    </fill>
    <fill>
      <patternFill patternType="gray125"/>
    </fill>
    <fill>
      <patternFill patternType="solid">
        <fgColor rgb="FF1A1A2E"/>
        <bgColor rgb="FF003300"/>
      </patternFill>
    </fill>
    <fill>
      <patternFill patternType="solid">
        <fgColor rgb="FFF8F9FA"/>
        <bgColor rgb="FFF3F4F6"/>
      </patternFill>
    </fill>
    <fill>
      <patternFill patternType="solid">
        <fgColor rgb="FFEFF6FF"/>
        <bgColor rgb="FFF3F4F6"/>
      </patternFill>
    </fill>
    <fill>
      <patternFill patternType="solid">
        <fgColor rgb="FFFEE2E2"/>
        <bgColor rgb="FFFFE5D0"/>
      </patternFill>
    </fill>
    <fill>
      <patternFill patternType="solid">
        <fgColor rgb="FFFED7AA"/>
        <bgColor rgb="FFF8D7DA"/>
      </patternFill>
    </fill>
    <fill>
      <patternFill patternType="solid">
        <fgColor rgb="FFFEF3C7"/>
        <bgColor rgb="FFFFF3CD"/>
      </patternFill>
    </fill>
    <fill>
      <patternFill patternType="solid">
        <fgColor rgb="FFDCFCE7"/>
        <bgColor rgb="FFF0FDF4"/>
      </patternFill>
    </fill>
    <fill>
      <patternFill patternType="solid">
        <fgColor rgb="FF1E40AF"/>
        <bgColor rgb="FF003366"/>
      </patternFill>
    </fill>
    <fill>
      <patternFill patternType="solid">
        <fgColor rgb="FFF0FDF4"/>
        <bgColor rgb="FFF8F9FA"/>
      </patternFill>
    </fill>
    <fill>
      <patternFill patternType="solid">
        <fgColor rgb="FFFFF7ED"/>
        <bgColor rgb="FFFFFBEB"/>
      </patternFill>
    </fill>
    <fill>
      <patternFill patternType="solid">
        <fgColor rgb="FFFEF2F2"/>
        <bgColor rgb="FFFFF7ED"/>
      </patternFill>
    </fill>
    <fill>
      <patternFill patternType="solid">
        <fgColor rgb="FF166534"/>
        <bgColor rgb="FF008080"/>
      </patternFill>
    </fill>
    <fill>
      <patternFill patternType="solid">
        <fgColor rgb="FF991B1B"/>
        <bgColor rgb="FF9A3412"/>
      </patternFill>
    </fill>
    <fill>
      <patternFill patternType="solid">
        <fgColor rgb="FF713F12"/>
        <bgColor rgb="FF9A3412"/>
      </patternFill>
    </fill>
    <fill>
      <patternFill patternType="solid">
        <fgColor rgb="FF9A3412"/>
        <bgColor rgb="FF991B1B"/>
      </patternFill>
    </fill>
    <fill>
      <patternFill patternType="solid">
        <fgColor rgb="FFFFFBEB"/>
        <bgColor rgb="FFFFF7ED"/>
      </patternFill>
    </fill>
  </fills>
  <borders count="3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rgb="FFCBD5E1"/>
      </left>
      <right/>
      <top style="thin">
        <color rgb="FFCBD5E1"/>
      </top>
      <bottom style="thin">
        <color rgb="FFCBD5E1"/>
      </bottom>
      <diagonal/>
    </border>
  </borders>
  <cellStyleXfs count="1">
    <xf numFmtId="0" fontId="0" fillId="0" borderId="0"/>
  </cellStyleXfs>
  <cellXfs count="89">
    <xf numFmtId="0" fontId="0" fillId="0" borderId="0" xfId="0"/>
    <xf numFmtId="0" fontId="3" fillId="0" borderId="0" xfId="0" applyFont="1" applyAlignment="1">
      <alignment horizontal="left" vertical="center" indent="1"/>
    </xf>
    <xf numFmtId="0" fontId="21" fillId="4" borderId="0" xfId="0" applyFont="1" applyFill="1" applyAlignment="1">
      <alignment horizontal="left" vertical="center" indent="1"/>
    </xf>
    <xf numFmtId="0" fontId="4" fillId="4" borderId="0" xfId="0" applyFont="1" applyFill="1" applyAlignment="1">
      <alignment horizontal="left" vertical="center" indent="1"/>
    </xf>
    <xf numFmtId="0" fontId="12" fillId="9" borderId="0" xfId="0" applyFont="1" applyFill="1" applyAlignment="1">
      <alignment horizontal="left" vertical="center"/>
    </xf>
    <xf numFmtId="0" fontId="5" fillId="2" borderId="0" xfId="0" applyFont="1" applyFill="1" applyAlignment="1">
      <alignment horizontal="left" vertical="center"/>
    </xf>
    <xf numFmtId="0" fontId="3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 vertical="center" wrapText="1"/>
    </xf>
    <xf numFmtId="0" fontId="1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0" fontId="7" fillId="4" borderId="1" xfId="0" applyFont="1" applyFill="1" applyBorder="1" applyAlignment="1">
      <alignment horizontal="center" vertical="center" wrapText="1"/>
    </xf>
    <xf numFmtId="0" fontId="8" fillId="5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11" fillId="8" borderId="1" xfId="0" applyFont="1" applyFill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left" vertical="center" wrapText="1"/>
    </xf>
    <xf numFmtId="0" fontId="14" fillId="3" borderId="1" xfId="0" applyFont="1" applyFill="1" applyBorder="1" applyAlignment="1">
      <alignment horizontal="left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16" fillId="5" borderId="1" xfId="0" applyFont="1" applyFill="1" applyBorder="1" applyAlignment="1">
      <alignment horizontal="center" vertical="center"/>
    </xf>
    <xf numFmtId="0" fontId="15" fillId="5" borderId="1" xfId="0" applyFont="1" applyFill="1" applyBorder="1" applyAlignment="1">
      <alignment horizontal="center" vertical="center" wrapText="1"/>
    </xf>
    <xf numFmtId="0" fontId="14" fillId="0" borderId="1" xfId="0" applyFont="1" applyBorder="1" applyAlignment="1">
      <alignment horizontal="left" vertical="center" wrapText="1"/>
    </xf>
    <xf numFmtId="0" fontId="15" fillId="0" borderId="1" xfId="0" applyFont="1" applyBorder="1" applyAlignment="1">
      <alignment horizontal="center" vertical="center" wrapText="1"/>
    </xf>
    <xf numFmtId="0" fontId="17" fillId="6" borderId="1" xfId="0" applyFont="1" applyFill="1" applyBorder="1" applyAlignment="1">
      <alignment horizontal="center" vertical="center"/>
    </xf>
    <xf numFmtId="0" fontId="15" fillId="6" borderId="1" xfId="0" applyFont="1" applyFill="1" applyBorder="1" applyAlignment="1">
      <alignment horizontal="center" vertical="center" wrapText="1"/>
    </xf>
    <xf numFmtId="0" fontId="18" fillId="7" borderId="1" xfId="0" applyFont="1" applyFill="1" applyBorder="1" applyAlignment="1">
      <alignment horizontal="center" vertical="center"/>
    </xf>
    <xf numFmtId="0" fontId="15" fillId="7" borderId="1" xfId="0" applyFont="1" applyFill="1" applyBorder="1" applyAlignment="1">
      <alignment horizontal="center" vertical="center" wrapText="1"/>
    </xf>
    <xf numFmtId="0" fontId="19" fillId="8" borderId="1" xfId="0" applyFont="1" applyFill="1" applyBorder="1" applyAlignment="1">
      <alignment horizontal="center" vertical="center"/>
    </xf>
    <xf numFmtId="0" fontId="15" fillId="8" borderId="1" xfId="0" applyFont="1" applyFill="1" applyBorder="1" applyAlignment="1">
      <alignment horizontal="center" vertical="center" wrapText="1"/>
    </xf>
    <xf numFmtId="0" fontId="6" fillId="3" borderId="2" xfId="0" applyFont="1" applyFill="1" applyBorder="1" applyAlignment="1">
      <alignment horizontal="left" vertical="center" wrapText="1"/>
    </xf>
    <xf numFmtId="164" fontId="7" fillId="4" borderId="0" xfId="0" applyNumberFormat="1" applyFont="1" applyFill="1" applyAlignment="1">
      <alignment horizontal="center" vertical="center" wrapText="1"/>
    </xf>
    <xf numFmtId="0" fontId="6" fillId="3" borderId="0" xfId="0" applyFont="1" applyFill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indent="1"/>
    </xf>
    <xf numFmtId="2" fontId="7" fillId="4" borderId="1" xfId="0" applyNumberFormat="1" applyFont="1" applyFill="1" applyBorder="1" applyAlignment="1">
      <alignment horizontal="center" vertical="center" wrapText="1"/>
    </xf>
    <xf numFmtId="0" fontId="19" fillId="10" borderId="1" xfId="0" applyFont="1" applyFill="1" applyBorder="1" applyAlignment="1">
      <alignment horizontal="left" vertical="center" indent="1"/>
    </xf>
    <xf numFmtId="0" fontId="7" fillId="10" borderId="1" xfId="0" applyFont="1" applyFill="1" applyBorder="1" applyAlignment="1">
      <alignment horizontal="center" vertical="center" wrapText="1"/>
    </xf>
    <xf numFmtId="0" fontId="20" fillId="4" borderId="1" xfId="0" applyFont="1" applyFill="1" applyBorder="1" applyAlignment="1">
      <alignment horizontal="left" vertical="center" indent="1"/>
    </xf>
    <xf numFmtId="0" fontId="17" fillId="11" borderId="1" xfId="0" applyFont="1" applyFill="1" applyBorder="1" applyAlignment="1">
      <alignment horizontal="left" vertical="center" indent="1"/>
    </xf>
    <xf numFmtId="0" fontId="7" fillId="11" borderId="1" xfId="0" applyFont="1" applyFill="1" applyBorder="1" applyAlignment="1">
      <alignment horizontal="center" vertical="center" wrapText="1"/>
    </xf>
    <xf numFmtId="0" fontId="16" fillId="12" borderId="1" xfId="0" applyFont="1" applyFill="1" applyBorder="1" applyAlignment="1">
      <alignment horizontal="left" vertical="center" indent="1"/>
    </xf>
    <xf numFmtId="0" fontId="7" fillId="12" borderId="1" xfId="0" applyFont="1" applyFill="1" applyBorder="1" applyAlignment="1">
      <alignment horizontal="center" vertical="center" wrapText="1"/>
    </xf>
    <xf numFmtId="0" fontId="19" fillId="10" borderId="1" xfId="0" applyFont="1" applyFill="1" applyBorder="1" applyAlignment="1">
      <alignment horizontal="center" vertical="center"/>
    </xf>
    <xf numFmtId="1" fontId="15" fillId="10" borderId="1" xfId="0" applyNumberFormat="1" applyFont="1" applyFill="1" applyBorder="1" applyAlignment="1">
      <alignment horizontal="center" vertical="center" wrapText="1"/>
    </xf>
    <xf numFmtId="1" fontId="15" fillId="5" borderId="1" xfId="0" applyNumberFormat="1" applyFont="1" applyFill="1" applyBorder="1" applyAlignment="1">
      <alignment horizontal="center" vertical="center" wrapText="1"/>
    </xf>
    <xf numFmtId="0" fontId="20" fillId="4" borderId="1" xfId="0" applyFont="1" applyFill="1" applyBorder="1" applyAlignment="1">
      <alignment horizontal="center" vertical="center"/>
    </xf>
    <xf numFmtId="1" fontId="15" fillId="4" borderId="1" xfId="0" applyNumberFormat="1" applyFont="1" applyFill="1" applyBorder="1" applyAlignment="1">
      <alignment horizontal="center" vertical="center" wrapText="1"/>
    </xf>
    <xf numFmtId="1" fontId="15" fillId="6" borderId="1" xfId="0" applyNumberFormat="1" applyFont="1" applyFill="1" applyBorder="1" applyAlignment="1">
      <alignment horizontal="center" vertical="center" wrapText="1"/>
    </xf>
    <xf numFmtId="0" fontId="17" fillId="11" borderId="1" xfId="0" applyFont="1" applyFill="1" applyBorder="1" applyAlignment="1">
      <alignment horizontal="center" vertical="center"/>
    </xf>
    <xf numFmtId="1" fontId="15" fillId="11" borderId="1" xfId="0" applyNumberFormat="1" applyFont="1" applyFill="1" applyBorder="1" applyAlignment="1">
      <alignment horizontal="center" vertical="center" wrapText="1"/>
    </xf>
    <xf numFmtId="1" fontId="15" fillId="7" borderId="1" xfId="0" applyNumberFormat="1" applyFont="1" applyFill="1" applyBorder="1" applyAlignment="1">
      <alignment horizontal="center" vertical="center" wrapText="1"/>
    </xf>
    <xf numFmtId="0" fontId="16" fillId="12" borderId="1" xfId="0" applyFont="1" applyFill="1" applyBorder="1" applyAlignment="1">
      <alignment horizontal="center" vertical="center"/>
    </xf>
    <xf numFmtId="1" fontId="15" fillId="12" borderId="1" xfId="0" applyNumberFormat="1" applyFont="1" applyFill="1" applyBorder="1" applyAlignment="1">
      <alignment horizontal="center" vertical="center" wrapText="1"/>
    </xf>
    <xf numFmtId="1" fontId="15" fillId="8" borderId="1" xfId="0" applyNumberFormat="1" applyFont="1" applyFill="1" applyBorder="1" applyAlignment="1">
      <alignment horizontal="center" vertical="center" wrapText="1"/>
    </xf>
    <xf numFmtId="49" fontId="21" fillId="4" borderId="1" xfId="0" applyNumberFormat="1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left" vertical="center" wrapText="1"/>
    </xf>
    <xf numFmtId="2" fontId="21" fillId="4" borderId="1" xfId="0" applyNumberFormat="1" applyFont="1" applyFill="1" applyBorder="1" applyAlignment="1">
      <alignment horizontal="center" vertical="center"/>
    </xf>
    <xf numFmtId="165" fontId="4" fillId="3" borderId="1" xfId="0" applyNumberFormat="1" applyFont="1" applyFill="1" applyBorder="1" applyAlignment="1">
      <alignment horizontal="left" vertical="center" wrapText="1"/>
    </xf>
    <xf numFmtId="1" fontId="21" fillId="4" borderId="1" xfId="0" applyNumberFormat="1" applyFont="1" applyFill="1" applyBorder="1" applyAlignment="1">
      <alignment horizontal="center" vertical="center"/>
    </xf>
    <xf numFmtId="164" fontId="0" fillId="0" borderId="0" xfId="0" applyNumberFormat="1"/>
    <xf numFmtId="0" fontId="4" fillId="0" borderId="1" xfId="0" applyFont="1" applyBorder="1" applyAlignment="1">
      <alignment horizontal="left" vertical="center" wrapText="1"/>
    </xf>
    <xf numFmtId="165" fontId="4" fillId="0" borderId="1" xfId="0" applyNumberFormat="1" applyFont="1" applyBorder="1" applyAlignment="1">
      <alignment horizontal="left" vertical="center" wrapText="1"/>
    </xf>
    <xf numFmtId="49" fontId="0" fillId="0" borderId="0" xfId="0" applyNumberFormat="1" applyAlignment="1">
      <alignment horizontal="center" vertical="top" wrapText="1"/>
    </xf>
    <xf numFmtId="0" fontId="0" fillId="0" borderId="0" xfId="0" applyAlignment="1">
      <alignment vertical="top" wrapText="1"/>
    </xf>
    <xf numFmtId="0" fontId="0" fillId="0" borderId="0" xfId="0" applyAlignment="1">
      <alignment horizontal="center" vertical="top" wrapText="1"/>
    </xf>
    <xf numFmtId="2" fontId="0" fillId="0" borderId="0" xfId="0" applyNumberFormat="1" applyAlignment="1">
      <alignment horizontal="center" vertical="top" wrapText="1"/>
    </xf>
    <xf numFmtId="165" fontId="0" fillId="0" borderId="0" xfId="0" applyNumberFormat="1"/>
    <xf numFmtId="1" fontId="0" fillId="0" borderId="0" xfId="0" applyNumberFormat="1" applyAlignment="1">
      <alignment horizontal="center" vertical="top" wrapText="1"/>
    </xf>
    <xf numFmtId="0" fontId="21" fillId="4" borderId="1" xfId="0" applyFont="1" applyFill="1" applyBorder="1" applyAlignment="1">
      <alignment horizontal="center" vertical="center"/>
    </xf>
    <xf numFmtId="1" fontId="4" fillId="3" borderId="1" xfId="0" applyNumberFormat="1" applyFont="1" applyFill="1" applyBorder="1" applyAlignment="1">
      <alignment horizontal="center" vertical="center"/>
    </xf>
    <xf numFmtId="1" fontId="4" fillId="0" borderId="1" xfId="0" applyNumberFormat="1" applyFont="1" applyBorder="1" applyAlignment="1">
      <alignment horizontal="center" vertical="center"/>
    </xf>
    <xf numFmtId="0" fontId="13" fillId="9" borderId="1" xfId="0" applyFont="1" applyFill="1" applyBorder="1" applyAlignment="1">
      <alignment horizontal="left" vertical="center" wrapText="1"/>
    </xf>
    <xf numFmtId="0" fontId="13" fillId="13" borderId="1" xfId="0" applyFont="1" applyFill="1" applyBorder="1" applyAlignment="1">
      <alignment horizontal="left" vertical="center" wrapText="1"/>
    </xf>
    <xf numFmtId="0" fontId="13" fillId="14" borderId="1" xfId="0" applyFont="1" applyFill="1" applyBorder="1" applyAlignment="1">
      <alignment horizontal="left" vertical="center" wrapText="1"/>
    </xf>
    <xf numFmtId="0" fontId="13" fillId="15" borderId="1" xfId="0" applyFont="1" applyFill="1" applyBorder="1" applyAlignment="1">
      <alignment horizontal="left" vertical="center" wrapText="1"/>
    </xf>
    <xf numFmtId="0" fontId="13" fillId="16" borderId="1" xfId="0" applyFont="1" applyFill="1" applyBorder="1" applyAlignment="1">
      <alignment horizontal="left" vertical="center" wrapText="1"/>
    </xf>
    <xf numFmtId="0" fontId="22" fillId="3" borderId="1" xfId="0" applyFont="1" applyFill="1" applyBorder="1" applyAlignment="1">
      <alignment horizontal="left" vertical="center" wrapText="1"/>
    </xf>
    <xf numFmtId="1" fontId="21" fillId="17" borderId="1" xfId="0" applyNumberFormat="1" applyFont="1" applyFill="1" applyBorder="1" applyAlignment="1">
      <alignment horizontal="center" vertical="center"/>
    </xf>
    <xf numFmtId="166" fontId="22" fillId="3" borderId="1" xfId="0" applyNumberFormat="1" applyFont="1" applyFill="1" applyBorder="1" applyAlignment="1">
      <alignment horizontal="left" vertical="center" wrapText="1"/>
    </xf>
    <xf numFmtId="0" fontId="22" fillId="0" borderId="1" xfId="0" applyFont="1" applyBorder="1" applyAlignment="1">
      <alignment horizontal="left" vertical="center" wrapText="1"/>
    </xf>
    <xf numFmtId="166" fontId="22" fillId="0" borderId="1" xfId="0" applyNumberFormat="1" applyFont="1" applyBorder="1" applyAlignment="1">
      <alignment horizontal="left" vertical="center" wrapText="1"/>
    </xf>
    <xf numFmtId="166" fontId="0" fillId="0" borderId="0" xfId="0" applyNumberFormat="1" applyAlignment="1">
      <alignment vertical="top" wrapText="1"/>
    </xf>
    <xf numFmtId="0" fontId="13" fillId="2" borderId="0" xfId="0" applyFont="1" applyFill="1"/>
    <xf numFmtId="0" fontId="4" fillId="3" borderId="1" xfId="0" applyFont="1" applyFill="1" applyBorder="1" applyAlignment="1">
      <alignment horizontal="left" vertical="center"/>
    </xf>
    <xf numFmtId="1" fontId="4" fillId="3" borderId="1" xfId="0" applyNumberFormat="1" applyFont="1" applyFill="1" applyBorder="1" applyAlignment="1">
      <alignment horizontal="left" vertical="center"/>
    </xf>
    <xf numFmtId="0" fontId="4" fillId="0" borderId="0" xfId="0" applyFont="1"/>
    <xf numFmtId="2" fontId="23" fillId="3" borderId="0" xfId="0" applyNumberFormat="1" applyFont="1" applyFill="1"/>
    <xf numFmtId="0" fontId="4" fillId="0" borderId="1" xfId="0" applyFont="1" applyBorder="1" applyAlignment="1">
      <alignment horizontal="left" vertical="center"/>
    </xf>
    <xf numFmtId="1" fontId="4" fillId="0" borderId="1" xfId="0" applyNumberFormat="1" applyFont="1" applyBorder="1" applyAlignment="1">
      <alignment horizontal="left" vertical="center"/>
    </xf>
    <xf numFmtId="0" fontId="24" fillId="0" borderId="0" xfId="0" applyFont="1"/>
  </cellXfs>
  <cellStyles count="1">
    <cellStyle name="Normal" xfId="0" builtinId="0"/>
  </cellStyles>
  <dxfs count="28">
    <dxf>
      <font>
        <b/>
        <sz val="10"/>
        <color rgb="FF991B1B"/>
        <name val="Arial"/>
        <charset val="1"/>
      </font>
      <fill>
        <patternFill>
          <bgColor rgb="FFFEF2F2"/>
        </patternFill>
      </fill>
    </dxf>
    <dxf>
      <font>
        <b/>
        <sz val="10"/>
        <color rgb="FF1E40AF"/>
        <name val="Arial"/>
        <charset val="1"/>
      </font>
      <fill>
        <patternFill>
          <bgColor rgb="FFEFF6FF"/>
        </patternFill>
      </fill>
    </dxf>
    <dxf>
      <font>
        <b/>
        <sz val="10"/>
        <color rgb="FF9A3412"/>
        <name val="Arial"/>
        <charset val="1"/>
      </font>
      <fill>
        <patternFill>
          <bgColor rgb="FFFFF7ED"/>
        </patternFill>
      </fill>
    </dxf>
    <dxf>
      <font>
        <b/>
        <sz val="10"/>
        <color rgb="FF166534"/>
        <name val="Arial"/>
        <charset val="1"/>
      </font>
      <fill>
        <patternFill>
          <bgColor rgb="FFF0FDF4"/>
        </patternFill>
      </fill>
    </dxf>
    <dxf>
      <fill>
        <patternFill>
          <bgColor rgb="FFF8D7DA"/>
        </patternFill>
      </fill>
    </dxf>
    <dxf>
      <fill>
        <patternFill>
          <bgColor rgb="FFFFE5D0"/>
        </patternFill>
      </fill>
    </dxf>
    <dxf>
      <fill>
        <patternFill>
          <bgColor rgb="FFFFF3CD"/>
        </patternFill>
      </fill>
    </dxf>
    <dxf>
      <fill>
        <patternFill>
          <bgColor rgb="FFD1E7DD"/>
        </patternFill>
      </fill>
    </dxf>
    <dxf>
      <font>
        <b/>
        <sz val="10"/>
        <color rgb="FF6B7280"/>
        <name val="Arial"/>
        <charset val="1"/>
      </font>
      <fill>
        <patternFill>
          <bgColor rgb="FFE5E7EB"/>
        </patternFill>
      </fill>
    </dxf>
    <dxf>
      <font>
        <b/>
        <sz val="10"/>
        <color rgb="FF6B7280"/>
        <name val="Arial"/>
        <charset val="1"/>
      </font>
      <fill>
        <patternFill>
          <bgColor rgb="FFE5E7EB"/>
        </patternFill>
      </fill>
    </dxf>
    <dxf>
      <font>
        <b/>
        <sz val="10"/>
        <color rgb="FF4B5563"/>
        <name val="Arial"/>
        <charset val="1"/>
      </font>
      <fill>
        <patternFill>
          <bgColor rgb="FFF3F4F6"/>
        </patternFill>
      </fill>
    </dxf>
    <dxf>
      <font>
        <b/>
        <sz val="10"/>
        <color rgb="FF991B1B"/>
        <name val="Arial"/>
        <charset val="1"/>
      </font>
      <fill>
        <patternFill>
          <bgColor rgb="FFFEE2E2"/>
        </patternFill>
      </fill>
    </dxf>
    <dxf>
      <font>
        <b/>
        <sz val="10"/>
        <color rgb="FF1E40AF"/>
        <name val="Arial"/>
        <charset val="1"/>
      </font>
      <fill>
        <patternFill>
          <bgColor rgb="FFDBEAFE"/>
        </patternFill>
      </fill>
    </dxf>
    <dxf>
      <font>
        <b/>
        <sz val="10"/>
        <color rgb="FF166534"/>
        <name val="Arial"/>
        <charset val="1"/>
      </font>
      <fill>
        <patternFill>
          <bgColor rgb="FFDCFCE7"/>
        </patternFill>
      </fill>
    </dxf>
    <dxf>
      <fill>
        <patternFill>
          <bgColor rgb="FFD1E7DD"/>
        </patternFill>
      </fill>
    </dxf>
    <dxf>
      <fill>
        <patternFill>
          <bgColor rgb="FFFFF3CD"/>
        </patternFill>
      </fill>
    </dxf>
    <dxf>
      <fill>
        <patternFill>
          <bgColor rgb="FFFFE5D0"/>
        </patternFill>
      </fill>
    </dxf>
    <dxf>
      <fill>
        <patternFill>
          <bgColor rgb="FFF8D7DA"/>
        </patternFill>
      </fill>
    </dxf>
    <dxf>
      <font>
        <b/>
        <sz val="10"/>
        <color rgb="FF166534"/>
        <name val="Arial"/>
        <charset val="1"/>
      </font>
      <fill>
        <patternFill>
          <bgColor rgb="FFDCFCE7"/>
        </patternFill>
      </fill>
    </dxf>
    <dxf>
      <font>
        <b/>
        <sz val="10"/>
        <color rgb="FF713F12"/>
        <name val="Arial"/>
        <charset val="1"/>
      </font>
      <fill>
        <patternFill>
          <bgColor rgb="FFFEF3C7"/>
        </patternFill>
      </fill>
    </dxf>
    <dxf>
      <font>
        <b/>
        <sz val="10"/>
        <color rgb="FF9A3412"/>
        <name val="Arial"/>
        <charset val="1"/>
      </font>
      <fill>
        <patternFill>
          <bgColor rgb="FFFED7AA"/>
        </patternFill>
      </fill>
    </dxf>
    <dxf>
      <font>
        <b/>
        <sz val="10"/>
        <color rgb="FF991B1B"/>
        <name val="Arial"/>
        <charset val="1"/>
      </font>
      <fill>
        <patternFill>
          <bgColor rgb="FFFEE2E2"/>
        </patternFill>
      </fill>
    </dxf>
    <dxf>
      <fill>
        <patternFill>
          <bgColor rgb="FFD1E7DD"/>
        </patternFill>
      </fill>
    </dxf>
    <dxf>
      <fill>
        <patternFill>
          <bgColor rgb="FFFFF3CD"/>
        </patternFill>
      </fill>
    </dxf>
    <dxf>
      <fill>
        <patternFill>
          <bgColor rgb="FFFFE5D0"/>
        </patternFill>
      </fill>
    </dxf>
    <dxf>
      <fill>
        <patternFill>
          <bgColor rgb="FFF8D7DA"/>
        </patternFill>
      </fill>
    </dxf>
    <dxf>
      <fill>
        <patternFill>
          <bgColor rgb="FFE9ECEF"/>
        </patternFill>
      </fill>
    </dxf>
    <dxf>
      <fill>
        <patternFill>
          <bgColor rgb="FFF8D7DA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BEB"/>
      <rgbColor rgb="FFFF00FF"/>
      <rgbColor rgb="FF00FFFF"/>
      <rgbColor rgb="FF991B1B"/>
      <rgbColor rgb="FF166534"/>
      <rgbColor rgb="FF000080"/>
      <rgbColor rgb="FF808000"/>
      <rgbColor rgb="FF800080"/>
      <rgbColor rgb="FF008080"/>
      <rgbColor rgb="FFF8D7DA"/>
      <rgbColor rgb="FF4B5563"/>
      <rgbColor rgb="FFEFF6FF"/>
      <rgbColor rgb="FF993366"/>
      <rgbColor rgb="FFFFF3CD"/>
      <rgbColor rgb="FFDCFCE7"/>
      <rgbColor rgb="FF660066"/>
      <rgbColor rgb="FFFEF2F2"/>
      <rgbColor rgb="FF0066CC"/>
      <rgbColor rgb="FFCBD5E1"/>
      <rgbColor rgb="FF000080"/>
      <rgbColor rgb="FFFF00FF"/>
      <rgbColor rgb="FFFFF7ED"/>
      <rgbColor rgb="FF00FFFF"/>
      <rgbColor rgb="FF800080"/>
      <rgbColor rgb="FF800000"/>
      <rgbColor rgb="FF008080"/>
      <rgbColor rgb="FF0000FF"/>
      <rgbColor rgb="FF00CCFF"/>
      <rgbColor rgb="FFDBEAFE"/>
      <rgbColor rgb="FFD1E7DD"/>
      <rgbColor rgb="FFFEF3C7"/>
      <rgbColor rgb="FFE5E7EB"/>
      <rgbColor rgb="FFFEE2E2"/>
      <rgbColor rgb="FFE9ECEF"/>
      <rgbColor rgb="FFFED7AA"/>
      <rgbColor rgb="FF3366FF"/>
      <rgbColor rgb="FF33CCCC"/>
      <rgbColor rgb="FFF0FDF4"/>
      <rgbColor rgb="FFFFE5D0"/>
      <rgbColor rgb="FFF8F9FA"/>
      <rgbColor rgb="FFFF6600"/>
      <rgbColor rgb="FF6B7280"/>
      <rgbColor rgb="FFF3F4F6"/>
      <rgbColor rgb="FF003366"/>
      <rgbColor rgb="FF339966"/>
      <rgbColor rgb="FF003300"/>
      <rgbColor rgb="FF713F12"/>
      <rgbColor rgb="FF9A3412"/>
      <rgbColor rgb="FF993366"/>
      <rgbColor rgb="FF1E40AF"/>
      <rgbColor rgb="FF1A1A2E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DebtTable" displayName="DebtTable" ref="A1:X1000" totalsRowShown="0">
  <autoFilter ref="A1:X1000" xr:uid="{00000000-0009-0000-0100-000002000000}"/>
  <tableColumns count="24">
    <tableColumn id="1" xr3:uid="{00000000-0010-0000-0000-000001000000}" name="Debt ID"/>
    <tableColumn id="2" xr3:uid="{00000000-0010-0000-0000-000002000000}" name="Title"/>
    <tableColumn id="3" xr3:uid="{00000000-0010-0000-0000-000003000000}" name="Description"/>
    <tableColumn id="4" xr3:uid="{00000000-0010-0000-0000-000004000000}" name="Product/Service"/>
    <tableColumn id="5" xr3:uid="{00000000-0010-0000-0000-000005000000}" name="Component/Module"/>
    <tableColumn id="6" xr3:uid="{00000000-0010-0000-0000-000006000000}" name="Debt Type"/>
    <tableColumn id="7" xr3:uid="{00000000-0010-0000-0000-000007000000}" name="Impact Area"/>
    <tableColumn id="8" xr3:uid="{00000000-0010-0000-0000-000008000000}" name="Severity"/>
    <tableColumn id="9" xr3:uid="{00000000-0010-0000-0000-000009000000}" name="Impact"/>
    <tableColumn id="10" xr3:uid="{00000000-0010-0000-0000-00000A000000}" name="Confidence"/>
    <tableColumn id="11" xr3:uid="{00000000-0010-0000-0000-00000B000000}" name="Effort"/>
    <tableColumn id="12" xr3:uid="{00000000-0010-0000-0000-00000C000000}" name="Debt Score"/>
    <tableColumn id="13" xr3:uid="{00000000-0010-0000-0000-00000D000000}" name="Priority"/>
    <tableColumn id="14" xr3:uid="{00000000-0010-0000-0000-00000E000000}" name="Status"/>
    <tableColumn id="15" xr3:uid="{00000000-0010-0000-0000-00000F000000}" name="Owner"/>
    <tableColumn id="16" xr3:uid="{00000000-0010-0000-0000-000010000000}" name="Team"/>
    <tableColumn id="17" xr3:uid="{00000000-0010-0000-0000-000011000000}" name="Date Identified"/>
    <tableColumn id="18" xr3:uid="{00000000-0010-0000-0000-000012000000}" name="Age (days)"/>
    <tableColumn id="19" xr3:uid="{00000000-0010-0000-0000-000013000000}" name="Target Window"/>
    <tableColumn id="20" xr3:uid="{00000000-0010-0000-0000-000014000000}" name="Due Date"/>
    <tableColumn id="21" xr3:uid="{00000000-0010-0000-0000-000015000000}" name="Last Updated"/>
    <tableColumn id="22" xr3:uid="{00000000-0010-0000-0000-000016000000}" name="Dependencies/Related Work"/>
    <tableColumn id="23" xr3:uid="{00000000-0010-0000-0000-000017000000}" name="Link (Jira/Confluence/LeanIX)"/>
    <tableColumn id="24" xr3:uid="{00000000-0010-0000-0000-000018000000}" name="Notes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1000000}" name="RiskTable" displayName="RiskTable" ref="A1:L1000" totalsRowShown="0">
  <autoFilter ref="A1:L1000" xr:uid="{00000000-0009-0000-0100-000003000000}"/>
  <tableColumns count="12">
    <tableColumn id="1" xr3:uid="{00000000-0010-0000-0100-000001000000}" name="Risk ID"/>
    <tableColumn id="2" xr3:uid="{00000000-0010-0000-0100-000002000000}" name="App ID"/>
    <tableColumn id="3" xr3:uid="{00000000-0010-0000-0100-000003000000}" name="Application Name"/>
    <tableColumn id="4" xr3:uid="{00000000-0010-0000-0100-000004000000}" name="Cybersecurity Risk (1-5)"/>
    <tableColumn id="5" xr3:uid="{00000000-0010-0000-0100-000005000000}" name="Compliance Risk (1-5)"/>
    <tableColumn id="6" xr3:uid="{00000000-0010-0000-0100-000006000000}" name="Operational Resilience (1-5)"/>
    <tableColumn id="7" xr3:uid="{00000000-0010-0000-0100-000007000000}" name="Vendor Risk (1-5)"/>
    <tableColumn id="8" xr3:uid="{00000000-0010-0000-0100-000008000000}" name="Knowledge Concentration (1-5)"/>
    <tableColumn id="9" xr3:uid="{00000000-0010-0000-0100-000009000000}" name="Risk Score (R)"/>
    <tableColumn id="10" xr3:uid="{00000000-0010-0000-0100-00000A000000}" name="Owner"/>
    <tableColumn id="11" xr3:uid="{00000000-0010-0000-0100-00000B000000}" name="Last Updated"/>
    <tableColumn id="12" xr3:uid="{00000000-0010-0000-0100-00000C000000}" name="Notes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2000000}" name="APMTable" displayName="APMTable" ref="A1:AQ1000" totalsRowShown="0">
  <autoFilter ref="A1:AQ1000" xr:uid="{00000000-0009-0000-0100-000001000000}"/>
  <tableColumns count="43">
    <tableColumn id="1" xr3:uid="{00000000-0010-0000-0200-000001000000}" name="App ID"/>
    <tableColumn id="2" xr3:uid="{00000000-0010-0000-0200-000002000000}" name="Application Name"/>
    <tableColumn id="3" xr3:uid="{00000000-0010-0000-0200-000003000000}" name="Description"/>
    <tableColumn id="4" xr3:uid="{00000000-0010-0000-0200-000004000000}" name="Product/Service (Capability)"/>
    <tableColumn id="5" xr3:uid="{00000000-0010-0000-0200-000005000000}" name="Business Owner"/>
    <tableColumn id="6" xr3:uid="{00000000-0010-0000-0200-000006000000}" name="IT Owner"/>
    <tableColumn id="7" xr3:uid="{00000000-0010-0000-0200-000007000000}" name="Vendor"/>
    <tableColumn id="8" xr3:uid="{00000000-0010-0000-0200-000008000000}" name="Hosting Model"/>
    <tableColumn id="9" xr3:uid="{00000000-0010-0000-0200-000009000000}" name="Strategic Alignment (1-5)"/>
    <tableColumn id="10" xr3:uid="{00000000-0010-0000-0200-00000A000000}" name="Clinical / Business Criticality (1-5)"/>
    <tableColumn id="11" xr3:uid="{00000000-0010-0000-0200-00000B000000}" name="User Reach &amp; Dependency (1-5)"/>
    <tableColumn id="12" xr3:uid="{00000000-0010-0000-0200-00000C000000}" name="Differentiation (1-5)"/>
    <tableColumn id="13" xr3:uid="{00000000-0010-0000-0200-00000D000000}" name="Regulatory Necessity (1-5)"/>
    <tableColumn id="14" xr3:uid="{00000000-0010-0000-0200-00000E000000}" name="Business Value (BV)"/>
    <tableColumn id="15" xr3:uid="{00000000-0010-0000-0200-00000F000000}" name="Risk Score (R)"/>
    <tableColumn id="16" xr3:uid="{00000000-0010-0000-0200-000010000000}" name="Annual Run Cost (1-5)"/>
    <tableColumn id="17" xr3:uid="{00000000-0010-0000-0200-000011000000}" name="Cost Trend (1-5)"/>
    <tableColumn id="18" xr3:uid="{00000000-0010-0000-0200-000012000000}" name="Cost Transparency (1-5)"/>
    <tableColumn id="19" xr3:uid="{00000000-0010-0000-0200-000013000000}" name="Modernization Cost (1-5)"/>
    <tableColumn id="20" xr3:uid="{00000000-0010-0000-0200-000014000000}" name="Cost Score (C)"/>
    <tableColumn id="21" xr3:uid="{00000000-0010-0000-0200-000015000000}" name="Technology Currency (1-5)"/>
    <tableColumn id="22" xr3:uid="{00000000-0010-0000-0200-000016000000}" name="Architecture Quality (1-5)"/>
    <tableColumn id="23" xr3:uid="{00000000-0010-0000-0200-000017000000}" name="Integration Complexity (1-5)"/>
    <tableColumn id="24" xr3:uid="{00000000-0010-0000-0200-000018000000}" name="Data Architecture Fit (1-5)"/>
    <tableColumn id="25" xr3:uid="{00000000-0010-0000-0200-000019000000}" name="Technical Debt (1-5)"/>
    <tableColumn id="26" xr3:uid="{00000000-0010-0000-0200-00001A000000}" name="Technical Health (TH)"/>
    <tableColumn id="27" xr3:uid="{00000000-0010-0000-0200-00001B000000}" name="Composite Portfolio Score (CPS)"/>
    <tableColumn id="28" xr3:uid="{00000000-0010-0000-0200-00001C000000}" name="TIME Classification"/>
    <tableColumn id="29" xr3:uid="{00000000-0010-0000-0200-00001D000000}" name="Clinical Criticality Flag"/>
    <tableColumn id="30" xr3:uid="{00000000-0010-0000-0200-00001E000000}" name="Compliance Exposure Flag"/>
    <tableColumn id="31" xr3:uid="{00000000-0010-0000-0200-00001F000000}" name="Quadrant (Value vs Risk)"/>
    <tableColumn id="32" xr3:uid="{00000000-0010-0000-0200-000020000000}" name="Notes"/>
    <tableColumn id="33" xr3:uid="{00000000-0010-0000-0200-000021000000}" name="Tier"/>
    <tableColumn id="34" xr3:uid="{00000000-0010-0000-0200-000022000000}" name="Functional Fit"/>
    <tableColumn id="35" xr3:uid="{00000000-0010-0000-0200-000023000000}" name="Technical Fit"/>
    <tableColumn id="36" xr3:uid="{00000000-0010-0000-0200-000024000000}" name="(unused)"/>
    <tableColumn id="37" xr3:uid="{00000000-0010-0000-0200-000025000000}" name="Incidents"/>
    <tableColumn id="38" xr3:uid="{00000000-0010-0000-0200-000026000000}" name="Solution Type"/>
    <tableColumn id="39" xr3:uid="{00000000-0010-0000-0200-000027000000}" name="AppRat Phase"/>
    <tableColumn id="40" xr3:uid="{00000000-0010-0000-0200-000028000000}" name="AppRat Confidence"/>
    <tableColumn id="41" xr3:uid="{00000000-0010-0000-0200-000029000000}" name="AppRat Effort"/>
    <tableColumn id="42" xr3:uid="{00000000-0010-0000-0200-00002A000000}" name="Budget"/>
    <tableColumn id="43" xr3:uid="{00000000-0010-0000-0200-00002B000000}" name="Total Annual Cost ($)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45"/>
  <sheetViews>
    <sheetView showGridLines="0" tabSelected="1" zoomScaleNormal="100" workbookViewId="0">
      <pane ySplit="3" topLeftCell="A4" activePane="bottomLeft" state="frozen"/>
      <selection pane="bottomLeft" activeCell="K20" sqref="K20"/>
    </sheetView>
  </sheetViews>
  <sheetFormatPr baseColWidth="10" defaultColWidth="8.83203125" defaultRowHeight="15" x14ac:dyDescent="0.2"/>
  <cols>
    <col min="1" max="1" width="26" customWidth="1"/>
    <col min="2" max="2" width="23.83203125" customWidth="1"/>
    <col min="3" max="4" width="4" customWidth="1"/>
    <col min="5" max="5" width="26" customWidth="1"/>
    <col min="6" max="6" width="14" customWidth="1"/>
    <col min="7" max="8" width="4" customWidth="1"/>
  </cols>
  <sheetData>
    <row r="1" spans="1:8" ht="31.5" customHeight="1" x14ac:dyDescent="0.2">
      <c r="A1" s="8" t="s">
        <v>0</v>
      </c>
      <c r="B1" s="8"/>
      <c r="C1" s="8"/>
      <c r="D1" s="8"/>
      <c r="E1" s="8"/>
      <c r="F1" s="8"/>
      <c r="G1" s="8"/>
      <c r="H1" s="8"/>
    </row>
    <row r="2" spans="1:8" ht="19.5" customHeight="1" x14ac:dyDescent="0.2">
      <c r="A2" s="7" t="s">
        <v>1</v>
      </c>
      <c r="B2" s="7"/>
      <c r="C2" s="7"/>
      <c r="D2" s="7"/>
      <c r="E2" s="7"/>
      <c r="F2" s="7"/>
      <c r="G2" s="7"/>
      <c r="H2" s="7"/>
    </row>
    <row r="3" spans="1:8" ht="18" customHeight="1" x14ac:dyDescent="0.2">
      <c r="A3" s="6" t="s">
        <v>2</v>
      </c>
      <c r="B3" s="6"/>
      <c r="C3" s="6"/>
      <c r="D3" s="6"/>
      <c r="E3" s="6"/>
      <c r="F3" s="6"/>
      <c r="G3" s="6"/>
      <c r="H3" s="6"/>
    </row>
    <row r="4" spans="1:8" x14ac:dyDescent="0.2">
      <c r="A4" s="9"/>
      <c r="B4" s="9"/>
      <c r="C4" s="9"/>
      <c r="D4" s="9"/>
      <c r="E4" s="9"/>
      <c r="F4" s="9"/>
      <c r="G4" s="9"/>
      <c r="H4" s="9"/>
    </row>
    <row r="5" spans="1:8" ht="24" customHeight="1" x14ac:dyDescent="0.2">
      <c r="A5" s="5" t="s">
        <v>3</v>
      </c>
      <c r="B5" s="5"/>
      <c r="C5" s="9"/>
      <c r="D5" s="9"/>
      <c r="E5" s="5" t="s">
        <v>4</v>
      </c>
      <c r="F5" s="5"/>
      <c r="G5" s="9"/>
      <c r="H5" s="9"/>
    </row>
    <row r="6" spans="1:8" ht="21.75" customHeight="1" x14ac:dyDescent="0.2">
      <c r="A6" s="10" t="s">
        <v>5</v>
      </c>
      <c r="B6" s="11">
        <f>COUNTA('Debt Backlog'!B2:B1000)</f>
        <v>7</v>
      </c>
      <c r="C6" s="9"/>
      <c r="D6" s="9"/>
      <c r="E6" s="10" t="s">
        <v>6</v>
      </c>
      <c r="F6" s="12">
        <f>COUNTIFS('Debt Backlog'!B2:B1000,"&lt;&gt;",'Debt Backlog'!H2:H1000,"Critical",'Debt Backlog'!N2:N1000,"&lt;&gt;Done",'Debt Backlog'!N2:N1000,"&lt;&gt;Won't Fix",'Debt Backlog'!N2:N1000,"&lt;&gt;Duplicate")</f>
        <v>1</v>
      </c>
      <c r="G6" s="9"/>
      <c r="H6" s="9"/>
    </row>
    <row r="7" spans="1:8" ht="21.75" customHeight="1" x14ac:dyDescent="0.2">
      <c r="A7" s="10" t="s">
        <v>7</v>
      </c>
      <c r="B7" s="11">
        <f>COUNTIFS('Debt Backlog'!B2:B1000,"&lt;&gt;",'Debt Backlog'!N2:N1000,"&lt;&gt;Done",'Debt Backlog'!N2:N1000,"&lt;&gt;Won't Fix",'Debt Backlog'!N2:N1000,"&lt;&gt;Duplicate")</f>
        <v>7</v>
      </c>
      <c r="C7" s="9"/>
      <c r="D7" s="9"/>
      <c r="E7" s="10" t="s">
        <v>8</v>
      </c>
      <c r="F7" s="13">
        <f>COUNTIFS('Debt Backlog'!B2:B1000,"&lt;&gt;",'Debt Backlog'!H2:H1000,"High",'Debt Backlog'!N2:N1000,"&lt;&gt;Done",'Debt Backlog'!N2:N1000,"&lt;&gt;Won't Fix",'Debt Backlog'!N2:N1000,"&lt;&gt;Duplicate")</f>
        <v>3</v>
      </c>
      <c r="G7" s="9"/>
      <c r="H7" s="9"/>
    </row>
    <row r="8" spans="1:8" ht="21.75" customHeight="1" x14ac:dyDescent="0.2">
      <c r="A8" s="10" t="s">
        <v>9</v>
      </c>
      <c r="B8" s="11">
        <f ca="1">COUNTIFS('Debt Backlog'!B2:B1000,"&lt;&gt;",'Debt Backlog'!T2:T1000,"&lt;"&amp;TODAY(),'Debt Backlog'!N2:N1000,"&lt;&gt;Done",'Debt Backlog'!N2:N1000,"&lt;&gt;Won't Fix",'Debt Backlog'!N2:N1000,"&lt;&gt;Duplicate")</f>
        <v>0</v>
      </c>
      <c r="C8" s="9"/>
      <c r="D8" s="9"/>
      <c r="E8" s="10" t="s">
        <v>10</v>
      </c>
      <c r="F8" s="14">
        <f>COUNTIFS('Debt Backlog'!B2:B1000,"&lt;&gt;",'Debt Backlog'!H2:H1000,"Medium",'Debt Backlog'!N2:N1000,"&lt;&gt;Done",'Debt Backlog'!N2:N1000,"&lt;&gt;Won't Fix",'Debt Backlog'!N2:N1000,"&lt;&gt;Duplicate")</f>
        <v>2</v>
      </c>
      <c r="G8" s="9"/>
      <c r="H8" s="9"/>
    </row>
    <row r="9" spans="1:8" ht="21.75" customHeight="1" x14ac:dyDescent="0.2">
      <c r="A9" s="10" t="s">
        <v>11</v>
      </c>
      <c r="B9" s="11">
        <f>COUNTIFS('Debt Backlog'!B2:B1000,"&lt;&gt;",'Debt Backlog'!N2:N1000,"Done")</f>
        <v>0</v>
      </c>
      <c r="C9" s="9"/>
      <c r="D9" s="9"/>
      <c r="E9" s="10" t="s">
        <v>12</v>
      </c>
      <c r="F9" s="15">
        <f>COUNTIFS('Debt Backlog'!B2:B1000,"&lt;&gt;",'Debt Backlog'!H2:H1000,"Low",'Debt Backlog'!N2:N1000,"&lt;&gt;Done",'Debt Backlog'!N2:N1000,"&lt;&gt;Won't Fix",'Debt Backlog'!N2:N1000,"&lt;&gt;Duplicate")</f>
        <v>1</v>
      </c>
      <c r="G9" s="9"/>
      <c r="H9" s="9"/>
    </row>
    <row r="10" spans="1:8" x14ac:dyDescent="0.2">
      <c r="A10" s="9"/>
      <c r="B10" s="9"/>
      <c r="C10" s="9"/>
      <c r="D10" s="9"/>
      <c r="E10" s="9"/>
      <c r="F10" s="9"/>
      <c r="G10" s="9"/>
      <c r="H10" s="9"/>
    </row>
    <row r="11" spans="1:8" ht="21.75" customHeight="1" x14ac:dyDescent="0.2">
      <c r="A11" s="4" t="s">
        <v>13</v>
      </c>
      <c r="B11" s="4"/>
      <c r="C11" s="9"/>
      <c r="D11" s="9"/>
      <c r="E11" s="4" t="s">
        <v>14</v>
      </c>
      <c r="F11" s="4"/>
      <c r="G11" s="9"/>
      <c r="H11" s="9"/>
    </row>
    <row r="12" spans="1:8" x14ac:dyDescent="0.2">
      <c r="A12" s="16" t="s">
        <v>15</v>
      </c>
      <c r="B12" s="16" t="s">
        <v>16</v>
      </c>
      <c r="C12" s="9"/>
      <c r="D12" s="9"/>
      <c r="E12" s="16" t="s">
        <v>17</v>
      </c>
      <c r="F12" s="16" t="s">
        <v>16</v>
      </c>
      <c r="G12" s="9"/>
      <c r="H12" s="9"/>
    </row>
    <row r="13" spans="1:8" ht="19.5" customHeight="1" x14ac:dyDescent="0.2">
      <c r="A13" s="17" t="s">
        <v>18</v>
      </c>
      <c r="B13" s="18">
        <f>COUNTIFS('Debt Backlog'!B$2:B$1000,"&lt;&gt;",'Debt Backlog'!N$2:N$1000,A13)</f>
        <v>2</v>
      </c>
      <c r="C13" s="9"/>
      <c r="D13" s="9"/>
      <c r="E13" s="19" t="s">
        <v>19</v>
      </c>
      <c r="F13" s="20">
        <f>COUNTIFS('Debt Backlog'!B$2:B$1000,"&lt;&gt;",'Debt Backlog'!H$2:H$1000,E13,'Debt Backlog'!N$2:N$1000,"&lt;&gt;Done",'Debt Backlog'!N$2:N$1000,"&lt;&gt;Won't Fix",'Debt Backlog'!N$2:N$1000,"&lt;&gt;Duplicate")</f>
        <v>1</v>
      </c>
      <c r="G13" s="9"/>
      <c r="H13" s="9"/>
    </row>
    <row r="14" spans="1:8" ht="19.5" customHeight="1" x14ac:dyDescent="0.2">
      <c r="A14" s="21" t="s">
        <v>20</v>
      </c>
      <c r="B14" s="22">
        <f>COUNTIFS('Debt Backlog'!B$2:B$1000,"&lt;&gt;",'Debt Backlog'!N$2:N$1000,A14)</f>
        <v>1</v>
      </c>
      <c r="C14" s="9"/>
      <c r="D14" s="9"/>
      <c r="E14" s="23" t="s">
        <v>21</v>
      </c>
      <c r="F14" s="24">
        <f>COUNTIFS('Debt Backlog'!B$2:B$1000,"&lt;&gt;",'Debt Backlog'!H$2:H$1000,E14,'Debt Backlog'!N$2:N$1000,"&lt;&gt;Done",'Debt Backlog'!N$2:N$1000,"&lt;&gt;Won't Fix",'Debt Backlog'!N$2:N$1000,"&lt;&gt;Duplicate")</f>
        <v>3</v>
      </c>
      <c r="G14" s="9"/>
      <c r="H14" s="9"/>
    </row>
    <row r="15" spans="1:8" ht="19.5" customHeight="1" x14ac:dyDescent="0.2">
      <c r="A15" s="17" t="s">
        <v>22</v>
      </c>
      <c r="B15" s="18">
        <f>COUNTIFS('Debt Backlog'!B$2:B$1000,"&lt;&gt;",'Debt Backlog'!N$2:N$1000,A15)</f>
        <v>2</v>
      </c>
      <c r="C15" s="9"/>
      <c r="D15" s="9"/>
      <c r="E15" s="25" t="s">
        <v>23</v>
      </c>
      <c r="F15" s="26">
        <f>COUNTIFS('Debt Backlog'!B$2:B$1000,"&lt;&gt;",'Debt Backlog'!H$2:H$1000,E15,'Debt Backlog'!N$2:N$1000,"&lt;&gt;Done",'Debt Backlog'!N$2:N$1000,"&lt;&gt;Won't Fix",'Debt Backlog'!N$2:N$1000,"&lt;&gt;Duplicate")</f>
        <v>2</v>
      </c>
      <c r="G15" s="9"/>
      <c r="H15" s="9"/>
    </row>
    <row r="16" spans="1:8" ht="19.5" customHeight="1" x14ac:dyDescent="0.2">
      <c r="A16" s="21" t="s">
        <v>24</v>
      </c>
      <c r="B16" s="22">
        <f>COUNTIFS('Debt Backlog'!B$2:B$1000,"&lt;&gt;",'Debt Backlog'!N$2:N$1000,A16)</f>
        <v>2</v>
      </c>
      <c r="C16" s="9"/>
      <c r="D16" s="9"/>
      <c r="E16" s="27" t="s">
        <v>25</v>
      </c>
      <c r="F16" s="28">
        <f>COUNTIFS('Debt Backlog'!B$2:B$1000,"&lt;&gt;",'Debt Backlog'!H$2:H$1000,E16,'Debt Backlog'!N$2:N$1000,"&lt;&gt;Done",'Debt Backlog'!N$2:N$1000,"&lt;&gt;Won't Fix",'Debt Backlog'!N$2:N$1000,"&lt;&gt;Duplicate")</f>
        <v>1</v>
      </c>
      <c r="G16" s="9"/>
      <c r="H16" s="9"/>
    </row>
    <row r="17" spans="1:8" ht="19.5" customHeight="1" x14ac:dyDescent="0.2">
      <c r="A17" s="17" t="s">
        <v>26</v>
      </c>
      <c r="B17" s="18">
        <f>COUNTIFS('Debt Backlog'!B$2:B$1000,"&lt;&gt;",'Debt Backlog'!N$2:N$1000,A17)</f>
        <v>0</v>
      </c>
      <c r="C17" s="9"/>
      <c r="D17" s="9"/>
      <c r="E17" s="9"/>
      <c r="F17" s="9"/>
      <c r="G17" s="9"/>
      <c r="H17" s="9"/>
    </row>
    <row r="18" spans="1:8" ht="19.5" customHeight="1" x14ac:dyDescent="0.2">
      <c r="A18" s="21" t="s">
        <v>27</v>
      </c>
      <c r="B18" s="22">
        <f>COUNTIFS('Debt Backlog'!B$2:B$1000,"&lt;&gt;",'Debt Backlog'!N$2:N$1000,A18)</f>
        <v>0</v>
      </c>
      <c r="C18" s="9"/>
      <c r="D18" s="9"/>
      <c r="E18" s="9"/>
      <c r="F18" s="9"/>
      <c r="G18" s="9"/>
      <c r="H18" s="9"/>
    </row>
    <row r="19" spans="1:8" ht="19.5" customHeight="1" x14ac:dyDescent="0.2">
      <c r="A19" s="17" t="s">
        <v>28</v>
      </c>
      <c r="B19" s="18">
        <f>COUNTIFS('Debt Backlog'!B$2:B$1000,"&lt;&gt;",'Debt Backlog'!N$2:N$1000,A19)</f>
        <v>0</v>
      </c>
      <c r="C19" s="9"/>
      <c r="D19" s="9"/>
      <c r="E19" s="9"/>
      <c r="F19" s="9"/>
      <c r="G19" s="9"/>
      <c r="H19" s="9"/>
    </row>
    <row r="20" spans="1:8" ht="19.5" customHeight="1" x14ac:dyDescent="0.2">
      <c r="A20" s="21" t="s">
        <v>29</v>
      </c>
      <c r="B20" s="22">
        <f>COUNTIFS('Debt Backlog'!B$2:B$1000,"&lt;&gt;",'Debt Backlog'!N$2:N$1000,A20)</f>
        <v>0</v>
      </c>
      <c r="C20" s="9"/>
      <c r="D20" s="9"/>
      <c r="E20" s="9"/>
      <c r="F20" s="9"/>
      <c r="G20" s="9"/>
      <c r="H20" s="9"/>
    </row>
    <row r="21" spans="1:8" x14ac:dyDescent="0.2">
      <c r="A21" s="9"/>
      <c r="B21" s="9"/>
      <c r="C21" s="9"/>
      <c r="D21" s="9"/>
      <c r="E21" s="9"/>
      <c r="F21" s="9"/>
      <c r="G21" s="9"/>
      <c r="H21" s="9"/>
    </row>
    <row r="22" spans="1:8" ht="21.75" customHeight="1" x14ac:dyDescent="0.2">
      <c r="A22" s="5" t="s">
        <v>30</v>
      </c>
      <c r="B22" s="5"/>
      <c r="E22" s="5" t="s">
        <v>31</v>
      </c>
      <c r="F22" s="5"/>
    </row>
    <row r="23" spans="1:8" ht="21.75" customHeight="1" x14ac:dyDescent="0.2">
      <c r="A23" s="29" t="s">
        <v>32</v>
      </c>
      <c r="B23" s="30">
        <f>SUMIFS('Debt Backlog'!Y2:Y1000,'Debt Backlog'!B2:B1000,"&lt;&gt;",'Debt Backlog'!N2:N1000,"&lt;&gt;Done",'Debt Backlog'!N2:N1000,"&lt;&gt;Won't Fix",'Debt Backlog'!N2:N1000,"&lt;&gt;Duplicate")</f>
        <v>0</v>
      </c>
      <c r="E23" s="31" t="s">
        <v>33</v>
      </c>
      <c r="F23" s="30">
        <f>SUMIFS('Debt Backlog'!Y2:Y1000,'Debt Backlog'!B2:B1000,"&lt;&gt;",'Debt Backlog'!AB2:AB1000,"High",'Debt Backlog'!N2:N1000,"&lt;&gt;Done",'Debt Backlog'!N2:N1000,"&lt;&gt;Won't Fix",'Debt Backlog'!N2:N1000,"&lt;&gt;Duplicate")</f>
        <v>0</v>
      </c>
    </row>
    <row r="24" spans="1:8" ht="15" customHeight="1" x14ac:dyDescent="0.2">
      <c r="A24" s="31" t="s">
        <v>34</v>
      </c>
      <c r="B24" s="30">
        <f>SUMIFS('Debt Backlog'!Z2:Z1000,'Debt Backlog'!B2:B1000,"&lt;&gt;",'Debt Backlog'!N2:N1000,"&lt;&gt;Done",'Debt Backlog'!N2:N1000,"&lt;&gt;Won't Fix",'Debt Backlog'!N2:N1000,"&lt;&gt;Duplicate")</f>
        <v>0</v>
      </c>
      <c r="E24" s="31" t="s">
        <v>35</v>
      </c>
      <c r="F24" s="30">
        <f>SUMIFS('Debt Backlog'!Y2:Y1000,'Debt Backlog'!B2:B1000,"&lt;&gt;",'Debt Backlog'!AB2:AB1000,"Medium",'Debt Backlog'!N2:N1000,"&lt;&gt;Done",'Debt Backlog'!N2:N1000,"&lt;&gt;Won't Fix",'Debt Backlog'!N2:N1000,"&lt;&gt;Duplicate")</f>
        <v>0</v>
      </c>
    </row>
    <row r="25" spans="1:8" ht="16" x14ac:dyDescent="0.2">
      <c r="A25" s="31" t="s">
        <v>36</v>
      </c>
      <c r="B25" s="30">
        <f>SUMIFS('Debt Backlog'!AA2:AA1000,'Debt Backlog'!B2:B1000,"&lt;&gt;",'Debt Backlog'!N2:N1000,"&lt;&gt;Done",'Debt Backlog'!N2:N1000,"&lt;&gt;Won't Fix",'Debt Backlog'!N2:N1000,"&lt;&gt;Duplicate")</f>
        <v>0</v>
      </c>
      <c r="C25" s="9"/>
      <c r="D25" s="9"/>
      <c r="E25" s="31" t="s">
        <v>37</v>
      </c>
      <c r="F25" s="30">
        <f>SUMIFS('Debt Backlog'!Y2:Y1000,'Debt Backlog'!B2:B1000,"&lt;&gt;",'Debt Backlog'!AB2:AB1000,"Low",'Debt Backlog'!N2:N1000,"&lt;&gt;Done",'Debt Backlog'!N2:N1000,"&lt;&gt;Won't Fix",'Debt Backlog'!N2:N1000,"&lt;&gt;Duplicate")</f>
        <v>0</v>
      </c>
      <c r="G25" s="9"/>
      <c r="H25" s="9"/>
    </row>
    <row r="26" spans="1:8" ht="24" customHeight="1" x14ac:dyDescent="0.2">
      <c r="A26" s="5" t="s">
        <v>38</v>
      </c>
      <c r="B26" s="5"/>
      <c r="C26" s="9"/>
      <c r="D26" s="9"/>
      <c r="E26" s="5" t="s">
        <v>39</v>
      </c>
      <c r="F26" s="5"/>
      <c r="G26" s="9"/>
      <c r="H26" s="9"/>
    </row>
    <row r="27" spans="1:8" ht="21.75" customHeight="1" x14ac:dyDescent="0.2">
      <c r="A27" s="32" t="s">
        <v>40</v>
      </c>
      <c r="B27" s="11">
        <f>COUNTA('Application Portfolio'!B2:B1000)</f>
        <v>7</v>
      </c>
      <c r="C27" s="9"/>
      <c r="D27" s="9"/>
      <c r="E27" s="10" t="s">
        <v>41</v>
      </c>
      <c r="F27" s="33">
        <f>IFERROR(AVERAGE('Application Portfolio'!AA2:AA1000),"")</f>
        <v>-2.8571428571428588E-2</v>
      </c>
      <c r="G27" s="9"/>
      <c r="H27" s="9"/>
    </row>
    <row r="28" spans="1:8" ht="21.75" customHeight="1" x14ac:dyDescent="0.2">
      <c r="A28" s="34" t="s">
        <v>42</v>
      </c>
      <c r="B28" s="35">
        <f>COUNTIFS('Application Portfolio'!B2:B1000,"&lt;&gt;",'Application Portfolio'!AB2:AB1000,"Invest")</f>
        <v>2</v>
      </c>
      <c r="C28" s="9"/>
      <c r="D28" s="9"/>
      <c r="E28" s="10" t="s">
        <v>43</v>
      </c>
      <c r="F28" s="11">
        <f>COUNTIFS('Application Portfolio'!B2:B1000,"&lt;&gt;",'Application Portfolio'!O2:O1000,"&gt;=3.5")</f>
        <v>2</v>
      </c>
      <c r="G28" s="9"/>
      <c r="H28" s="9"/>
    </row>
    <row r="29" spans="1:8" ht="21.75" customHeight="1" x14ac:dyDescent="0.2">
      <c r="A29" s="36" t="s">
        <v>44</v>
      </c>
      <c r="B29" s="11">
        <f>COUNTIFS('Application Portfolio'!B2:B1000,"&lt;&gt;",'Application Portfolio'!AB2:AB1000,"Tolerate")</f>
        <v>1</v>
      </c>
      <c r="C29" s="9"/>
      <c r="D29" s="9"/>
      <c r="E29" s="10" t="s">
        <v>45</v>
      </c>
      <c r="F29" s="11">
        <f>COUNTIFS('Application Portfolio'!B2:B1000,"&lt;&gt;",'Application Portfolio'!N2:N1000,"&gt;=3.5")</f>
        <v>4</v>
      </c>
      <c r="G29" s="9"/>
      <c r="H29" s="9"/>
    </row>
    <row r="30" spans="1:8" ht="21.75" customHeight="1" x14ac:dyDescent="0.2">
      <c r="A30" s="37" t="s">
        <v>46</v>
      </c>
      <c r="B30" s="38">
        <f>COUNTIFS('Application Portfolio'!B2:B1000,"&lt;&gt;",'Application Portfolio'!AB2:AB1000,"Migrate")</f>
        <v>3</v>
      </c>
      <c r="C30" s="9"/>
      <c r="D30" s="9"/>
      <c r="E30" s="10" t="s">
        <v>47</v>
      </c>
      <c r="F30" s="11">
        <f>COUNTIFS('Application Portfolio'!B2:B1000,"&lt;&gt;",'Application Portfolio'!Z2:Z1000,"&lt;2.5")</f>
        <v>3</v>
      </c>
      <c r="G30" s="9"/>
      <c r="H30" s="9"/>
    </row>
    <row r="31" spans="1:8" ht="21.75" customHeight="1" x14ac:dyDescent="0.2">
      <c r="A31" s="39" t="s">
        <v>48</v>
      </c>
      <c r="B31" s="40">
        <f>COUNTIFS('Application Portfolio'!B2:B1000,"&lt;&gt;",'Application Portfolio'!AB2:AB1000,"Eliminate")</f>
        <v>1</v>
      </c>
      <c r="C31" s="9"/>
      <c r="D31" s="9"/>
      <c r="E31" s="10" t="s">
        <v>49</v>
      </c>
      <c r="F31" s="11">
        <f>COUNTIFS('Application Portfolio'!B2:B1000,"&lt;&gt;",'Application Portfolio'!T2:T1000,"&gt;=3.5")</f>
        <v>3</v>
      </c>
      <c r="G31" s="9"/>
      <c r="H31" s="9"/>
    </row>
    <row r="32" spans="1:8" x14ac:dyDescent="0.2">
      <c r="A32" s="9"/>
      <c r="B32" s="9"/>
      <c r="C32" s="9"/>
      <c r="D32" s="9"/>
      <c r="E32" s="9"/>
      <c r="F32" s="9"/>
      <c r="G32" s="9"/>
      <c r="H32" s="9"/>
    </row>
    <row r="33" spans="1:8" ht="21.75" customHeight="1" x14ac:dyDescent="0.2">
      <c r="A33" s="4" t="s">
        <v>50</v>
      </c>
      <c r="B33" s="4"/>
      <c r="C33" s="9"/>
      <c r="D33" s="9"/>
      <c r="E33" s="4" t="s">
        <v>51</v>
      </c>
      <c r="F33" s="4"/>
      <c r="G33" s="9"/>
      <c r="H33" s="9"/>
    </row>
    <row r="34" spans="1:8" x14ac:dyDescent="0.2">
      <c r="A34" s="16" t="s">
        <v>52</v>
      </c>
      <c r="B34" s="16" t="s">
        <v>16</v>
      </c>
      <c r="C34" s="9"/>
      <c r="D34" s="9"/>
      <c r="E34" s="16" t="s">
        <v>53</v>
      </c>
      <c r="F34" s="16" t="s">
        <v>16</v>
      </c>
      <c r="G34" s="9"/>
      <c r="H34" s="9"/>
    </row>
    <row r="35" spans="1:8" x14ac:dyDescent="0.2">
      <c r="A35" s="41" t="s">
        <v>54</v>
      </c>
      <c r="B35" s="42">
        <f>COUNTIFS('Application Portfolio'!B$2:B$1000,"&lt;&gt;",'Application Portfolio'!AB$2:AB$1000,A35)</f>
        <v>2</v>
      </c>
      <c r="C35" s="9"/>
      <c r="D35" s="9"/>
      <c r="E35" s="19" t="s">
        <v>55</v>
      </c>
      <c r="F35" s="43">
        <f>COUNTIFS('Application Portfolio'!B$2:B$1000,"&lt;&gt;",'Application Portfolio'!O$2:O$1000,"&gt;=4")</f>
        <v>2</v>
      </c>
      <c r="G35" s="9"/>
      <c r="H35" s="9"/>
    </row>
    <row r="36" spans="1:8" x14ac:dyDescent="0.2">
      <c r="A36" s="44" t="s">
        <v>56</v>
      </c>
      <c r="B36" s="45">
        <f>COUNTIFS('Application Portfolio'!B$2:B$1000,"&lt;&gt;",'Application Portfolio'!AB$2:AB$1000,A36)</f>
        <v>1</v>
      </c>
      <c r="C36" s="9"/>
      <c r="D36" s="9"/>
      <c r="E36" s="23" t="s">
        <v>57</v>
      </c>
      <c r="F36" s="46">
        <f>COUNTIFS('Application Portfolio'!B$2:B$1000,"&lt;&gt;",'Application Portfolio'!O$2:O$1000,"&gt;=3",'Application Portfolio'!O$2:O$1000,"&lt;4")</f>
        <v>3</v>
      </c>
      <c r="G36" s="9"/>
      <c r="H36" s="9"/>
    </row>
    <row r="37" spans="1:8" x14ac:dyDescent="0.2">
      <c r="A37" s="47" t="s">
        <v>58</v>
      </c>
      <c r="B37" s="48">
        <f>COUNTIFS('Application Portfolio'!B$2:B$1000,"&lt;&gt;",'Application Portfolio'!AB$2:AB$1000,A37)</f>
        <v>3</v>
      </c>
      <c r="C37" s="9"/>
      <c r="D37" s="9"/>
      <c r="E37" s="25" t="s">
        <v>59</v>
      </c>
      <c r="F37" s="49">
        <f>COUNTIFS('Application Portfolio'!B$2:B$1000,"&lt;&gt;",'Application Portfolio'!O$2:O$1000,"&gt;=2",'Application Portfolio'!O$2:O$1000,"&lt;3")</f>
        <v>2</v>
      </c>
      <c r="G37" s="9"/>
      <c r="H37" s="9"/>
    </row>
    <row r="38" spans="1:8" x14ac:dyDescent="0.2">
      <c r="A38" s="50" t="s">
        <v>60</v>
      </c>
      <c r="B38" s="51">
        <f>COUNTIFS('Application Portfolio'!B$2:B$1000,"&lt;&gt;",'Application Portfolio'!AB$2:AB$1000,A38)</f>
        <v>1</v>
      </c>
      <c r="C38" s="9"/>
      <c r="D38" s="9"/>
      <c r="E38" s="27" t="s">
        <v>61</v>
      </c>
      <c r="F38" s="52">
        <f>COUNTIFS('Application Portfolio'!B$2:B$1000,"&lt;&gt;",'Application Portfolio'!O$2:O$1000,"&lt;2",'Application Portfolio'!O$2:O$1000,"&gt;0")</f>
        <v>0</v>
      </c>
      <c r="G38" s="9"/>
      <c r="H38" s="9"/>
    </row>
    <row r="39" spans="1:8" x14ac:dyDescent="0.2">
      <c r="A39" s="9"/>
      <c r="B39" s="9"/>
      <c r="C39" s="9"/>
      <c r="D39" s="9"/>
      <c r="E39" s="9"/>
      <c r="F39" s="9"/>
      <c r="G39" s="9"/>
      <c r="H39" s="9"/>
    </row>
    <row r="40" spans="1:8" ht="21.75" customHeight="1" x14ac:dyDescent="0.2">
      <c r="A40" s="4" t="s">
        <v>62</v>
      </c>
      <c r="B40" s="4"/>
      <c r="C40" s="4"/>
      <c r="D40" s="4"/>
      <c r="E40" s="4"/>
      <c r="F40" s="4"/>
      <c r="G40" s="4"/>
      <c r="H40" s="4"/>
    </row>
    <row r="41" spans="1:8" x14ac:dyDescent="0.2">
      <c r="A41" s="3" t="s">
        <v>63</v>
      </c>
      <c r="B41" s="3"/>
      <c r="C41" s="3"/>
      <c r="D41" s="3"/>
      <c r="E41" s="3"/>
      <c r="F41" s="3"/>
      <c r="G41" s="3"/>
      <c r="H41" s="3"/>
    </row>
    <row r="42" spans="1:8" ht="19.5" customHeight="1" x14ac:dyDescent="0.2">
      <c r="A42" s="2" t="s">
        <v>64</v>
      </c>
      <c r="B42" s="2"/>
      <c r="C42" s="2"/>
      <c r="D42" s="2"/>
      <c r="E42" s="2"/>
      <c r="F42" s="2"/>
      <c r="G42" s="2"/>
      <c r="H42" s="2"/>
    </row>
    <row r="43" spans="1:8" x14ac:dyDescent="0.2">
      <c r="A43" s="1" t="s">
        <v>65</v>
      </c>
      <c r="B43" s="1"/>
      <c r="C43" s="1"/>
      <c r="D43" s="1"/>
      <c r="E43" s="1"/>
      <c r="F43" s="1"/>
      <c r="G43" s="1"/>
      <c r="H43" s="1"/>
    </row>
    <row r="44" spans="1:8" x14ac:dyDescent="0.2">
      <c r="A44" s="9"/>
      <c r="B44" s="9"/>
      <c r="C44" s="9"/>
      <c r="D44" s="9"/>
      <c r="E44" s="9"/>
      <c r="F44" s="9"/>
      <c r="G44" s="9"/>
      <c r="H44" s="9"/>
    </row>
    <row r="45" spans="1:8" x14ac:dyDescent="0.2">
      <c r="A45" s="9"/>
      <c r="B45" s="9"/>
      <c r="C45" s="9"/>
      <c r="D45" s="9"/>
      <c r="E45" s="9"/>
      <c r="F45" s="9"/>
      <c r="G45" s="9"/>
      <c r="H45" s="9"/>
    </row>
  </sheetData>
  <mergeCells count="17">
    <mergeCell ref="A43:H43"/>
    <mergeCell ref="A33:B33"/>
    <mergeCell ref="E33:F33"/>
    <mergeCell ref="A40:H40"/>
    <mergeCell ref="A41:H41"/>
    <mergeCell ref="A42:H42"/>
    <mergeCell ref="A11:B11"/>
    <mergeCell ref="E11:F11"/>
    <mergeCell ref="A22:B22"/>
    <mergeCell ref="E22:F22"/>
    <mergeCell ref="A26:B26"/>
    <mergeCell ref="E26:F26"/>
    <mergeCell ref="A1:H1"/>
    <mergeCell ref="A2:H2"/>
    <mergeCell ref="A3:H3"/>
    <mergeCell ref="A5:B5"/>
    <mergeCell ref="E5:F5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1000"/>
  <sheetViews>
    <sheetView showGridLines="0" zoomScaleNormal="10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A2" sqref="A2"/>
    </sheetView>
  </sheetViews>
  <sheetFormatPr baseColWidth="10" defaultColWidth="8.83203125" defaultRowHeight="15" x14ac:dyDescent="0.2"/>
  <cols>
    <col min="1" max="1" width="10" customWidth="1"/>
    <col min="2" max="2" width="28" customWidth="1"/>
    <col min="3" max="3" width="40" customWidth="1"/>
    <col min="4" max="5" width="18" customWidth="1"/>
    <col min="6" max="6" width="16" customWidth="1"/>
    <col min="7" max="7" width="14" customWidth="1"/>
    <col min="8" max="10" width="10" customWidth="1"/>
    <col min="11" max="11" width="8" customWidth="1"/>
    <col min="12" max="12" width="10" customWidth="1"/>
    <col min="13" max="13" width="8" customWidth="1"/>
    <col min="14" max="14" width="12" customWidth="1"/>
    <col min="15" max="15" width="16" customWidth="1"/>
    <col min="16" max="16" width="14" customWidth="1"/>
    <col min="17" max="17" width="12" customWidth="1"/>
    <col min="18" max="18" width="10" customWidth="1"/>
    <col min="19" max="19" width="14" customWidth="1"/>
    <col min="20" max="21" width="12" customWidth="1"/>
    <col min="22" max="22" width="22" customWidth="1"/>
    <col min="23" max="23" width="24" customWidth="1"/>
    <col min="24" max="24" width="30" customWidth="1"/>
    <col min="25" max="27" width="22" customWidth="1"/>
    <col min="28" max="28" width="18" customWidth="1"/>
  </cols>
  <sheetData>
    <row r="1" spans="1:28" ht="30" customHeight="1" x14ac:dyDescent="0.2">
      <c r="A1" s="16" t="s">
        <v>66</v>
      </c>
      <c r="B1" s="16" t="s">
        <v>67</v>
      </c>
      <c r="C1" s="16" t="s">
        <v>68</v>
      </c>
      <c r="D1" s="16" t="s">
        <v>69</v>
      </c>
      <c r="E1" s="16" t="s">
        <v>70</v>
      </c>
      <c r="F1" s="16" t="s">
        <v>71</v>
      </c>
      <c r="G1" s="16" t="s">
        <v>72</v>
      </c>
      <c r="H1" s="16" t="s">
        <v>17</v>
      </c>
      <c r="I1" s="16" t="s">
        <v>73</v>
      </c>
      <c r="J1" s="16" t="s">
        <v>74</v>
      </c>
      <c r="K1" s="16" t="s">
        <v>75</v>
      </c>
      <c r="L1" s="16" t="s">
        <v>76</v>
      </c>
      <c r="M1" s="16" t="s">
        <v>77</v>
      </c>
      <c r="N1" s="16" t="s">
        <v>15</v>
      </c>
      <c r="O1" s="16" t="s">
        <v>78</v>
      </c>
      <c r="P1" s="16" t="s">
        <v>79</v>
      </c>
      <c r="Q1" s="16" t="s">
        <v>80</v>
      </c>
      <c r="R1" s="16" t="s">
        <v>81</v>
      </c>
      <c r="S1" s="16" t="s">
        <v>82</v>
      </c>
      <c r="T1" s="16" t="s">
        <v>83</v>
      </c>
      <c r="U1" s="16" t="s">
        <v>84</v>
      </c>
      <c r="V1" s="16" t="s">
        <v>85</v>
      </c>
      <c r="W1" s="16" t="s">
        <v>86</v>
      </c>
      <c r="X1" s="16" t="s">
        <v>87</v>
      </c>
      <c r="Y1" s="16" t="s">
        <v>88</v>
      </c>
      <c r="Z1" s="16" t="s">
        <v>89</v>
      </c>
      <c r="AA1" s="16" t="s">
        <v>90</v>
      </c>
      <c r="AB1" s="16" t="s">
        <v>91</v>
      </c>
    </row>
    <row r="2" spans="1:28" ht="27.75" customHeight="1" x14ac:dyDescent="0.2">
      <c r="A2" s="53" t="str">
        <f t="shared" ref="A2:A65" si="0">IF($B2="","", "TD-" &amp; RIGHT("0000"&amp;ROW()-1,4))</f>
        <v>TD-0001</v>
      </c>
      <c r="B2" s="54" t="s">
        <v>92</v>
      </c>
      <c r="C2" s="54" t="s">
        <v>93</v>
      </c>
      <c r="D2" s="54" t="s">
        <v>94</v>
      </c>
      <c r="E2" s="54" t="s">
        <v>95</v>
      </c>
      <c r="F2" s="54" t="s">
        <v>96</v>
      </c>
      <c r="G2" s="54" t="s">
        <v>96</v>
      </c>
      <c r="H2" s="54" t="s">
        <v>19</v>
      </c>
      <c r="I2" s="54" t="s">
        <v>21</v>
      </c>
      <c r="J2" s="54" t="s">
        <v>21</v>
      </c>
      <c r="K2" s="54" t="s">
        <v>97</v>
      </c>
      <c r="L2" s="55">
        <f>IF(OR($B2="", $H2="", $I2="", $J2="", $K2=""),"",ROUND((VLOOKUP($H2,Lists!$E$2:$F$5,2,FALSE())*VLOOKUP($I2,Lists!$H$2:$I$4,2,FALSE())*VLOOKUP($J2,Lists!$K$2:$L$4,2,FALSE()))/VLOOKUP($K2,Lists!$N$2:$O$6,2,FALSE()),2))</f>
        <v>2.4</v>
      </c>
      <c r="M2" s="54"/>
      <c r="N2" s="54" t="s">
        <v>24</v>
      </c>
      <c r="O2" s="54" t="s">
        <v>98</v>
      </c>
      <c r="P2" s="54" t="s">
        <v>99</v>
      </c>
      <c r="Q2" s="56">
        <v>45976</v>
      </c>
      <c r="R2" s="57">
        <f t="shared" ref="R2:R65" ca="1" si="1">IF($Q2="","", TODAY()-$Q2)</f>
        <v>293</v>
      </c>
      <c r="S2" s="54" t="s">
        <v>100</v>
      </c>
      <c r="T2" s="56"/>
      <c r="U2" s="56"/>
      <c r="V2" s="54" t="s">
        <v>101</v>
      </c>
      <c r="W2" s="54" t="s">
        <v>102</v>
      </c>
      <c r="X2" s="54" t="s">
        <v>103</v>
      </c>
      <c r="Y2" s="58"/>
      <c r="Z2" s="58"/>
      <c r="AA2" s="58"/>
    </row>
    <row r="3" spans="1:28" ht="27.75" customHeight="1" x14ac:dyDescent="0.2">
      <c r="A3" s="53" t="str">
        <f t="shared" si="0"/>
        <v>TD-0002</v>
      </c>
      <c r="B3" s="59" t="s">
        <v>104</v>
      </c>
      <c r="C3" s="59" t="s">
        <v>105</v>
      </c>
      <c r="D3" s="59" t="s">
        <v>106</v>
      </c>
      <c r="E3" s="59" t="s">
        <v>107</v>
      </c>
      <c r="F3" s="59" t="s">
        <v>108</v>
      </c>
      <c r="G3" s="59" t="s">
        <v>109</v>
      </c>
      <c r="H3" s="59" t="s">
        <v>21</v>
      </c>
      <c r="I3" s="59" t="s">
        <v>21</v>
      </c>
      <c r="J3" s="59" t="s">
        <v>21</v>
      </c>
      <c r="K3" s="59" t="s">
        <v>110</v>
      </c>
      <c r="L3" s="55">
        <f>IF(OR($B3="", $H3="", $I3="", $J3="", $K3=""),"",ROUND((VLOOKUP($H3,Lists!$E$2:$F$5,2,FALSE())*VLOOKUP($I3,Lists!$H$2:$I$4,2,FALSE())*VLOOKUP($J3,Lists!$K$2:$L$4,2,FALSE()))/VLOOKUP($K3,Lists!$N$2:$O$6,2,FALSE()),2))</f>
        <v>3</v>
      </c>
      <c r="M3" s="59"/>
      <c r="N3" s="59" t="s">
        <v>22</v>
      </c>
      <c r="O3" s="59" t="s">
        <v>111</v>
      </c>
      <c r="P3" s="59" t="s">
        <v>112</v>
      </c>
      <c r="Q3" s="60">
        <v>45994</v>
      </c>
      <c r="R3" s="57">
        <f t="shared" ca="1" si="1"/>
        <v>275</v>
      </c>
      <c r="S3" s="59" t="s">
        <v>113</v>
      </c>
      <c r="T3" s="60"/>
      <c r="U3" s="60"/>
      <c r="V3" s="59" t="s">
        <v>114</v>
      </c>
      <c r="W3" s="59" t="s">
        <v>115</v>
      </c>
      <c r="X3" s="59"/>
      <c r="Y3" s="58"/>
      <c r="Z3" s="58"/>
      <c r="AA3" s="58"/>
    </row>
    <row r="4" spans="1:28" ht="27.75" customHeight="1" x14ac:dyDescent="0.2">
      <c r="A4" s="53" t="str">
        <f t="shared" si="0"/>
        <v>TD-0003</v>
      </c>
      <c r="B4" s="54" t="s">
        <v>116</v>
      </c>
      <c r="C4" s="54" t="s">
        <v>117</v>
      </c>
      <c r="D4" s="54" t="s">
        <v>118</v>
      </c>
      <c r="E4" s="54" t="s">
        <v>119</v>
      </c>
      <c r="F4" s="54" t="s">
        <v>120</v>
      </c>
      <c r="G4" s="54" t="s">
        <v>121</v>
      </c>
      <c r="H4" s="54" t="s">
        <v>21</v>
      </c>
      <c r="I4" s="54" t="s">
        <v>23</v>
      </c>
      <c r="J4" s="54" t="s">
        <v>21</v>
      </c>
      <c r="K4" s="54" t="s">
        <v>122</v>
      </c>
      <c r="L4" s="55">
        <f>IF(OR($B4="", $H4="", $I4="", $J4="", $K4=""),"",ROUND((VLOOKUP($H4,Lists!$E$2:$F$5,2,FALSE())*VLOOKUP($I4,Lists!$H$2:$I$4,2,FALSE())*VLOOKUP($J4,Lists!$K$2:$L$4,2,FALSE()))/VLOOKUP($K4,Lists!$N$2:$O$6,2,FALSE()),2))</f>
        <v>3</v>
      </c>
      <c r="M4" s="54"/>
      <c r="N4" s="54" t="s">
        <v>20</v>
      </c>
      <c r="O4" s="54" t="s">
        <v>123</v>
      </c>
      <c r="P4" s="54" t="s">
        <v>124</v>
      </c>
      <c r="Q4" s="56">
        <v>46030</v>
      </c>
      <c r="R4" s="57">
        <f t="shared" ca="1" si="1"/>
        <v>239</v>
      </c>
      <c r="S4" s="54" t="s">
        <v>125</v>
      </c>
      <c r="T4" s="56"/>
      <c r="U4" s="56"/>
      <c r="V4" s="54" t="s">
        <v>114</v>
      </c>
      <c r="W4" s="54" t="s">
        <v>126</v>
      </c>
      <c r="X4" s="54"/>
      <c r="Y4" s="58"/>
      <c r="Z4" s="58"/>
      <c r="AA4" s="58"/>
    </row>
    <row r="5" spans="1:28" ht="15.75" customHeight="1" x14ac:dyDescent="0.2">
      <c r="A5" s="53" t="str">
        <f t="shared" si="0"/>
        <v>TD-0004</v>
      </c>
      <c r="B5" s="59" t="s">
        <v>127</v>
      </c>
      <c r="C5" s="59" t="s">
        <v>128</v>
      </c>
      <c r="D5" s="59" t="s">
        <v>129</v>
      </c>
      <c r="E5" s="59" t="s">
        <v>130</v>
      </c>
      <c r="F5" s="59" t="s">
        <v>131</v>
      </c>
      <c r="G5" s="59" t="s">
        <v>132</v>
      </c>
      <c r="H5" s="59" t="s">
        <v>23</v>
      </c>
      <c r="I5" s="59" t="s">
        <v>21</v>
      </c>
      <c r="J5" s="59" t="s">
        <v>23</v>
      </c>
      <c r="K5" s="59" t="s">
        <v>97</v>
      </c>
      <c r="L5" s="55">
        <f>IF(OR($B5="", $H5="", $I5="", $J5="", $K5=""),"",ROUND((VLOOKUP($H5,Lists!$E$2:$F$5,2,FALSE())*VLOOKUP($I5,Lists!$H$2:$I$4,2,FALSE())*VLOOKUP($J5,Lists!$K$2:$L$4,2,FALSE()))/VLOOKUP($K5,Lists!$N$2:$O$6,2,FALSE()),2))</f>
        <v>0.96</v>
      </c>
      <c r="M5" s="59"/>
      <c r="N5" s="59" t="s">
        <v>18</v>
      </c>
      <c r="O5" s="59"/>
      <c r="P5" s="59" t="s">
        <v>133</v>
      </c>
      <c r="Q5" s="60">
        <v>46065</v>
      </c>
      <c r="R5" s="57">
        <f t="shared" ca="1" si="1"/>
        <v>204</v>
      </c>
      <c r="S5" s="59" t="s">
        <v>134</v>
      </c>
      <c r="T5" s="60"/>
      <c r="U5" s="60"/>
      <c r="V5" s="59" t="s">
        <v>135</v>
      </c>
      <c r="W5" s="59"/>
      <c r="X5" s="59" t="s">
        <v>136</v>
      </c>
      <c r="Y5" s="58"/>
      <c r="Z5" s="58"/>
      <c r="AA5" s="58"/>
    </row>
    <row r="6" spans="1:28" ht="15.75" customHeight="1" x14ac:dyDescent="0.2">
      <c r="A6" s="53" t="str">
        <f t="shared" si="0"/>
        <v>TD-0005</v>
      </c>
      <c r="B6" s="54" t="s">
        <v>137</v>
      </c>
      <c r="C6" s="54" t="s">
        <v>138</v>
      </c>
      <c r="D6" s="54" t="s">
        <v>94</v>
      </c>
      <c r="E6" s="54" t="s">
        <v>139</v>
      </c>
      <c r="F6" s="54" t="s">
        <v>140</v>
      </c>
      <c r="G6" s="54" t="s">
        <v>141</v>
      </c>
      <c r="H6" s="54" t="s">
        <v>23</v>
      </c>
      <c r="I6" s="54" t="s">
        <v>23</v>
      </c>
      <c r="J6" s="54" t="s">
        <v>21</v>
      </c>
      <c r="K6" s="54" t="s">
        <v>110</v>
      </c>
      <c r="L6" s="55">
        <f>IF(OR($B6="", $H6="", $I6="", $J6="", $K6=""),"",ROUND((VLOOKUP($H6,Lists!$E$2:$F$5,2,FALSE())*VLOOKUP($I6,Lists!$H$2:$I$4,2,FALSE())*VLOOKUP($J6,Lists!$K$2:$L$4,2,FALSE()))/VLOOKUP($K6,Lists!$N$2:$O$6,2,FALSE()),2))</f>
        <v>1.33</v>
      </c>
      <c r="M6" s="54"/>
      <c r="N6" s="54" t="s">
        <v>22</v>
      </c>
      <c r="O6" s="54" t="s">
        <v>142</v>
      </c>
      <c r="P6" s="54" t="s">
        <v>143</v>
      </c>
      <c r="Q6" s="56">
        <v>45952</v>
      </c>
      <c r="R6" s="57">
        <f t="shared" ca="1" si="1"/>
        <v>317</v>
      </c>
      <c r="S6" s="54" t="s">
        <v>134</v>
      </c>
      <c r="T6" s="56"/>
      <c r="U6" s="56"/>
      <c r="V6" s="54" t="s">
        <v>144</v>
      </c>
      <c r="W6" s="54" t="s">
        <v>145</v>
      </c>
      <c r="X6" s="54"/>
      <c r="Y6" s="58"/>
      <c r="Z6" s="58"/>
      <c r="AA6" s="58"/>
    </row>
    <row r="7" spans="1:28" ht="15.75" customHeight="1" x14ac:dyDescent="0.2">
      <c r="A7" s="53" t="str">
        <f t="shared" si="0"/>
        <v>TD-0006</v>
      </c>
      <c r="B7" s="59" t="s">
        <v>146</v>
      </c>
      <c r="C7" s="59" t="s">
        <v>147</v>
      </c>
      <c r="D7" s="59" t="s">
        <v>148</v>
      </c>
      <c r="E7" s="59" t="s">
        <v>149</v>
      </c>
      <c r="F7" s="59" t="s">
        <v>150</v>
      </c>
      <c r="G7" s="59" t="s">
        <v>132</v>
      </c>
      <c r="H7" s="59" t="s">
        <v>21</v>
      </c>
      <c r="I7" s="59" t="s">
        <v>21</v>
      </c>
      <c r="J7" s="59" t="s">
        <v>23</v>
      </c>
      <c r="K7" s="59" t="s">
        <v>122</v>
      </c>
      <c r="L7" s="55">
        <f>IF(OR($B7="", $H7="", $I7="", $J7="", $K7=""),"",ROUND((VLOOKUP($H7,Lists!$E$2:$F$5,2,FALSE())*VLOOKUP($I7,Lists!$H$2:$I$4,2,FALSE())*VLOOKUP($J7,Lists!$K$2:$L$4,2,FALSE()))/VLOOKUP($K7,Lists!$N$2:$O$6,2,FALSE()),2))</f>
        <v>3.6</v>
      </c>
      <c r="M7" s="59"/>
      <c r="N7" s="59" t="s">
        <v>24</v>
      </c>
      <c r="O7" s="59" t="s">
        <v>151</v>
      </c>
      <c r="P7" s="59" t="s">
        <v>152</v>
      </c>
      <c r="Q7" s="60">
        <v>46009</v>
      </c>
      <c r="R7" s="57">
        <f t="shared" ca="1" si="1"/>
        <v>260</v>
      </c>
      <c r="S7" s="59" t="s">
        <v>113</v>
      </c>
      <c r="T7" s="60"/>
      <c r="U7" s="60"/>
      <c r="V7" s="59" t="s">
        <v>153</v>
      </c>
      <c r="W7" s="59" t="s">
        <v>154</v>
      </c>
      <c r="X7" s="59"/>
      <c r="Y7" s="58"/>
      <c r="Z7" s="58"/>
      <c r="AA7" s="58"/>
    </row>
    <row r="8" spans="1:28" ht="15.75" customHeight="1" x14ac:dyDescent="0.2">
      <c r="A8" s="53" t="str">
        <f t="shared" si="0"/>
        <v>TD-0007</v>
      </c>
      <c r="B8" s="54" t="s">
        <v>155</v>
      </c>
      <c r="C8" s="54" t="s">
        <v>156</v>
      </c>
      <c r="D8" s="54" t="s">
        <v>157</v>
      </c>
      <c r="E8" s="54" t="s">
        <v>158</v>
      </c>
      <c r="F8" s="54" t="s">
        <v>159</v>
      </c>
      <c r="G8" s="54" t="s">
        <v>141</v>
      </c>
      <c r="H8" s="54" t="s">
        <v>25</v>
      </c>
      <c r="I8" s="54" t="s">
        <v>23</v>
      </c>
      <c r="J8" s="54" t="s">
        <v>21</v>
      </c>
      <c r="K8" s="54" t="s">
        <v>160</v>
      </c>
      <c r="L8" s="55">
        <f>IF(OR($B8="", $H8="", $I8="", $J8="", $K8=""),"",ROUND((VLOOKUP($H8,Lists!$E$2:$F$5,2,FALSE())*VLOOKUP($I8,Lists!$H$2:$I$4,2,FALSE())*VLOOKUP($J8,Lists!$K$2:$L$4,2,FALSE()))/VLOOKUP($K8,Lists!$N$2:$O$6,2,FALSE()),2))</f>
        <v>2</v>
      </c>
      <c r="M8" s="54"/>
      <c r="N8" s="54" t="s">
        <v>18</v>
      </c>
      <c r="O8" s="54" t="s">
        <v>161</v>
      </c>
      <c r="P8" s="54" t="s">
        <v>124</v>
      </c>
      <c r="Q8" s="56">
        <v>46086</v>
      </c>
      <c r="R8" s="57">
        <f t="shared" ca="1" si="1"/>
        <v>183</v>
      </c>
      <c r="S8" s="54" t="s">
        <v>162</v>
      </c>
      <c r="T8" s="56"/>
      <c r="U8" s="56"/>
      <c r="V8" s="54" t="s">
        <v>114</v>
      </c>
      <c r="W8" s="54"/>
      <c r="X8" s="54"/>
      <c r="Y8" s="58"/>
      <c r="Z8" s="58"/>
      <c r="AA8" s="58"/>
    </row>
    <row r="9" spans="1:28" ht="15.75" customHeight="1" x14ac:dyDescent="0.2">
      <c r="A9" s="53" t="str">
        <f t="shared" si="0"/>
        <v/>
      </c>
      <c r="B9" s="59"/>
      <c r="C9" s="59"/>
      <c r="D9" s="59"/>
      <c r="E9" s="59"/>
      <c r="F9" s="59"/>
      <c r="G9" s="59"/>
      <c r="H9" s="59"/>
      <c r="I9" s="59"/>
      <c r="J9" s="59"/>
      <c r="K9" s="59"/>
      <c r="L9" s="55" t="str">
        <f>IF(OR($B9="", $H9="", $I9="", $J9="", $K9=""),"",ROUND((VLOOKUP($H9,Lists!$E$2:$F$5,2,FALSE())*VLOOKUP($I9,Lists!$H$2:$I$4,2,FALSE())*VLOOKUP($J9,Lists!$K$2:$L$4,2,FALSE()))/VLOOKUP($K9,Lists!$N$2:$O$6,2,FALSE()),2))</f>
        <v/>
      </c>
      <c r="M9" s="59"/>
      <c r="N9" s="59"/>
      <c r="O9" s="59"/>
      <c r="P9" s="59"/>
      <c r="Q9" s="60"/>
      <c r="R9" s="57" t="str">
        <f t="shared" ca="1" si="1"/>
        <v/>
      </c>
      <c r="S9" s="59"/>
      <c r="T9" s="60"/>
      <c r="U9" s="60"/>
      <c r="V9" s="59"/>
      <c r="W9" s="59"/>
      <c r="X9" s="59"/>
      <c r="Y9" s="58"/>
      <c r="Z9" s="58"/>
      <c r="AA9" s="58"/>
    </row>
    <row r="10" spans="1:28" ht="15.75" customHeight="1" x14ac:dyDescent="0.2">
      <c r="A10" s="53" t="str">
        <f t="shared" si="0"/>
        <v/>
      </c>
      <c r="B10" s="54"/>
      <c r="C10" s="54"/>
      <c r="D10" s="54"/>
      <c r="E10" s="54"/>
      <c r="F10" s="54"/>
      <c r="G10" s="54"/>
      <c r="H10" s="54"/>
      <c r="I10" s="54"/>
      <c r="J10" s="54"/>
      <c r="K10" s="54"/>
      <c r="L10" s="55" t="str">
        <f>IF(OR($B10="", $H10="", $I10="", $J10="", $K10=""),"",ROUND((VLOOKUP($H10,Lists!$E$2:$F$5,2,FALSE())*VLOOKUP($I10,Lists!$H$2:$I$4,2,FALSE())*VLOOKUP($J10,Lists!$K$2:$L$4,2,FALSE()))/VLOOKUP($K10,Lists!$N$2:$O$6,2,FALSE()),2))</f>
        <v/>
      </c>
      <c r="M10" s="54"/>
      <c r="N10" s="54"/>
      <c r="O10" s="54"/>
      <c r="P10" s="54"/>
      <c r="Q10" s="56"/>
      <c r="R10" s="57" t="str">
        <f t="shared" ca="1" si="1"/>
        <v/>
      </c>
      <c r="S10" s="54"/>
      <c r="T10" s="56"/>
      <c r="U10" s="56"/>
      <c r="V10" s="54"/>
      <c r="W10" s="54"/>
      <c r="X10" s="54"/>
      <c r="Y10" s="58"/>
      <c r="Z10" s="58"/>
      <c r="AA10" s="58"/>
    </row>
    <row r="11" spans="1:28" ht="15.75" customHeight="1" x14ac:dyDescent="0.2">
      <c r="A11" s="53" t="str">
        <f t="shared" si="0"/>
        <v/>
      </c>
      <c r="B11" s="59"/>
      <c r="C11" s="59"/>
      <c r="D11" s="59"/>
      <c r="E11" s="59"/>
      <c r="F11" s="59"/>
      <c r="G11" s="59"/>
      <c r="H11" s="59"/>
      <c r="I11" s="59"/>
      <c r="J11" s="59"/>
      <c r="K11" s="59"/>
      <c r="L11" s="55" t="str">
        <f>IF(OR($B11="", $H11="", $I11="", $J11="", $K11=""),"",ROUND((VLOOKUP($H11,Lists!$E$2:$F$5,2,FALSE())*VLOOKUP($I11,Lists!$H$2:$I$4,2,FALSE())*VLOOKUP($J11,Lists!$K$2:$L$4,2,FALSE()))/VLOOKUP($K11,Lists!$N$2:$O$6,2,FALSE()),2))</f>
        <v/>
      </c>
      <c r="M11" s="59"/>
      <c r="N11" s="59"/>
      <c r="O11" s="59"/>
      <c r="P11" s="59"/>
      <c r="Q11" s="60"/>
      <c r="R11" s="57" t="str">
        <f t="shared" ca="1" si="1"/>
        <v/>
      </c>
      <c r="S11" s="59"/>
      <c r="T11" s="60"/>
      <c r="U11" s="60"/>
      <c r="V11" s="59"/>
      <c r="W11" s="59"/>
      <c r="X11" s="59"/>
      <c r="Y11" s="58"/>
      <c r="Z11" s="58"/>
      <c r="AA11" s="58"/>
    </row>
    <row r="12" spans="1:28" ht="15.75" customHeight="1" x14ac:dyDescent="0.2">
      <c r="A12" s="53" t="str">
        <f t="shared" si="0"/>
        <v/>
      </c>
      <c r="B12" s="54"/>
      <c r="C12" s="54"/>
      <c r="D12" s="54"/>
      <c r="E12" s="54"/>
      <c r="F12" s="54"/>
      <c r="G12" s="54"/>
      <c r="H12" s="54"/>
      <c r="I12" s="54"/>
      <c r="J12" s="54"/>
      <c r="K12" s="54"/>
      <c r="L12" s="55" t="str">
        <f>IF(OR($B12="", $H12="", $I12="", $J12="", $K12=""),"",ROUND((VLOOKUP($H12,Lists!$E$2:$F$5,2,FALSE())*VLOOKUP($I12,Lists!$H$2:$I$4,2,FALSE())*VLOOKUP($J12,Lists!$K$2:$L$4,2,FALSE()))/VLOOKUP($K12,Lists!$N$2:$O$6,2,FALSE()),2))</f>
        <v/>
      </c>
      <c r="M12" s="54"/>
      <c r="N12" s="54"/>
      <c r="O12" s="54"/>
      <c r="P12" s="54"/>
      <c r="Q12" s="56"/>
      <c r="R12" s="57" t="str">
        <f t="shared" ca="1" si="1"/>
        <v/>
      </c>
      <c r="S12" s="54"/>
      <c r="T12" s="56"/>
      <c r="U12" s="56"/>
      <c r="V12" s="54"/>
      <c r="W12" s="54"/>
      <c r="X12" s="54"/>
      <c r="Y12" s="58"/>
      <c r="Z12" s="58"/>
      <c r="AA12" s="58"/>
    </row>
    <row r="13" spans="1:28" ht="15.75" customHeight="1" x14ac:dyDescent="0.2">
      <c r="A13" s="53" t="str">
        <f t="shared" si="0"/>
        <v/>
      </c>
      <c r="B13" s="59"/>
      <c r="C13" s="59"/>
      <c r="D13" s="59"/>
      <c r="E13" s="59"/>
      <c r="F13" s="59"/>
      <c r="G13" s="59"/>
      <c r="H13" s="59"/>
      <c r="I13" s="59"/>
      <c r="J13" s="59"/>
      <c r="K13" s="59"/>
      <c r="L13" s="55" t="str">
        <f>IF(OR($B13="", $H13="", $I13="", $J13="", $K13=""),"",ROUND((VLOOKUP($H13,Lists!$E$2:$F$5,2,FALSE())*VLOOKUP($I13,Lists!$H$2:$I$4,2,FALSE())*VLOOKUP($J13,Lists!$K$2:$L$4,2,FALSE()))/VLOOKUP($K13,Lists!$N$2:$O$6,2,FALSE()),2))</f>
        <v/>
      </c>
      <c r="M13" s="59"/>
      <c r="N13" s="59"/>
      <c r="O13" s="59"/>
      <c r="P13" s="59"/>
      <c r="Q13" s="60"/>
      <c r="R13" s="57" t="str">
        <f t="shared" ca="1" si="1"/>
        <v/>
      </c>
      <c r="S13" s="59"/>
      <c r="T13" s="60"/>
      <c r="U13" s="60"/>
      <c r="V13" s="59"/>
      <c r="W13" s="59"/>
      <c r="X13" s="59"/>
      <c r="Y13" s="58"/>
      <c r="Z13" s="58"/>
      <c r="AA13" s="58"/>
    </row>
    <row r="14" spans="1:28" ht="15.75" customHeight="1" x14ac:dyDescent="0.2">
      <c r="A14" s="53" t="str">
        <f t="shared" si="0"/>
        <v/>
      </c>
      <c r="B14" s="54"/>
      <c r="C14" s="54"/>
      <c r="D14" s="54"/>
      <c r="E14" s="54"/>
      <c r="F14" s="54"/>
      <c r="G14" s="54"/>
      <c r="H14" s="54"/>
      <c r="I14" s="54"/>
      <c r="J14" s="54"/>
      <c r="K14" s="54"/>
      <c r="L14" s="55" t="str">
        <f>IF(OR($B14="", $H14="", $I14="", $J14="", $K14=""),"",ROUND((VLOOKUP($H14,Lists!$E$2:$F$5,2,FALSE())*VLOOKUP($I14,Lists!$H$2:$I$4,2,FALSE())*VLOOKUP($J14,Lists!$K$2:$L$4,2,FALSE()))/VLOOKUP($K14,Lists!$N$2:$O$6,2,FALSE()),2))</f>
        <v/>
      </c>
      <c r="M14" s="54"/>
      <c r="N14" s="54"/>
      <c r="O14" s="54"/>
      <c r="P14" s="54"/>
      <c r="Q14" s="56"/>
      <c r="R14" s="57" t="str">
        <f t="shared" ca="1" si="1"/>
        <v/>
      </c>
      <c r="S14" s="54"/>
      <c r="T14" s="56"/>
      <c r="U14" s="56"/>
      <c r="V14" s="54"/>
      <c r="W14" s="54"/>
      <c r="X14" s="54"/>
      <c r="Y14" s="58"/>
      <c r="Z14" s="58"/>
      <c r="AA14" s="58"/>
    </row>
    <row r="15" spans="1:28" ht="15.75" customHeight="1" x14ac:dyDescent="0.2">
      <c r="A15" s="53" t="str">
        <f t="shared" si="0"/>
        <v/>
      </c>
      <c r="B15" s="59"/>
      <c r="C15" s="59"/>
      <c r="D15" s="59"/>
      <c r="E15" s="59"/>
      <c r="F15" s="59"/>
      <c r="G15" s="59"/>
      <c r="H15" s="59"/>
      <c r="I15" s="59"/>
      <c r="J15" s="59"/>
      <c r="K15" s="59"/>
      <c r="L15" s="55" t="str">
        <f>IF(OR($B15="", $H15="", $I15="", $J15="", $K15=""),"",ROUND((VLOOKUP($H15,Lists!$E$2:$F$5,2,FALSE())*VLOOKUP($I15,Lists!$H$2:$I$4,2,FALSE())*VLOOKUP($J15,Lists!$K$2:$L$4,2,FALSE()))/VLOOKUP($K15,Lists!$N$2:$O$6,2,FALSE()),2))</f>
        <v/>
      </c>
      <c r="M15" s="59"/>
      <c r="N15" s="59"/>
      <c r="O15" s="59"/>
      <c r="P15" s="59"/>
      <c r="Q15" s="60"/>
      <c r="R15" s="57" t="str">
        <f t="shared" ca="1" si="1"/>
        <v/>
      </c>
      <c r="S15" s="59"/>
      <c r="T15" s="60"/>
      <c r="U15" s="60"/>
      <c r="V15" s="59"/>
      <c r="W15" s="59"/>
      <c r="X15" s="59"/>
      <c r="Y15" s="58"/>
      <c r="Z15" s="58"/>
      <c r="AA15" s="58"/>
    </row>
    <row r="16" spans="1:28" ht="15.75" customHeight="1" x14ac:dyDescent="0.2">
      <c r="A16" s="53" t="str">
        <f t="shared" si="0"/>
        <v/>
      </c>
      <c r="B16" s="54"/>
      <c r="C16" s="54"/>
      <c r="D16" s="54"/>
      <c r="E16" s="54"/>
      <c r="F16" s="54"/>
      <c r="G16" s="54"/>
      <c r="H16" s="54"/>
      <c r="I16" s="54"/>
      <c r="J16" s="54"/>
      <c r="K16" s="54"/>
      <c r="L16" s="55" t="str">
        <f>IF(OR($B16="", $H16="", $I16="", $J16="", $K16=""),"",ROUND((VLOOKUP($H16,Lists!$E$2:$F$5,2,FALSE())*VLOOKUP($I16,Lists!$H$2:$I$4,2,FALSE())*VLOOKUP($J16,Lists!$K$2:$L$4,2,FALSE()))/VLOOKUP($K16,Lists!$N$2:$O$6,2,FALSE()),2))</f>
        <v/>
      </c>
      <c r="M16" s="54"/>
      <c r="N16" s="54"/>
      <c r="O16" s="54"/>
      <c r="P16" s="54"/>
      <c r="Q16" s="56"/>
      <c r="R16" s="57" t="str">
        <f t="shared" ca="1" si="1"/>
        <v/>
      </c>
      <c r="S16" s="54"/>
      <c r="T16" s="56"/>
      <c r="U16" s="56"/>
      <c r="V16" s="54"/>
      <c r="W16" s="54"/>
      <c r="X16" s="54"/>
      <c r="Y16" s="58"/>
      <c r="Z16" s="58"/>
      <c r="AA16" s="58"/>
    </row>
    <row r="17" spans="1:27" ht="15.75" customHeight="1" x14ac:dyDescent="0.2">
      <c r="A17" s="53" t="str">
        <f t="shared" si="0"/>
        <v/>
      </c>
      <c r="B17" s="59"/>
      <c r="C17" s="59"/>
      <c r="D17" s="59"/>
      <c r="E17" s="59"/>
      <c r="F17" s="59"/>
      <c r="G17" s="59"/>
      <c r="H17" s="59"/>
      <c r="I17" s="59"/>
      <c r="J17" s="59"/>
      <c r="K17" s="59"/>
      <c r="L17" s="55" t="str">
        <f>IF(OR($B17="", $H17="", $I17="", $J17="", $K17=""),"",ROUND((VLOOKUP($H17,Lists!$E$2:$F$5,2,FALSE())*VLOOKUP($I17,Lists!$H$2:$I$4,2,FALSE())*VLOOKUP($J17,Lists!$K$2:$L$4,2,FALSE()))/VLOOKUP($K17,Lists!$N$2:$O$6,2,FALSE()),2))</f>
        <v/>
      </c>
      <c r="M17" s="59"/>
      <c r="N17" s="59"/>
      <c r="O17" s="59"/>
      <c r="P17" s="59"/>
      <c r="Q17" s="60"/>
      <c r="R17" s="57" t="str">
        <f t="shared" ca="1" si="1"/>
        <v/>
      </c>
      <c r="S17" s="59"/>
      <c r="T17" s="60"/>
      <c r="U17" s="60"/>
      <c r="V17" s="59"/>
      <c r="W17" s="59"/>
      <c r="X17" s="59"/>
      <c r="Y17" s="58"/>
      <c r="Z17" s="58"/>
      <c r="AA17" s="58"/>
    </row>
    <row r="18" spans="1:27" ht="15.75" customHeight="1" x14ac:dyDescent="0.2">
      <c r="A18" s="53" t="str">
        <f t="shared" si="0"/>
        <v/>
      </c>
      <c r="B18" s="54"/>
      <c r="C18" s="54"/>
      <c r="D18" s="54"/>
      <c r="E18" s="54"/>
      <c r="F18" s="54"/>
      <c r="G18" s="54"/>
      <c r="H18" s="54"/>
      <c r="I18" s="54"/>
      <c r="J18" s="54"/>
      <c r="K18" s="54"/>
      <c r="L18" s="55" t="str">
        <f>IF(OR($B18="", $H18="", $I18="", $J18="", $K18=""),"",ROUND((VLOOKUP($H18,Lists!$E$2:$F$5,2,FALSE())*VLOOKUP($I18,Lists!$H$2:$I$4,2,FALSE())*VLOOKUP($J18,Lists!$K$2:$L$4,2,FALSE()))/VLOOKUP($K18,Lists!$N$2:$O$6,2,FALSE()),2))</f>
        <v/>
      </c>
      <c r="M18" s="54"/>
      <c r="N18" s="54"/>
      <c r="O18" s="54"/>
      <c r="P18" s="54"/>
      <c r="Q18" s="56"/>
      <c r="R18" s="57" t="str">
        <f t="shared" ca="1" si="1"/>
        <v/>
      </c>
      <c r="S18" s="54"/>
      <c r="T18" s="56"/>
      <c r="U18" s="56"/>
      <c r="V18" s="54"/>
      <c r="W18" s="54"/>
      <c r="X18" s="54"/>
      <c r="Y18" s="58"/>
      <c r="Z18" s="58"/>
      <c r="AA18" s="58"/>
    </row>
    <row r="19" spans="1:27" ht="15.75" customHeight="1" x14ac:dyDescent="0.2">
      <c r="A19" s="53" t="str">
        <f t="shared" si="0"/>
        <v/>
      </c>
      <c r="B19" s="59"/>
      <c r="C19" s="59"/>
      <c r="D19" s="59"/>
      <c r="E19" s="59"/>
      <c r="F19" s="59"/>
      <c r="G19" s="59"/>
      <c r="H19" s="59"/>
      <c r="I19" s="59"/>
      <c r="J19" s="59"/>
      <c r="K19" s="59"/>
      <c r="L19" s="55" t="str">
        <f>IF(OR($B19="", $H19="", $I19="", $J19="", $K19=""),"",ROUND((VLOOKUP($H19,Lists!$E$2:$F$5,2,FALSE())*VLOOKUP($I19,Lists!$H$2:$I$4,2,FALSE())*VLOOKUP($J19,Lists!$K$2:$L$4,2,FALSE()))/VLOOKUP($K19,Lists!$N$2:$O$6,2,FALSE()),2))</f>
        <v/>
      </c>
      <c r="M19" s="59"/>
      <c r="N19" s="59"/>
      <c r="O19" s="59"/>
      <c r="P19" s="59"/>
      <c r="Q19" s="60"/>
      <c r="R19" s="57" t="str">
        <f t="shared" ca="1" si="1"/>
        <v/>
      </c>
      <c r="S19" s="59"/>
      <c r="T19" s="60"/>
      <c r="U19" s="60"/>
      <c r="V19" s="59"/>
      <c r="W19" s="59"/>
      <c r="X19" s="59"/>
      <c r="Y19" s="58"/>
      <c r="Z19" s="58"/>
      <c r="AA19" s="58"/>
    </row>
    <row r="20" spans="1:27" ht="15.75" customHeight="1" x14ac:dyDescent="0.2">
      <c r="A20" s="53" t="str">
        <f t="shared" si="0"/>
        <v/>
      </c>
      <c r="B20" s="54"/>
      <c r="C20" s="54"/>
      <c r="D20" s="54"/>
      <c r="E20" s="54"/>
      <c r="F20" s="54"/>
      <c r="G20" s="54"/>
      <c r="H20" s="54"/>
      <c r="I20" s="54"/>
      <c r="J20" s="54"/>
      <c r="K20" s="54"/>
      <c r="L20" s="55" t="str">
        <f>IF(OR($B20="", $H20="", $I20="", $J20="", $K20=""),"",ROUND((VLOOKUP($H20,Lists!$E$2:$F$5,2,FALSE())*VLOOKUP($I20,Lists!$H$2:$I$4,2,FALSE())*VLOOKUP($J20,Lists!$K$2:$L$4,2,FALSE()))/VLOOKUP($K20,Lists!$N$2:$O$6,2,FALSE()),2))</f>
        <v/>
      </c>
      <c r="M20" s="54"/>
      <c r="N20" s="54"/>
      <c r="O20" s="54"/>
      <c r="P20" s="54"/>
      <c r="Q20" s="56"/>
      <c r="R20" s="57" t="str">
        <f t="shared" ca="1" si="1"/>
        <v/>
      </c>
      <c r="S20" s="54"/>
      <c r="T20" s="56"/>
      <c r="U20" s="56"/>
      <c r="V20" s="54"/>
      <c r="W20" s="54"/>
      <c r="X20" s="54"/>
      <c r="Y20" s="58"/>
      <c r="Z20" s="58"/>
      <c r="AA20" s="58"/>
    </row>
    <row r="21" spans="1:27" ht="15.75" customHeight="1" x14ac:dyDescent="0.2">
      <c r="A21" s="53" t="str">
        <f t="shared" si="0"/>
        <v/>
      </c>
      <c r="B21" s="59"/>
      <c r="C21" s="59"/>
      <c r="D21" s="59"/>
      <c r="E21" s="59"/>
      <c r="F21" s="59"/>
      <c r="G21" s="59"/>
      <c r="H21" s="59"/>
      <c r="I21" s="59"/>
      <c r="J21" s="59"/>
      <c r="K21" s="59"/>
      <c r="L21" s="55" t="str">
        <f>IF(OR($B21="", $H21="", $I21="", $J21="", $K21=""),"",ROUND((VLOOKUP($H21,Lists!$E$2:$F$5,2,FALSE())*VLOOKUP($I21,Lists!$H$2:$I$4,2,FALSE())*VLOOKUP($J21,Lists!$K$2:$L$4,2,FALSE()))/VLOOKUP($K21,Lists!$N$2:$O$6,2,FALSE()),2))</f>
        <v/>
      </c>
      <c r="M21" s="59"/>
      <c r="N21" s="59"/>
      <c r="O21" s="59"/>
      <c r="P21" s="59"/>
      <c r="Q21" s="60"/>
      <c r="R21" s="57" t="str">
        <f t="shared" ca="1" si="1"/>
        <v/>
      </c>
      <c r="S21" s="59"/>
      <c r="T21" s="60"/>
      <c r="U21" s="60"/>
      <c r="V21" s="59"/>
      <c r="W21" s="59"/>
      <c r="X21" s="59"/>
      <c r="Y21" s="58"/>
      <c r="Z21" s="58"/>
      <c r="AA21" s="58"/>
    </row>
    <row r="22" spans="1:27" ht="15.75" customHeight="1" x14ac:dyDescent="0.2">
      <c r="A22" s="53" t="str">
        <f t="shared" si="0"/>
        <v/>
      </c>
      <c r="B22" s="54"/>
      <c r="C22" s="54"/>
      <c r="D22" s="54"/>
      <c r="E22" s="54"/>
      <c r="F22" s="54"/>
      <c r="G22" s="54"/>
      <c r="H22" s="54"/>
      <c r="I22" s="54"/>
      <c r="J22" s="54"/>
      <c r="K22" s="54"/>
      <c r="L22" s="55" t="str">
        <f>IF(OR($B22="", $H22="", $I22="", $J22="", $K22=""),"",ROUND((VLOOKUP($H22,Lists!$E$2:$F$5,2,FALSE())*VLOOKUP($I22,Lists!$H$2:$I$4,2,FALSE())*VLOOKUP($J22,Lists!$K$2:$L$4,2,FALSE()))/VLOOKUP($K22,Lists!$N$2:$O$6,2,FALSE()),2))</f>
        <v/>
      </c>
      <c r="M22" s="54"/>
      <c r="N22" s="54"/>
      <c r="O22" s="54"/>
      <c r="P22" s="54"/>
      <c r="Q22" s="56"/>
      <c r="R22" s="57" t="str">
        <f t="shared" ca="1" si="1"/>
        <v/>
      </c>
      <c r="S22" s="54"/>
      <c r="T22" s="56"/>
      <c r="U22" s="56"/>
      <c r="V22" s="54"/>
      <c r="W22" s="54"/>
      <c r="X22" s="54"/>
      <c r="Y22" s="58"/>
      <c r="Z22" s="58"/>
      <c r="AA22" s="58"/>
    </row>
    <row r="23" spans="1:27" ht="15.75" customHeight="1" x14ac:dyDescent="0.2">
      <c r="A23" s="53" t="str">
        <f t="shared" si="0"/>
        <v/>
      </c>
      <c r="B23" s="59"/>
      <c r="C23" s="59"/>
      <c r="D23" s="59"/>
      <c r="E23" s="59"/>
      <c r="F23" s="59"/>
      <c r="G23" s="59"/>
      <c r="H23" s="59"/>
      <c r="I23" s="59"/>
      <c r="J23" s="59"/>
      <c r="K23" s="59"/>
      <c r="L23" s="55" t="str">
        <f>IF(OR($B23="", $H23="", $I23="", $J23="", $K23=""),"",ROUND((VLOOKUP($H23,Lists!$E$2:$F$5,2,FALSE())*VLOOKUP($I23,Lists!$H$2:$I$4,2,FALSE())*VLOOKUP($J23,Lists!$K$2:$L$4,2,FALSE()))/VLOOKUP($K23,Lists!$N$2:$O$6,2,FALSE()),2))</f>
        <v/>
      </c>
      <c r="M23" s="59"/>
      <c r="N23" s="59"/>
      <c r="O23" s="59"/>
      <c r="P23" s="59"/>
      <c r="Q23" s="60"/>
      <c r="R23" s="57" t="str">
        <f t="shared" ca="1" si="1"/>
        <v/>
      </c>
      <c r="S23" s="59"/>
      <c r="T23" s="60"/>
      <c r="U23" s="60"/>
      <c r="V23" s="59"/>
      <c r="W23" s="59"/>
      <c r="X23" s="59"/>
      <c r="Y23" s="58"/>
      <c r="Z23" s="58"/>
      <c r="AA23" s="58"/>
    </row>
    <row r="24" spans="1:27" ht="15.75" customHeight="1" x14ac:dyDescent="0.2">
      <c r="A24" s="53" t="str">
        <f t="shared" si="0"/>
        <v/>
      </c>
      <c r="B24" s="54"/>
      <c r="C24" s="54"/>
      <c r="D24" s="54"/>
      <c r="E24" s="54"/>
      <c r="F24" s="54"/>
      <c r="G24" s="54"/>
      <c r="H24" s="54"/>
      <c r="I24" s="54"/>
      <c r="J24" s="54"/>
      <c r="K24" s="54"/>
      <c r="L24" s="55" t="str">
        <f>IF(OR($B24="", $H24="", $I24="", $J24="", $K24=""),"",ROUND((VLOOKUP($H24,Lists!$E$2:$F$5,2,FALSE())*VLOOKUP($I24,Lists!$H$2:$I$4,2,FALSE())*VLOOKUP($J24,Lists!$K$2:$L$4,2,FALSE()))/VLOOKUP($K24,Lists!$N$2:$O$6,2,FALSE()),2))</f>
        <v/>
      </c>
      <c r="M24" s="54"/>
      <c r="N24" s="54"/>
      <c r="O24" s="54"/>
      <c r="P24" s="54"/>
      <c r="Q24" s="56"/>
      <c r="R24" s="57" t="str">
        <f t="shared" ca="1" si="1"/>
        <v/>
      </c>
      <c r="S24" s="54"/>
      <c r="T24" s="56"/>
      <c r="U24" s="56"/>
      <c r="V24" s="54"/>
      <c r="W24" s="54"/>
      <c r="X24" s="54"/>
      <c r="Y24" s="58"/>
      <c r="Z24" s="58"/>
      <c r="AA24" s="58"/>
    </row>
    <row r="25" spans="1:27" ht="15.75" customHeight="1" x14ac:dyDescent="0.2">
      <c r="A25" s="53" t="str">
        <f t="shared" si="0"/>
        <v/>
      </c>
      <c r="B25" s="59"/>
      <c r="C25" s="59"/>
      <c r="D25" s="59"/>
      <c r="E25" s="59"/>
      <c r="F25" s="59"/>
      <c r="G25" s="59"/>
      <c r="H25" s="59"/>
      <c r="I25" s="59"/>
      <c r="J25" s="59"/>
      <c r="K25" s="59"/>
      <c r="L25" s="55" t="str">
        <f>IF(OR($B25="", $H25="", $I25="", $J25="", $K25=""),"",ROUND((VLOOKUP($H25,Lists!$E$2:$F$5,2,FALSE())*VLOOKUP($I25,Lists!$H$2:$I$4,2,FALSE())*VLOOKUP($J25,Lists!$K$2:$L$4,2,FALSE()))/VLOOKUP($K25,Lists!$N$2:$O$6,2,FALSE()),2))</f>
        <v/>
      </c>
      <c r="M25" s="59"/>
      <c r="N25" s="59"/>
      <c r="O25" s="59"/>
      <c r="P25" s="59"/>
      <c r="Q25" s="60"/>
      <c r="R25" s="57" t="str">
        <f t="shared" ca="1" si="1"/>
        <v/>
      </c>
      <c r="S25" s="59"/>
      <c r="T25" s="60"/>
      <c r="U25" s="60"/>
      <c r="V25" s="59"/>
      <c r="W25" s="59"/>
      <c r="X25" s="59"/>
      <c r="Y25" s="58"/>
      <c r="Z25" s="58"/>
      <c r="AA25" s="58"/>
    </row>
    <row r="26" spans="1:27" ht="15.75" customHeight="1" x14ac:dyDescent="0.2">
      <c r="A26" s="53" t="str">
        <f t="shared" si="0"/>
        <v/>
      </c>
      <c r="B26" s="54"/>
      <c r="C26" s="54"/>
      <c r="D26" s="54"/>
      <c r="E26" s="54"/>
      <c r="F26" s="54"/>
      <c r="G26" s="54"/>
      <c r="H26" s="54"/>
      <c r="I26" s="54"/>
      <c r="J26" s="54"/>
      <c r="K26" s="54"/>
      <c r="L26" s="55" t="str">
        <f>IF(OR($B26="", $H26="", $I26="", $J26="", $K26=""),"",ROUND((VLOOKUP($H26,Lists!$E$2:$F$5,2,FALSE())*VLOOKUP($I26,Lists!$H$2:$I$4,2,FALSE())*VLOOKUP($J26,Lists!$K$2:$L$4,2,FALSE()))/VLOOKUP($K26,Lists!$N$2:$O$6,2,FALSE()),2))</f>
        <v/>
      </c>
      <c r="M26" s="54"/>
      <c r="N26" s="54"/>
      <c r="O26" s="54"/>
      <c r="P26" s="54"/>
      <c r="Q26" s="56"/>
      <c r="R26" s="57" t="str">
        <f t="shared" ca="1" si="1"/>
        <v/>
      </c>
      <c r="S26" s="54"/>
      <c r="T26" s="56"/>
      <c r="U26" s="56"/>
      <c r="V26" s="54"/>
      <c r="W26" s="54"/>
      <c r="X26" s="54"/>
      <c r="Y26" s="58"/>
      <c r="Z26" s="58"/>
      <c r="AA26" s="58"/>
    </row>
    <row r="27" spans="1:27" ht="15.75" customHeight="1" x14ac:dyDescent="0.2">
      <c r="A27" s="53" t="str">
        <f t="shared" si="0"/>
        <v/>
      </c>
      <c r="B27" s="59"/>
      <c r="C27" s="59"/>
      <c r="D27" s="59"/>
      <c r="E27" s="59"/>
      <c r="F27" s="59"/>
      <c r="G27" s="59"/>
      <c r="H27" s="59"/>
      <c r="I27" s="59"/>
      <c r="J27" s="59"/>
      <c r="K27" s="59"/>
      <c r="L27" s="55" t="str">
        <f>IF(OR($B27="", $H27="", $I27="", $J27="", $K27=""),"",ROUND((VLOOKUP($H27,Lists!$E$2:$F$5,2,FALSE())*VLOOKUP($I27,Lists!$H$2:$I$4,2,FALSE())*VLOOKUP($J27,Lists!$K$2:$L$4,2,FALSE()))/VLOOKUP($K27,Lists!$N$2:$O$6,2,FALSE()),2))</f>
        <v/>
      </c>
      <c r="M27" s="59"/>
      <c r="N27" s="59"/>
      <c r="O27" s="59"/>
      <c r="P27" s="59"/>
      <c r="Q27" s="60"/>
      <c r="R27" s="57" t="str">
        <f t="shared" ca="1" si="1"/>
        <v/>
      </c>
      <c r="S27" s="59"/>
      <c r="T27" s="60"/>
      <c r="U27" s="60"/>
      <c r="V27" s="59"/>
      <c r="W27" s="59"/>
      <c r="X27" s="59"/>
      <c r="Y27" s="58"/>
      <c r="Z27" s="58"/>
      <c r="AA27" s="58"/>
    </row>
    <row r="28" spans="1:27" ht="15.75" customHeight="1" x14ac:dyDescent="0.2">
      <c r="A28" s="53" t="str">
        <f t="shared" si="0"/>
        <v/>
      </c>
      <c r="B28" s="54"/>
      <c r="C28" s="54"/>
      <c r="D28" s="54"/>
      <c r="E28" s="54"/>
      <c r="F28" s="54"/>
      <c r="G28" s="54"/>
      <c r="H28" s="54"/>
      <c r="I28" s="54"/>
      <c r="J28" s="54"/>
      <c r="K28" s="54"/>
      <c r="L28" s="55" t="str">
        <f>IF(OR($B28="", $H28="", $I28="", $J28="", $K28=""),"",ROUND((VLOOKUP($H28,Lists!$E$2:$F$5,2,FALSE())*VLOOKUP($I28,Lists!$H$2:$I$4,2,FALSE())*VLOOKUP($J28,Lists!$K$2:$L$4,2,FALSE()))/VLOOKUP($K28,Lists!$N$2:$O$6,2,FALSE()),2))</f>
        <v/>
      </c>
      <c r="M28" s="54"/>
      <c r="N28" s="54"/>
      <c r="O28" s="54"/>
      <c r="P28" s="54"/>
      <c r="Q28" s="56"/>
      <c r="R28" s="57" t="str">
        <f t="shared" ca="1" si="1"/>
        <v/>
      </c>
      <c r="S28" s="54"/>
      <c r="T28" s="56"/>
      <c r="U28" s="56"/>
      <c r="V28" s="54"/>
      <c r="W28" s="54"/>
      <c r="X28" s="54"/>
      <c r="Y28" s="58"/>
      <c r="Z28" s="58"/>
      <c r="AA28" s="58"/>
    </row>
    <row r="29" spans="1:27" ht="15.75" customHeight="1" x14ac:dyDescent="0.2">
      <c r="A29" s="53" t="str">
        <f t="shared" si="0"/>
        <v/>
      </c>
      <c r="B29" s="59"/>
      <c r="C29" s="59"/>
      <c r="D29" s="59"/>
      <c r="E29" s="59"/>
      <c r="F29" s="59"/>
      <c r="G29" s="59"/>
      <c r="H29" s="59"/>
      <c r="I29" s="59"/>
      <c r="J29" s="59"/>
      <c r="K29" s="59"/>
      <c r="L29" s="55" t="str">
        <f>IF(OR($B29="", $H29="", $I29="", $J29="", $K29=""),"",ROUND((VLOOKUP($H29,Lists!$E$2:$F$5,2,FALSE())*VLOOKUP($I29,Lists!$H$2:$I$4,2,FALSE())*VLOOKUP($J29,Lists!$K$2:$L$4,2,FALSE()))/VLOOKUP($K29,Lists!$N$2:$O$6,2,FALSE()),2))</f>
        <v/>
      </c>
      <c r="M29" s="59"/>
      <c r="N29" s="59"/>
      <c r="O29" s="59"/>
      <c r="P29" s="59"/>
      <c r="Q29" s="60"/>
      <c r="R29" s="57" t="str">
        <f t="shared" ca="1" si="1"/>
        <v/>
      </c>
      <c r="S29" s="59"/>
      <c r="T29" s="60"/>
      <c r="U29" s="60"/>
      <c r="V29" s="59"/>
      <c r="W29" s="59"/>
      <c r="X29" s="59"/>
      <c r="Y29" s="58"/>
      <c r="Z29" s="58"/>
      <c r="AA29" s="58"/>
    </row>
    <row r="30" spans="1:27" ht="15.75" customHeight="1" x14ac:dyDescent="0.2">
      <c r="A30" s="53" t="str">
        <f t="shared" si="0"/>
        <v/>
      </c>
      <c r="B30" s="54"/>
      <c r="C30" s="54"/>
      <c r="D30" s="54"/>
      <c r="E30" s="54"/>
      <c r="F30" s="54"/>
      <c r="G30" s="54"/>
      <c r="H30" s="54"/>
      <c r="I30" s="54"/>
      <c r="J30" s="54"/>
      <c r="K30" s="54"/>
      <c r="L30" s="55" t="str">
        <f>IF(OR($B30="", $H30="", $I30="", $J30="", $K30=""),"",ROUND((VLOOKUP($H30,Lists!$E$2:$F$5,2,FALSE())*VLOOKUP($I30,Lists!$H$2:$I$4,2,FALSE())*VLOOKUP($J30,Lists!$K$2:$L$4,2,FALSE()))/VLOOKUP($K30,Lists!$N$2:$O$6,2,FALSE()),2))</f>
        <v/>
      </c>
      <c r="M30" s="54"/>
      <c r="N30" s="54"/>
      <c r="O30" s="54"/>
      <c r="P30" s="54"/>
      <c r="Q30" s="56"/>
      <c r="R30" s="57" t="str">
        <f t="shared" ca="1" si="1"/>
        <v/>
      </c>
      <c r="S30" s="54"/>
      <c r="T30" s="56"/>
      <c r="U30" s="56"/>
      <c r="V30" s="54"/>
      <c r="W30" s="54"/>
      <c r="X30" s="54"/>
      <c r="Y30" s="58"/>
      <c r="Z30" s="58"/>
      <c r="AA30" s="58"/>
    </row>
    <row r="31" spans="1:27" ht="15.75" customHeight="1" x14ac:dyDescent="0.2">
      <c r="A31" s="53" t="str">
        <f t="shared" si="0"/>
        <v/>
      </c>
      <c r="B31" s="59"/>
      <c r="C31" s="59"/>
      <c r="D31" s="59"/>
      <c r="E31" s="59"/>
      <c r="F31" s="59"/>
      <c r="G31" s="59"/>
      <c r="H31" s="59"/>
      <c r="I31" s="59"/>
      <c r="J31" s="59"/>
      <c r="K31" s="59"/>
      <c r="L31" s="55" t="str">
        <f>IF(OR($B31="", $H31="", $I31="", $J31="", $K31=""),"",ROUND((VLOOKUP($H31,Lists!$E$2:$F$5,2,FALSE())*VLOOKUP($I31,Lists!$H$2:$I$4,2,FALSE())*VLOOKUP($J31,Lists!$K$2:$L$4,2,FALSE()))/VLOOKUP($K31,Lists!$N$2:$O$6,2,FALSE()),2))</f>
        <v/>
      </c>
      <c r="M31" s="59"/>
      <c r="N31" s="59"/>
      <c r="O31" s="59"/>
      <c r="P31" s="59"/>
      <c r="Q31" s="60"/>
      <c r="R31" s="57" t="str">
        <f t="shared" ca="1" si="1"/>
        <v/>
      </c>
      <c r="S31" s="59"/>
      <c r="T31" s="60"/>
      <c r="U31" s="60"/>
      <c r="V31" s="59"/>
      <c r="W31" s="59"/>
      <c r="X31" s="59"/>
      <c r="Y31" s="58"/>
      <c r="Z31" s="58"/>
      <c r="AA31" s="58"/>
    </row>
    <row r="32" spans="1:27" ht="15.75" customHeight="1" x14ac:dyDescent="0.2">
      <c r="A32" s="53" t="str">
        <f t="shared" si="0"/>
        <v/>
      </c>
      <c r="B32" s="54"/>
      <c r="C32" s="54"/>
      <c r="D32" s="54"/>
      <c r="E32" s="54"/>
      <c r="F32" s="54"/>
      <c r="G32" s="54"/>
      <c r="H32" s="54"/>
      <c r="I32" s="54"/>
      <c r="J32" s="54"/>
      <c r="K32" s="54"/>
      <c r="L32" s="55" t="str">
        <f>IF(OR($B32="", $H32="", $I32="", $J32="", $K32=""),"",ROUND((VLOOKUP($H32,Lists!$E$2:$F$5,2,FALSE())*VLOOKUP($I32,Lists!$H$2:$I$4,2,FALSE())*VLOOKUP($J32,Lists!$K$2:$L$4,2,FALSE()))/VLOOKUP($K32,Lists!$N$2:$O$6,2,FALSE()),2))</f>
        <v/>
      </c>
      <c r="M32" s="54"/>
      <c r="N32" s="54"/>
      <c r="O32" s="54"/>
      <c r="P32" s="54"/>
      <c r="Q32" s="56"/>
      <c r="R32" s="57" t="str">
        <f t="shared" ca="1" si="1"/>
        <v/>
      </c>
      <c r="S32" s="54"/>
      <c r="T32" s="56"/>
      <c r="U32" s="56"/>
      <c r="V32" s="54"/>
      <c r="W32" s="54"/>
      <c r="X32" s="54"/>
      <c r="Y32" s="58"/>
      <c r="Z32" s="58"/>
      <c r="AA32" s="58"/>
    </row>
    <row r="33" spans="1:27" ht="15.75" customHeight="1" x14ac:dyDescent="0.2">
      <c r="A33" s="53" t="str">
        <f t="shared" si="0"/>
        <v/>
      </c>
      <c r="B33" s="59"/>
      <c r="C33" s="59"/>
      <c r="D33" s="59"/>
      <c r="E33" s="59"/>
      <c r="F33" s="59"/>
      <c r="G33" s="59"/>
      <c r="H33" s="59"/>
      <c r="I33" s="59"/>
      <c r="J33" s="59"/>
      <c r="K33" s="59"/>
      <c r="L33" s="55" t="str">
        <f>IF(OR($B33="", $H33="", $I33="", $J33="", $K33=""),"",ROUND((VLOOKUP($H33,Lists!$E$2:$F$5,2,FALSE())*VLOOKUP($I33,Lists!$H$2:$I$4,2,FALSE())*VLOOKUP($J33,Lists!$K$2:$L$4,2,FALSE()))/VLOOKUP($K33,Lists!$N$2:$O$6,2,FALSE()),2))</f>
        <v/>
      </c>
      <c r="M33" s="59"/>
      <c r="N33" s="59"/>
      <c r="O33" s="59"/>
      <c r="P33" s="59"/>
      <c r="Q33" s="60"/>
      <c r="R33" s="57" t="str">
        <f t="shared" ca="1" si="1"/>
        <v/>
      </c>
      <c r="S33" s="59"/>
      <c r="T33" s="60"/>
      <c r="U33" s="60"/>
      <c r="V33" s="59"/>
      <c r="W33" s="59"/>
      <c r="X33" s="59"/>
      <c r="Y33" s="58"/>
      <c r="Z33" s="58"/>
      <c r="AA33" s="58"/>
    </row>
    <row r="34" spans="1:27" ht="15.75" customHeight="1" x14ac:dyDescent="0.2">
      <c r="A34" s="53" t="str">
        <f t="shared" si="0"/>
        <v/>
      </c>
      <c r="B34" s="54"/>
      <c r="C34" s="54"/>
      <c r="D34" s="54"/>
      <c r="E34" s="54"/>
      <c r="F34" s="54"/>
      <c r="G34" s="54"/>
      <c r="H34" s="54"/>
      <c r="I34" s="54"/>
      <c r="J34" s="54"/>
      <c r="K34" s="54"/>
      <c r="L34" s="55" t="str">
        <f>IF(OR($B34="", $H34="", $I34="", $J34="", $K34=""),"",ROUND((VLOOKUP($H34,Lists!$E$2:$F$5,2,FALSE())*VLOOKUP($I34,Lists!$H$2:$I$4,2,FALSE())*VLOOKUP($J34,Lists!$K$2:$L$4,2,FALSE()))/VLOOKUP($K34,Lists!$N$2:$O$6,2,FALSE()),2))</f>
        <v/>
      </c>
      <c r="M34" s="54"/>
      <c r="N34" s="54"/>
      <c r="O34" s="54"/>
      <c r="P34" s="54"/>
      <c r="Q34" s="56"/>
      <c r="R34" s="57" t="str">
        <f t="shared" ca="1" si="1"/>
        <v/>
      </c>
      <c r="S34" s="54"/>
      <c r="T34" s="56"/>
      <c r="U34" s="56"/>
      <c r="V34" s="54"/>
      <c r="W34" s="54"/>
      <c r="X34" s="54"/>
      <c r="Y34" s="58"/>
      <c r="Z34" s="58"/>
      <c r="AA34" s="58"/>
    </row>
    <row r="35" spans="1:27" ht="15.75" customHeight="1" x14ac:dyDescent="0.2">
      <c r="A35" s="53" t="str">
        <f t="shared" si="0"/>
        <v/>
      </c>
      <c r="B35" s="59"/>
      <c r="C35" s="59"/>
      <c r="D35" s="59"/>
      <c r="E35" s="59"/>
      <c r="F35" s="59"/>
      <c r="G35" s="59"/>
      <c r="H35" s="59"/>
      <c r="I35" s="59"/>
      <c r="J35" s="59"/>
      <c r="K35" s="59"/>
      <c r="L35" s="55" t="str">
        <f>IF(OR($B35="", $H35="", $I35="", $J35="", $K35=""),"",ROUND((VLOOKUP($H35,Lists!$E$2:$F$5,2,FALSE())*VLOOKUP($I35,Lists!$H$2:$I$4,2,FALSE())*VLOOKUP($J35,Lists!$K$2:$L$4,2,FALSE()))/VLOOKUP($K35,Lists!$N$2:$O$6,2,FALSE()),2))</f>
        <v/>
      </c>
      <c r="M35" s="59"/>
      <c r="N35" s="59"/>
      <c r="O35" s="59"/>
      <c r="P35" s="59"/>
      <c r="Q35" s="60"/>
      <c r="R35" s="57" t="str">
        <f t="shared" ca="1" si="1"/>
        <v/>
      </c>
      <c r="S35" s="59"/>
      <c r="T35" s="60"/>
      <c r="U35" s="60"/>
      <c r="V35" s="59"/>
      <c r="W35" s="59"/>
      <c r="X35" s="59"/>
      <c r="Y35" s="58"/>
      <c r="Z35" s="58"/>
      <c r="AA35" s="58"/>
    </row>
    <row r="36" spans="1:27" ht="15.75" customHeight="1" x14ac:dyDescent="0.2">
      <c r="A36" s="53" t="str">
        <f t="shared" si="0"/>
        <v/>
      </c>
      <c r="B36" s="54"/>
      <c r="C36" s="54"/>
      <c r="D36" s="54"/>
      <c r="E36" s="54"/>
      <c r="F36" s="54"/>
      <c r="G36" s="54"/>
      <c r="H36" s="54"/>
      <c r="I36" s="54"/>
      <c r="J36" s="54"/>
      <c r="K36" s="54"/>
      <c r="L36" s="55" t="str">
        <f>IF(OR($B36="", $H36="", $I36="", $J36="", $K36=""),"",ROUND((VLOOKUP($H36,Lists!$E$2:$F$5,2,FALSE())*VLOOKUP($I36,Lists!$H$2:$I$4,2,FALSE())*VLOOKUP($J36,Lists!$K$2:$L$4,2,FALSE()))/VLOOKUP($K36,Lists!$N$2:$O$6,2,FALSE()),2))</f>
        <v/>
      </c>
      <c r="M36" s="54"/>
      <c r="N36" s="54"/>
      <c r="O36" s="54"/>
      <c r="P36" s="54"/>
      <c r="Q36" s="56"/>
      <c r="R36" s="57" t="str">
        <f t="shared" ca="1" si="1"/>
        <v/>
      </c>
      <c r="S36" s="54"/>
      <c r="T36" s="56"/>
      <c r="U36" s="56"/>
      <c r="V36" s="54"/>
      <c r="W36" s="54"/>
      <c r="X36" s="54"/>
      <c r="Y36" s="58"/>
      <c r="Z36" s="58"/>
      <c r="AA36" s="58"/>
    </row>
    <row r="37" spans="1:27" ht="15.75" customHeight="1" x14ac:dyDescent="0.2">
      <c r="A37" s="53" t="str">
        <f t="shared" si="0"/>
        <v/>
      </c>
      <c r="B37" s="59"/>
      <c r="C37" s="59"/>
      <c r="D37" s="59"/>
      <c r="E37" s="59"/>
      <c r="F37" s="59"/>
      <c r="G37" s="59"/>
      <c r="H37" s="59"/>
      <c r="I37" s="59"/>
      <c r="J37" s="59"/>
      <c r="K37" s="59"/>
      <c r="L37" s="55" t="str">
        <f>IF(OR($B37="", $H37="", $I37="", $J37="", $K37=""),"",ROUND((VLOOKUP($H37,Lists!$E$2:$F$5,2,FALSE())*VLOOKUP($I37,Lists!$H$2:$I$4,2,FALSE())*VLOOKUP($J37,Lists!$K$2:$L$4,2,FALSE()))/VLOOKUP($K37,Lists!$N$2:$O$6,2,FALSE()),2))</f>
        <v/>
      </c>
      <c r="M37" s="59"/>
      <c r="N37" s="59"/>
      <c r="O37" s="59"/>
      <c r="P37" s="59"/>
      <c r="Q37" s="60"/>
      <c r="R37" s="57" t="str">
        <f t="shared" ca="1" si="1"/>
        <v/>
      </c>
      <c r="S37" s="59"/>
      <c r="T37" s="60"/>
      <c r="U37" s="60"/>
      <c r="V37" s="59"/>
      <c r="W37" s="59"/>
      <c r="X37" s="59"/>
      <c r="Y37" s="58"/>
      <c r="Z37" s="58"/>
      <c r="AA37" s="58"/>
    </row>
    <row r="38" spans="1:27" ht="15.75" customHeight="1" x14ac:dyDescent="0.2">
      <c r="A38" s="53" t="str">
        <f t="shared" si="0"/>
        <v/>
      </c>
      <c r="B38" s="54"/>
      <c r="C38" s="54"/>
      <c r="D38" s="54"/>
      <c r="E38" s="54"/>
      <c r="F38" s="54"/>
      <c r="G38" s="54"/>
      <c r="H38" s="54"/>
      <c r="I38" s="54"/>
      <c r="J38" s="54"/>
      <c r="K38" s="54"/>
      <c r="L38" s="55" t="str">
        <f>IF(OR($B38="", $H38="", $I38="", $J38="", $K38=""),"",ROUND((VLOOKUP($H38,Lists!$E$2:$F$5,2,FALSE())*VLOOKUP($I38,Lists!$H$2:$I$4,2,FALSE())*VLOOKUP($J38,Lists!$K$2:$L$4,2,FALSE()))/VLOOKUP($K38,Lists!$N$2:$O$6,2,FALSE()),2))</f>
        <v/>
      </c>
      <c r="M38" s="54"/>
      <c r="N38" s="54"/>
      <c r="O38" s="54"/>
      <c r="P38" s="54"/>
      <c r="Q38" s="56"/>
      <c r="R38" s="57" t="str">
        <f t="shared" ca="1" si="1"/>
        <v/>
      </c>
      <c r="S38" s="54"/>
      <c r="T38" s="56"/>
      <c r="U38" s="56"/>
      <c r="V38" s="54"/>
      <c r="W38" s="54"/>
      <c r="X38" s="54"/>
      <c r="Y38" s="58"/>
      <c r="Z38" s="58"/>
      <c r="AA38" s="58"/>
    </row>
    <row r="39" spans="1:27" ht="15.75" customHeight="1" x14ac:dyDescent="0.2">
      <c r="A39" s="53" t="str">
        <f t="shared" si="0"/>
        <v/>
      </c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5" t="str">
        <f>IF(OR($B39="", $H39="", $I39="", $J39="", $K39=""),"",ROUND((VLOOKUP($H39,Lists!$E$2:$F$5,2,FALSE())*VLOOKUP($I39,Lists!$H$2:$I$4,2,FALSE())*VLOOKUP($J39,Lists!$K$2:$L$4,2,FALSE()))/VLOOKUP($K39,Lists!$N$2:$O$6,2,FALSE()),2))</f>
        <v/>
      </c>
      <c r="M39" s="59"/>
      <c r="N39" s="59"/>
      <c r="O39" s="59"/>
      <c r="P39" s="59"/>
      <c r="Q39" s="60"/>
      <c r="R39" s="57" t="str">
        <f t="shared" ca="1" si="1"/>
        <v/>
      </c>
      <c r="S39" s="59"/>
      <c r="T39" s="60"/>
      <c r="U39" s="60"/>
      <c r="V39" s="59"/>
      <c r="W39" s="59"/>
      <c r="X39" s="59"/>
      <c r="Y39" s="58"/>
      <c r="Z39" s="58"/>
      <c r="AA39" s="58"/>
    </row>
    <row r="40" spans="1:27" ht="15.75" customHeight="1" x14ac:dyDescent="0.2">
      <c r="A40" s="53" t="str">
        <f t="shared" si="0"/>
        <v/>
      </c>
      <c r="B40" s="54"/>
      <c r="C40" s="54"/>
      <c r="D40" s="54"/>
      <c r="E40" s="54"/>
      <c r="F40" s="54"/>
      <c r="G40" s="54"/>
      <c r="H40" s="54"/>
      <c r="I40" s="54"/>
      <c r="J40" s="54"/>
      <c r="K40" s="54"/>
      <c r="L40" s="55" t="str">
        <f>IF(OR($B40="", $H40="", $I40="", $J40="", $K40=""),"",ROUND((VLOOKUP($H40,Lists!$E$2:$F$5,2,FALSE())*VLOOKUP($I40,Lists!$H$2:$I$4,2,FALSE())*VLOOKUP($J40,Lists!$K$2:$L$4,2,FALSE()))/VLOOKUP($K40,Lists!$N$2:$O$6,2,FALSE()),2))</f>
        <v/>
      </c>
      <c r="M40" s="54"/>
      <c r="N40" s="54"/>
      <c r="O40" s="54"/>
      <c r="P40" s="54"/>
      <c r="Q40" s="56"/>
      <c r="R40" s="57" t="str">
        <f t="shared" ca="1" si="1"/>
        <v/>
      </c>
      <c r="S40" s="54"/>
      <c r="T40" s="56"/>
      <c r="U40" s="56"/>
      <c r="V40" s="54"/>
      <c r="W40" s="54"/>
      <c r="X40" s="54"/>
      <c r="Y40" s="58"/>
      <c r="Z40" s="58"/>
      <c r="AA40" s="58"/>
    </row>
    <row r="41" spans="1:27" ht="15.75" customHeight="1" x14ac:dyDescent="0.2">
      <c r="A41" s="53" t="str">
        <f t="shared" si="0"/>
        <v/>
      </c>
      <c r="B41" s="59"/>
      <c r="C41" s="59"/>
      <c r="D41" s="59"/>
      <c r="E41" s="59"/>
      <c r="F41" s="59"/>
      <c r="G41" s="59"/>
      <c r="H41" s="59"/>
      <c r="I41" s="59"/>
      <c r="J41" s="59"/>
      <c r="K41" s="59"/>
      <c r="L41" s="55" t="str">
        <f>IF(OR($B41="", $H41="", $I41="", $J41="", $K41=""),"",ROUND((VLOOKUP($H41,Lists!$E$2:$F$5,2,FALSE())*VLOOKUP($I41,Lists!$H$2:$I$4,2,FALSE())*VLOOKUP($J41,Lists!$K$2:$L$4,2,FALSE()))/VLOOKUP($K41,Lists!$N$2:$O$6,2,FALSE()),2))</f>
        <v/>
      </c>
      <c r="M41" s="59"/>
      <c r="N41" s="59"/>
      <c r="O41" s="59"/>
      <c r="P41" s="59"/>
      <c r="Q41" s="60"/>
      <c r="R41" s="57" t="str">
        <f t="shared" ca="1" si="1"/>
        <v/>
      </c>
      <c r="S41" s="59"/>
      <c r="T41" s="60"/>
      <c r="U41" s="60"/>
      <c r="V41" s="59"/>
      <c r="W41" s="59"/>
      <c r="X41" s="59"/>
      <c r="Y41" s="58"/>
      <c r="Z41" s="58"/>
      <c r="AA41" s="58"/>
    </row>
    <row r="42" spans="1:27" ht="15.75" customHeight="1" x14ac:dyDescent="0.2">
      <c r="A42" s="53" t="str">
        <f t="shared" si="0"/>
        <v/>
      </c>
      <c r="B42" s="54"/>
      <c r="C42" s="54"/>
      <c r="D42" s="54"/>
      <c r="E42" s="54"/>
      <c r="F42" s="54"/>
      <c r="G42" s="54"/>
      <c r="H42" s="54"/>
      <c r="I42" s="54"/>
      <c r="J42" s="54"/>
      <c r="K42" s="54"/>
      <c r="L42" s="55" t="str">
        <f>IF(OR($B42="", $H42="", $I42="", $J42="", $K42=""),"",ROUND((VLOOKUP($H42,Lists!$E$2:$F$5,2,FALSE())*VLOOKUP($I42,Lists!$H$2:$I$4,2,FALSE())*VLOOKUP($J42,Lists!$K$2:$L$4,2,FALSE()))/VLOOKUP($K42,Lists!$N$2:$O$6,2,FALSE()),2))</f>
        <v/>
      </c>
      <c r="M42" s="54"/>
      <c r="N42" s="54"/>
      <c r="O42" s="54"/>
      <c r="P42" s="54"/>
      <c r="Q42" s="56"/>
      <c r="R42" s="57" t="str">
        <f t="shared" ca="1" si="1"/>
        <v/>
      </c>
      <c r="S42" s="54"/>
      <c r="T42" s="56"/>
      <c r="U42" s="56"/>
      <c r="V42" s="54"/>
      <c r="W42" s="54"/>
      <c r="X42" s="54"/>
      <c r="Y42" s="58"/>
      <c r="Z42" s="58"/>
      <c r="AA42" s="58"/>
    </row>
    <row r="43" spans="1:27" ht="15.75" customHeight="1" x14ac:dyDescent="0.2">
      <c r="A43" s="53" t="str">
        <f t="shared" si="0"/>
        <v/>
      </c>
      <c r="B43" s="59"/>
      <c r="C43" s="59"/>
      <c r="D43" s="59"/>
      <c r="E43" s="59"/>
      <c r="F43" s="59"/>
      <c r="G43" s="59"/>
      <c r="H43" s="59"/>
      <c r="I43" s="59"/>
      <c r="J43" s="59"/>
      <c r="K43" s="59"/>
      <c r="L43" s="55" t="str">
        <f>IF(OR($B43="", $H43="", $I43="", $J43="", $K43=""),"",ROUND((VLOOKUP($H43,Lists!$E$2:$F$5,2,FALSE())*VLOOKUP($I43,Lists!$H$2:$I$4,2,FALSE())*VLOOKUP($J43,Lists!$K$2:$L$4,2,FALSE()))/VLOOKUP($K43,Lists!$N$2:$O$6,2,FALSE()),2))</f>
        <v/>
      </c>
      <c r="M43" s="59"/>
      <c r="N43" s="59"/>
      <c r="O43" s="59"/>
      <c r="P43" s="59"/>
      <c r="Q43" s="60"/>
      <c r="R43" s="57" t="str">
        <f t="shared" ca="1" si="1"/>
        <v/>
      </c>
      <c r="S43" s="59"/>
      <c r="T43" s="60"/>
      <c r="U43" s="60"/>
      <c r="V43" s="59"/>
      <c r="W43" s="59"/>
      <c r="X43" s="59"/>
      <c r="Y43" s="58"/>
      <c r="Z43" s="58"/>
      <c r="AA43" s="58"/>
    </row>
    <row r="44" spans="1:27" ht="15.75" customHeight="1" x14ac:dyDescent="0.2">
      <c r="A44" s="53" t="str">
        <f t="shared" si="0"/>
        <v/>
      </c>
      <c r="B44" s="54"/>
      <c r="C44" s="54"/>
      <c r="D44" s="54"/>
      <c r="E44" s="54"/>
      <c r="F44" s="54"/>
      <c r="G44" s="54"/>
      <c r="H44" s="54"/>
      <c r="I44" s="54"/>
      <c r="J44" s="54"/>
      <c r="K44" s="54"/>
      <c r="L44" s="55" t="str">
        <f>IF(OR($B44="", $H44="", $I44="", $J44="", $K44=""),"",ROUND((VLOOKUP($H44,Lists!$E$2:$F$5,2,FALSE())*VLOOKUP($I44,Lists!$H$2:$I$4,2,FALSE())*VLOOKUP($J44,Lists!$K$2:$L$4,2,FALSE()))/VLOOKUP($K44,Lists!$N$2:$O$6,2,FALSE()),2))</f>
        <v/>
      </c>
      <c r="M44" s="54"/>
      <c r="N44" s="54"/>
      <c r="O44" s="54"/>
      <c r="P44" s="54"/>
      <c r="Q44" s="56"/>
      <c r="R44" s="57" t="str">
        <f t="shared" ca="1" si="1"/>
        <v/>
      </c>
      <c r="S44" s="54"/>
      <c r="T44" s="56"/>
      <c r="U44" s="56"/>
      <c r="V44" s="54"/>
      <c r="W44" s="54"/>
      <c r="X44" s="54"/>
      <c r="Y44" s="58"/>
      <c r="Z44" s="58"/>
      <c r="AA44" s="58"/>
    </row>
    <row r="45" spans="1:27" ht="15.75" customHeight="1" x14ac:dyDescent="0.2">
      <c r="A45" s="53" t="str">
        <f t="shared" si="0"/>
        <v/>
      </c>
      <c r="B45" s="59"/>
      <c r="C45" s="59"/>
      <c r="D45" s="59"/>
      <c r="E45" s="59"/>
      <c r="F45" s="59"/>
      <c r="G45" s="59"/>
      <c r="H45" s="59"/>
      <c r="I45" s="59"/>
      <c r="J45" s="59"/>
      <c r="K45" s="59"/>
      <c r="L45" s="55" t="str">
        <f>IF(OR($B45="", $H45="", $I45="", $J45="", $K45=""),"",ROUND((VLOOKUP($H45,Lists!$E$2:$F$5,2,FALSE())*VLOOKUP($I45,Lists!$H$2:$I$4,2,FALSE())*VLOOKUP($J45,Lists!$K$2:$L$4,2,FALSE()))/VLOOKUP($K45,Lists!$N$2:$O$6,2,FALSE()),2))</f>
        <v/>
      </c>
      <c r="M45" s="59"/>
      <c r="N45" s="59"/>
      <c r="O45" s="59"/>
      <c r="P45" s="59"/>
      <c r="Q45" s="60"/>
      <c r="R45" s="57" t="str">
        <f t="shared" ca="1" si="1"/>
        <v/>
      </c>
      <c r="S45" s="59"/>
      <c r="T45" s="60"/>
      <c r="U45" s="60"/>
      <c r="V45" s="59"/>
      <c r="W45" s="59"/>
      <c r="X45" s="59"/>
      <c r="Y45" s="58"/>
      <c r="Z45" s="58"/>
      <c r="AA45" s="58"/>
    </row>
    <row r="46" spans="1:27" ht="15.75" customHeight="1" x14ac:dyDescent="0.2">
      <c r="A46" s="53" t="str">
        <f t="shared" si="0"/>
        <v/>
      </c>
      <c r="B46" s="54"/>
      <c r="C46" s="54"/>
      <c r="D46" s="54"/>
      <c r="E46" s="54"/>
      <c r="F46" s="54"/>
      <c r="G46" s="54"/>
      <c r="H46" s="54"/>
      <c r="I46" s="54"/>
      <c r="J46" s="54"/>
      <c r="K46" s="54"/>
      <c r="L46" s="55" t="str">
        <f>IF(OR($B46="", $H46="", $I46="", $J46="", $K46=""),"",ROUND((VLOOKUP($H46,Lists!$E$2:$F$5,2,FALSE())*VLOOKUP($I46,Lists!$H$2:$I$4,2,FALSE())*VLOOKUP($J46,Lists!$K$2:$L$4,2,FALSE()))/VLOOKUP($K46,Lists!$N$2:$O$6,2,FALSE()),2))</f>
        <v/>
      </c>
      <c r="M46" s="54"/>
      <c r="N46" s="54"/>
      <c r="O46" s="54"/>
      <c r="P46" s="54"/>
      <c r="Q46" s="56"/>
      <c r="R46" s="57" t="str">
        <f t="shared" ca="1" si="1"/>
        <v/>
      </c>
      <c r="S46" s="54"/>
      <c r="T46" s="56"/>
      <c r="U46" s="56"/>
      <c r="V46" s="54"/>
      <c r="W46" s="54"/>
      <c r="X46" s="54"/>
      <c r="Y46" s="58"/>
      <c r="Z46" s="58"/>
      <c r="AA46" s="58"/>
    </row>
    <row r="47" spans="1:27" ht="15.75" customHeight="1" x14ac:dyDescent="0.2">
      <c r="A47" s="53" t="str">
        <f t="shared" si="0"/>
        <v/>
      </c>
      <c r="B47" s="59"/>
      <c r="C47" s="59"/>
      <c r="D47" s="59"/>
      <c r="E47" s="59"/>
      <c r="F47" s="59"/>
      <c r="G47" s="59"/>
      <c r="H47" s="59"/>
      <c r="I47" s="59"/>
      <c r="J47" s="59"/>
      <c r="K47" s="59"/>
      <c r="L47" s="55" t="str">
        <f>IF(OR($B47="", $H47="", $I47="", $J47="", $K47=""),"",ROUND((VLOOKUP($H47,Lists!$E$2:$F$5,2,FALSE())*VLOOKUP($I47,Lists!$H$2:$I$4,2,FALSE())*VLOOKUP($J47,Lists!$K$2:$L$4,2,FALSE()))/VLOOKUP($K47,Lists!$N$2:$O$6,2,FALSE()),2))</f>
        <v/>
      </c>
      <c r="M47" s="59"/>
      <c r="N47" s="59"/>
      <c r="O47" s="59"/>
      <c r="P47" s="59"/>
      <c r="Q47" s="60"/>
      <c r="R47" s="57" t="str">
        <f t="shared" ca="1" si="1"/>
        <v/>
      </c>
      <c r="S47" s="59"/>
      <c r="T47" s="60"/>
      <c r="U47" s="60"/>
      <c r="V47" s="59"/>
      <c r="W47" s="59"/>
      <c r="X47" s="59"/>
      <c r="Y47" s="58"/>
      <c r="Z47" s="58"/>
      <c r="AA47" s="58"/>
    </row>
    <row r="48" spans="1:27" ht="15.75" customHeight="1" x14ac:dyDescent="0.2">
      <c r="A48" s="53" t="str">
        <f t="shared" si="0"/>
        <v/>
      </c>
      <c r="B48" s="54"/>
      <c r="C48" s="54"/>
      <c r="D48" s="54"/>
      <c r="E48" s="54"/>
      <c r="F48" s="54"/>
      <c r="G48" s="54"/>
      <c r="H48" s="54"/>
      <c r="I48" s="54"/>
      <c r="J48" s="54"/>
      <c r="K48" s="54"/>
      <c r="L48" s="55" t="str">
        <f>IF(OR($B48="", $H48="", $I48="", $J48="", $K48=""),"",ROUND((VLOOKUP($H48,Lists!$E$2:$F$5,2,FALSE())*VLOOKUP($I48,Lists!$H$2:$I$4,2,FALSE())*VLOOKUP($J48,Lists!$K$2:$L$4,2,FALSE()))/VLOOKUP($K48,Lists!$N$2:$O$6,2,FALSE()),2))</f>
        <v/>
      </c>
      <c r="M48" s="54"/>
      <c r="N48" s="54"/>
      <c r="O48" s="54"/>
      <c r="P48" s="54"/>
      <c r="Q48" s="56"/>
      <c r="R48" s="57" t="str">
        <f t="shared" ca="1" si="1"/>
        <v/>
      </c>
      <c r="S48" s="54"/>
      <c r="T48" s="56"/>
      <c r="U48" s="56"/>
      <c r="V48" s="54"/>
      <c r="W48" s="54"/>
      <c r="X48" s="54"/>
      <c r="Y48" s="58"/>
      <c r="Z48" s="58"/>
      <c r="AA48" s="58"/>
    </row>
    <row r="49" spans="1:27" ht="15.75" customHeight="1" x14ac:dyDescent="0.2">
      <c r="A49" s="53" t="str">
        <f t="shared" si="0"/>
        <v/>
      </c>
      <c r="B49" s="59"/>
      <c r="C49" s="59"/>
      <c r="D49" s="59"/>
      <c r="E49" s="59"/>
      <c r="F49" s="59"/>
      <c r="G49" s="59"/>
      <c r="H49" s="59"/>
      <c r="I49" s="59"/>
      <c r="J49" s="59"/>
      <c r="K49" s="59"/>
      <c r="L49" s="55" t="str">
        <f>IF(OR($B49="", $H49="", $I49="", $J49="", $K49=""),"",ROUND((VLOOKUP($H49,Lists!$E$2:$F$5,2,FALSE())*VLOOKUP($I49,Lists!$H$2:$I$4,2,FALSE())*VLOOKUP($J49,Lists!$K$2:$L$4,2,FALSE()))/VLOOKUP($K49,Lists!$N$2:$O$6,2,FALSE()),2))</f>
        <v/>
      </c>
      <c r="M49" s="59"/>
      <c r="N49" s="59"/>
      <c r="O49" s="59"/>
      <c r="P49" s="59"/>
      <c r="Q49" s="60"/>
      <c r="R49" s="57" t="str">
        <f t="shared" ca="1" si="1"/>
        <v/>
      </c>
      <c r="S49" s="59"/>
      <c r="T49" s="60"/>
      <c r="U49" s="60"/>
      <c r="V49" s="59"/>
      <c r="W49" s="59"/>
      <c r="X49" s="59"/>
      <c r="Y49" s="58"/>
      <c r="Z49" s="58"/>
      <c r="AA49" s="58"/>
    </row>
    <row r="50" spans="1:27" ht="15.75" customHeight="1" x14ac:dyDescent="0.2">
      <c r="A50" s="53" t="str">
        <f t="shared" si="0"/>
        <v/>
      </c>
      <c r="B50" s="54"/>
      <c r="C50" s="54"/>
      <c r="D50" s="54"/>
      <c r="E50" s="54"/>
      <c r="F50" s="54"/>
      <c r="G50" s="54"/>
      <c r="H50" s="54"/>
      <c r="I50" s="54"/>
      <c r="J50" s="54"/>
      <c r="K50" s="54"/>
      <c r="L50" s="55" t="str">
        <f>IF(OR($B50="", $H50="", $I50="", $J50="", $K50=""),"",ROUND((VLOOKUP($H50,Lists!$E$2:$F$5,2,FALSE())*VLOOKUP($I50,Lists!$H$2:$I$4,2,FALSE())*VLOOKUP($J50,Lists!$K$2:$L$4,2,FALSE()))/VLOOKUP($K50,Lists!$N$2:$O$6,2,FALSE()),2))</f>
        <v/>
      </c>
      <c r="M50" s="54"/>
      <c r="N50" s="54"/>
      <c r="O50" s="54"/>
      <c r="P50" s="54"/>
      <c r="Q50" s="56"/>
      <c r="R50" s="57" t="str">
        <f t="shared" ca="1" si="1"/>
        <v/>
      </c>
      <c r="S50" s="54"/>
      <c r="T50" s="56"/>
      <c r="U50" s="56"/>
      <c r="V50" s="54"/>
      <c r="W50" s="54"/>
      <c r="X50" s="54"/>
      <c r="Y50" s="58"/>
      <c r="Z50" s="58"/>
      <c r="AA50" s="58"/>
    </row>
    <row r="51" spans="1:27" ht="15.75" customHeight="1" x14ac:dyDescent="0.2">
      <c r="A51" s="53" t="str">
        <f t="shared" si="0"/>
        <v/>
      </c>
      <c r="B51" s="59"/>
      <c r="C51" s="59"/>
      <c r="D51" s="59"/>
      <c r="E51" s="59"/>
      <c r="F51" s="59"/>
      <c r="G51" s="59"/>
      <c r="H51" s="59"/>
      <c r="I51" s="59"/>
      <c r="J51" s="59"/>
      <c r="K51" s="59"/>
      <c r="L51" s="55" t="str">
        <f>IF(OR($B51="", $H51="", $I51="", $J51="", $K51=""),"",ROUND((VLOOKUP($H51,Lists!$E$2:$F$5,2,FALSE())*VLOOKUP($I51,Lists!$H$2:$I$4,2,FALSE())*VLOOKUP($J51,Lists!$K$2:$L$4,2,FALSE()))/VLOOKUP($K51,Lists!$N$2:$O$6,2,FALSE()),2))</f>
        <v/>
      </c>
      <c r="M51" s="59"/>
      <c r="N51" s="59"/>
      <c r="O51" s="59"/>
      <c r="P51" s="59"/>
      <c r="Q51" s="60"/>
      <c r="R51" s="57" t="str">
        <f t="shared" ca="1" si="1"/>
        <v/>
      </c>
      <c r="S51" s="59"/>
      <c r="T51" s="60"/>
      <c r="U51" s="60"/>
      <c r="V51" s="59"/>
      <c r="W51" s="59"/>
      <c r="X51" s="59"/>
      <c r="Y51" s="58"/>
      <c r="Z51" s="58"/>
      <c r="AA51" s="58"/>
    </row>
    <row r="52" spans="1:27" ht="15.75" customHeight="1" x14ac:dyDescent="0.2">
      <c r="A52" s="53" t="str">
        <f t="shared" si="0"/>
        <v/>
      </c>
      <c r="B52" s="54"/>
      <c r="C52" s="54"/>
      <c r="D52" s="54"/>
      <c r="E52" s="54"/>
      <c r="F52" s="54"/>
      <c r="G52" s="54"/>
      <c r="H52" s="54"/>
      <c r="I52" s="54"/>
      <c r="J52" s="54"/>
      <c r="K52" s="54"/>
      <c r="L52" s="55" t="str">
        <f>IF(OR($B52="", $H52="", $I52="", $J52="", $K52=""),"",ROUND((VLOOKUP($H52,Lists!$E$2:$F$5,2,FALSE())*VLOOKUP($I52,Lists!$H$2:$I$4,2,FALSE())*VLOOKUP($J52,Lists!$K$2:$L$4,2,FALSE()))/VLOOKUP($K52,Lists!$N$2:$O$6,2,FALSE()),2))</f>
        <v/>
      </c>
      <c r="M52" s="54"/>
      <c r="N52" s="54"/>
      <c r="O52" s="54"/>
      <c r="P52" s="54"/>
      <c r="Q52" s="56"/>
      <c r="R52" s="57" t="str">
        <f t="shared" ca="1" si="1"/>
        <v/>
      </c>
      <c r="S52" s="54"/>
      <c r="T52" s="56"/>
      <c r="U52" s="56"/>
      <c r="V52" s="54"/>
      <c r="W52" s="54"/>
      <c r="X52" s="54"/>
      <c r="Y52" s="58"/>
      <c r="Z52" s="58"/>
      <c r="AA52" s="58"/>
    </row>
    <row r="53" spans="1:27" ht="15.75" customHeight="1" x14ac:dyDescent="0.2">
      <c r="A53" s="53" t="str">
        <f t="shared" si="0"/>
        <v/>
      </c>
      <c r="B53" s="59"/>
      <c r="C53" s="59"/>
      <c r="D53" s="59"/>
      <c r="E53" s="59"/>
      <c r="F53" s="59"/>
      <c r="G53" s="59"/>
      <c r="H53" s="59"/>
      <c r="I53" s="59"/>
      <c r="J53" s="59"/>
      <c r="K53" s="59"/>
      <c r="L53" s="55" t="str">
        <f>IF(OR($B53="", $H53="", $I53="", $J53="", $K53=""),"",ROUND((VLOOKUP($H53,Lists!$E$2:$F$5,2,FALSE())*VLOOKUP($I53,Lists!$H$2:$I$4,2,FALSE())*VLOOKUP($J53,Lists!$K$2:$L$4,2,FALSE()))/VLOOKUP($K53,Lists!$N$2:$O$6,2,FALSE()),2))</f>
        <v/>
      </c>
      <c r="M53" s="59"/>
      <c r="N53" s="59"/>
      <c r="O53" s="59"/>
      <c r="P53" s="59"/>
      <c r="Q53" s="60"/>
      <c r="R53" s="57" t="str">
        <f t="shared" ca="1" si="1"/>
        <v/>
      </c>
      <c r="S53" s="59"/>
      <c r="T53" s="60"/>
      <c r="U53" s="60"/>
      <c r="V53" s="59"/>
      <c r="W53" s="59"/>
      <c r="X53" s="59"/>
      <c r="Y53" s="58"/>
      <c r="Z53" s="58"/>
      <c r="AA53" s="58"/>
    </row>
    <row r="54" spans="1:27" ht="15.75" customHeight="1" x14ac:dyDescent="0.2">
      <c r="A54" s="53" t="str">
        <f t="shared" si="0"/>
        <v/>
      </c>
      <c r="B54" s="54"/>
      <c r="C54" s="54"/>
      <c r="D54" s="54"/>
      <c r="E54" s="54"/>
      <c r="F54" s="54"/>
      <c r="G54" s="54"/>
      <c r="H54" s="54"/>
      <c r="I54" s="54"/>
      <c r="J54" s="54"/>
      <c r="K54" s="54"/>
      <c r="L54" s="55" t="str">
        <f>IF(OR($B54="", $H54="", $I54="", $J54="", $K54=""),"",ROUND((VLOOKUP($H54,Lists!$E$2:$F$5,2,FALSE())*VLOOKUP($I54,Lists!$H$2:$I$4,2,FALSE())*VLOOKUP($J54,Lists!$K$2:$L$4,2,FALSE()))/VLOOKUP($K54,Lists!$N$2:$O$6,2,FALSE()),2))</f>
        <v/>
      </c>
      <c r="M54" s="54"/>
      <c r="N54" s="54"/>
      <c r="O54" s="54"/>
      <c r="P54" s="54"/>
      <c r="Q54" s="56"/>
      <c r="R54" s="57" t="str">
        <f t="shared" ca="1" si="1"/>
        <v/>
      </c>
      <c r="S54" s="54"/>
      <c r="T54" s="56"/>
      <c r="U54" s="56"/>
      <c r="V54" s="54"/>
      <c r="W54" s="54"/>
      <c r="X54" s="54"/>
      <c r="Y54" s="58"/>
      <c r="Z54" s="58"/>
      <c r="AA54" s="58"/>
    </row>
    <row r="55" spans="1:27" ht="15.75" customHeight="1" x14ac:dyDescent="0.2">
      <c r="A55" s="53" t="str">
        <f t="shared" si="0"/>
        <v/>
      </c>
      <c r="B55" s="59"/>
      <c r="C55" s="59"/>
      <c r="D55" s="59"/>
      <c r="E55" s="59"/>
      <c r="F55" s="59"/>
      <c r="G55" s="59"/>
      <c r="H55" s="59"/>
      <c r="I55" s="59"/>
      <c r="J55" s="59"/>
      <c r="K55" s="59"/>
      <c r="L55" s="55" t="str">
        <f>IF(OR($B55="", $H55="", $I55="", $J55="", $K55=""),"",ROUND((VLOOKUP($H55,Lists!$E$2:$F$5,2,FALSE())*VLOOKUP($I55,Lists!$H$2:$I$4,2,FALSE())*VLOOKUP($J55,Lists!$K$2:$L$4,2,FALSE()))/VLOOKUP($K55,Lists!$N$2:$O$6,2,FALSE()),2))</f>
        <v/>
      </c>
      <c r="M55" s="59"/>
      <c r="N55" s="59"/>
      <c r="O55" s="59"/>
      <c r="P55" s="59"/>
      <c r="Q55" s="60"/>
      <c r="R55" s="57" t="str">
        <f t="shared" ca="1" si="1"/>
        <v/>
      </c>
      <c r="S55" s="59"/>
      <c r="T55" s="60"/>
      <c r="U55" s="60"/>
      <c r="V55" s="59"/>
      <c r="W55" s="59"/>
      <c r="X55" s="59"/>
      <c r="Y55" s="58"/>
      <c r="Z55" s="58"/>
      <c r="AA55" s="58"/>
    </row>
    <row r="56" spans="1:27" ht="15.75" customHeight="1" x14ac:dyDescent="0.2">
      <c r="A56" s="53" t="str">
        <f t="shared" si="0"/>
        <v/>
      </c>
      <c r="B56" s="54"/>
      <c r="C56" s="54"/>
      <c r="D56" s="54"/>
      <c r="E56" s="54"/>
      <c r="F56" s="54"/>
      <c r="G56" s="54"/>
      <c r="H56" s="54"/>
      <c r="I56" s="54"/>
      <c r="J56" s="54"/>
      <c r="K56" s="54"/>
      <c r="L56" s="55" t="str">
        <f>IF(OR($B56="", $H56="", $I56="", $J56="", $K56=""),"",ROUND((VLOOKUP($H56,Lists!$E$2:$F$5,2,FALSE())*VLOOKUP($I56,Lists!$H$2:$I$4,2,FALSE())*VLOOKUP($J56,Lists!$K$2:$L$4,2,FALSE()))/VLOOKUP($K56,Lists!$N$2:$O$6,2,FALSE()),2))</f>
        <v/>
      </c>
      <c r="M56" s="54"/>
      <c r="N56" s="54"/>
      <c r="O56" s="54"/>
      <c r="P56" s="54"/>
      <c r="Q56" s="56"/>
      <c r="R56" s="57" t="str">
        <f t="shared" ca="1" si="1"/>
        <v/>
      </c>
      <c r="S56" s="54"/>
      <c r="T56" s="56"/>
      <c r="U56" s="56"/>
      <c r="V56" s="54"/>
      <c r="W56" s="54"/>
      <c r="X56" s="54"/>
      <c r="Y56" s="58"/>
      <c r="Z56" s="58"/>
      <c r="AA56" s="58"/>
    </row>
    <row r="57" spans="1:27" ht="15.75" customHeight="1" x14ac:dyDescent="0.2">
      <c r="A57" s="53" t="str">
        <f t="shared" si="0"/>
        <v/>
      </c>
      <c r="B57" s="59"/>
      <c r="C57" s="59"/>
      <c r="D57" s="59"/>
      <c r="E57" s="59"/>
      <c r="F57" s="59"/>
      <c r="G57" s="59"/>
      <c r="H57" s="59"/>
      <c r="I57" s="59"/>
      <c r="J57" s="59"/>
      <c r="K57" s="59"/>
      <c r="L57" s="55" t="str">
        <f>IF(OR($B57="", $H57="", $I57="", $J57="", $K57=""),"",ROUND((VLOOKUP($H57,Lists!$E$2:$F$5,2,FALSE())*VLOOKUP($I57,Lists!$H$2:$I$4,2,FALSE())*VLOOKUP($J57,Lists!$K$2:$L$4,2,FALSE()))/VLOOKUP($K57,Lists!$N$2:$O$6,2,FALSE()),2))</f>
        <v/>
      </c>
      <c r="M57" s="59"/>
      <c r="N57" s="59"/>
      <c r="O57" s="59"/>
      <c r="P57" s="59"/>
      <c r="Q57" s="60"/>
      <c r="R57" s="57" t="str">
        <f t="shared" ca="1" si="1"/>
        <v/>
      </c>
      <c r="S57" s="59"/>
      <c r="T57" s="60"/>
      <c r="U57" s="60"/>
      <c r="V57" s="59"/>
      <c r="W57" s="59"/>
      <c r="X57" s="59"/>
      <c r="Y57" s="58"/>
      <c r="Z57" s="58"/>
      <c r="AA57" s="58"/>
    </row>
    <row r="58" spans="1:27" ht="15.75" customHeight="1" x14ac:dyDescent="0.2">
      <c r="A58" s="53" t="str">
        <f t="shared" si="0"/>
        <v/>
      </c>
      <c r="B58" s="54"/>
      <c r="C58" s="54"/>
      <c r="D58" s="54"/>
      <c r="E58" s="54"/>
      <c r="F58" s="54"/>
      <c r="G58" s="54"/>
      <c r="H58" s="54"/>
      <c r="I58" s="54"/>
      <c r="J58" s="54"/>
      <c r="K58" s="54"/>
      <c r="L58" s="55" t="str">
        <f>IF(OR($B58="", $H58="", $I58="", $J58="", $K58=""),"",ROUND((VLOOKUP($H58,Lists!$E$2:$F$5,2,FALSE())*VLOOKUP($I58,Lists!$H$2:$I$4,2,FALSE())*VLOOKUP($J58,Lists!$K$2:$L$4,2,FALSE()))/VLOOKUP($K58,Lists!$N$2:$O$6,2,FALSE()),2))</f>
        <v/>
      </c>
      <c r="M58" s="54"/>
      <c r="N58" s="54"/>
      <c r="O58" s="54"/>
      <c r="P58" s="54"/>
      <c r="Q58" s="56"/>
      <c r="R58" s="57" t="str">
        <f t="shared" ca="1" si="1"/>
        <v/>
      </c>
      <c r="S58" s="54"/>
      <c r="T58" s="56"/>
      <c r="U58" s="56"/>
      <c r="V58" s="54"/>
      <c r="W58" s="54"/>
      <c r="X58" s="54"/>
      <c r="Y58" s="58"/>
      <c r="Z58" s="58"/>
      <c r="AA58" s="58"/>
    </row>
    <row r="59" spans="1:27" ht="15.75" customHeight="1" x14ac:dyDescent="0.2">
      <c r="A59" s="53" t="str">
        <f t="shared" si="0"/>
        <v/>
      </c>
      <c r="B59" s="59"/>
      <c r="C59" s="59"/>
      <c r="D59" s="59"/>
      <c r="E59" s="59"/>
      <c r="F59" s="59"/>
      <c r="G59" s="59"/>
      <c r="H59" s="59"/>
      <c r="I59" s="59"/>
      <c r="J59" s="59"/>
      <c r="K59" s="59"/>
      <c r="L59" s="55" t="str">
        <f>IF(OR($B59="", $H59="", $I59="", $J59="", $K59=""),"",ROUND((VLOOKUP($H59,Lists!$E$2:$F$5,2,FALSE())*VLOOKUP($I59,Lists!$H$2:$I$4,2,FALSE())*VLOOKUP($J59,Lists!$K$2:$L$4,2,FALSE()))/VLOOKUP($K59,Lists!$N$2:$O$6,2,FALSE()),2))</f>
        <v/>
      </c>
      <c r="M59" s="59"/>
      <c r="N59" s="59"/>
      <c r="O59" s="59"/>
      <c r="P59" s="59"/>
      <c r="Q59" s="60"/>
      <c r="R59" s="57" t="str">
        <f t="shared" ca="1" si="1"/>
        <v/>
      </c>
      <c r="S59" s="59"/>
      <c r="T59" s="60"/>
      <c r="U59" s="60"/>
      <c r="V59" s="59"/>
      <c r="W59" s="59"/>
      <c r="X59" s="59"/>
      <c r="Y59" s="58"/>
      <c r="Z59" s="58"/>
      <c r="AA59" s="58"/>
    </row>
    <row r="60" spans="1:27" ht="15.75" customHeight="1" x14ac:dyDescent="0.2">
      <c r="A60" s="61" t="str">
        <f t="shared" si="0"/>
        <v/>
      </c>
      <c r="B60" s="62"/>
      <c r="C60" s="62"/>
      <c r="D60" s="62"/>
      <c r="E60" s="62"/>
      <c r="F60" s="63"/>
      <c r="G60" s="63"/>
      <c r="H60" s="63"/>
      <c r="I60" s="63"/>
      <c r="J60" s="63"/>
      <c r="K60" s="63"/>
      <c r="L60" s="64" t="str">
        <f>IF(OR($B60="", $H60="", $I60="", $J60="", $K60=""),"",ROUND((VLOOKUP($H60,Lists!$E$2:$F$5,2,FALSE())*VLOOKUP($I60,Lists!$H$2:$I$4,2,FALSE())*VLOOKUP($J60,Lists!$K$2:$L$4,2,FALSE()))/VLOOKUP($K60,Lists!$N$2:$O$6,2,FALSE()),2))</f>
        <v/>
      </c>
      <c r="M60" s="63"/>
      <c r="N60" s="63"/>
      <c r="O60" s="62"/>
      <c r="P60" s="63"/>
      <c r="Q60" s="65"/>
      <c r="R60" s="66" t="str">
        <f t="shared" ca="1" si="1"/>
        <v/>
      </c>
      <c r="S60" s="63"/>
      <c r="T60" s="65"/>
      <c r="U60" s="65"/>
      <c r="V60" s="62"/>
      <c r="W60" s="62"/>
      <c r="X60" s="62"/>
      <c r="Y60" s="58"/>
      <c r="Z60" s="58"/>
      <c r="AA60" s="58"/>
    </row>
    <row r="61" spans="1:27" ht="15.75" customHeight="1" x14ac:dyDescent="0.2">
      <c r="A61" s="61" t="str">
        <f t="shared" si="0"/>
        <v/>
      </c>
      <c r="B61" s="62"/>
      <c r="C61" s="62"/>
      <c r="D61" s="62"/>
      <c r="E61" s="62"/>
      <c r="F61" s="63"/>
      <c r="G61" s="63"/>
      <c r="H61" s="63"/>
      <c r="I61" s="63"/>
      <c r="J61" s="63"/>
      <c r="K61" s="63"/>
      <c r="L61" s="64" t="str">
        <f>IF(OR($B61="", $H61="", $I61="", $J61="", $K61=""),"",ROUND((VLOOKUP($H61,Lists!$E$2:$F$5,2,FALSE())*VLOOKUP($I61,Lists!$H$2:$I$4,2,FALSE())*VLOOKUP($J61,Lists!$K$2:$L$4,2,FALSE()))/VLOOKUP($K61,Lists!$N$2:$O$6,2,FALSE()),2))</f>
        <v/>
      </c>
      <c r="M61" s="63"/>
      <c r="N61" s="63"/>
      <c r="O61" s="62"/>
      <c r="P61" s="63"/>
      <c r="Q61" s="65"/>
      <c r="R61" s="66" t="str">
        <f t="shared" ca="1" si="1"/>
        <v/>
      </c>
      <c r="S61" s="63"/>
      <c r="T61" s="65"/>
      <c r="U61" s="65"/>
      <c r="V61" s="62"/>
      <c r="W61" s="62"/>
      <c r="X61" s="62"/>
      <c r="Y61" s="58"/>
      <c r="Z61" s="58"/>
      <c r="AA61" s="58"/>
    </row>
    <row r="62" spans="1:27" ht="15.75" customHeight="1" x14ac:dyDescent="0.2">
      <c r="A62" s="61" t="str">
        <f t="shared" si="0"/>
        <v/>
      </c>
      <c r="B62" s="62"/>
      <c r="C62" s="62"/>
      <c r="D62" s="62"/>
      <c r="E62" s="62"/>
      <c r="F62" s="63"/>
      <c r="G62" s="63"/>
      <c r="H62" s="63"/>
      <c r="I62" s="63"/>
      <c r="J62" s="63"/>
      <c r="K62" s="63"/>
      <c r="L62" s="64" t="str">
        <f>IF(OR($B62="", $H62="", $I62="", $J62="", $K62=""),"",ROUND((VLOOKUP($H62,Lists!$E$2:$F$5,2,FALSE())*VLOOKUP($I62,Lists!$H$2:$I$4,2,FALSE())*VLOOKUP($J62,Lists!$K$2:$L$4,2,FALSE()))/VLOOKUP($K62,Lists!$N$2:$O$6,2,FALSE()),2))</f>
        <v/>
      </c>
      <c r="M62" s="63"/>
      <c r="N62" s="63"/>
      <c r="O62" s="62"/>
      <c r="P62" s="63"/>
      <c r="Q62" s="65"/>
      <c r="R62" s="66" t="str">
        <f t="shared" ca="1" si="1"/>
        <v/>
      </c>
      <c r="S62" s="63"/>
      <c r="T62" s="65"/>
      <c r="U62" s="65"/>
      <c r="V62" s="62"/>
      <c r="W62" s="62"/>
      <c r="X62" s="62"/>
      <c r="Y62" s="58"/>
      <c r="Z62" s="58"/>
      <c r="AA62" s="58"/>
    </row>
    <row r="63" spans="1:27" ht="15.75" customHeight="1" x14ac:dyDescent="0.2">
      <c r="A63" s="61" t="str">
        <f t="shared" si="0"/>
        <v/>
      </c>
      <c r="B63" s="62"/>
      <c r="C63" s="62"/>
      <c r="D63" s="62"/>
      <c r="E63" s="62"/>
      <c r="F63" s="63"/>
      <c r="G63" s="63"/>
      <c r="H63" s="63"/>
      <c r="I63" s="63"/>
      <c r="J63" s="63"/>
      <c r="K63" s="63"/>
      <c r="L63" s="64" t="str">
        <f>IF(OR($B63="", $H63="", $I63="", $J63="", $K63=""),"",ROUND((VLOOKUP($H63,Lists!$E$2:$F$5,2,FALSE())*VLOOKUP($I63,Lists!$H$2:$I$4,2,FALSE())*VLOOKUP($J63,Lists!$K$2:$L$4,2,FALSE()))/VLOOKUP($K63,Lists!$N$2:$O$6,2,FALSE()),2))</f>
        <v/>
      </c>
      <c r="M63" s="63"/>
      <c r="N63" s="63"/>
      <c r="O63" s="62"/>
      <c r="P63" s="63"/>
      <c r="Q63" s="65"/>
      <c r="R63" s="66" t="str">
        <f t="shared" ca="1" si="1"/>
        <v/>
      </c>
      <c r="S63" s="63"/>
      <c r="T63" s="65"/>
      <c r="U63" s="65"/>
      <c r="V63" s="62"/>
      <c r="W63" s="62"/>
      <c r="X63" s="62"/>
      <c r="Y63" s="58"/>
      <c r="Z63" s="58"/>
      <c r="AA63" s="58"/>
    </row>
    <row r="64" spans="1:27" ht="15.75" customHeight="1" x14ac:dyDescent="0.2">
      <c r="A64" s="61" t="str">
        <f t="shared" si="0"/>
        <v/>
      </c>
      <c r="B64" s="62"/>
      <c r="C64" s="62"/>
      <c r="D64" s="62"/>
      <c r="E64" s="62"/>
      <c r="F64" s="63"/>
      <c r="G64" s="63"/>
      <c r="H64" s="63"/>
      <c r="I64" s="63"/>
      <c r="J64" s="63"/>
      <c r="K64" s="63"/>
      <c r="L64" s="64" t="str">
        <f>IF(OR($B64="", $H64="", $I64="", $J64="", $K64=""),"",ROUND((VLOOKUP($H64,Lists!$E$2:$F$5,2,FALSE())*VLOOKUP($I64,Lists!$H$2:$I$4,2,FALSE())*VLOOKUP($J64,Lists!$K$2:$L$4,2,FALSE()))/VLOOKUP($K64,Lists!$N$2:$O$6,2,FALSE()),2))</f>
        <v/>
      </c>
      <c r="M64" s="63"/>
      <c r="N64" s="63"/>
      <c r="O64" s="62"/>
      <c r="P64" s="63"/>
      <c r="Q64" s="65"/>
      <c r="R64" s="66" t="str">
        <f t="shared" ca="1" si="1"/>
        <v/>
      </c>
      <c r="S64" s="63"/>
      <c r="T64" s="65"/>
      <c r="U64" s="65"/>
      <c r="V64" s="62"/>
      <c r="W64" s="62"/>
      <c r="X64" s="62"/>
      <c r="Y64" s="58"/>
      <c r="Z64" s="58"/>
      <c r="AA64" s="58"/>
    </row>
    <row r="65" spans="1:27" ht="15.75" customHeight="1" x14ac:dyDescent="0.2">
      <c r="A65" s="61" t="str">
        <f t="shared" si="0"/>
        <v/>
      </c>
      <c r="B65" s="62"/>
      <c r="C65" s="62"/>
      <c r="D65" s="62"/>
      <c r="E65" s="62"/>
      <c r="F65" s="63"/>
      <c r="G65" s="63"/>
      <c r="H65" s="63"/>
      <c r="I65" s="63"/>
      <c r="J65" s="63"/>
      <c r="K65" s="63"/>
      <c r="L65" s="64" t="str">
        <f>IF(OR($B65="", $H65="", $I65="", $J65="", $K65=""),"",ROUND((VLOOKUP($H65,Lists!$E$2:$F$5,2,FALSE())*VLOOKUP($I65,Lists!$H$2:$I$4,2,FALSE())*VLOOKUP($J65,Lists!$K$2:$L$4,2,FALSE()))/VLOOKUP($K65,Lists!$N$2:$O$6,2,FALSE()),2))</f>
        <v/>
      </c>
      <c r="M65" s="63"/>
      <c r="N65" s="63"/>
      <c r="O65" s="62"/>
      <c r="P65" s="63"/>
      <c r="Q65" s="65"/>
      <c r="R65" s="66" t="str">
        <f t="shared" ca="1" si="1"/>
        <v/>
      </c>
      <c r="S65" s="63"/>
      <c r="T65" s="65"/>
      <c r="U65" s="65"/>
      <c r="V65" s="62"/>
      <c r="W65" s="62"/>
      <c r="X65" s="62"/>
      <c r="Y65" s="58"/>
      <c r="Z65" s="58"/>
      <c r="AA65" s="58"/>
    </row>
    <row r="66" spans="1:27" ht="15.75" customHeight="1" x14ac:dyDescent="0.2">
      <c r="A66" s="61" t="str">
        <f t="shared" ref="A66:A129" si="2">IF($B66="","", "TD-" &amp; RIGHT("0000"&amp;ROW()-1,4))</f>
        <v/>
      </c>
      <c r="B66" s="62"/>
      <c r="C66" s="62"/>
      <c r="D66" s="62"/>
      <c r="E66" s="62"/>
      <c r="F66" s="63"/>
      <c r="G66" s="63"/>
      <c r="H66" s="63"/>
      <c r="I66" s="63"/>
      <c r="J66" s="63"/>
      <c r="K66" s="63"/>
      <c r="L66" s="64" t="str">
        <f>IF(OR($B66="", $H66="", $I66="", $J66="", $K66=""),"",ROUND((VLOOKUP($H66,Lists!$E$2:$F$5,2,FALSE())*VLOOKUP($I66,Lists!$H$2:$I$4,2,FALSE())*VLOOKUP($J66,Lists!$K$2:$L$4,2,FALSE()))/VLOOKUP($K66,Lists!$N$2:$O$6,2,FALSE()),2))</f>
        <v/>
      </c>
      <c r="M66" s="63"/>
      <c r="N66" s="63"/>
      <c r="O66" s="62"/>
      <c r="P66" s="63"/>
      <c r="Q66" s="65"/>
      <c r="R66" s="66" t="str">
        <f t="shared" ref="R66:R129" ca="1" si="3">IF($Q66="","", TODAY()-$Q66)</f>
        <v/>
      </c>
      <c r="S66" s="63"/>
      <c r="T66" s="65"/>
      <c r="U66" s="65"/>
      <c r="V66" s="62"/>
      <c r="W66" s="62"/>
      <c r="X66" s="62"/>
      <c r="Y66" s="58"/>
      <c r="Z66" s="58"/>
      <c r="AA66" s="58"/>
    </row>
    <row r="67" spans="1:27" ht="15.75" customHeight="1" x14ac:dyDescent="0.2">
      <c r="A67" s="61" t="str">
        <f t="shared" si="2"/>
        <v/>
      </c>
      <c r="B67" s="62"/>
      <c r="C67" s="62"/>
      <c r="D67" s="62"/>
      <c r="E67" s="62"/>
      <c r="F67" s="63"/>
      <c r="G67" s="63"/>
      <c r="H67" s="63"/>
      <c r="I67" s="63"/>
      <c r="J67" s="63"/>
      <c r="K67" s="63"/>
      <c r="L67" s="64" t="str">
        <f>IF(OR($B67="", $H67="", $I67="", $J67="", $K67=""),"",ROUND((VLOOKUP($H67,Lists!$E$2:$F$5,2,FALSE())*VLOOKUP($I67,Lists!$H$2:$I$4,2,FALSE())*VLOOKUP($J67,Lists!$K$2:$L$4,2,FALSE()))/VLOOKUP($K67,Lists!$N$2:$O$6,2,FALSE()),2))</f>
        <v/>
      </c>
      <c r="M67" s="63"/>
      <c r="N67" s="63"/>
      <c r="O67" s="62"/>
      <c r="P67" s="63"/>
      <c r="Q67" s="65"/>
      <c r="R67" s="66" t="str">
        <f t="shared" ca="1" si="3"/>
        <v/>
      </c>
      <c r="S67" s="63"/>
      <c r="T67" s="65"/>
      <c r="U67" s="65"/>
      <c r="V67" s="62"/>
      <c r="W67" s="62"/>
      <c r="X67" s="62"/>
      <c r="Y67" s="58"/>
      <c r="Z67" s="58"/>
      <c r="AA67" s="58"/>
    </row>
    <row r="68" spans="1:27" ht="15.75" customHeight="1" x14ac:dyDescent="0.2">
      <c r="A68" s="61" t="str">
        <f t="shared" si="2"/>
        <v/>
      </c>
      <c r="B68" s="62"/>
      <c r="C68" s="62"/>
      <c r="D68" s="62"/>
      <c r="E68" s="62"/>
      <c r="F68" s="63"/>
      <c r="G68" s="63"/>
      <c r="H68" s="63"/>
      <c r="I68" s="63"/>
      <c r="J68" s="63"/>
      <c r="K68" s="63"/>
      <c r="L68" s="64" t="str">
        <f>IF(OR($B68="", $H68="", $I68="", $J68="", $K68=""),"",ROUND((VLOOKUP($H68,Lists!$E$2:$F$5,2,FALSE())*VLOOKUP($I68,Lists!$H$2:$I$4,2,FALSE())*VLOOKUP($J68,Lists!$K$2:$L$4,2,FALSE()))/VLOOKUP($K68,Lists!$N$2:$O$6,2,FALSE()),2))</f>
        <v/>
      </c>
      <c r="M68" s="63"/>
      <c r="N68" s="63"/>
      <c r="O68" s="62"/>
      <c r="P68" s="63"/>
      <c r="Q68" s="65"/>
      <c r="R68" s="66" t="str">
        <f t="shared" ca="1" si="3"/>
        <v/>
      </c>
      <c r="S68" s="63"/>
      <c r="T68" s="65"/>
      <c r="U68" s="65"/>
      <c r="V68" s="62"/>
      <c r="W68" s="62"/>
      <c r="X68" s="62"/>
      <c r="Y68" s="58"/>
      <c r="Z68" s="58"/>
      <c r="AA68" s="58"/>
    </row>
    <row r="69" spans="1:27" ht="15.75" customHeight="1" x14ac:dyDescent="0.2">
      <c r="A69" s="61" t="str">
        <f t="shared" si="2"/>
        <v/>
      </c>
      <c r="B69" s="62"/>
      <c r="C69" s="62"/>
      <c r="D69" s="62"/>
      <c r="E69" s="62"/>
      <c r="F69" s="63"/>
      <c r="G69" s="63"/>
      <c r="H69" s="63"/>
      <c r="I69" s="63"/>
      <c r="J69" s="63"/>
      <c r="K69" s="63"/>
      <c r="L69" s="64" t="str">
        <f>IF(OR($B69="", $H69="", $I69="", $J69="", $K69=""),"",ROUND((VLOOKUP($H69,Lists!$E$2:$F$5,2,FALSE())*VLOOKUP($I69,Lists!$H$2:$I$4,2,FALSE())*VLOOKUP($J69,Lists!$K$2:$L$4,2,FALSE()))/VLOOKUP($K69,Lists!$N$2:$O$6,2,FALSE()),2))</f>
        <v/>
      </c>
      <c r="M69" s="63"/>
      <c r="N69" s="63"/>
      <c r="O69" s="62"/>
      <c r="P69" s="63"/>
      <c r="Q69" s="65"/>
      <c r="R69" s="66" t="str">
        <f t="shared" ca="1" si="3"/>
        <v/>
      </c>
      <c r="S69" s="63"/>
      <c r="T69" s="65"/>
      <c r="U69" s="65"/>
      <c r="V69" s="62"/>
      <c r="W69" s="62"/>
      <c r="X69" s="62"/>
      <c r="Y69" s="58"/>
      <c r="Z69" s="58"/>
      <c r="AA69" s="58"/>
    </row>
    <row r="70" spans="1:27" ht="15.75" customHeight="1" x14ac:dyDescent="0.2">
      <c r="A70" s="61" t="str">
        <f t="shared" si="2"/>
        <v/>
      </c>
      <c r="B70" s="62"/>
      <c r="C70" s="62"/>
      <c r="D70" s="62"/>
      <c r="E70" s="62"/>
      <c r="F70" s="63"/>
      <c r="G70" s="63"/>
      <c r="H70" s="63"/>
      <c r="I70" s="63"/>
      <c r="J70" s="63"/>
      <c r="K70" s="63"/>
      <c r="L70" s="64" t="str">
        <f>IF(OR($B70="", $H70="", $I70="", $J70="", $K70=""),"",ROUND((VLOOKUP($H70,Lists!$E$2:$F$5,2,FALSE())*VLOOKUP($I70,Lists!$H$2:$I$4,2,FALSE())*VLOOKUP($J70,Lists!$K$2:$L$4,2,FALSE()))/VLOOKUP($K70,Lists!$N$2:$O$6,2,FALSE()),2))</f>
        <v/>
      </c>
      <c r="M70" s="63"/>
      <c r="N70" s="63"/>
      <c r="O70" s="62"/>
      <c r="P70" s="63"/>
      <c r="Q70" s="65"/>
      <c r="R70" s="66" t="str">
        <f t="shared" ca="1" si="3"/>
        <v/>
      </c>
      <c r="S70" s="63"/>
      <c r="T70" s="65"/>
      <c r="U70" s="65"/>
      <c r="V70" s="62"/>
      <c r="W70" s="62"/>
      <c r="X70" s="62"/>
      <c r="Y70" s="58"/>
      <c r="Z70" s="58"/>
      <c r="AA70" s="58"/>
    </row>
    <row r="71" spans="1:27" ht="15.75" customHeight="1" x14ac:dyDescent="0.2">
      <c r="A71" s="61" t="str">
        <f t="shared" si="2"/>
        <v/>
      </c>
      <c r="B71" s="62"/>
      <c r="C71" s="62"/>
      <c r="D71" s="62"/>
      <c r="E71" s="62"/>
      <c r="F71" s="63"/>
      <c r="G71" s="63"/>
      <c r="H71" s="63"/>
      <c r="I71" s="63"/>
      <c r="J71" s="63"/>
      <c r="K71" s="63"/>
      <c r="L71" s="64" t="str">
        <f>IF(OR($B71="", $H71="", $I71="", $J71="", $K71=""),"",ROUND((VLOOKUP($H71,Lists!$E$2:$F$5,2,FALSE())*VLOOKUP($I71,Lists!$H$2:$I$4,2,FALSE())*VLOOKUP($J71,Lists!$K$2:$L$4,2,FALSE()))/VLOOKUP($K71,Lists!$N$2:$O$6,2,FALSE()),2))</f>
        <v/>
      </c>
      <c r="M71" s="63"/>
      <c r="N71" s="63"/>
      <c r="O71" s="62"/>
      <c r="P71" s="63"/>
      <c r="Q71" s="65"/>
      <c r="R71" s="66" t="str">
        <f t="shared" ca="1" si="3"/>
        <v/>
      </c>
      <c r="S71" s="63"/>
      <c r="T71" s="65"/>
      <c r="U71" s="65"/>
      <c r="V71" s="62"/>
      <c r="W71" s="62"/>
      <c r="X71" s="62"/>
      <c r="Y71" s="58"/>
      <c r="Z71" s="58"/>
      <c r="AA71" s="58"/>
    </row>
    <row r="72" spans="1:27" ht="15.75" customHeight="1" x14ac:dyDescent="0.2">
      <c r="A72" s="61" t="str">
        <f t="shared" si="2"/>
        <v/>
      </c>
      <c r="B72" s="62"/>
      <c r="C72" s="62"/>
      <c r="D72" s="62"/>
      <c r="E72" s="62"/>
      <c r="F72" s="63"/>
      <c r="G72" s="63"/>
      <c r="H72" s="63"/>
      <c r="I72" s="63"/>
      <c r="J72" s="63"/>
      <c r="K72" s="63"/>
      <c r="L72" s="64" t="str">
        <f>IF(OR($B72="", $H72="", $I72="", $J72="", $K72=""),"",ROUND((VLOOKUP($H72,Lists!$E$2:$F$5,2,FALSE())*VLOOKUP($I72,Lists!$H$2:$I$4,2,FALSE())*VLOOKUP($J72,Lists!$K$2:$L$4,2,FALSE()))/VLOOKUP($K72,Lists!$N$2:$O$6,2,FALSE()),2))</f>
        <v/>
      </c>
      <c r="M72" s="63"/>
      <c r="N72" s="63"/>
      <c r="O72" s="62"/>
      <c r="P72" s="63"/>
      <c r="Q72" s="65"/>
      <c r="R72" s="66" t="str">
        <f t="shared" ca="1" si="3"/>
        <v/>
      </c>
      <c r="S72" s="63"/>
      <c r="T72" s="65"/>
      <c r="U72" s="65"/>
      <c r="V72" s="62"/>
      <c r="W72" s="62"/>
      <c r="X72" s="62"/>
      <c r="Y72" s="58"/>
      <c r="Z72" s="58"/>
      <c r="AA72" s="58"/>
    </row>
    <row r="73" spans="1:27" ht="15.75" customHeight="1" x14ac:dyDescent="0.2">
      <c r="A73" s="61" t="str">
        <f t="shared" si="2"/>
        <v/>
      </c>
      <c r="B73" s="62"/>
      <c r="C73" s="62"/>
      <c r="D73" s="62"/>
      <c r="E73" s="62"/>
      <c r="F73" s="63"/>
      <c r="G73" s="63"/>
      <c r="H73" s="63"/>
      <c r="I73" s="63"/>
      <c r="J73" s="63"/>
      <c r="K73" s="63"/>
      <c r="L73" s="64" t="str">
        <f>IF(OR($B73="", $H73="", $I73="", $J73="", $K73=""),"",ROUND((VLOOKUP($H73,Lists!$E$2:$F$5,2,FALSE())*VLOOKUP($I73,Lists!$H$2:$I$4,2,FALSE())*VLOOKUP($J73,Lists!$K$2:$L$4,2,FALSE()))/VLOOKUP($K73,Lists!$N$2:$O$6,2,FALSE()),2))</f>
        <v/>
      </c>
      <c r="M73" s="63"/>
      <c r="N73" s="63"/>
      <c r="O73" s="62"/>
      <c r="P73" s="63"/>
      <c r="Q73" s="65"/>
      <c r="R73" s="66" t="str">
        <f t="shared" ca="1" si="3"/>
        <v/>
      </c>
      <c r="S73" s="63"/>
      <c r="T73" s="65"/>
      <c r="U73" s="65"/>
      <c r="V73" s="62"/>
      <c r="W73" s="62"/>
      <c r="X73" s="62"/>
      <c r="Y73" s="58"/>
      <c r="Z73" s="58"/>
      <c r="AA73" s="58"/>
    </row>
    <row r="74" spans="1:27" ht="15.75" customHeight="1" x14ac:dyDescent="0.2">
      <c r="A74" s="61" t="str">
        <f t="shared" si="2"/>
        <v/>
      </c>
      <c r="B74" s="62"/>
      <c r="C74" s="62"/>
      <c r="D74" s="62"/>
      <c r="E74" s="62"/>
      <c r="F74" s="63"/>
      <c r="G74" s="63"/>
      <c r="H74" s="63"/>
      <c r="I74" s="63"/>
      <c r="J74" s="63"/>
      <c r="K74" s="63"/>
      <c r="L74" s="64" t="str">
        <f>IF(OR($B74="", $H74="", $I74="", $J74="", $K74=""),"",ROUND((VLOOKUP($H74,Lists!$E$2:$F$5,2,FALSE())*VLOOKUP($I74,Lists!$H$2:$I$4,2,FALSE())*VLOOKUP($J74,Lists!$K$2:$L$4,2,FALSE()))/VLOOKUP($K74,Lists!$N$2:$O$6,2,FALSE()),2))</f>
        <v/>
      </c>
      <c r="M74" s="63"/>
      <c r="N74" s="63"/>
      <c r="O74" s="62"/>
      <c r="P74" s="63"/>
      <c r="Q74" s="65"/>
      <c r="R74" s="66" t="str">
        <f t="shared" ca="1" si="3"/>
        <v/>
      </c>
      <c r="S74" s="63"/>
      <c r="T74" s="65"/>
      <c r="U74" s="65"/>
      <c r="V74" s="62"/>
      <c r="W74" s="62"/>
      <c r="X74" s="62"/>
      <c r="Y74" s="58"/>
      <c r="Z74" s="58"/>
      <c r="AA74" s="58"/>
    </row>
    <row r="75" spans="1:27" ht="15.75" customHeight="1" x14ac:dyDescent="0.2">
      <c r="A75" s="61" t="str">
        <f t="shared" si="2"/>
        <v/>
      </c>
      <c r="B75" s="62"/>
      <c r="C75" s="62"/>
      <c r="D75" s="62"/>
      <c r="E75" s="62"/>
      <c r="F75" s="63"/>
      <c r="G75" s="63"/>
      <c r="H75" s="63"/>
      <c r="I75" s="63"/>
      <c r="J75" s="63"/>
      <c r="K75" s="63"/>
      <c r="L75" s="64" t="str">
        <f>IF(OR($B75="", $H75="", $I75="", $J75="", $K75=""),"",ROUND((VLOOKUP($H75,Lists!$E$2:$F$5,2,FALSE())*VLOOKUP($I75,Lists!$H$2:$I$4,2,FALSE())*VLOOKUP($J75,Lists!$K$2:$L$4,2,FALSE()))/VLOOKUP($K75,Lists!$N$2:$O$6,2,FALSE()),2))</f>
        <v/>
      </c>
      <c r="M75" s="63"/>
      <c r="N75" s="63"/>
      <c r="O75" s="62"/>
      <c r="P75" s="63"/>
      <c r="Q75" s="65"/>
      <c r="R75" s="66" t="str">
        <f t="shared" ca="1" si="3"/>
        <v/>
      </c>
      <c r="S75" s="63"/>
      <c r="T75" s="65"/>
      <c r="U75" s="65"/>
      <c r="V75" s="62"/>
      <c r="W75" s="62"/>
      <c r="X75" s="62"/>
      <c r="Y75" s="58"/>
      <c r="Z75" s="58"/>
      <c r="AA75" s="58"/>
    </row>
    <row r="76" spans="1:27" ht="15.75" customHeight="1" x14ac:dyDescent="0.2">
      <c r="A76" s="61" t="str">
        <f t="shared" si="2"/>
        <v/>
      </c>
      <c r="B76" s="62"/>
      <c r="C76" s="62"/>
      <c r="D76" s="62"/>
      <c r="E76" s="62"/>
      <c r="F76" s="63"/>
      <c r="G76" s="63"/>
      <c r="H76" s="63"/>
      <c r="I76" s="63"/>
      <c r="J76" s="63"/>
      <c r="K76" s="63"/>
      <c r="L76" s="64" t="str">
        <f>IF(OR($B76="", $H76="", $I76="", $J76="", $K76=""),"",ROUND((VLOOKUP($H76,Lists!$E$2:$F$5,2,FALSE())*VLOOKUP($I76,Lists!$H$2:$I$4,2,FALSE())*VLOOKUP($J76,Lists!$K$2:$L$4,2,FALSE()))/VLOOKUP($K76,Lists!$N$2:$O$6,2,FALSE()),2))</f>
        <v/>
      </c>
      <c r="M76" s="63"/>
      <c r="N76" s="63"/>
      <c r="O76" s="62"/>
      <c r="P76" s="63"/>
      <c r="Q76" s="65"/>
      <c r="R76" s="66" t="str">
        <f t="shared" ca="1" si="3"/>
        <v/>
      </c>
      <c r="S76" s="63"/>
      <c r="T76" s="65"/>
      <c r="U76" s="65"/>
      <c r="V76" s="62"/>
      <c r="W76" s="62"/>
      <c r="X76" s="62"/>
      <c r="Y76" s="58"/>
      <c r="Z76" s="58"/>
      <c r="AA76" s="58"/>
    </row>
    <row r="77" spans="1:27" ht="15.75" customHeight="1" x14ac:dyDescent="0.2">
      <c r="A77" s="61" t="str">
        <f t="shared" si="2"/>
        <v/>
      </c>
      <c r="B77" s="62"/>
      <c r="C77" s="62"/>
      <c r="D77" s="62"/>
      <c r="E77" s="62"/>
      <c r="F77" s="63"/>
      <c r="G77" s="63"/>
      <c r="H77" s="63"/>
      <c r="I77" s="63"/>
      <c r="J77" s="63"/>
      <c r="K77" s="63"/>
      <c r="L77" s="64" t="str">
        <f>IF(OR($B77="", $H77="", $I77="", $J77="", $K77=""),"",ROUND((VLOOKUP($H77,Lists!$E$2:$F$5,2,FALSE())*VLOOKUP($I77,Lists!$H$2:$I$4,2,FALSE())*VLOOKUP($J77,Lists!$K$2:$L$4,2,FALSE()))/VLOOKUP($K77,Lists!$N$2:$O$6,2,FALSE()),2))</f>
        <v/>
      </c>
      <c r="M77" s="63"/>
      <c r="N77" s="63"/>
      <c r="O77" s="62"/>
      <c r="P77" s="63"/>
      <c r="Q77" s="65"/>
      <c r="R77" s="66" t="str">
        <f t="shared" ca="1" si="3"/>
        <v/>
      </c>
      <c r="S77" s="63"/>
      <c r="T77" s="65"/>
      <c r="U77" s="65"/>
      <c r="V77" s="62"/>
      <c r="W77" s="62"/>
      <c r="X77" s="62"/>
      <c r="Y77" s="58"/>
      <c r="Z77" s="58"/>
      <c r="AA77" s="58"/>
    </row>
    <row r="78" spans="1:27" ht="15.75" customHeight="1" x14ac:dyDescent="0.2">
      <c r="A78" s="61" t="str">
        <f t="shared" si="2"/>
        <v/>
      </c>
      <c r="B78" s="62"/>
      <c r="C78" s="62"/>
      <c r="D78" s="62"/>
      <c r="E78" s="62"/>
      <c r="F78" s="63"/>
      <c r="G78" s="63"/>
      <c r="H78" s="63"/>
      <c r="I78" s="63"/>
      <c r="J78" s="63"/>
      <c r="K78" s="63"/>
      <c r="L78" s="64" t="str">
        <f>IF(OR($B78="", $H78="", $I78="", $J78="", $K78=""),"",ROUND((VLOOKUP($H78,Lists!$E$2:$F$5,2,FALSE())*VLOOKUP($I78,Lists!$H$2:$I$4,2,FALSE())*VLOOKUP($J78,Lists!$K$2:$L$4,2,FALSE()))/VLOOKUP($K78,Lists!$N$2:$O$6,2,FALSE()),2))</f>
        <v/>
      </c>
      <c r="M78" s="63"/>
      <c r="N78" s="63"/>
      <c r="O78" s="62"/>
      <c r="P78" s="63"/>
      <c r="Q78" s="65"/>
      <c r="R78" s="66" t="str">
        <f t="shared" ca="1" si="3"/>
        <v/>
      </c>
      <c r="S78" s="63"/>
      <c r="T78" s="65"/>
      <c r="U78" s="65"/>
      <c r="V78" s="62"/>
      <c r="W78" s="62"/>
      <c r="X78" s="62"/>
      <c r="Y78" s="58"/>
      <c r="Z78" s="58"/>
      <c r="AA78" s="58"/>
    </row>
    <row r="79" spans="1:27" ht="15.75" customHeight="1" x14ac:dyDescent="0.2">
      <c r="A79" s="61" t="str">
        <f t="shared" si="2"/>
        <v/>
      </c>
      <c r="B79" s="62"/>
      <c r="C79" s="62"/>
      <c r="D79" s="62"/>
      <c r="E79" s="62"/>
      <c r="F79" s="63"/>
      <c r="G79" s="63"/>
      <c r="H79" s="63"/>
      <c r="I79" s="63"/>
      <c r="J79" s="63"/>
      <c r="K79" s="63"/>
      <c r="L79" s="64" t="str">
        <f>IF(OR($B79="", $H79="", $I79="", $J79="", $K79=""),"",ROUND((VLOOKUP($H79,Lists!$E$2:$F$5,2,FALSE())*VLOOKUP($I79,Lists!$H$2:$I$4,2,FALSE())*VLOOKUP($J79,Lists!$K$2:$L$4,2,FALSE()))/VLOOKUP($K79,Lists!$N$2:$O$6,2,FALSE()),2))</f>
        <v/>
      </c>
      <c r="M79" s="63"/>
      <c r="N79" s="63"/>
      <c r="O79" s="62"/>
      <c r="P79" s="63"/>
      <c r="Q79" s="65"/>
      <c r="R79" s="66" t="str">
        <f t="shared" ca="1" si="3"/>
        <v/>
      </c>
      <c r="S79" s="63"/>
      <c r="T79" s="65"/>
      <c r="U79" s="65"/>
      <c r="V79" s="62"/>
      <c r="W79" s="62"/>
      <c r="X79" s="62"/>
      <c r="Y79" s="58"/>
      <c r="Z79" s="58"/>
      <c r="AA79" s="58"/>
    </row>
    <row r="80" spans="1:27" ht="15.75" customHeight="1" x14ac:dyDescent="0.2">
      <c r="A80" s="61" t="str">
        <f t="shared" si="2"/>
        <v/>
      </c>
      <c r="B80" s="62"/>
      <c r="C80" s="62"/>
      <c r="D80" s="62"/>
      <c r="E80" s="62"/>
      <c r="F80" s="63"/>
      <c r="G80" s="63"/>
      <c r="H80" s="63"/>
      <c r="I80" s="63"/>
      <c r="J80" s="63"/>
      <c r="K80" s="63"/>
      <c r="L80" s="64" t="str">
        <f>IF(OR($B80="", $H80="", $I80="", $J80="", $K80=""),"",ROUND((VLOOKUP($H80,Lists!$E$2:$F$5,2,FALSE())*VLOOKUP($I80,Lists!$H$2:$I$4,2,FALSE())*VLOOKUP($J80,Lists!$K$2:$L$4,2,FALSE()))/VLOOKUP($K80,Lists!$N$2:$O$6,2,FALSE()),2))</f>
        <v/>
      </c>
      <c r="M80" s="63"/>
      <c r="N80" s="63"/>
      <c r="O80" s="62"/>
      <c r="P80" s="63"/>
      <c r="Q80" s="65"/>
      <c r="R80" s="66" t="str">
        <f t="shared" ca="1" si="3"/>
        <v/>
      </c>
      <c r="S80" s="63"/>
      <c r="T80" s="65"/>
      <c r="U80" s="65"/>
      <c r="V80" s="62"/>
      <c r="W80" s="62"/>
      <c r="X80" s="62"/>
      <c r="Y80" s="58"/>
      <c r="Z80" s="58"/>
      <c r="AA80" s="58"/>
    </row>
    <row r="81" spans="1:27" ht="15.75" customHeight="1" x14ac:dyDescent="0.2">
      <c r="A81" s="61" t="str">
        <f t="shared" si="2"/>
        <v/>
      </c>
      <c r="B81" s="62"/>
      <c r="C81" s="62"/>
      <c r="D81" s="62"/>
      <c r="E81" s="62"/>
      <c r="F81" s="63"/>
      <c r="G81" s="63"/>
      <c r="H81" s="63"/>
      <c r="I81" s="63"/>
      <c r="J81" s="63"/>
      <c r="K81" s="63"/>
      <c r="L81" s="64" t="str">
        <f>IF(OR($B81="", $H81="", $I81="", $J81="", $K81=""),"",ROUND((VLOOKUP($H81,Lists!$E$2:$F$5,2,FALSE())*VLOOKUP($I81,Lists!$H$2:$I$4,2,FALSE())*VLOOKUP($J81,Lists!$K$2:$L$4,2,FALSE()))/VLOOKUP($K81,Lists!$N$2:$O$6,2,FALSE()),2))</f>
        <v/>
      </c>
      <c r="M81" s="63"/>
      <c r="N81" s="63"/>
      <c r="O81" s="62"/>
      <c r="P81" s="63"/>
      <c r="Q81" s="65"/>
      <c r="R81" s="66" t="str">
        <f t="shared" ca="1" si="3"/>
        <v/>
      </c>
      <c r="S81" s="63"/>
      <c r="T81" s="65"/>
      <c r="U81" s="65"/>
      <c r="V81" s="62"/>
      <c r="W81" s="62"/>
      <c r="X81" s="62"/>
      <c r="Y81" s="58"/>
      <c r="Z81" s="58"/>
      <c r="AA81" s="58"/>
    </row>
    <row r="82" spans="1:27" ht="15.75" customHeight="1" x14ac:dyDescent="0.2">
      <c r="A82" s="61" t="str">
        <f t="shared" si="2"/>
        <v/>
      </c>
      <c r="B82" s="62"/>
      <c r="C82" s="62"/>
      <c r="D82" s="62"/>
      <c r="E82" s="62"/>
      <c r="F82" s="63"/>
      <c r="G82" s="63"/>
      <c r="H82" s="63"/>
      <c r="I82" s="63"/>
      <c r="J82" s="63"/>
      <c r="K82" s="63"/>
      <c r="L82" s="64" t="str">
        <f>IF(OR($B82="", $H82="", $I82="", $J82="", $K82=""),"",ROUND((VLOOKUP($H82,Lists!$E$2:$F$5,2,FALSE())*VLOOKUP($I82,Lists!$H$2:$I$4,2,FALSE())*VLOOKUP($J82,Lists!$K$2:$L$4,2,FALSE()))/VLOOKUP($K82,Lists!$N$2:$O$6,2,FALSE()),2))</f>
        <v/>
      </c>
      <c r="M82" s="63"/>
      <c r="N82" s="63"/>
      <c r="O82" s="62"/>
      <c r="P82" s="63"/>
      <c r="Q82" s="65"/>
      <c r="R82" s="66" t="str">
        <f t="shared" ca="1" si="3"/>
        <v/>
      </c>
      <c r="S82" s="63"/>
      <c r="T82" s="65"/>
      <c r="U82" s="65"/>
      <c r="V82" s="62"/>
      <c r="W82" s="62"/>
      <c r="X82" s="62"/>
      <c r="Y82" s="58"/>
      <c r="Z82" s="58"/>
      <c r="AA82" s="58"/>
    </row>
    <row r="83" spans="1:27" ht="15.75" customHeight="1" x14ac:dyDescent="0.2">
      <c r="A83" s="61" t="str">
        <f t="shared" si="2"/>
        <v/>
      </c>
      <c r="B83" s="62"/>
      <c r="C83" s="62"/>
      <c r="D83" s="62"/>
      <c r="E83" s="62"/>
      <c r="F83" s="63"/>
      <c r="G83" s="63"/>
      <c r="H83" s="63"/>
      <c r="I83" s="63"/>
      <c r="J83" s="63"/>
      <c r="K83" s="63"/>
      <c r="L83" s="64" t="str">
        <f>IF(OR($B83="", $H83="", $I83="", $J83="", $K83=""),"",ROUND((VLOOKUP($H83,Lists!$E$2:$F$5,2,FALSE())*VLOOKUP($I83,Lists!$H$2:$I$4,2,FALSE())*VLOOKUP($J83,Lists!$K$2:$L$4,2,FALSE()))/VLOOKUP($K83,Lists!$N$2:$O$6,2,FALSE()),2))</f>
        <v/>
      </c>
      <c r="M83" s="63"/>
      <c r="N83" s="63"/>
      <c r="O83" s="62"/>
      <c r="P83" s="63"/>
      <c r="Q83" s="65"/>
      <c r="R83" s="66" t="str">
        <f t="shared" ca="1" si="3"/>
        <v/>
      </c>
      <c r="S83" s="63"/>
      <c r="T83" s="65"/>
      <c r="U83" s="65"/>
      <c r="V83" s="62"/>
      <c r="W83" s="62"/>
      <c r="X83" s="62"/>
      <c r="Y83" s="58"/>
      <c r="Z83" s="58"/>
      <c r="AA83" s="58"/>
    </row>
    <row r="84" spans="1:27" ht="15.75" customHeight="1" x14ac:dyDescent="0.2">
      <c r="A84" s="61" t="str">
        <f t="shared" si="2"/>
        <v/>
      </c>
      <c r="B84" s="62"/>
      <c r="C84" s="62"/>
      <c r="D84" s="62"/>
      <c r="E84" s="62"/>
      <c r="F84" s="63"/>
      <c r="G84" s="63"/>
      <c r="H84" s="63"/>
      <c r="I84" s="63"/>
      <c r="J84" s="63"/>
      <c r="K84" s="63"/>
      <c r="L84" s="64" t="str">
        <f>IF(OR($B84="", $H84="", $I84="", $J84="", $K84=""),"",ROUND((VLOOKUP($H84,Lists!$E$2:$F$5,2,FALSE())*VLOOKUP($I84,Lists!$H$2:$I$4,2,FALSE())*VLOOKUP($J84,Lists!$K$2:$L$4,2,FALSE()))/VLOOKUP($K84,Lists!$N$2:$O$6,2,FALSE()),2))</f>
        <v/>
      </c>
      <c r="M84" s="63"/>
      <c r="N84" s="63"/>
      <c r="O84" s="62"/>
      <c r="P84" s="63"/>
      <c r="Q84" s="65"/>
      <c r="R84" s="66" t="str">
        <f t="shared" ca="1" si="3"/>
        <v/>
      </c>
      <c r="S84" s="63"/>
      <c r="T84" s="65"/>
      <c r="U84" s="65"/>
      <c r="V84" s="62"/>
      <c r="W84" s="62"/>
      <c r="X84" s="62"/>
      <c r="Y84" s="58"/>
      <c r="Z84" s="58"/>
      <c r="AA84" s="58"/>
    </row>
    <row r="85" spans="1:27" ht="15.75" customHeight="1" x14ac:dyDescent="0.2">
      <c r="A85" s="61" t="str">
        <f t="shared" si="2"/>
        <v/>
      </c>
      <c r="B85" s="62"/>
      <c r="C85" s="62"/>
      <c r="D85" s="62"/>
      <c r="E85" s="62"/>
      <c r="F85" s="63"/>
      <c r="G85" s="63"/>
      <c r="H85" s="63"/>
      <c r="I85" s="63"/>
      <c r="J85" s="63"/>
      <c r="K85" s="63"/>
      <c r="L85" s="64" t="str">
        <f>IF(OR($B85="", $H85="", $I85="", $J85="", $K85=""),"",ROUND((VLOOKUP($H85,Lists!$E$2:$F$5,2,FALSE())*VLOOKUP($I85,Lists!$H$2:$I$4,2,FALSE())*VLOOKUP($J85,Lists!$K$2:$L$4,2,FALSE()))/VLOOKUP($K85,Lists!$N$2:$O$6,2,FALSE()),2))</f>
        <v/>
      </c>
      <c r="M85" s="63"/>
      <c r="N85" s="63"/>
      <c r="O85" s="62"/>
      <c r="P85" s="63"/>
      <c r="Q85" s="65"/>
      <c r="R85" s="66" t="str">
        <f t="shared" ca="1" si="3"/>
        <v/>
      </c>
      <c r="S85" s="63"/>
      <c r="T85" s="65"/>
      <c r="U85" s="65"/>
      <c r="V85" s="62"/>
      <c r="W85" s="62"/>
      <c r="X85" s="62"/>
      <c r="Y85" s="58"/>
      <c r="Z85" s="58"/>
      <c r="AA85" s="58"/>
    </row>
    <row r="86" spans="1:27" ht="15.75" customHeight="1" x14ac:dyDescent="0.2">
      <c r="A86" s="61" t="str">
        <f t="shared" si="2"/>
        <v/>
      </c>
      <c r="B86" s="62"/>
      <c r="C86" s="62"/>
      <c r="D86" s="62"/>
      <c r="E86" s="62"/>
      <c r="F86" s="63"/>
      <c r="G86" s="63"/>
      <c r="H86" s="63"/>
      <c r="I86" s="63"/>
      <c r="J86" s="63"/>
      <c r="K86" s="63"/>
      <c r="L86" s="64" t="str">
        <f>IF(OR($B86="", $H86="", $I86="", $J86="", $K86=""),"",ROUND((VLOOKUP($H86,Lists!$E$2:$F$5,2,FALSE())*VLOOKUP($I86,Lists!$H$2:$I$4,2,FALSE())*VLOOKUP($J86,Lists!$K$2:$L$4,2,FALSE()))/VLOOKUP($K86,Lists!$N$2:$O$6,2,FALSE()),2))</f>
        <v/>
      </c>
      <c r="M86" s="63"/>
      <c r="N86" s="63"/>
      <c r="O86" s="62"/>
      <c r="P86" s="63"/>
      <c r="Q86" s="65"/>
      <c r="R86" s="66" t="str">
        <f t="shared" ca="1" si="3"/>
        <v/>
      </c>
      <c r="S86" s="63"/>
      <c r="T86" s="65"/>
      <c r="U86" s="65"/>
      <c r="V86" s="62"/>
      <c r="W86" s="62"/>
      <c r="X86" s="62"/>
      <c r="Y86" s="58"/>
      <c r="Z86" s="58"/>
      <c r="AA86" s="58"/>
    </row>
    <row r="87" spans="1:27" ht="15.75" customHeight="1" x14ac:dyDescent="0.2">
      <c r="A87" s="61" t="str">
        <f t="shared" si="2"/>
        <v/>
      </c>
      <c r="B87" s="62"/>
      <c r="C87" s="62"/>
      <c r="D87" s="62"/>
      <c r="E87" s="62"/>
      <c r="F87" s="63"/>
      <c r="G87" s="63"/>
      <c r="H87" s="63"/>
      <c r="I87" s="63"/>
      <c r="J87" s="63"/>
      <c r="K87" s="63"/>
      <c r="L87" s="64" t="str">
        <f>IF(OR($B87="", $H87="", $I87="", $J87="", $K87=""),"",ROUND((VLOOKUP($H87,Lists!$E$2:$F$5,2,FALSE())*VLOOKUP($I87,Lists!$H$2:$I$4,2,FALSE())*VLOOKUP($J87,Lists!$K$2:$L$4,2,FALSE()))/VLOOKUP($K87,Lists!$N$2:$O$6,2,FALSE()),2))</f>
        <v/>
      </c>
      <c r="M87" s="63"/>
      <c r="N87" s="63"/>
      <c r="O87" s="62"/>
      <c r="P87" s="63"/>
      <c r="Q87" s="65"/>
      <c r="R87" s="66" t="str">
        <f t="shared" ca="1" si="3"/>
        <v/>
      </c>
      <c r="S87" s="63"/>
      <c r="T87" s="65"/>
      <c r="U87" s="65"/>
      <c r="V87" s="62"/>
      <c r="W87" s="62"/>
      <c r="X87" s="62"/>
      <c r="Y87" s="58"/>
      <c r="Z87" s="58"/>
      <c r="AA87" s="58"/>
    </row>
    <row r="88" spans="1:27" ht="15.75" customHeight="1" x14ac:dyDescent="0.2">
      <c r="A88" s="61" t="str">
        <f t="shared" si="2"/>
        <v/>
      </c>
      <c r="B88" s="62"/>
      <c r="C88" s="62"/>
      <c r="D88" s="62"/>
      <c r="E88" s="62"/>
      <c r="F88" s="63"/>
      <c r="G88" s="63"/>
      <c r="H88" s="63"/>
      <c r="I88" s="63"/>
      <c r="J88" s="63"/>
      <c r="K88" s="63"/>
      <c r="L88" s="64" t="str">
        <f>IF(OR($B88="", $H88="", $I88="", $J88="", $K88=""),"",ROUND((VLOOKUP($H88,Lists!$E$2:$F$5,2,FALSE())*VLOOKUP($I88,Lists!$H$2:$I$4,2,FALSE())*VLOOKUP($J88,Lists!$K$2:$L$4,2,FALSE()))/VLOOKUP($K88,Lists!$N$2:$O$6,2,FALSE()),2))</f>
        <v/>
      </c>
      <c r="M88" s="63"/>
      <c r="N88" s="63"/>
      <c r="O88" s="62"/>
      <c r="P88" s="63"/>
      <c r="Q88" s="65"/>
      <c r="R88" s="66" t="str">
        <f t="shared" ca="1" si="3"/>
        <v/>
      </c>
      <c r="S88" s="63"/>
      <c r="T88" s="65"/>
      <c r="U88" s="65"/>
      <c r="V88" s="62"/>
      <c r="W88" s="62"/>
      <c r="X88" s="62"/>
      <c r="Y88" s="58"/>
      <c r="Z88" s="58"/>
      <c r="AA88" s="58"/>
    </row>
    <row r="89" spans="1:27" ht="15.75" customHeight="1" x14ac:dyDescent="0.2">
      <c r="A89" s="61" t="str">
        <f t="shared" si="2"/>
        <v/>
      </c>
      <c r="B89" s="62"/>
      <c r="C89" s="62"/>
      <c r="D89" s="62"/>
      <c r="E89" s="62"/>
      <c r="F89" s="63"/>
      <c r="G89" s="63"/>
      <c r="H89" s="63"/>
      <c r="I89" s="63"/>
      <c r="J89" s="63"/>
      <c r="K89" s="63"/>
      <c r="L89" s="64" t="str">
        <f>IF(OR($B89="", $H89="", $I89="", $J89="", $K89=""),"",ROUND((VLOOKUP($H89,Lists!$E$2:$F$5,2,FALSE())*VLOOKUP($I89,Lists!$H$2:$I$4,2,FALSE())*VLOOKUP($J89,Lists!$K$2:$L$4,2,FALSE()))/VLOOKUP($K89,Lists!$N$2:$O$6,2,FALSE()),2))</f>
        <v/>
      </c>
      <c r="M89" s="63"/>
      <c r="N89" s="63"/>
      <c r="O89" s="62"/>
      <c r="P89" s="63"/>
      <c r="Q89" s="65"/>
      <c r="R89" s="66" t="str">
        <f t="shared" ca="1" si="3"/>
        <v/>
      </c>
      <c r="S89" s="63"/>
      <c r="T89" s="65"/>
      <c r="U89" s="65"/>
      <c r="V89" s="62"/>
      <c r="W89" s="62"/>
      <c r="X89" s="62"/>
      <c r="Y89" s="58"/>
      <c r="Z89" s="58"/>
      <c r="AA89" s="58"/>
    </row>
    <row r="90" spans="1:27" ht="15.75" customHeight="1" x14ac:dyDescent="0.2">
      <c r="A90" s="61" t="str">
        <f t="shared" si="2"/>
        <v/>
      </c>
      <c r="B90" s="62"/>
      <c r="C90" s="62"/>
      <c r="D90" s="62"/>
      <c r="E90" s="62"/>
      <c r="F90" s="63"/>
      <c r="G90" s="63"/>
      <c r="H90" s="63"/>
      <c r="I90" s="63"/>
      <c r="J90" s="63"/>
      <c r="K90" s="63"/>
      <c r="L90" s="64" t="str">
        <f>IF(OR($B90="", $H90="", $I90="", $J90="", $K90=""),"",ROUND((VLOOKUP($H90,Lists!$E$2:$F$5,2,FALSE())*VLOOKUP($I90,Lists!$H$2:$I$4,2,FALSE())*VLOOKUP($J90,Lists!$K$2:$L$4,2,FALSE()))/VLOOKUP($K90,Lists!$N$2:$O$6,2,FALSE()),2))</f>
        <v/>
      </c>
      <c r="M90" s="63"/>
      <c r="N90" s="63"/>
      <c r="O90" s="62"/>
      <c r="P90" s="63"/>
      <c r="Q90" s="65"/>
      <c r="R90" s="66" t="str">
        <f t="shared" ca="1" si="3"/>
        <v/>
      </c>
      <c r="S90" s="63"/>
      <c r="T90" s="65"/>
      <c r="U90" s="65"/>
      <c r="V90" s="62"/>
      <c r="W90" s="62"/>
      <c r="X90" s="62"/>
      <c r="Y90" s="58"/>
      <c r="Z90" s="58"/>
      <c r="AA90" s="58"/>
    </row>
    <row r="91" spans="1:27" ht="15.75" customHeight="1" x14ac:dyDescent="0.2">
      <c r="A91" s="61" t="str">
        <f t="shared" si="2"/>
        <v/>
      </c>
      <c r="B91" s="62"/>
      <c r="C91" s="62"/>
      <c r="D91" s="62"/>
      <c r="E91" s="62"/>
      <c r="F91" s="63"/>
      <c r="G91" s="63"/>
      <c r="H91" s="63"/>
      <c r="I91" s="63"/>
      <c r="J91" s="63"/>
      <c r="K91" s="63"/>
      <c r="L91" s="64" t="str">
        <f>IF(OR($B91="", $H91="", $I91="", $J91="", $K91=""),"",ROUND((VLOOKUP($H91,Lists!$E$2:$F$5,2,FALSE())*VLOOKUP($I91,Lists!$H$2:$I$4,2,FALSE())*VLOOKUP($J91,Lists!$K$2:$L$4,2,FALSE()))/VLOOKUP($K91,Lists!$N$2:$O$6,2,FALSE()),2))</f>
        <v/>
      </c>
      <c r="M91" s="63"/>
      <c r="N91" s="63"/>
      <c r="O91" s="62"/>
      <c r="P91" s="63"/>
      <c r="Q91" s="65"/>
      <c r="R91" s="66" t="str">
        <f t="shared" ca="1" si="3"/>
        <v/>
      </c>
      <c r="S91" s="63"/>
      <c r="T91" s="65"/>
      <c r="U91" s="65"/>
      <c r="V91" s="62"/>
      <c r="W91" s="62"/>
      <c r="X91" s="62"/>
      <c r="Y91" s="58"/>
      <c r="Z91" s="58"/>
      <c r="AA91" s="58"/>
    </row>
    <row r="92" spans="1:27" ht="15.75" customHeight="1" x14ac:dyDescent="0.2">
      <c r="A92" s="61" t="str">
        <f t="shared" si="2"/>
        <v/>
      </c>
      <c r="B92" s="62"/>
      <c r="C92" s="62"/>
      <c r="D92" s="62"/>
      <c r="E92" s="62"/>
      <c r="F92" s="63"/>
      <c r="G92" s="63"/>
      <c r="H92" s="63"/>
      <c r="I92" s="63"/>
      <c r="J92" s="63"/>
      <c r="K92" s="63"/>
      <c r="L92" s="64" t="str">
        <f>IF(OR($B92="", $H92="", $I92="", $J92="", $K92=""),"",ROUND((VLOOKUP($H92,Lists!$E$2:$F$5,2,FALSE())*VLOOKUP($I92,Lists!$H$2:$I$4,2,FALSE())*VLOOKUP($J92,Lists!$K$2:$L$4,2,FALSE()))/VLOOKUP($K92,Lists!$N$2:$O$6,2,FALSE()),2))</f>
        <v/>
      </c>
      <c r="M92" s="63"/>
      <c r="N92" s="63"/>
      <c r="O92" s="62"/>
      <c r="P92" s="63"/>
      <c r="Q92" s="65"/>
      <c r="R92" s="66" t="str">
        <f t="shared" ca="1" si="3"/>
        <v/>
      </c>
      <c r="S92" s="63"/>
      <c r="T92" s="65"/>
      <c r="U92" s="65"/>
      <c r="V92" s="62"/>
      <c r="W92" s="62"/>
      <c r="X92" s="62"/>
      <c r="Y92" s="58"/>
      <c r="Z92" s="58"/>
      <c r="AA92" s="58"/>
    </row>
    <row r="93" spans="1:27" ht="15.75" customHeight="1" x14ac:dyDescent="0.2">
      <c r="A93" s="61" t="str">
        <f t="shared" si="2"/>
        <v/>
      </c>
      <c r="B93" s="62"/>
      <c r="C93" s="62"/>
      <c r="D93" s="62"/>
      <c r="E93" s="62"/>
      <c r="F93" s="63"/>
      <c r="G93" s="63"/>
      <c r="H93" s="63"/>
      <c r="I93" s="63"/>
      <c r="J93" s="63"/>
      <c r="K93" s="63"/>
      <c r="L93" s="64" t="str">
        <f>IF(OR($B93="", $H93="", $I93="", $J93="", $K93=""),"",ROUND((VLOOKUP($H93,Lists!$E$2:$F$5,2,FALSE())*VLOOKUP($I93,Lists!$H$2:$I$4,2,FALSE())*VLOOKUP($J93,Lists!$K$2:$L$4,2,FALSE()))/VLOOKUP($K93,Lists!$N$2:$O$6,2,FALSE()),2))</f>
        <v/>
      </c>
      <c r="M93" s="63"/>
      <c r="N93" s="63"/>
      <c r="O93" s="62"/>
      <c r="P93" s="63"/>
      <c r="Q93" s="65"/>
      <c r="R93" s="66" t="str">
        <f t="shared" ca="1" si="3"/>
        <v/>
      </c>
      <c r="S93" s="63"/>
      <c r="T93" s="65"/>
      <c r="U93" s="65"/>
      <c r="V93" s="62"/>
      <c r="W93" s="62"/>
      <c r="X93" s="62"/>
      <c r="Y93" s="58"/>
      <c r="Z93" s="58"/>
      <c r="AA93" s="58"/>
    </row>
    <row r="94" spans="1:27" ht="15.75" customHeight="1" x14ac:dyDescent="0.2">
      <c r="A94" s="61" t="str">
        <f t="shared" si="2"/>
        <v/>
      </c>
      <c r="B94" s="62"/>
      <c r="C94" s="62"/>
      <c r="D94" s="62"/>
      <c r="E94" s="62"/>
      <c r="F94" s="63"/>
      <c r="G94" s="63"/>
      <c r="H94" s="63"/>
      <c r="I94" s="63"/>
      <c r="J94" s="63"/>
      <c r="K94" s="63"/>
      <c r="L94" s="64" t="str">
        <f>IF(OR($B94="", $H94="", $I94="", $J94="", $K94=""),"",ROUND((VLOOKUP($H94,Lists!$E$2:$F$5,2,FALSE())*VLOOKUP($I94,Lists!$H$2:$I$4,2,FALSE())*VLOOKUP($J94,Lists!$K$2:$L$4,2,FALSE()))/VLOOKUP($K94,Lists!$N$2:$O$6,2,FALSE()),2))</f>
        <v/>
      </c>
      <c r="M94" s="63"/>
      <c r="N94" s="63"/>
      <c r="O94" s="62"/>
      <c r="P94" s="63"/>
      <c r="Q94" s="65"/>
      <c r="R94" s="66" t="str">
        <f t="shared" ca="1" si="3"/>
        <v/>
      </c>
      <c r="S94" s="63"/>
      <c r="T94" s="65"/>
      <c r="U94" s="65"/>
      <c r="V94" s="62"/>
      <c r="W94" s="62"/>
      <c r="X94" s="62"/>
      <c r="Y94" s="58"/>
      <c r="Z94" s="58"/>
      <c r="AA94" s="58"/>
    </row>
    <row r="95" spans="1:27" ht="15.75" customHeight="1" x14ac:dyDescent="0.2">
      <c r="A95" s="61" t="str">
        <f t="shared" si="2"/>
        <v/>
      </c>
      <c r="B95" s="62"/>
      <c r="C95" s="62"/>
      <c r="D95" s="62"/>
      <c r="E95" s="62"/>
      <c r="F95" s="63"/>
      <c r="G95" s="63"/>
      <c r="H95" s="63"/>
      <c r="I95" s="63"/>
      <c r="J95" s="63"/>
      <c r="K95" s="63"/>
      <c r="L95" s="64" t="str">
        <f>IF(OR($B95="", $H95="", $I95="", $J95="", $K95=""),"",ROUND((VLOOKUP($H95,Lists!$E$2:$F$5,2,FALSE())*VLOOKUP($I95,Lists!$H$2:$I$4,2,FALSE())*VLOOKUP($J95,Lists!$K$2:$L$4,2,FALSE()))/VLOOKUP($K95,Lists!$N$2:$O$6,2,FALSE()),2))</f>
        <v/>
      </c>
      <c r="M95" s="63"/>
      <c r="N95" s="63"/>
      <c r="O95" s="62"/>
      <c r="P95" s="63"/>
      <c r="Q95" s="65"/>
      <c r="R95" s="66" t="str">
        <f t="shared" ca="1" si="3"/>
        <v/>
      </c>
      <c r="S95" s="63"/>
      <c r="T95" s="65"/>
      <c r="U95" s="65"/>
      <c r="V95" s="62"/>
      <c r="W95" s="62"/>
      <c r="X95" s="62"/>
      <c r="Y95" s="58"/>
      <c r="Z95" s="58"/>
      <c r="AA95" s="58"/>
    </row>
    <row r="96" spans="1:27" ht="15.75" customHeight="1" x14ac:dyDescent="0.2">
      <c r="A96" s="61" t="str">
        <f t="shared" si="2"/>
        <v/>
      </c>
      <c r="B96" s="62"/>
      <c r="C96" s="62"/>
      <c r="D96" s="62"/>
      <c r="E96" s="62"/>
      <c r="F96" s="63"/>
      <c r="G96" s="63"/>
      <c r="H96" s="63"/>
      <c r="I96" s="63"/>
      <c r="J96" s="63"/>
      <c r="K96" s="63"/>
      <c r="L96" s="64" t="str">
        <f>IF(OR($B96="", $H96="", $I96="", $J96="", $K96=""),"",ROUND((VLOOKUP($H96,Lists!$E$2:$F$5,2,FALSE())*VLOOKUP($I96,Lists!$H$2:$I$4,2,FALSE())*VLOOKUP($J96,Lists!$K$2:$L$4,2,FALSE()))/VLOOKUP($K96,Lists!$N$2:$O$6,2,FALSE()),2))</f>
        <v/>
      </c>
      <c r="M96" s="63"/>
      <c r="N96" s="63"/>
      <c r="O96" s="62"/>
      <c r="P96" s="63"/>
      <c r="Q96" s="65"/>
      <c r="R96" s="66" t="str">
        <f t="shared" ca="1" si="3"/>
        <v/>
      </c>
      <c r="S96" s="63"/>
      <c r="T96" s="65"/>
      <c r="U96" s="65"/>
      <c r="V96" s="62"/>
      <c r="W96" s="62"/>
      <c r="X96" s="62"/>
      <c r="Y96" s="58"/>
      <c r="Z96" s="58"/>
      <c r="AA96" s="58"/>
    </row>
    <row r="97" spans="1:27" ht="15.75" customHeight="1" x14ac:dyDescent="0.2">
      <c r="A97" s="61" t="str">
        <f t="shared" si="2"/>
        <v/>
      </c>
      <c r="B97" s="62"/>
      <c r="C97" s="62"/>
      <c r="D97" s="62"/>
      <c r="E97" s="62"/>
      <c r="F97" s="63"/>
      <c r="G97" s="63"/>
      <c r="H97" s="63"/>
      <c r="I97" s="63"/>
      <c r="J97" s="63"/>
      <c r="K97" s="63"/>
      <c r="L97" s="64" t="str">
        <f>IF(OR($B97="", $H97="", $I97="", $J97="", $K97=""),"",ROUND((VLOOKUP($H97,Lists!$E$2:$F$5,2,FALSE())*VLOOKUP($I97,Lists!$H$2:$I$4,2,FALSE())*VLOOKUP($J97,Lists!$K$2:$L$4,2,FALSE()))/VLOOKUP($K97,Lists!$N$2:$O$6,2,FALSE()),2))</f>
        <v/>
      </c>
      <c r="M97" s="63"/>
      <c r="N97" s="63"/>
      <c r="O97" s="62"/>
      <c r="P97" s="63"/>
      <c r="Q97" s="65"/>
      <c r="R97" s="66" t="str">
        <f t="shared" ca="1" si="3"/>
        <v/>
      </c>
      <c r="S97" s="63"/>
      <c r="T97" s="65"/>
      <c r="U97" s="65"/>
      <c r="V97" s="62"/>
      <c r="W97" s="62"/>
      <c r="X97" s="62"/>
      <c r="Y97" s="58"/>
      <c r="Z97" s="58"/>
      <c r="AA97" s="58"/>
    </row>
    <row r="98" spans="1:27" ht="15.75" customHeight="1" x14ac:dyDescent="0.2">
      <c r="A98" s="61" t="str">
        <f t="shared" si="2"/>
        <v/>
      </c>
      <c r="B98" s="62"/>
      <c r="C98" s="62"/>
      <c r="D98" s="62"/>
      <c r="E98" s="62"/>
      <c r="F98" s="63"/>
      <c r="G98" s="63"/>
      <c r="H98" s="63"/>
      <c r="I98" s="63"/>
      <c r="J98" s="63"/>
      <c r="K98" s="63"/>
      <c r="L98" s="64" t="str">
        <f>IF(OR($B98="", $H98="", $I98="", $J98="", $K98=""),"",ROUND((VLOOKUP($H98,Lists!$E$2:$F$5,2,FALSE())*VLOOKUP($I98,Lists!$H$2:$I$4,2,FALSE())*VLOOKUP($J98,Lists!$K$2:$L$4,2,FALSE()))/VLOOKUP($K98,Lists!$N$2:$O$6,2,FALSE()),2))</f>
        <v/>
      </c>
      <c r="M98" s="63"/>
      <c r="N98" s="63"/>
      <c r="O98" s="62"/>
      <c r="P98" s="63"/>
      <c r="Q98" s="65"/>
      <c r="R98" s="66" t="str">
        <f t="shared" ca="1" si="3"/>
        <v/>
      </c>
      <c r="S98" s="63"/>
      <c r="T98" s="65"/>
      <c r="U98" s="65"/>
      <c r="V98" s="62"/>
      <c r="W98" s="62"/>
      <c r="X98" s="62"/>
      <c r="Y98" s="58"/>
      <c r="Z98" s="58"/>
      <c r="AA98" s="58"/>
    </row>
    <row r="99" spans="1:27" ht="15.75" customHeight="1" x14ac:dyDescent="0.2">
      <c r="A99" s="61" t="str">
        <f t="shared" si="2"/>
        <v/>
      </c>
      <c r="B99" s="62"/>
      <c r="C99" s="62"/>
      <c r="D99" s="62"/>
      <c r="E99" s="62"/>
      <c r="F99" s="63"/>
      <c r="G99" s="63"/>
      <c r="H99" s="63"/>
      <c r="I99" s="63"/>
      <c r="J99" s="63"/>
      <c r="K99" s="63"/>
      <c r="L99" s="64" t="str">
        <f>IF(OR($B99="", $H99="", $I99="", $J99="", $K99=""),"",ROUND((VLOOKUP($H99,Lists!$E$2:$F$5,2,FALSE())*VLOOKUP($I99,Lists!$H$2:$I$4,2,FALSE())*VLOOKUP($J99,Lists!$K$2:$L$4,2,FALSE()))/VLOOKUP($K99,Lists!$N$2:$O$6,2,FALSE()),2))</f>
        <v/>
      </c>
      <c r="M99" s="63"/>
      <c r="N99" s="63"/>
      <c r="O99" s="62"/>
      <c r="P99" s="63"/>
      <c r="Q99" s="65"/>
      <c r="R99" s="66" t="str">
        <f t="shared" ca="1" si="3"/>
        <v/>
      </c>
      <c r="S99" s="63"/>
      <c r="T99" s="65"/>
      <c r="U99" s="65"/>
      <c r="V99" s="62"/>
      <c r="W99" s="62"/>
      <c r="X99" s="62"/>
      <c r="Y99" s="58"/>
      <c r="Z99" s="58"/>
      <c r="AA99" s="58"/>
    </row>
    <row r="100" spans="1:27" ht="15.75" customHeight="1" x14ac:dyDescent="0.2">
      <c r="A100" s="61" t="str">
        <f t="shared" si="2"/>
        <v/>
      </c>
      <c r="B100" s="62"/>
      <c r="C100" s="62"/>
      <c r="D100" s="62"/>
      <c r="E100" s="62"/>
      <c r="F100" s="63"/>
      <c r="G100" s="63"/>
      <c r="H100" s="63"/>
      <c r="I100" s="63"/>
      <c r="J100" s="63"/>
      <c r="K100" s="63"/>
      <c r="L100" s="64" t="str">
        <f>IF(OR($B100="", $H100="", $I100="", $J100="", $K100=""),"",ROUND((VLOOKUP($H100,Lists!$E$2:$F$5,2,FALSE())*VLOOKUP($I100,Lists!$H$2:$I$4,2,FALSE())*VLOOKUP($J100,Lists!$K$2:$L$4,2,FALSE()))/VLOOKUP($K100,Lists!$N$2:$O$6,2,FALSE()),2))</f>
        <v/>
      </c>
      <c r="M100" s="63"/>
      <c r="N100" s="63"/>
      <c r="O100" s="62"/>
      <c r="P100" s="63"/>
      <c r="Q100" s="65"/>
      <c r="R100" s="66" t="str">
        <f t="shared" ca="1" si="3"/>
        <v/>
      </c>
      <c r="S100" s="63"/>
      <c r="T100" s="65"/>
      <c r="U100" s="65"/>
      <c r="V100" s="62"/>
      <c r="W100" s="62"/>
      <c r="X100" s="62"/>
      <c r="Y100" s="58"/>
      <c r="Z100" s="58"/>
      <c r="AA100" s="58"/>
    </row>
    <row r="101" spans="1:27" ht="15.75" customHeight="1" x14ac:dyDescent="0.2">
      <c r="A101" s="61" t="str">
        <f t="shared" si="2"/>
        <v/>
      </c>
      <c r="B101" s="62"/>
      <c r="C101" s="62"/>
      <c r="D101" s="62"/>
      <c r="E101" s="62"/>
      <c r="F101" s="63"/>
      <c r="G101" s="63"/>
      <c r="H101" s="63"/>
      <c r="I101" s="63"/>
      <c r="J101" s="63"/>
      <c r="K101" s="63"/>
      <c r="L101" s="64" t="str">
        <f>IF(OR($B101="", $H101="", $I101="", $J101="", $K101=""),"",ROUND((VLOOKUP($H101,Lists!$E$2:$F$5,2,FALSE())*VLOOKUP($I101,Lists!$H$2:$I$4,2,FALSE())*VLOOKUP($J101,Lists!$K$2:$L$4,2,FALSE()))/VLOOKUP($K101,Lists!$N$2:$O$6,2,FALSE()),2))</f>
        <v/>
      </c>
      <c r="M101" s="63"/>
      <c r="N101" s="63"/>
      <c r="O101" s="62"/>
      <c r="P101" s="63"/>
      <c r="Q101" s="65"/>
      <c r="R101" s="66" t="str">
        <f t="shared" ca="1" si="3"/>
        <v/>
      </c>
      <c r="S101" s="63"/>
      <c r="T101" s="65"/>
      <c r="U101" s="65"/>
      <c r="V101" s="62"/>
      <c r="W101" s="62"/>
      <c r="X101" s="62"/>
      <c r="Y101" s="58"/>
      <c r="Z101" s="58"/>
      <c r="AA101" s="58"/>
    </row>
    <row r="102" spans="1:27" ht="15.75" customHeight="1" x14ac:dyDescent="0.2">
      <c r="A102" s="61" t="str">
        <f t="shared" si="2"/>
        <v/>
      </c>
      <c r="B102" s="62"/>
      <c r="C102" s="62"/>
      <c r="D102" s="62"/>
      <c r="E102" s="62"/>
      <c r="F102" s="63"/>
      <c r="G102" s="63"/>
      <c r="H102" s="63"/>
      <c r="I102" s="63"/>
      <c r="J102" s="63"/>
      <c r="K102" s="63"/>
      <c r="L102" s="64" t="str">
        <f>IF(OR($B102="", $H102="", $I102="", $J102="", $K102=""),"",ROUND((VLOOKUP($H102,Lists!$E$2:$F$5,2,FALSE())*VLOOKUP($I102,Lists!$H$2:$I$4,2,FALSE())*VLOOKUP($J102,Lists!$K$2:$L$4,2,FALSE()))/VLOOKUP($K102,Lists!$N$2:$O$6,2,FALSE()),2))</f>
        <v/>
      </c>
      <c r="M102" s="63"/>
      <c r="N102" s="63"/>
      <c r="O102" s="62"/>
      <c r="P102" s="63"/>
      <c r="Q102" s="65"/>
      <c r="R102" s="66" t="str">
        <f t="shared" ca="1" si="3"/>
        <v/>
      </c>
      <c r="S102" s="63"/>
      <c r="T102" s="65"/>
      <c r="U102" s="65"/>
      <c r="V102" s="62"/>
      <c r="W102" s="62"/>
      <c r="X102" s="62"/>
      <c r="Y102" s="58"/>
      <c r="Z102" s="58"/>
      <c r="AA102" s="58"/>
    </row>
    <row r="103" spans="1:27" ht="15.75" customHeight="1" x14ac:dyDescent="0.2">
      <c r="A103" s="61" t="str">
        <f t="shared" si="2"/>
        <v/>
      </c>
      <c r="B103" s="62"/>
      <c r="C103" s="62"/>
      <c r="D103" s="62"/>
      <c r="E103" s="62"/>
      <c r="F103" s="63"/>
      <c r="G103" s="63"/>
      <c r="H103" s="63"/>
      <c r="I103" s="63"/>
      <c r="J103" s="63"/>
      <c r="K103" s="63"/>
      <c r="L103" s="64" t="str">
        <f>IF(OR($B103="", $H103="", $I103="", $J103="", $K103=""),"",ROUND((VLOOKUP($H103,Lists!$E$2:$F$5,2,FALSE())*VLOOKUP($I103,Lists!$H$2:$I$4,2,FALSE())*VLOOKUP($J103,Lists!$K$2:$L$4,2,FALSE()))/VLOOKUP($K103,Lists!$N$2:$O$6,2,FALSE()),2))</f>
        <v/>
      </c>
      <c r="M103" s="63"/>
      <c r="N103" s="63"/>
      <c r="O103" s="62"/>
      <c r="P103" s="63"/>
      <c r="Q103" s="65"/>
      <c r="R103" s="66" t="str">
        <f t="shared" ca="1" si="3"/>
        <v/>
      </c>
      <c r="S103" s="63"/>
      <c r="T103" s="65"/>
      <c r="U103" s="65"/>
      <c r="V103" s="62"/>
      <c r="W103" s="62"/>
      <c r="X103" s="62"/>
      <c r="Y103" s="58"/>
      <c r="Z103" s="58"/>
      <c r="AA103" s="58"/>
    </row>
    <row r="104" spans="1:27" ht="15.75" customHeight="1" x14ac:dyDescent="0.2">
      <c r="A104" s="61" t="str">
        <f t="shared" si="2"/>
        <v/>
      </c>
      <c r="B104" s="62"/>
      <c r="C104" s="62"/>
      <c r="D104" s="62"/>
      <c r="E104" s="62"/>
      <c r="F104" s="63"/>
      <c r="G104" s="63"/>
      <c r="H104" s="63"/>
      <c r="I104" s="63"/>
      <c r="J104" s="63"/>
      <c r="K104" s="63"/>
      <c r="L104" s="64" t="str">
        <f>IF(OR($B104="", $H104="", $I104="", $J104="", $K104=""),"",ROUND((VLOOKUP($H104,Lists!$E$2:$F$5,2,FALSE())*VLOOKUP($I104,Lists!$H$2:$I$4,2,FALSE())*VLOOKUP($J104,Lists!$K$2:$L$4,2,FALSE()))/VLOOKUP($K104,Lists!$N$2:$O$6,2,FALSE()),2))</f>
        <v/>
      </c>
      <c r="M104" s="63"/>
      <c r="N104" s="63"/>
      <c r="O104" s="62"/>
      <c r="P104" s="63"/>
      <c r="Q104" s="65"/>
      <c r="R104" s="66" t="str">
        <f t="shared" ca="1" si="3"/>
        <v/>
      </c>
      <c r="S104" s="63"/>
      <c r="T104" s="65"/>
      <c r="U104" s="65"/>
      <c r="V104" s="62"/>
      <c r="W104" s="62"/>
      <c r="X104" s="62"/>
      <c r="Y104" s="58"/>
      <c r="Z104" s="58"/>
      <c r="AA104" s="58"/>
    </row>
    <row r="105" spans="1:27" ht="15.75" customHeight="1" x14ac:dyDescent="0.2">
      <c r="A105" s="61" t="str">
        <f t="shared" si="2"/>
        <v/>
      </c>
      <c r="B105" s="62"/>
      <c r="C105" s="62"/>
      <c r="D105" s="62"/>
      <c r="E105" s="62"/>
      <c r="F105" s="63"/>
      <c r="G105" s="63"/>
      <c r="H105" s="63"/>
      <c r="I105" s="63"/>
      <c r="J105" s="63"/>
      <c r="K105" s="63"/>
      <c r="L105" s="64" t="str">
        <f>IF(OR($B105="", $H105="", $I105="", $J105="", $K105=""),"",ROUND((VLOOKUP($H105,Lists!$E$2:$F$5,2,FALSE())*VLOOKUP($I105,Lists!$H$2:$I$4,2,FALSE())*VLOOKUP($J105,Lists!$K$2:$L$4,2,FALSE()))/VLOOKUP($K105,Lists!$N$2:$O$6,2,FALSE()),2))</f>
        <v/>
      </c>
      <c r="M105" s="63"/>
      <c r="N105" s="63"/>
      <c r="O105" s="62"/>
      <c r="P105" s="63"/>
      <c r="Q105" s="65"/>
      <c r="R105" s="66" t="str">
        <f t="shared" ca="1" si="3"/>
        <v/>
      </c>
      <c r="S105" s="63"/>
      <c r="T105" s="65"/>
      <c r="U105" s="65"/>
      <c r="V105" s="62"/>
      <c r="W105" s="62"/>
      <c r="X105" s="62"/>
      <c r="Y105" s="58"/>
      <c r="Z105" s="58"/>
      <c r="AA105" s="58"/>
    </row>
    <row r="106" spans="1:27" ht="15.75" customHeight="1" x14ac:dyDescent="0.2">
      <c r="A106" s="61" t="str">
        <f t="shared" si="2"/>
        <v/>
      </c>
      <c r="B106" s="62"/>
      <c r="C106" s="62"/>
      <c r="D106" s="62"/>
      <c r="E106" s="62"/>
      <c r="F106" s="63"/>
      <c r="G106" s="63"/>
      <c r="H106" s="63"/>
      <c r="I106" s="63"/>
      <c r="J106" s="63"/>
      <c r="K106" s="63"/>
      <c r="L106" s="64" t="str">
        <f>IF(OR($B106="", $H106="", $I106="", $J106="", $K106=""),"",ROUND((VLOOKUP($H106,Lists!$E$2:$F$5,2,FALSE())*VLOOKUP($I106,Lists!$H$2:$I$4,2,FALSE())*VLOOKUP($J106,Lists!$K$2:$L$4,2,FALSE()))/VLOOKUP($K106,Lists!$N$2:$O$6,2,FALSE()),2))</f>
        <v/>
      </c>
      <c r="M106" s="63"/>
      <c r="N106" s="63"/>
      <c r="O106" s="62"/>
      <c r="P106" s="63"/>
      <c r="Q106" s="65"/>
      <c r="R106" s="66" t="str">
        <f t="shared" ca="1" si="3"/>
        <v/>
      </c>
      <c r="S106" s="63"/>
      <c r="T106" s="65"/>
      <c r="U106" s="65"/>
      <c r="V106" s="62"/>
      <c r="W106" s="62"/>
      <c r="X106" s="62"/>
      <c r="Y106" s="58"/>
      <c r="Z106" s="58"/>
      <c r="AA106" s="58"/>
    </row>
    <row r="107" spans="1:27" ht="15.75" customHeight="1" x14ac:dyDescent="0.2">
      <c r="A107" s="61" t="str">
        <f t="shared" si="2"/>
        <v/>
      </c>
      <c r="B107" s="62"/>
      <c r="C107" s="62"/>
      <c r="D107" s="62"/>
      <c r="E107" s="62"/>
      <c r="F107" s="63"/>
      <c r="G107" s="63"/>
      <c r="H107" s="63"/>
      <c r="I107" s="63"/>
      <c r="J107" s="63"/>
      <c r="K107" s="63"/>
      <c r="L107" s="64" t="str">
        <f>IF(OR($B107="", $H107="", $I107="", $J107="", $K107=""),"",ROUND((VLOOKUP($H107,Lists!$E$2:$F$5,2,FALSE())*VLOOKUP($I107,Lists!$H$2:$I$4,2,FALSE())*VLOOKUP($J107,Lists!$K$2:$L$4,2,FALSE()))/VLOOKUP($K107,Lists!$N$2:$O$6,2,FALSE()),2))</f>
        <v/>
      </c>
      <c r="M107" s="63"/>
      <c r="N107" s="63"/>
      <c r="O107" s="62"/>
      <c r="P107" s="63"/>
      <c r="Q107" s="65"/>
      <c r="R107" s="66" t="str">
        <f t="shared" ca="1" si="3"/>
        <v/>
      </c>
      <c r="S107" s="63"/>
      <c r="T107" s="65"/>
      <c r="U107" s="65"/>
      <c r="V107" s="62"/>
      <c r="W107" s="62"/>
      <c r="X107" s="62"/>
      <c r="Y107" s="58"/>
      <c r="Z107" s="58"/>
      <c r="AA107" s="58"/>
    </row>
    <row r="108" spans="1:27" ht="15.75" customHeight="1" x14ac:dyDescent="0.2">
      <c r="A108" s="61" t="str">
        <f t="shared" si="2"/>
        <v/>
      </c>
      <c r="B108" s="62"/>
      <c r="C108" s="62"/>
      <c r="D108" s="62"/>
      <c r="E108" s="62"/>
      <c r="F108" s="63"/>
      <c r="G108" s="63"/>
      <c r="H108" s="63"/>
      <c r="I108" s="63"/>
      <c r="J108" s="63"/>
      <c r="K108" s="63"/>
      <c r="L108" s="64" t="str">
        <f>IF(OR($B108="", $H108="", $I108="", $J108="", $K108=""),"",ROUND((VLOOKUP($H108,Lists!$E$2:$F$5,2,FALSE())*VLOOKUP($I108,Lists!$H$2:$I$4,2,FALSE())*VLOOKUP($J108,Lists!$K$2:$L$4,2,FALSE()))/VLOOKUP($K108,Lists!$N$2:$O$6,2,FALSE()),2))</f>
        <v/>
      </c>
      <c r="M108" s="63"/>
      <c r="N108" s="63"/>
      <c r="O108" s="62"/>
      <c r="P108" s="63"/>
      <c r="Q108" s="65"/>
      <c r="R108" s="66" t="str">
        <f t="shared" ca="1" si="3"/>
        <v/>
      </c>
      <c r="S108" s="63"/>
      <c r="T108" s="65"/>
      <c r="U108" s="65"/>
      <c r="V108" s="62"/>
      <c r="W108" s="62"/>
      <c r="X108" s="62"/>
      <c r="Y108" s="58"/>
      <c r="Z108" s="58"/>
      <c r="AA108" s="58"/>
    </row>
    <row r="109" spans="1:27" ht="15.75" customHeight="1" x14ac:dyDescent="0.2">
      <c r="A109" s="61" t="str">
        <f t="shared" si="2"/>
        <v/>
      </c>
      <c r="B109" s="62"/>
      <c r="C109" s="62"/>
      <c r="D109" s="62"/>
      <c r="E109" s="62"/>
      <c r="F109" s="63"/>
      <c r="G109" s="63"/>
      <c r="H109" s="63"/>
      <c r="I109" s="63"/>
      <c r="J109" s="63"/>
      <c r="K109" s="63"/>
      <c r="L109" s="64" t="str">
        <f>IF(OR($B109="", $H109="", $I109="", $J109="", $K109=""),"",ROUND((VLOOKUP($H109,Lists!$E$2:$F$5,2,FALSE())*VLOOKUP($I109,Lists!$H$2:$I$4,2,FALSE())*VLOOKUP($J109,Lists!$K$2:$L$4,2,FALSE()))/VLOOKUP($K109,Lists!$N$2:$O$6,2,FALSE()),2))</f>
        <v/>
      </c>
      <c r="M109" s="63"/>
      <c r="N109" s="63"/>
      <c r="O109" s="62"/>
      <c r="P109" s="63"/>
      <c r="Q109" s="65"/>
      <c r="R109" s="66" t="str">
        <f t="shared" ca="1" si="3"/>
        <v/>
      </c>
      <c r="S109" s="63"/>
      <c r="T109" s="65"/>
      <c r="U109" s="65"/>
      <c r="V109" s="62"/>
      <c r="W109" s="62"/>
      <c r="X109" s="62"/>
      <c r="Y109" s="58"/>
      <c r="Z109" s="58"/>
      <c r="AA109" s="58"/>
    </row>
    <row r="110" spans="1:27" ht="15.75" customHeight="1" x14ac:dyDescent="0.2">
      <c r="A110" s="61" t="str">
        <f t="shared" si="2"/>
        <v/>
      </c>
      <c r="B110" s="62"/>
      <c r="C110" s="62"/>
      <c r="D110" s="62"/>
      <c r="E110" s="62"/>
      <c r="F110" s="63"/>
      <c r="G110" s="63"/>
      <c r="H110" s="63"/>
      <c r="I110" s="63"/>
      <c r="J110" s="63"/>
      <c r="K110" s="63"/>
      <c r="L110" s="64" t="str">
        <f>IF(OR($B110="", $H110="", $I110="", $J110="", $K110=""),"",ROUND((VLOOKUP($H110,Lists!$E$2:$F$5,2,FALSE())*VLOOKUP($I110,Lists!$H$2:$I$4,2,FALSE())*VLOOKUP($J110,Lists!$K$2:$L$4,2,FALSE()))/VLOOKUP($K110,Lists!$N$2:$O$6,2,FALSE()),2))</f>
        <v/>
      </c>
      <c r="M110" s="63"/>
      <c r="N110" s="63"/>
      <c r="O110" s="62"/>
      <c r="P110" s="63"/>
      <c r="Q110" s="65"/>
      <c r="R110" s="66" t="str">
        <f t="shared" ca="1" si="3"/>
        <v/>
      </c>
      <c r="S110" s="63"/>
      <c r="T110" s="65"/>
      <c r="U110" s="65"/>
      <c r="V110" s="62"/>
      <c r="W110" s="62"/>
      <c r="X110" s="62"/>
      <c r="Y110" s="58"/>
      <c r="Z110" s="58"/>
      <c r="AA110" s="58"/>
    </row>
    <row r="111" spans="1:27" ht="15.75" customHeight="1" x14ac:dyDescent="0.2">
      <c r="A111" s="61" t="str">
        <f t="shared" si="2"/>
        <v/>
      </c>
      <c r="B111" s="62"/>
      <c r="C111" s="62"/>
      <c r="D111" s="62"/>
      <c r="E111" s="62"/>
      <c r="F111" s="63"/>
      <c r="G111" s="63"/>
      <c r="H111" s="63"/>
      <c r="I111" s="63"/>
      <c r="J111" s="63"/>
      <c r="K111" s="63"/>
      <c r="L111" s="64" t="str">
        <f>IF(OR($B111="", $H111="", $I111="", $J111="", $K111=""),"",ROUND((VLOOKUP($H111,Lists!$E$2:$F$5,2,FALSE())*VLOOKUP($I111,Lists!$H$2:$I$4,2,FALSE())*VLOOKUP($J111,Lists!$K$2:$L$4,2,FALSE()))/VLOOKUP($K111,Lists!$N$2:$O$6,2,FALSE()),2))</f>
        <v/>
      </c>
      <c r="M111" s="63"/>
      <c r="N111" s="63"/>
      <c r="O111" s="62"/>
      <c r="P111" s="63"/>
      <c r="Q111" s="65"/>
      <c r="R111" s="66" t="str">
        <f t="shared" ca="1" si="3"/>
        <v/>
      </c>
      <c r="S111" s="63"/>
      <c r="T111" s="65"/>
      <c r="U111" s="65"/>
      <c r="V111" s="62"/>
      <c r="W111" s="62"/>
      <c r="X111" s="62"/>
      <c r="Y111" s="58"/>
      <c r="Z111" s="58"/>
      <c r="AA111" s="58"/>
    </row>
    <row r="112" spans="1:27" ht="15.75" customHeight="1" x14ac:dyDescent="0.2">
      <c r="A112" s="61" t="str">
        <f t="shared" si="2"/>
        <v/>
      </c>
      <c r="B112" s="62"/>
      <c r="C112" s="62"/>
      <c r="D112" s="62"/>
      <c r="E112" s="62"/>
      <c r="F112" s="63"/>
      <c r="G112" s="63"/>
      <c r="H112" s="63"/>
      <c r="I112" s="63"/>
      <c r="J112" s="63"/>
      <c r="K112" s="63"/>
      <c r="L112" s="64" t="str">
        <f>IF(OR($B112="", $H112="", $I112="", $J112="", $K112=""),"",ROUND((VLOOKUP($H112,Lists!$E$2:$F$5,2,FALSE())*VLOOKUP($I112,Lists!$H$2:$I$4,2,FALSE())*VLOOKUP($J112,Lists!$K$2:$L$4,2,FALSE()))/VLOOKUP($K112,Lists!$N$2:$O$6,2,FALSE()),2))</f>
        <v/>
      </c>
      <c r="M112" s="63"/>
      <c r="N112" s="63"/>
      <c r="O112" s="62"/>
      <c r="P112" s="63"/>
      <c r="Q112" s="65"/>
      <c r="R112" s="66" t="str">
        <f t="shared" ca="1" si="3"/>
        <v/>
      </c>
      <c r="S112" s="63"/>
      <c r="T112" s="65"/>
      <c r="U112" s="65"/>
      <c r="V112" s="62"/>
      <c r="W112" s="62"/>
      <c r="X112" s="62"/>
      <c r="Y112" s="58"/>
      <c r="Z112" s="58"/>
      <c r="AA112" s="58"/>
    </row>
    <row r="113" spans="1:27" ht="15.75" customHeight="1" x14ac:dyDescent="0.2">
      <c r="A113" s="61" t="str">
        <f t="shared" si="2"/>
        <v/>
      </c>
      <c r="B113" s="62"/>
      <c r="C113" s="62"/>
      <c r="D113" s="62"/>
      <c r="E113" s="62"/>
      <c r="F113" s="63"/>
      <c r="G113" s="63"/>
      <c r="H113" s="63"/>
      <c r="I113" s="63"/>
      <c r="J113" s="63"/>
      <c r="K113" s="63"/>
      <c r="L113" s="64" t="str">
        <f>IF(OR($B113="", $H113="", $I113="", $J113="", $K113=""),"",ROUND((VLOOKUP($H113,Lists!$E$2:$F$5,2,FALSE())*VLOOKUP($I113,Lists!$H$2:$I$4,2,FALSE())*VLOOKUP($J113,Lists!$K$2:$L$4,2,FALSE()))/VLOOKUP($K113,Lists!$N$2:$O$6,2,FALSE()),2))</f>
        <v/>
      </c>
      <c r="M113" s="63"/>
      <c r="N113" s="63"/>
      <c r="O113" s="62"/>
      <c r="P113" s="63"/>
      <c r="Q113" s="65"/>
      <c r="R113" s="66" t="str">
        <f t="shared" ca="1" si="3"/>
        <v/>
      </c>
      <c r="S113" s="63"/>
      <c r="T113" s="65"/>
      <c r="U113" s="65"/>
      <c r="V113" s="62"/>
      <c r="W113" s="62"/>
      <c r="X113" s="62"/>
      <c r="Y113" s="58"/>
      <c r="Z113" s="58"/>
      <c r="AA113" s="58"/>
    </row>
    <row r="114" spans="1:27" ht="15.75" customHeight="1" x14ac:dyDescent="0.2">
      <c r="A114" s="61" t="str">
        <f t="shared" si="2"/>
        <v/>
      </c>
      <c r="B114" s="62"/>
      <c r="C114" s="62"/>
      <c r="D114" s="62"/>
      <c r="E114" s="62"/>
      <c r="F114" s="63"/>
      <c r="G114" s="63"/>
      <c r="H114" s="63"/>
      <c r="I114" s="63"/>
      <c r="J114" s="63"/>
      <c r="K114" s="63"/>
      <c r="L114" s="64" t="str">
        <f>IF(OR($B114="", $H114="", $I114="", $J114="", $K114=""),"",ROUND((VLOOKUP($H114,Lists!$E$2:$F$5,2,FALSE())*VLOOKUP($I114,Lists!$H$2:$I$4,2,FALSE())*VLOOKUP($J114,Lists!$K$2:$L$4,2,FALSE()))/VLOOKUP($K114,Lists!$N$2:$O$6,2,FALSE()),2))</f>
        <v/>
      </c>
      <c r="M114" s="63"/>
      <c r="N114" s="63"/>
      <c r="O114" s="62"/>
      <c r="P114" s="63"/>
      <c r="Q114" s="65"/>
      <c r="R114" s="66" t="str">
        <f t="shared" ca="1" si="3"/>
        <v/>
      </c>
      <c r="S114" s="63"/>
      <c r="T114" s="65"/>
      <c r="U114" s="65"/>
      <c r="V114" s="62"/>
      <c r="W114" s="62"/>
      <c r="X114" s="62"/>
      <c r="Y114" s="58"/>
      <c r="Z114" s="58"/>
      <c r="AA114" s="58"/>
    </row>
    <row r="115" spans="1:27" ht="15.75" customHeight="1" x14ac:dyDescent="0.2">
      <c r="A115" s="61" t="str">
        <f t="shared" si="2"/>
        <v/>
      </c>
      <c r="B115" s="62"/>
      <c r="C115" s="62"/>
      <c r="D115" s="62"/>
      <c r="E115" s="62"/>
      <c r="F115" s="63"/>
      <c r="G115" s="63"/>
      <c r="H115" s="63"/>
      <c r="I115" s="63"/>
      <c r="J115" s="63"/>
      <c r="K115" s="63"/>
      <c r="L115" s="64" t="str">
        <f>IF(OR($B115="", $H115="", $I115="", $J115="", $K115=""),"",ROUND((VLOOKUP($H115,Lists!$E$2:$F$5,2,FALSE())*VLOOKUP($I115,Lists!$H$2:$I$4,2,FALSE())*VLOOKUP($J115,Lists!$K$2:$L$4,2,FALSE()))/VLOOKUP($K115,Lists!$N$2:$O$6,2,FALSE()),2))</f>
        <v/>
      </c>
      <c r="M115" s="63"/>
      <c r="N115" s="63"/>
      <c r="O115" s="62"/>
      <c r="P115" s="63"/>
      <c r="Q115" s="65"/>
      <c r="R115" s="66" t="str">
        <f t="shared" ca="1" si="3"/>
        <v/>
      </c>
      <c r="S115" s="63"/>
      <c r="T115" s="65"/>
      <c r="U115" s="65"/>
      <c r="V115" s="62"/>
      <c r="W115" s="62"/>
      <c r="X115" s="62"/>
      <c r="Y115" s="58"/>
      <c r="Z115" s="58"/>
      <c r="AA115" s="58"/>
    </row>
    <row r="116" spans="1:27" ht="15.75" customHeight="1" x14ac:dyDescent="0.2">
      <c r="A116" s="61" t="str">
        <f t="shared" si="2"/>
        <v/>
      </c>
      <c r="B116" s="62"/>
      <c r="C116" s="62"/>
      <c r="D116" s="62"/>
      <c r="E116" s="62"/>
      <c r="F116" s="63"/>
      <c r="G116" s="63"/>
      <c r="H116" s="63"/>
      <c r="I116" s="63"/>
      <c r="J116" s="63"/>
      <c r="K116" s="63"/>
      <c r="L116" s="64" t="str">
        <f>IF(OR($B116="", $H116="", $I116="", $J116="", $K116=""),"",ROUND((VLOOKUP($H116,Lists!$E$2:$F$5,2,FALSE())*VLOOKUP($I116,Lists!$H$2:$I$4,2,FALSE())*VLOOKUP($J116,Lists!$K$2:$L$4,2,FALSE()))/VLOOKUP($K116,Lists!$N$2:$O$6,2,FALSE()),2))</f>
        <v/>
      </c>
      <c r="M116" s="63"/>
      <c r="N116" s="63"/>
      <c r="O116" s="62"/>
      <c r="P116" s="63"/>
      <c r="Q116" s="65"/>
      <c r="R116" s="66" t="str">
        <f t="shared" ca="1" si="3"/>
        <v/>
      </c>
      <c r="S116" s="63"/>
      <c r="T116" s="65"/>
      <c r="U116" s="65"/>
      <c r="V116" s="62"/>
      <c r="W116" s="62"/>
      <c r="X116" s="62"/>
      <c r="Y116" s="58"/>
      <c r="Z116" s="58"/>
      <c r="AA116" s="58"/>
    </row>
    <row r="117" spans="1:27" ht="15.75" customHeight="1" x14ac:dyDescent="0.2">
      <c r="A117" s="61" t="str">
        <f t="shared" si="2"/>
        <v/>
      </c>
      <c r="B117" s="62"/>
      <c r="C117" s="62"/>
      <c r="D117" s="62"/>
      <c r="E117" s="62"/>
      <c r="F117" s="63"/>
      <c r="G117" s="63"/>
      <c r="H117" s="63"/>
      <c r="I117" s="63"/>
      <c r="J117" s="63"/>
      <c r="K117" s="63"/>
      <c r="L117" s="64" t="str">
        <f>IF(OR($B117="", $H117="", $I117="", $J117="", $K117=""),"",ROUND((VLOOKUP($H117,Lists!$E$2:$F$5,2,FALSE())*VLOOKUP($I117,Lists!$H$2:$I$4,2,FALSE())*VLOOKUP($J117,Lists!$K$2:$L$4,2,FALSE()))/VLOOKUP($K117,Lists!$N$2:$O$6,2,FALSE()),2))</f>
        <v/>
      </c>
      <c r="M117" s="63"/>
      <c r="N117" s="63"/>
      <c r="O117" s="62"/>
      <c r="P117" s="63"/>
      <c r="Q117" s="65"/>
      <c r="R117" s="66" t="str">
        <f t="shared" ca="1" si="3"/>
        <v/>
      </c>
      <c r="S117" s="63"/>
      <c r="T117" s="65"/>
      <c r="U117" s="65"/>
      <c r="V117" s="62"/>
      <c r="W117" s="62"/>
      <c r="X117" s="62"/>
      <c r="Y117" s="58"/>
      <c r="Z117" s="58"/>
      <c r="AA117" s="58"/>
    </row>
    <row r="118" spans="1:27" ht="15.75" customHeight="1" x14ac:dyDescent="0.2">
      <c r="A118" s="61" t="str">
        <f t="shared" si="2"/>
        <v/>
      </c>
      <c r="B118" s="62"/>
      <c r="C118" s="62"/>
      <c r="D118" s="62"/>
      <c r="E118" s="62"/>
      <c r="F118" s="63"/>
      <c r="G118" s="63"/>
      <c r="H118" s="63"/>
      <c r="I118" s="63"/>
      <c r="J118" s="63"/>
      <c r="K118" s="63"/>
      <c r="L118" s="64" t="str">
        <f>IF(OR($B118="", $H118="", $I118="", $J118="", $K118=""),"",ROUND((VLOOKUP($H118,Lists!$E$2:$F$5,2,FALSE())*VLOOKUP($I118,Lists!$H$2:$I$4,2,FALSE())*VLOOKUP($J118,Lists!$K$2:$L$4,2,FALSE()))/VLOOKUP($K118,Lists!$N$2:$O$6,2,FALSE()),2))</f>
        <v/>
      </c>
      <c r="M118" s="63"/>
      <c r="N118" s="63"/>
      <c r="O118" s="62"/>
      <c r="P118" s="63"/>
      <c r="Q118" s="65"/>
      <c r="R118" s="66" t="str">
        <f t="shared" ca="1" si="3"/>
        <v/>
      </c>
      <c r="S118" s="63"/>
      <c r="T118" s="65"/>
      <c r="U118" s="65"/>
      <c r="V118" s="62"/>
      <c r="W118" s="62"/>
      <c r="X118" s="62"/>
      <c r="Y118" s="58"/>
      <c r="Z118" s="58"/>
      <c r="AA118" s="58"/>
    </row>
    <row r="119" spans="1:27" ht="15.75" customHeight="1" x14ac:dyDescent="0.2">
      <c r="A119" s="61" t="str">
        <f t="shared" si="2"/>
        <v/>
      </c>
      <c r="B119" s="62"/>
      <c r="C119" s="62"/>
      <c r="D119" s="62"/>
      <c r="E119" s="62"/>
      <c r="F119" s="63"/>
      <c r="G119" s="63"/>
      <c r="H119" s="63"/>
      <c r="I119" s="63"/>
      <c r="J119" s="63"/>
      <c r="K119" s="63"/>
      <c r="L119" s="64" t="str">
        <f>IF(OR($B119="", $H119="", $I119="", $J119="", $K119=""),"",ROUND((VLOOKUP($H119,Lists!$E$2:$F$5,2,FALSE())*VLOOKUP($I119,Lists!$H$2:$I$4,2,FALSE())*VLOOKUP($J119,Lists!$K$2:$L$4,2,FALSE()))/VLOOKUP($K119,Lists!$N$2:$O$6,2,FALSE()),2))</f>
        <v/>
      </c>
      <c r="M119" s="63"/>
      <c r="N119" s="63"/>
      <c r="O119" s="62"/>
      <c r="P119" s="63"/>
      <c r="Q119" s="65"/>
      <c r="R119" s="66" t="str">
        <f t="shared" ca="1" si="3"/>
        <v/>
      </c>
      <c r="S119" s="63"/>
      <c r="T119" s="65"/>
      <c r="U119" s="65"/>
      <c r="V119" s="62"/>
      <c r="W119" s="62"/>
      <c r="X119" s="62"/>
      <c r="Y119" s="58"/>
      <c r="Z119" s="58"/>
      <c r="AA119" s="58"/>
    </row>
    <row r="120" spans="1:27" ht="15.75" customHeight="1" x14ac:dyDescent="0.2">
      <c r="A120" s="61" t="str">
        <f t="shared" si="2"/>
        <v/>
      </c>
      <c r="B120" s="62"/>
      <c r="C120" s="62"/>
      <c r="D120" s="62"/>
      <c r="E120" s="62"/>
      <c r="F120" s="63"/>
      <c r="G120" s="63"/>
      <c r="H120" s="63"/>
      <c r="I120" s="63"/>
      <c r="J120" s="63"/>
      <c r="K120" s="63"/>
      <c r="L120" s="64" t="str">
        <f>IF(OR($B120="", $H120="", $I120="", $J120="", $K120=""),"",ROUND((VLOOKUP($H120,Lists!$E$2:$F$5,2,FALSE())*VLOOKUP($I120,Lists!$H$2:$I$4,2,FALSE())*VLOOKUP($J120,Lists!$K$2:$L$4,2,FALSE()))/VLOOKUP($K120,Lists!$N$2:$O$6,2,FALSE()),2))</f>
        <v/>
      </c>
      <c r="M120" s="63"/>
      <c r="N120" s="63"/>
      <c r="O120" s="62"/>
      <c r="P120" s="63"/>
      <c r="Q120" s="65"/>
      <c r="R120" s="66" t="str">
        <f t="shared" ca="1" si="3"/>
        <v/>
      </c>
      <c r="S120" s="63"/>
      <c r="T120" s="65"/>
      <c r="U120" s="65"/>
      <c r="V120" s="62"/>
      <c r="W120" s="62"/>
      <c r="X120" s="62"/>
      <c r="Y120" s="58"/>
      <c r="Z120" s="58"/>
      <c r="AA120" s="58"/>
    </row>
    <row r="121" spans="1:27" ht="15.75" customHeight="1" x14ac:dyDescent="0.2">
      <c r="A121" s="61" t="str">
        <f t="shared" si="2"/>
        <v/>
      </c>
      <c r="B121" s="62"/>
      <c r="C121" s="62"/>
      <c r="D121" s="62"/>
      <c r="E121" s="62"/>
      <c r="F121" s="63"/>
      <c r="G121" s="63"/>
      <c r="H121" s="63"/>
      <c r="I121" s="63"/>
      <c r="J121" s="63"/>
      <c r="K121" s="63"/>
      <c r="L121" s="64" t="str">
        <f>IF(OR($B121="", $H121="", $I121="", $J121="", $K121=""),"",ROUND((VLOOKUP($H121,Lists!$E$2:$F$5,2,FALSE())*VLOOKUP($I121,Lists!$H$2:$I$4,2,FALSE())*VLOOKUP($J121,Lists!$K$2:$L$4,2,FALSE()))/VLOOKUP($K121,Lists!$N$2:$O$6,2,FALSE()),2))</f>
        <v/>
      </c>
      <c r="M121" s="63"/>
      <c r="N121" s="63"/>
      <c r="O121" s="62"/>
      <c r="P121" s="63"/>
      <c r="Q121" s="65"/>
      <c r="R121" s="66" t="str">
        <f t="shared" ca="1" si="3"/>
        <v/>
      </c>
      <c r="S121" s="63"/>
      <c r="T121" s="65"/>
      <c r="U121" s="65"/>
      <c r="V121" s="62"/>
      <c r="W121" s="62"/>
      <c r="X121" s="62"/>
      <c r="Y121" s="58"/>
      <c r="Z121" s="58"/>
      <c r="AA121" s="58"/>
    </row>
    <row r="122" spans="1:27" ht="15.75" customHeight="1" x14ac:dyDescent="0.2">
      <c r="A122" s="61" t="str">
        <f t="shared" si="2"/>
        <v/>
      </c>
      <c r="B122" s="62"/>
      <c r="C122" s="62"/>
      <c r="D122" s="62"/>
      <c r="E122" s="62"/>
      <c r="F122" s="63"/>
      <c r="G122" s="63"/>
      <c r="H122" s="63"/>
      <c r="I122" s="63"/>
      <c r="J122" s="63"/>
      <c r="K122" s="63"/>
      <c r="L122" s="64" t="str">
        <f>IF(OR($B122="", $H122="", $I122="", $J122="", $K122=""),"",ROUND((VLOOKUP($H122,Lists!$E$2:$F$5,2,FALSE())*VLOOKUP($I122,Lists!$H$2:$I$4,2,FALSE())*VLOOKUP($J122,Lists!$K$2:$L$4,2,FALSE()))/VLOOKUP($K122,Lists!$N$2:$O$6,2,FALSE()),2))</f>
        <v/>
      </c>
      <c r="M122" s="63"/>
      <c r="N122" s="63"/>
      <c r="O122" s="62"/>
      <c r="P122" s="63"/>
      <c r="Q122" s="65"/>
      <c r="R122" s="66" t="str">
        <f t="shared" ca="1" si="3"/>
        <v/>
      </c>
      <c r="S122" s="63"/>
      <c r="T122" s="65"/>
      <c r="U122" s="65"/>
      <c r="V122" s="62"/>
      <c r="W122" s="62"/>
      <c r="X122" s="62"/>
      <c r="Y122" s="58"/>
      <c r="Z122" s="58"/>
      <c r="AA122" s="58"/>
    </row>
    <row r="123" spans="1:27" ht="15.75" customHeight="1" x14ac:dyDescent="0.2">
      <c r="A123" s="61" t="str">
        <f t="shared" si="2"/>
        <v/>
      </c>
      <c r="B123" s="62"/>
      <c r="C123" s="62"/>
      <c r="D123" s="62"/>
      <c r="E123" s="62"/>
      <c r="F123" s="63"/>
      <c r="G123" s="63"/>
      <c r="H123" s="63"/>
      <c r="I123" s="63"/>
      <c r="J123" s="63"/>
      <c r="K123" s="63"/>
      <c r="L123" s="64" t="str">
        <f>IF(OR($B123="", $H123="", $I123="", $J123="", $K123=""),"",ROUND((VLOOKUP($H123,Lists!$E$2:$F$5,2,FALSE())*VLOOKUP($I123,Lists!$H$2:$I$4,2,FALSE())*VLOOKUP($J123,Lists!$K$2:$L$4,2,FALSE()))/VLOOKUP($K123,Lists!$N$2:$O$6,2,FALSE()),2))</f>
        <v/>
      </c>
      <c r="M123" s="63"/>
      <c r="N123" s="63"/>
      <c r="O123" s="62"/>
      <c r="P123" s="63"/>
      <c r="Q123" s="65"/>
      <c r="R123" s="66" t="str">
        <f t="shared" ca="1" si="3"/>
        <v/>
      </c>
      <c r="S123" s="63"/>
      <c r="T123" s="65"/>
      <c r="U123" s="65"/>
      <c r="V123" s="62"/>
      <c r="W123" s="62"/>
      <c r="X123" s="62"/>
      <c r="Y123" s="58"/>
      <c r="Z123" s="58"/>
      <c r="AA123" s="58"/>
    </row>
    <row r="124" spans="1:27" ht="15.75" customHeight="1" x14ac:dyDescent="0.2">
      <c r="A124" s="61" t="str">
        <f t="shared" si="2"/>
        <v/>
      </c>
      <c r="B124" s="62"/>
      <c r="C124" s="62"/>
      <c r="D124" s="62"/>
      <c r="E124" s="62"/>
      <c r="F124" s="63"/>
      <c r="G124" s="63"/>
      <c r="H124" s="63"/>
      <c r="I124" s="63"/>
      <c r="J124" s="63"/>
      <c r="K124" s="63"/>
      <c r="L124" s="64" t="str">
        <f>IF(OR($B124="", $H124="", $I124="", $J124="", $K124=""),"",ROUND((VLOOKUP($H124,Lists!$E$2:$F$5,2,FALSE())*VLOOKUP($I124,Lists!$H$2:$I$4,2,FALSE())*VLOOKUP($J124,Lists!$K$2:$L$4,2,FALSE()))/VLOOKUP($K124,Lists!$N$2:$O$6,2,FALSE()),2))</f>
        <v/>
      </c>
      <c r="M124" s="63"/>
      <c r="N124" s="63"/>
      <c r="O124" s="62"/>
      <c r="P124" s="63"/>
      <c r="Q124" s="65"/>
      <c r="R124" s="66" t="str">
        <f t="shared" ca="1" si="3"/>
        <v/>
      </c>
      <c r="S124" s="63"/>
      <c r="T124" s="65"/>
      <c r="U124" s="65"/>
      <c r="V124" s="62"/>
      <c r="W124" s="62"/>
      <c r="X124" s="62"/>
      <c r="Y124" s="58"/>
      <c r="Z124" s="58"/>
      <c r="AA124" s="58"/>
    </row>
    <row r="125" spans="1:27" ht="15.75" customHeight="1" x14ac:dyDescent="0.2">
      <c r="A125" s="61" t="str">
        <f t="shared" si="2"/>
        <v/>
      </c>
      <c r="B125" s="62"/>
      <c r="C125" s="62"/>
      <c r="D125" s="62"/>
      <c r="E125" s="62"/>
      <c r="F125" s="63"/>
      <c r="G125" s="63"/>
      <c r="H125" s="63"/>
      <c r="I125" s="63"/>
      <c r="J125" s="63"/>
      <c r="K125" s="63"/>
      <c r="L125" s="64" t="str">
        <f>IF(OR($B125="", $H125="", $I125="", $J125="", $K125=""),"",ROUND((VLOOKUP($H125,Lists!$E$2:$F$5,2,FALSE())*VLOOKUP($I125,Lists!$H$2:$I$4,2,FALSE())*VLOOKUP($J125,Lists!$K$2:$L$4,2,FALSE()))/VLOOKUP($K125,Lists!$N$2:$O$6,2,FALSE()),2))</f>
        <v/>
      </c>
      <c r="M125" s="63"/>
      <c r="N125" s="63"/>
      <c r="O125" s="62"/>
      <c r="P125" s="63"/>
      <c r="Q125" s="65"/>
      <c r="R125" s="66" t="str">
        <f t="shared" ca="1" si="3"/>
        <v/>
      </c>
      <c r="S125" s="63"/>
      <c r="T125" s="65"/>
      <c r="U125" s="65"/>
      <c r="V125" s="62"/>
      <c r="W125" s="62"/>
      <c r="X125" s="62"/>
      <c r="Y125" s="58"/>
      <c r="Z125" s="58"/>
      <c r="AA125" s="58"/>
    </row>
    <row r="126" spans="1:27" ht="15.75" customHeight="1" x14ac:dyDescent="0.2">
      <c r="A126" s="61" t="str">
        <f t="shared" si="2"/>
        <v/>
      </c>
      <c r="B126" s="62"/>
      <c r="C126" s="62"/>
      <c r="D126" s="62"/>
      <c r="E126" s="62"/>
      <c r="F126" s="63"/>
      <c r="G126" s="63"/>
      <c r="H126" s="63"/>
      <c r="I126" s="63"/>
      <c r="J126" s="63"/>
      <c r="K126" s="63"/>
      <c r="L126" s="64" t="str">
        <f>IF(OR($B126="", $H126="", $I126="", $J126="", $K126=""),"",ROUND((VLOOKUP($H126,Lists!$E$2:$F$5,2,FALSE())*VLOOKUP($I126,Lists!$H$2:$I$4,2,FALSE())*VLOOKUP($J126,Lists!$K$2:$L$4,2,FALSE()))/VLOOKUP($K126,Lists!$N$2:$O$6,2,FALSE()),2))</f>
        <v/>
      </c>
      <c r="M126" s="63"/>
      <c r="N126" s="63"/>
      <c r="O126" s="62"/>
      <c r="P126" s="63"/>
      <c r="Q126" s="65"/>
      <c r="R126" s="66" t="str">
        <f t="shared" ca="1" si="3"/>
        <v/>
      </c>
      <c r="S126" s="63"/>
      <c r="T126" s="65"/>
      <c r="U126" s="65"/>
      <c r="V126" s="62"/>
      <c r="W126" s="62"/>
      <c r="X126" s="62"/>
      <c r="Y126" s="58"/>
      <c r="Z126" s="58"/>
      <c r="AA126" s="58"/>
    </row>
    <row r="127" spans="1:27" ht="15.75" customHeight="1" x14ac:dyDescent="0.2">
      <c r="A127" s="61" t="str">
        <f t="shared" si="2"/>
        <v/>
      </c>
      <c r="B127" s="62"/>
      <c r="C127" s="62"/>
      <c r="D127" s="62"/>
      <c r="E127" s="62"/>
      <c r="F127" s="63"/>
      <c r="G127" s="63"/>
      <c r="H127" s="63"/>
      <c r="I127" s="63"/>
      <c r="J127" s="63"/>
      <c r="K127" s="63"/>
      <c r="L127" s="64" t="str">
        <f>IF(OR($B127="", $H127="", $I127="", $J127="", $K127=""),"",ROUND((VLOOKUP($H127,Lists!$E$2:$F$5,2,FALSE())*VLOOKUP($I127,Lists!$H$2:$I$4,2,FALSE())*VLOOKUP($J127,Lists!$K$2:$L$4,2,FALSE()))/VLOOKUP($K127,Lists!$N$2:$O$6,2,FALSE()),2))</f>
        <v/>
      </c>
      <c r="M127" s="63"/>
      <c r="N127" s="63"/>
      <c r="O127" s="62"/>
      <c r="P127" s="63"/>
      <c r="Q127" s="65"/>
      <c r="R127" s="66" t="str">
        <f t="shared" ca="1" si="3"/>
        <v/>
      </c>
      <c r="S127" s="63"/>
      <c r="T127" s="65"/>
      <c r="U127" s="65"/>
      <c r="V127" s="62"/>
      <c r="W127" s="62"/>
      <c r="X127" s="62"/>
      <c r="Y127" s="58"/>
      <c r="Z127" s="58"/>
      <c r="AA127" s="58"/>
    </row>
    <row r="128" spans="1:27" ht="15.75" customHeight="1" x14ac:dyDescent="0.2">
      <c r="A128" s="61" t="str">
        <f t="shared" si="2"/>
        <v/>
      </c>
      <c r="B128" s="62"/>
      <c r="C128" s="62"/>
      <c r="D128" s="62"/>
      <c r="E128" s="62"/>
      <c r="F128" s="63"/>
      <c r="G128" s="63"/>
      <c r="H128" s="63"/>
      <c r="I128" s="63"/>
      <c r="J128" s="63"/>
      <c r="K128" s="63"/>
      <c r="L128" s="64" t="str">
        <f>IF(OR($B128="", $H128="", $I128="", $J128="", $K128=""),"",ROUND((VLOOKUP($H128,Lists!$E$2:$F$5,2,FALSE())*VLOOKUP($I128,Lists!$H$2:$I$4,2,FALSE())*VLOOKUP($J128,Lists!$K$2:$L$4,2,FALSE()))/VLOOKUP($K128,Lists!$N$2:$O$6,2,FALSE()),2))</f>
        <v/>
      </c>
      <c r="M128" s="63"/>
      <c r="N128" s="63"/>
      <c r="O128" s="62"/>
      <c r="P128" s="63"/>
      <c r="Q128" s="65"/>
      <c r="R128" s="66" t="str">
        <f t="shared" ca="1" si="3"/>
        <v/>
      </c>
      <c r="S128" s="63"/>
      <c r="T128" s="65"/>
      <c r="U128" s="65"/>
      <c r="V128" s="62"/>
      <c r="W128" s="62"/>
      <c r="X128" s="62"/>
      <c r="Y128" s="58"/>
      <c r="Z128" s="58"/>
      <c r="AA128" s="58"/>
    </row>
    <row r="129" spans="1:27" ht="15.75" customHeight="1" x14ac:dyDescent="0.2">
      <c r="A129" s="61" t="str">
        <f t="shared" si="2"/>
        <v/>
      </c>
      <c r="B129" s="62"/>
      <c r="C129" s="62"/>
      <c r="D129" s="62"/>
      <c r="E129" s="62"/>
      <c r="F129" s="63"/>
      <c r="G129" s="63"/>
      <c r="H129" s="63"/>
      <c r="I129" s="63"/>
      <c r="J129" s="63"/>
      <c r="K129" s="63"/>
      <c r="L129" s="64" t="str">
        <f>IF(OR($B129="", $H129="", $I129="", $J129="", $K129=""),"",ROUND((VLOOKUP($H129,Lists!$E$2:$F$5,2,FALSE())*VLOOKUP($I129,Lists!$H$2:$I$4,2,FALSE())*VLOOKUP($J129,Lists!$K$2:$L$4,2,FALSE()))/VLOOKUP($K129,Lists!$N$2:$O$6,2,FALSE()),2))</f>
        <v/>
      </c>
      <c r="M129" s="63"/>
      <c r="N129" s="63"/>
      <c r="O129" s="62"/>
      <c r="P129" s="63"/>
      <c r="Q129" s="65"/>
      <c r="R129" s="66" t="str">
        <f t="shared" ca="1" si="3"/>
        <v/>
      </c>
      <c r="S129" s="63"/>
      <c r="T129" s="65"/>
      <c r="U129" s="65"/>
      <c r="V129" s="62"/>
      <c r="W129" s="62"/>
      <c r="X129" s="62"/>
      <c r="Y129" s="58"/>
      <c r="Z129" s="58"/>
      <c r="AA129" s="58"/>
    </row>
    <row r="130" spans="1:27" ht="15.75" customHeight="1" x14ac:dyDescent="0.2">
      <c r="A130" s="61" t="str">
        <f t="shared" ref="A130:A193" si="4">IF($B130="","", "TD-" &amp; RIGHT("0000"&amp;ROW()-1,4))</f>
        <v/>
      </c>
      <c r="B130" s="62"/>
      <c r="C130" s="62"/>
      <c r="D130" s="62"/>
      <c r="E130" s="62"/>
      <c r="F130" s="63"/>
      <c r="G130" s="63"/>
      <c r="H130" s="63"/>
      <c r="I130" s="63"/>
      <c r="J130" s="63"/>
      <c r="K130" s="63"/>
      <c r="L130" s="64" t="str">
        <f>IF(OR($B130="", $H130="", $I130="", $J130="", $K130=""),"",ROUND((VLOOKUP($H130,Lists!$E$2:$F$5,2,FALSE())*VLOOKUP($I130,Lists!$H$2:$I$4,2,FALSE())*VLOOKUP($J130,Lists!$K$2:$L$4,2,FALSE()))/VLOOKUP($K130,Lists!$N$2:$O$6,2,FALSE()),2))</f>
        <v/>
      </c>
      <c r="M130" s="63"/>
      <c r="N130" s="63"/>
      <c r="O130" s="62"/>
      <c r="P130" s="63"/>
      <c r="Q130" s="65"/>
      <c r="R130" s="66" t="str">
        <f t="shared" ref="R130:R193" ca="1" si="5">IF($Q130="","", TODAY()-$Q130)</f>
        <v/>
      </c>
      <c r="S130" s="63"/>
      <c r="T130" s="65"/>
      <c r="U130" s="65"/>
      <c r="V130" s="62"/>
      <c r="W130" s="62"/>
      <c r="X130" s="62"/>
      <c r="Y130" s="58"/>
      <c r="Z130" s="58"/>
      <c r="AA130" s="58"/>
    </row>
    <row r="131" spans="1:27" ht="15.75" customHeight="1" x14ac:dyDescent="0.2">
      <c r="A131" s="61" t="str">
        <f t="shared" si="4"/>
        <v/>
      </c>
      <c r="B131" s="62"/>
      <c r="C131" s="62"/>
      <c r="D131" s="62"/>
      <c r="E131" s="62"/>
      <c r="F131" s="63"/>
      <c r="G131" s="63"/>
      <c r="H131" s="63"/>
      <c r="I131" s="63"/>
      <c r="J131" s="63"/>
      <c r="K131" s="63"/>
      <c r="L131" s="64" t="str">
        <f>IF(OR($B131="", $H131="", $I131="", $J131="", $K131=""),"",ROUND((VLOOKUP($H131,Lists!$E$2:$F$5,2,FALSE())*VLOOKUP($I131,Lists!$H$2:$I$4,2,FALSE())*VLOOKUP($J131,Lists!$K$2:$L$4,2,FALSE()))/VLOOKUP($K131,Lists!$N$2:$O$6,2,FALSE()),2))</f>
        <v/>
      </c>
      <c r="M131" s="63"/>
      <c r="N131" s="63"/>
      <c r="O131" s="62"/>
      <c r="P131" s="63"/>
      <c r="Q131" s="65"/>
      <c r="R131" s="66" t="str">
        <f t="shared" ca="1" si="5"/>
        <v/>
      </c>
      <c r="S131" s="63"/>
      <c r="T131" s="65"/>
      <c r="U131" s="65"/>
      <c r="V131" s="62"/>
      <c r="W131" s="62"/>
      <c r="X131" s="62"/>
      <c r="Y131" s="58"/>
      <c r="Z131" s="58"/>
      <c r="AA131" s="58"/>
    </row>
    <row r="132" spans="1:27" ht="15.75" customHeight="1" x14ac:dyDescent="0.2">
      <c r="A132" s="61" t="str">
        <f t="shared" si="4"/>
        <v/>
      </c>
      <c r="B132" s="62"/>
      <c r="C132" s="62"/>
      <c r="D132" s="62"/>
      <c r="E132" s="62"/>
      <c r="F132" s="63"/>
      <c r="G132" s="63"/>
      <c r="H132" s="63"/>
      <c r="I132" s="63"/>
      <c r="J132" s="63"/>
      <c r="K132" s="63"/>
      <c r="L132" s="64" t="str">
        <f>IF(OR($B132="", $H132="", $I132="", $J132="", $K132=""),"",ROUND((VLOOKUP($H132,Lists!$E$2:$F$5,2,FALSE())*VLOOKUP($I132,Lists!$H$2:$I$4,2,FALSE())*VLOOKUP($J132,Lists!$K$2:$L$4,2,FALSE()))/VLOOKUP($K132,Lists!$N$2:$O$6,2,FALSE()),2))</f>
        <v/>
      </c>
      <c r="M132" s="63"/>
      <c r="N132" s="63"/>
      <c r="O132" s="62"/>
      <c r="P132" s="63"/>
      <c r="Q132" s="65"/>
      <c r="R132" s="66" t="str">
        <f t="shared" ca="1" si="5"/>
        <v/>
      </c>
      <c r="S132" s="63"/>
      <c r="T132" s="65"/>
      <c r="U132" s="65"/>
      <c r="V132" s="62"/>
      <c r="W132" s="62"/>
      <c r="X132" s="62"/>
      <c r="Y132" s="58"/>
      <c r="Z132" s="58"/>
      <c r="AA132" s="58"/>
    </row>
    <row r="133" spans="1:27" ht="15.75" customHeight="1" x14ac:dyDescent="0.2">
      <c r="A133" s="61" t="str">
        <f t="shared" si="4"/>
        <v/>
      </c>
      <c r="B133" s="62"/>
      <c r="C133" s="62"/>
      <c r="D133" s="62"/>
      <c r="E133" s="62"/>
      <c r="F133" s="63"/>
      <c r="G133" s="63"/>
      <c r="H133" s="63"/>
      <c r="I133" s="63"/>
      <c r="J133" s="63"/>
      <c r="K133" s="63"/>
      <c r="L133" s="64" t="str">
        <f>IF(OR($B133="", $H133="", $I133="", $J133="", $K133=""),"",ROUND((VLOOKUP($H133,Lists!$E$2:$F$5,2,FALSE())*VLOOKUP($I133,Lists!$H$2:$I$4,2,FALSE())*VLOOKUP($J133,Lists!$K$2:$L$4,2,FALSE()))/VLOOKUP($K133,Lists!$N$2:$O$6,2,FALSE()),2))</f>
        <v/>
      </c>
      <c r="M133" s="63"/>
      <c r="N133" s="63"/>
      <c r="O133" s="62"/>
      <c r="P133" s="63"/>
      <c r="Q133" s="65"/>
      <c r="R133" s="66" t="str">
        <f t="shared" ca="1" si="5"/>
        <v/>
      </c>
      <c r="S133" s="63"/>
      <c r="T133" s="65"/>
      <c r="U133" s="65"/>
      <c r="V133" s="62"/>
      <c r="W133" s="62"/>
      <c r="X133" s="62"/>
      <c r="Y133" s="58"/>
      <c r="Z133" s="58"/>
      <c r="AA133" s="58"/>
    </row>
    <row r="134" spans="1:27" ht="15.75" customHeight="1" x14ac:dyDescent="0.2">
      <c r="A134" s="61" t="str">
        <f t="shared" si="4"/>
        <v/>
      </c>
      <c r="B134" s="62"/>
      <c r="C134" s="62"/>
      <c r="D134" s="62"/>
      <c r="E134" s="62"/>
      <c r="F134" s="63"/>
      <c r="G134" s="63"/>
      <c r="H134" s="63"/>
      <c r="I134" s="63"/>
      <c r="J134" s="63"/>
      <c r="K134" s="63"/>
      <c r="L134" s="64" t="str">
        <f>IF(OR($B134="", $H134="", $I134="", $J134="", $K134=""),"",ROUND((VLOOKUP($H134,Lists!$E$2:$F$5,2,FALSE())*VLOOKUP($I134,Lists!$H$2:$I$4,2,FALSE())*VLOOKUP($J134,Lists!$K$2:$L$4,2,FALSE()))/VLOOKUP($K134,Lists!$N$2:$O$6,2,FALSE()),2))</f>
        <v/>
      </c>
      <c r="M134" s="63"/>
      <c r="N134" s="63"/>
      <c r="O134" s="62"/>
      <c r="P134" s="63"/>
      <c r="Q134" s="65"/>
      <c r="R134" s="66" t="str">
        <f t="shared" ca="1" si="5"/>
        <v/>
      </c>
      <c r="S134" s="63"/>
      <c r="T134" s="65"/>
      <c r="U134" s="65"/>
      <c r="V134" s="62"/>
      <c r="W134" s="62"/>
      <c r="X134" s="62"/>
      <c r="Y134" s="58"/>
      <c r="Z134" s="58"/>
      <c r="AA134" s="58"/>
    </row>
    <row r="135" spans="1:27" ht="15.75" customHeight="1" x14ac:dyDescent="0.2">
      <c r="A135" s="61" t="str">
        <f t="shared" si="4"/>
        <v/>
      </c>
      <c r="B135" s="62"/>
      <c r="C135" s="62"/>
      <c r="D135" s="62"/>
      <c r="E135" s="62"/>
      <c r="F135" s="63"/>
      <c r="G135" s="63"/>
      <c r="H135" s="63"/>
      <c r="I135" s="63"/>
      <c r="J135" s="63"/>
      <c r="K135" s="63"/>
      <c r="L135" s="64" t="str">
        <f>IF(OR($B135="", $H135="", $I135="", $J135="", $K135=""),"",ROUND((VLOOKUP($H135,Lists!$E$2:$F$5,2,FALSE())*VLOOKUP($I135,Lists!$H$2:$I$4,2,FALSE())*VLOOKUP($J135,Lists!$K$2:$L$4,2,FALSE()))/VLOOKUP($K135,Lists!$N$2:$O$6,2,FALSE()),2))</f>
        <v/>
      </c>
      <c r="M135" s="63"/>
      <c r="N135" s="63"/>
      <c r="O135" s="62"/>
      <c r="P135" s="63"/>
      <c r="Q135" s="65"/>
      <c r="R135" s="66" t="str">
        <f t="shared" ca="1" si="5"/>
        <v/>
      </c>
      <c r="S135" s="63"/>
      <c r="T135" s="65"/>
      <c r="U135" s="65"/>
      <c r="V135" s="62"/>
      <c r="W135" s="62"/>
      <c r="X135" s="62"/>
      <c r="Y135" s="58"/>
      <c r="Z135" s="58"/>
      <c r="AA135" s="58"/>
    </row>
    <row r="136" spans="1:27" ht="15.75" customHeight="1" x14ac:dyDescent="0.2">
      <c r="A136" s="61" t="str">
        <f t="shared" si="4"/>
        <v/>
      </c>
      <c r="B136" s="62"/>
      <c r="C136" s="62"/>
      <c r="D136" s="62"/>
      <c r="E136" s="62"/>
      <c r="F136" s="63"/>
      <c r="G136" s="63"/>
      <c r="H136" s="63"/>
      <c r="I136" s="63"/>
      <c r="J136" s="63"/>
      <c r="K136" s="63"/>
      <c r="L136" s="64" t="str">
        <f>IF(OR($B136="", $H136="", $I136="", $J136="", $K136=""),"",ROUND((VLOOKUP($H136,Lists!$E$2:$F$5,2,FALSE())*VLOOKUP($I136,Lists!$H$2:$I$4,2,FALSE())*VLOOKUP($J136,Lists!$K$2:$L$4,2,FALSE()))/VLOOKUP($K136,Lists!$N$2:$O$6,2,FALSE()),2))</f>
        <v/>
      </c>
      <c r="M136" s="63"/>
      <c r="N136" s="63"/>
      <c r="O136" s="62"/>
      <c r="P136" s="63"/>
      <c r="Q136" s="65"/>
      <c r="R136" s="66" t="str">
        <f t="shared" ca="1" si="5"/>
        <v/>
      </c>
      <c r="S136" s="63"/>
      <c r="T136" s="65"/>
      <c r="U136" s="65"/>
      <c r="V136" s="62"/>
      <c r="W136" s="62"/>
      <c r="X136" s="62"/>
      <c r="Y136" s="58"/>
      <c r="Z136" s="58"/>
      <c r="AA136" s="58"/>
    </row>
    <row r="137" spans="1:27" ht="15.75" customHeight="1" x14ac:dyDescent="0.2">
      <c r="A137" s="61" t="str">
        <f t="shared" si="4"/>
        <v/>
      </c>
      <c r="B137" s="62"/>
      <c r="C137" s="62"/>
      <c r="D137" s="62"/>
      <c r="E137" s="62"/>
      <c r="F137" s="63"/>
      <c r="G137" s="63"/>
      <c r="H137" s="63"/>
      <c r="I137" s="63"/>
      <c r="J137" s="63"/>
      <c r="K137" s="63"/>
      <c r="L137" s="64" t="str">
        <f>IF(OR($B137="", $H137="", $I137="", $J137="", $K137=""),"",ROUND((VLOOKUP($H137,Lists!$E$2:$F$5,2,FALSE())*VLOOKUP($I137,Lists!$H$2:$I$4,2,FALSE())*VLOOKUP($J137,Lists!$K$2:$L$4,2,FALSE()))/VLOOKUP($K137,Lists!$N$2:$O$6,2,FALSE()),2))</f>
        <v/>
      </c>
      <c r="M137" s="63"/>
      <c r="N137" s="63"/>
      <c r="O137" s="62"/>
      <c r="P137" s="63"/>
      <c r="Q137" s="65"/>
      <c r="R137" s="66" t="str">
        <f t="shared" ca="1" si="5"/>
        <v/>
      </c>
      <c r="S137" s="63"/>
      <c r="T137" s="65"/>
      <c r="U137" s="65"/>
      <c r="V137" s="62"/>
      <c r="W137" s="62"/>
      <c r="X137" s="62"/>
      <c r="Y137" s="58"/>
      <c r="Z137" s="58"/>
      <c r="AA137" s="58"/>
    </row>
    <row r="138" spans="1:27" ht="15.75" customHeight="1" x14ac:dyDescent="0.2">
      <c r="A138" s="61" t="str">
        <f t="shared" si="4"/>
        <v/>
      </c>
      <c r="B138" s="62"/>
      <c r="C138" s="62"/>
      <c r="D138" s="62"/>
      <c r="E138" s="62"/>
      <c r="F138" s="63"/>
      <c r="G138" s="63"/>
      <c r="H138" s="63"/>
      <c r="I138" s="63"/>
      <c r="J138" s="63"/>
      <c r="K138" s="63"/>
      <c r="L138" s="64" t="str">
        <f>IF(OR($B138="", $H138="", $I138="", $J138="", $K138=""),"",ROUND((VLOOKUP($H138,Lists!$E$2:$F$5,2,FALSE())*VLOOKUP($I138,Lists!$H$2:$I$4,2,FALSE())*VLOOKUP($J138,Lists!$K$2:$L$4,2,FALSE()))/VLOOKUP($K138,Lists!$N$2:$O$6,2,FALSE()),2))</f>
        <v/>
      </c>
      <c r="M138" s="63"/>
      <c r="N138" s="63"/>
      <c r="O138" s="62"/>
      <c r="P138" s="63"/>
      <c r="Q138" s="65"/>
      <c r="R138" s="66" t="str">
        <f t="shared" ca="1" si="5"/>
        <v/>
      </c>
      <c r="S138" s="63"/>
      <c r="T138" s="65"/>
      <c r="U138" s="65"/>
      <c r="V138" s="62"/>
      <c r="W138" s="62"/>
      <c r="X138" s="62"/>
      <c r="Y138" s="58"/>
      <c r="Z138" s="58"/>
      <c r="AA138" s="58"/>
    </row>
    <row r="139" spans="1:27" ht="15.75" customHeight="1" x14ac:dyDescent="0.2">
      <c r="A139" s="61" t="str">
        <f t="shared" si="4"/>
        <v/>
      </c>
      <c r="B139" s="62"/>
      <c r="C139" s="62"/>
      <c r="D139" s="62"/>
      <c r="E139" s="62"/>
      <c r="F139" s="63"/>
      <c r="G139" s="63"/>
      <c r="H139" s="63"/>
      <c r="I139" s="63"/>
      <c r="J139" s="63"/>
      <c r="K139" s="63"/>
      <c r="L139" s="64" t="str">
        <f>IF(OR($B139="", $H139="", $I139="", $J139="", $K139=""),"",ROUND((VLOOKUP($H139,Lists!$E$2:$F$5,2,FALSE())*VLOOKUP($I139,Lists!$H$2:$I$4,2,FALSE())*VLOOKUP($J139,Lists!$K$2:$L$4,2,FALSE()))/VLOOKUP($K139,Lists!$N$2:$O$6,2,FALSE()),2))</f>
        <v/>
      </c>
      <c r="M139" s="63"/>
      <c r="N139" s="63"/>
      <c r="O139" s="62"/>
      <c r="P139" s="63"/>
      <c r="Q139" s="65"/>
      <c r="R139" s="66" t="str">
        <f t="shared" ca="1" si="5"/>
        <v/>
      </c>
      <c r="S139" s="63"/>
      <c r="T139" s="65"/>
      <c r="U139" s="65"/>
      <c r="V139" s="62"/>
      <c r="W139" s="62"/>
      <c r="X139" s="62"/>
      <c r="Y139" s="58"/>
      <c r="Z139" s="58"/>
      <c r="AA139" s="58"/>
    </row>
    <row r="140" spans="1:27" ht="15.75" customHeight="1" x14ac:dyDescent="0.2">
      <c r="A140" s="61" t="str">
        <f t="shared" si="4"/>
        <v/>
      </c>
      <c r="B140" s="62"/>
      <c r="C140" s="62"/>
      <c r="D140" s="62"/>
      <c r="E140" s="62"/>
      <c r="F140" s="63"/>
      <c r="G140" s="63"/>
      <c r="H140" s="63"/>
      <c r="I140" s="63"/>
      <c r="J140" s="63"/>
      <c r="K140" s="63"/>
      <c r="L140" s="64" t="str">
        <f>IF(OR($B140="", $H140="", $I140="", $J140="", $K140=""),"",ROUND((VLOOKUP($H140,Lists!$E$2:$F$5,2,FALSE())*VLOOKUP($I140,Lists!$H$2:$I$4,2,FALSE())*VLOOKUP($J140,Lists!$K$2:$L$4,2,FALSE()))/VLOOKUP($K140,Lists!$N$2:$O$6,2,FALSE()),2))</f>
        <v/>
      </c>
      <c r="M140" s="63"/>
      <c r="N140" s="63"/>
      <c r="O140" s="62"/>
      <c r="P140" s="63"/>
      <c r="Q140" s="65"/>
      <c r="R140" s="66" t="str">
        <f t="shared" ca="1" si="5"/>
        <v/>
      </c>
      <c r="S140" s="63"/>
      <c r="T140" s="65"/>
      <c r="U140" s="65"/>
      <c r="V140" s="62"/>
      <c r="W140" s="62"/>
      <c r="X140" s="62"/>
      <c r="Y140" s="58"/>
      <c r="Z140" s="58"/>
      <c r="AA140" s="58"/>
    </row>
    <row r="141" spans="1:27" ht="15.75" customHeight="1" x14ac:dyDescent="0.2">
      <c r="A141" s="61" t="str">
        <f t="shared" si="4"/>
        <v/>
      </c>
      <c r="B141" s="62"/>
      <c r="C141" s="62"/>
      <c r="D141" s="62"/>
      <c r="E141" s="62"/>
      <c r="F141" s="63"/>
      <c r="G141" s="63"/>
      <c r="H141" s="63"/>
      <c r="I141" s="63"/>
      <c r="J141" s="63"/>
      <c r="K141" s="63"/>
      <c r="L141" s="64" t="str">
        <f>IF(OR($B141="", $H141="", $I141="", $J141="", $K141=""),"",ROUND((VLOOKUP($H141,Lists!$E$2:$F$5,2,FALSE())*VLOOKUP($I141,Lists!$H$2:$I$4,2,FALSE())*VLOOKUP($J141,Lists!$K$2:$L$4,2,FALSE()))/VLOOKUP($K141,Lists!$N$2:$O$6,2,FALSE()),2))</f>
        <v/>
      </c>
      <c r="M141" s="63"/>
      <c r="N141" s="63"/>
      <c r="O141" s="62"/>
      <c r="P141" s="63"/>
      <c r="Q141" s="65"/>
      <c r="R141" s="66" t="str">
        <f t="shared" ca="1" si="5"/>
        <v/>
      </c>
      <c r="S141" s="63"/>
      <c r="T141" s="65"/>
      <c r="U141" s="65"/>
      <c r="V141" s="62"/>
      <c r="W141" s="62"/>
      <c r="X141" s="62"/>
      <c r="Y141" s="58"/>
      <c r="Z141" s="58"/>
      <c r="AA141" s="58"/>
    </row>
    <row r="142" spans="1:27" ht="15.75" customHeight="1" x14ac:dyDescent="0.2">
      <c r="A142" s="61" t="str">
        <f t="shared" si="4"/>
        <v/>
      </c>
      <c r="B142" s="62"/>
      <c r="C142" s="62"/>
      <c r="D142" s="62"/>
      <c r="E142" s="62"/>
      <c r="F142" s="63"/>
      <c r="G142" s="63"/>
      <c r="H142" s="63"/>
      <c r="I142" s="63"/>
      <c r="J142" s="63"/>
      <c r="K142" s="63"/>
      <c r="L142" s="64" t="str">
        <f>IF(OR($B142="", $H142="", $I142="", $J142="", $K142=""),"",ROUND((VLOOKUP($H142,Lists!$E$2:$F$5,2,FALSE())*VLOOKUP($I142,Lists!$H$2:$I$4,2,FALSE())*VLOOKUP($J142,Lists!$K$2:$L$4,2,FALSE()))/VLOOKUP($K142,Lists!$N$2:$O$6,2,FALSE()),2))</f>
        <v/>
      </c>
      <c r="M142" s="63"/>
      <c r="N142" s="63"/>
      <c r="O142" s="62"/>
      <c r="P142" s="63"/>
      <c r="Q142" s="65"/>
      <c r="R142" s="66" t="str">
        <f t="shared" ca="1" si="5"/>
        <v/>
      </c>
      <c r="S142" s="63"/>
      <c r="T142" s="65"/>
      <c r="U142" s="65"/>
      <c r="V142" s="62"/>
      <c r="W142" s="62"/>
      <c r="X142" s="62"/>
      <c r="Y142" s="58"/>
      <c r="Z142" s="58"/>
      <c r="AA142" s="58"/>
    </row>
    <row r="143" spans="1:27" ht="15.75" customHeight="1" x14ac:dyDescent="0.2">
      <c r="A143" s="61" t="str">
        <f t="shared" si="4"/>
        <v/>
      </c>
      <c r="B143" s="62"/>
      <c r="C143" s="62"/>
      <c r="D143" s="62"/>
      <c r="E143" s="62"/>
      <c r="F143" s="63"/>
      <c r="G143" s="63"/>
      <c r="H143" s="63"/>
      <c r="I143" s="63"/>
      <c r="J143" s="63"/>
      <c r="K143" s="63"/>
      <c r="L143" s="64" t="str">
        <f>IF(OR($B143="", $H143="", $I143="", $J143="", $K143=""),"",ROUND((VLOOKUP($H143,Lists!$E$2:$F$5,2,FALSE())*VLOOKUP($I143,Lists!$H$2:$I$4,2,FALSE())*VLOOKUP($J143,Lists!$K$2:$L$4,2,FALSE()))/VLOOKUP($K143,Lists!$N$2:$O$6,2,FALSE()),2))</f>
        <v/>
      </c>
      <c r="M143" s="63"/>
      <c r="N143" s="63"/>
      <c r="O143" s="62"/>
      <c r="P143" s="63"/>
      <c r="Q143" s="65"/>
      <c r="R143" s="66" t="str">
        <f t="shared" ca="1" si="5"/>
        <v/>
      </c>
      <c r="S143" s="63"/>
      <c r="T143" s="65"/>
      <c r="U143" s="65"/>
      <c r="V143" s="62"/>
      <c r="W143" s="62"/>
      <c r="X143" s="62"/>
      <c r="Y143" s="58"/>
      <c r="Z143" s="58"/>
      <c r="AA143" s="58"/>
    </row>
    <row r="144" spans="1:27" ht="15.75" customHeight="1" x14ac:dyDescent="0.2">
      <c r="A144" s="61" t="str">
        <f t="shared" si="4"/>
        <v/>
      </c>
      <c r="B144" s="62"/>
      <c r="C144" s="62"/>
      <c r="D144" s="62"/>
      <c r="E144" s="62"/>
      <c r="F144" s="63"/>
      <c r="G144" s="63"/>
      <c r="H144" s="63"/>
      <c r="I144" s="63"/>
      <c r="J144" s="63"/>
      <c r="K144" s="63"/>
      <c r="L144" s="64" t="str">
        <f>IF(OR($B144="", $H144="", $I144="", $J144="", $K144=""),"",ROUND((VLOOKUP($H144,Lists!$E$2:$F$5,2,FALSE())*VLOOKUP($I144,Lists!$H$2:$I$4,2,FALSE())*VLOOKUP($J144,Lists!$K$2:$L$4,2,FALSE()))/VLOOKUP($K144,Lists!$N$2:$O$6,2,FALSE()),2))</f>
        <v/>
      </c>
      <c r="M144" s="63"/>
      <c r="N144" s="63"/>
      <c r="O144" s="62"/>
      <c r="P144" s="63"/>
      <c r="Q144" s="65"/>
      <c r="R144" s="66" t="str">
        <f t="shared" ca="1" si="5"/>
        <v/>
      </c>
      <c r="S144" s="63"/>
      <c r="T144" s="65"/>
      <c r="U144" s="65"/>
      <c r="V144" s="62"/>
      <c r="W144" s="62"/>
      <c r="X144" s="62"/>
      <c r="Y144" s="58"/>
      <c r="Z144" s="58"/>
      <c r="AA144" s="58"/>
    </row>
    <row r="145" spans="1:27" ht="15.75" customHeight="1" x14ac:dyDescent="0.2">
      <c r="A145" s="61" t="str">
        <f t="shared" si="4"/>
        <v/>
      </c>
      <c r="B145" s="62"/>
      <c r="C145" s="62"/>
      <c r="D145" s="62"/>
      <c r="E145" s="62"/>
      <c r="F145" s="63"/>
      <c r="G145" s="63"/>
      <c r="H145" s="63"/>
      <c r="I145" s="63"/>
      <c r="J145" s="63"/>
      <c r="K145" s="63"/>
      <c r="L145" s="64" t="str">
        <f>IF(OR($B145="", $H145="", $I145="", $J145="", $K145=""),"",ROUND((VLOOKUP($H145,Lists!$E$2:$F$5,2,FALSE())*VLOOKUP($I145,Lists!$H$2:$I$4,2,FALSE())*VLOOKUP($J145,Lists!$K$2:$L$4,2,FALSE()))/VLOOKUP($K145,Lists!$N$2:$O$6,2,FALSE()),2))</f>
        <v/>
      </c>
      <c r="M145" s="63"/>
      <c r="N145" s="63"/>
      <c r="O145" s="62"/>
      <c r="P145" s="63"/>
      <c r="Q145" s="65"/>
      <c r="R145" s="66" t="str">
        <f t="shared" ca="1" si="5"/>
        <v/>
      </c>
      <c r="S145" s="63"/>
      <c r="T145" s="65"/>
      <c r="U145" s="65"/>
      <c r="V145" s="62"/>
      <c r="W145" s="62"/>
      <c r="X145" s="62"/>
      <c r="Y145" s="58"/>
      <c r="Z145" s="58"/>
      <c r="AA145" s="58"/>
    </row>
    <row r="146" spans="1:27" ht="15.75" customHeight="1" x14ac:dyDescent="0.2">
      <c r="A146" s="61" t="str">
        <f t="shared" si="4"/>
        <v/>
      </c>
      <c r="B146" s="62"/>
      <c r="C146" s="62"/>
      <c r="D146" s="62"/>
      <c r="E146" s="62"/>
      <c r="F146" s="63"/>
      <c r="G146" s="63"/>
      <c r="H146" s="63"/>
      <c r="I146" s="63"/>
      <c r="J146" s="63"/>
      <c r="K146" s="63"/>
      <c r="L146" s="64" t="str">
        <f>IF(OR($B146="", $H146="", $I146="", $J146="", $K146=""),"",ROUND((VLOOKUP($H146,Lists!$E$2:$F$5,2,FALSE())*VLOOKUP($I146,Lists!$H$2:$I$4,2,FALSE())*VLOOKUP($J146,Lists!$K$2:$L$4,2,FALSE()))/VLOOKUP($K146,Lists!$N$2:$O$6,2,FALSE()),2))</f>
        <v/>
      </c>
      <c r="M146" s="63"/>
      <c r="N146" s="63"/>
      <c r="O146" s="62"/>
      <c r="P146" s="63"/>
      <c r="Q146" s="65"/>
      <c r="R146" s="66" t="str">
        <f t="shared" ca="1" si="5"/>
        <v/>
      </c>
      <c r="S146" s="63"/>
      <c r="T146" s="65"/>
      <c r="U146" s="65"/>
      <c r="V146" s="62"/>
      <c r="W146" s="62"/>
      <c r="X146" s="62"/>
      <c r="Y146" s="58"/>
      <c r="Z146" s="58"/>
      <c r="AA146" s="58"/>
    </row>
    <row r="147" spans="1:27" ht="15.75" customHeight="1" x14ac:dyDescent="0.2">
      <c r="A147" s="61" t="str">
        <f t="shared" si="4"/>
        <v/>
      </c>
      <c r="B147" s="62"/>
      <c r="C147" s="62"/>
      <c r="D147" s="62"/>
      <c r="E147" s="62"/>
      <c r="F147" s="63"/>
      <c r="G147" s="63"/>
      <c r="H147" s="63"/>
      <c r="I147" s="63"/>
      <c r="J147" s="63"/>
      <c r="K147" s="63"/>
      <c r="L147" s="64" t="str">
        <f>IF(OR($B147="", $H147="", $I147="", $J147="", $K147=""),"",ROUND((VLOOKUP($H147,Lists!$E$2:$F$5,2,FALSE())*VLOOKUP($I147,Lists!$H$2:$I$4,2,FALSE())*VLOOKUP($J147,Lists!$K$2:$L$4,2,FALSE()))/VLOOKUP($K147,Lists!$N$2:$O$6,2,FALSE()),2))</f>
        <v/>
      </c>
      <c r="M147" s="63"/>
      <c r="N147" s="63"/>
      <c r="O147" s="62"/>
      <c r="P147" s="63"/>
      <c r="Q147" s="65"/>
      <c r="R147" s="66" t="str">
        <f t="shared" ca="1" si="5"/>
        <v/>
      </c>
      <c r="S147" s="63"/>
      <c r="T147" s="65"/>
      <c r="U147" s="65"/>
      <c r="V147" s="62"/>
      <c r="W147" s="62"/>
      <c r="X147" s="62"/>
      <c r="Y147" s="58"/>
      <c r="Z147" s="58"/>
      <c r="AA147" s="58"/>
    </row>
    <row r="148" spans="1:27" ht="15.75" customHeight="1" x14ac:dyDescent="0.2">
      <c r="A148" s="61" t="str">
        <f t="shared" si="4"/>
        <v/>
      </c>
      <c r="B148" s="62"/>
      <c r="C148" s="62"/>
      <c r="D148" s="62"/>
      <c r="E148" s="62"/>
      <c r="F148" s="63"/>
      <c r="G148" s="63"/>
      <c r="H148" s="63"/>
      <c r="I148" s="63"/>
      <c r="J148" s="63"/>
      <c r="K148" s="63"/>
      <c r="L148" s="64" t="str">
        <f>IF(OR($B148="", $H148="", $I148="", $J148="", $K148=""),"",ROUND((VLOOKUP($H148,Lists!$E$2:$F$5,2,FALSE())*VLOOKUP($I148,Lists!$H$2:$I$4,2,FALSE())*VLOOKUP($J148,Lists!$K$2:$L$4,2,FALSE()))/VLOOKUP($K148,Lists!$N$2:$O$6,2,FALSE()),2))</f>
        <v/>
      </c>
      <c r="M148" s="63"/>
      <c r="N148" s="63"/>
      <c r="O148" s="62"/>
      <c r="P148" s="63"/>
      <c r="Q148" s="65"/>
      <c r="R148" s="66" t="str">
        <f t="shared" ca="1" si="5"/>
        <v/>
      </c>
      <c r="S148" s="63"/>
      <c r="T148" s="65"/>
      <c r="U148" s="65"/>
      <c r="V148" s="62"/>
      <c r="W148" s="62"/>
      <c r="X148" s="62"/>
      <c r="Y148" s="58"/>
      <c r="Z148" s="58"/>
      <c r="AA148" s="58"/>
    </row>
    <row r="149" spans="1:27" ht="15.75" customHeight="1" x14ac:dyDescent="0.2">
      <c r="A149" s="61" t="str">
        <f t="shared" si="4"/>
        <v/>
      </c>
      <c r="B149" s="62"/>
      <c r="C149" s="62"/>
      <c r="D149" s="62"/>
      <c r="E149" s="62"/>
      <c r="F149" s="63"/>
      <c r="G149" s="63"/>
      <c r="H149" s="63"/>
      <c r="I149" s="63"/>
      <c r="J149" s="63"/>
      <c r="K149" s="63"/>
      <c r="L149" s="64" t="str">
        <f>IF(OR($B149="", $H149="", $I149="", $J149="", $K149=""),"",ROUND((VLOOKUP($H149,Lists!$E$2:$F$5,2,FALSE())*VLOOKUP($I149,Lists!$H$2:$I$4,2,FALSE())*VLOOKUP($J149,Lists!$K$2:$L$4,2,FALSE()))/VLOOKUP($K149,Lists!$N$2:$O$6,2,FALSE()),2))</f>
        <v/>
      </c>
      <c r="M149" s="63"/>
      <c r="N149" s="63"/>
      <c r="O149" s="62"/>
      <c r="P149" s="63"/>
      <c r="Q149" s="65"/>
      <c r="R149" s="66" t="str">
        <f t="shared" ca="1" si="5"/>
        <v/>
      </c>
      <c r="S149" s="63"/>
      <c r="T149" s="65"/>
      <c r="U149" s="65"/>
      <c r="V149" s="62"/>
      <c r="W149" s="62"/>
      <c r="X149" s="62"/>
      <c r="Y149" s="58"/>
      <c r="Z149" s="58"/>
      <c r="AA149" s="58"/>
    </row>
    <row r="150" spans="1:27" ht="15.75" customHeight="1" x14ac:dyDescent="0.2">
      <c r="A150" s="61" t="str">
        <f t="shared" si="4"/>
        <v/>
      </c>
      <c r="B150" s="62"/>
      <c r="C150" s="62"/>
      <c r="D150" s="62"/>
      <c r="E150" s="62"/>
      <c r="F150" s="63"/>
      <c r="G150" s="63"/>
      <c r="H150" s="63"/>
      <c r="I150" s="63"/>
      <c r="J150" s="63"/>
      <c r="K150" s="63"/>
      <c r="L150" s="64" t="str">
        <f>IF(OR($B150="", $H150="", $I150="", $J150="", $K150=""),"",ROUND((VLOOKUP($H150,Lists!$E$2:$F$5,2,FALSE())*VLOOKUP($I150,Lists!$H$2:$I$4,2,FALSE())*VLOOKUP($J150,Lists!$K$2:$L$4,2,FALSE()))/VLOOKUP($K150,Lists!$N$2:$O$6,2,FALSE()),2))</f>
        <v/>
      </c>
      <c r="M150" s="63"/>
      <c r="N150" s="63"/>
      <c r="O150" s="62"/>
      <c r="P150" s="63"/>
      <c r="Q150" s="65"/>
      <c r="R150" s="66" t="str">
        <f t="shared" ca="1" si="5"/>
        <v/>
      </c>
      <c r="S150" s="63"/>
      <c r="T150" s="65"/>
      <c r="U150" s="65"/>
      <c r="V150" s="62"/>
      <c r="W150" s="62"/>
      <c r="X150" s="62"/>
      <c r="Y150" s="58"/>
      <c r="Z150" s="58"/>
      <c r="AA150" s="58"/>
    </row>
    <row r="151" spans="1:27" ht="15.75" customHeight="1" x14ac:dyDescent="0.2">
      <c r="A151" s="61" t="str">
        <f t="shared" si="4"/>
        <v/>
      </c>
      <c r="B151" s="62"/>
      <c r="C151" s="62"/>
      <c r="D151" s="62"/>
      <c r="E151" s="62"/>
      <c r="F151" s="63"/>
      <c r="G151" s="63"/>
      <c r="H151" s="63"/>
      <c r="I151" s="63"/>
      <c r="J151" s="63"/>
      <c r="K151" s="63"/>
      <c r="L151" s="64" t="str">
        <f>IF(OR($B151="", $H151="", $I151="", $J151="", $K151=""),"",ROUND((VLOOKUP($H151,Lists!$E$2:$F$5,2,FALSE())*VLOOKUP($I151,Lists!$H$2:$I$4,2,FALSE())*VLOOKUP($J151,Lists!$K$2:$L$4,2,FALSE()))/VLOOKUP($K151,Lists!$N$2:$O$6,2,FALSE()),2))</f>
        <v/>
      </c>
      <c r="M151" s="63"/>
      <c r="N151" s="63"/>
      <c r="O151" s="62"/>
      <c r="P151" s="63"/>
      <c r="Q151" s="65"/>
      <c r="R151" s="66" t="str">
        <f t="shared" ca="1" si="5"/>
        <v/>
      </c>
      <c r="S151" s="63"/>
      <c r="T151" s="65"/>
      <c r="U151" s="65"/>
      <c r="V151" s="62"/>
      <c r="W151" s="62"/>
      <c r="X151" s="62"/>
      <c r="Y151" s="58"/>
      <c r="Z151" s="58"/>
      <c r="AA151" s="58"/>
    </row>
    <row r="152" spans="1:27" ht="15.75" customHeight="1" x14ac:dyDescent="0.2">
      <c r="A152" s="61" t="str">
        <f t="shared" si="4"/>
        <v/>
      </c>
      <c r="B152" s="62"/>
      <c r="C152" s="62"/>
      <c r="D152" s="62"/>
      <c r="E152" s="62"/>
      <c r="F152" s="63"/>
      <c r="G152" s="63"/>
      <c r="H152" s="63"/>
      <c r="I152" s="63"/>
      <c r="J152" s="63"/>
      <c r="K152" s="63"/>
      <c r="L152" s="64" t="str">
        <f>IF(OR($B152="", $H152="", $I152="", $J152="", $K152=""),"",ROUND((VLOOKUP($H152,Lists!$E$2:$F$5,2,FALSE())*VLOOKUP($I152,Lists!$H$2:$I$4,2,FALSE())*VLOOKUP($J152,Lists!$K$2:$L$4,2,FALSE()))/VLOOKUP($K152,Lists!$N$2:$O$6,2,FALSE()),2))</f>
        <v/>
      </c>
      <c r="M152" s="63"/>
      <c r="N152" s="63"/>
      <c r="O152" s="62"/>
      <c r="P152" s="63"/>
      <c r="Q152" s="65"/>
      <c r="R152" s="66" t="str">
        <f t="shared" ca="1" si="5"/>
        <v/>
      </c>
      <c r="S152" s="63"/>
      <c r="T152" s="65"/>
      <c r="U152" s="65"/>
      <c r="V152" s="62"/>
      <c r="W152" s="62"/>
      <c r="X152" s="62"/>
      <c r="Y152" s="58"/>
      <c r="Z152" s="58"/>
      <c r="AA152" s="58"/>
    </row>
    <row r="153" spans="1:27" ht="15.75" customHeight="1" x14ac:dyDescent="0.2">
      <c r="A153" s="61" t="str">
        <f t="shared" si="4"/>
        <v/>
      </c>
      <c r="B153" s="62"/>
      <c r="C153" s="62"/>
      <c r="D153" s="62"/>
      <c r="E153" s="62"/>
      <c r="F153" s="63"/>
      <c r="G153" s="63"/>
      <c r="H153" s="63"/>
      <c r="I153" s="63"/>
      <c r="J153" s="63"/>
      <c r="K153" s="63"/>
      <c r="L153" s="64" t="str">
        <f>IF(OR($B153="", $H153="", $I153="", $J153="", $K153=""),"",ROUND((VLOOKUP($H153,Lists!$E$2:$F$5,2,FALSE())*VLOOKUP($I153,Lists!$H$2:$I$4,2,FALSE())*VLOOKUP($J153,Lists!$K$2:$L$4,2,FALSE()))/VLOOKUP($K153,Lists!$N$2:$O$6,2,FALSE()),2))</f>
        <v/>
      </c>
      <c r="M153" s="63"/>
      <c r="N153" s="63"/>
      <c r="O153" s="62"/>
      <c r="P153" s="63"/>
      <c r="Q153" s="65"/>
      <c r="R153" s="66" t="str">
        <f t="shared" ca="1" si="5"/>
        <v/>
      </c>
      <c r="S153" s="63"/>
      <c r="T153" s="65"/>
      <c r="U153" s="65"/>
      <c r="V153" s="62"/>
      <c r="W153" s="62"/>
      <c r="X153" s="62"/>
      <c r="Y153" s="58"/>
      <c r="Z153" s="58"/>
      <c r="AA153" s="58"/>
    </row>
    <row r="154" spans="1:27" ht="15.75" customHeight="1" x14ac:dyDescent="0.2">
      <c r="A154" s="61" t="str">
        <f t="shared" si="4"/>
        <v/>
      </c>
      <c r="B154" s="62"/>
      <c r="C154" s="62"/>
      <c r="D154" s="62"/>
      <c r="E154" s="62"/>
      <c r="F154" s="63"/>
      <c r="G154" s="63"/>
      <c r="H154" s="63"/>
      <c r="I154" s="63"/>
      <c r="J154" s="63"/>
      <c r="K154" s="63"/>
      <c r="L154" s="64" t="str">
        <f>IF(OR($B154="", $H154="", $I154="", $J154="", $K154=""),"",ROUND((VLOOKUP($H154,Lists!$E$2:$F$5,2,FALSE())*VLOOKUP($I154,Lists!$H$2:$I$4,2,FALSE())*VLOOKUP($J154,Lists!$K$2:$L$4,2,FALSE()))/VLOOKUP($K154,Lists!$N$2:$O$6,2,FALSE()),2))</f>
        <v/>
      </c>
      <c r="M154" s="63"/>
      <c r="N154" s="63"/>
      <c r="O154" s="62"/>
      <c r="P154" s="63"/>
      <c r="Q154" s="65"/>
      <c r="R154" s="66" t="str">
        <f t="shared" ca="1" si="5"/>
        <v/>
      </c>
      <c r="S154" s="63"/>
      <c r="T154" s="65"/>
      <c r="U154" s="65"/>
      <c r="V154" s="62"/>
      <c r="W154" s="62"/>
      <c r="X154" s="62"/>
      <c r="Y154" s="58"/>
      <c r="Z154" s="58"/>
      <c r="AA154" s="58"/>
    </row>
    <row r="155" spans="1:27" ht="15.75" customHeight="1" x14ac:dyDescent="0.2">
      <c r="A155" s="61" t="str">
        <f t="shared" si="4"/>
        <v/>
      </c>
      <c r="B155" s="62"/>
      <c r="C155" s="62"/>
      <c r="D155" s="62"/>
      <c r="E155" s="62"/>
      <c r="F155" s="63"/>
      <c r="G155" s="63"/>
      <c r="H155" s="63"/>
      <c r="I155" s="63"/>
      <c r="J155" s="63"/>
      <c r="K155" s="63"/>
      <c r="L155" s="64" t="str">
        <f>IF(OR($B155="", $H155="", $I155="", $J155="", $K155=""),"",ROUND((VLOOKUP($H155,Lists!$E$2:$F$5,2,FALSE())*VLOOKUP($I155,Lists!$H$2:$I$4,2,FALSE())*VLOOKUP($J155,Lists!$K$2:$L$4,2,FALSE()))/VLOOKUP($K155,Lists!$N$2:$O$6,2,FALSE()),2))</f>
        <v/>
      </c>
      <c r="M155" s="63"/>
      <c r="N155" s="63"/>
      <c r="O155" s="62"/>
      <c r="P155" s="63"/>
      <c r="Q155" s="65"/>
      <c r="R155" s="66" t="str">
        <f t="shared" ca="1" si="5"/>
        <v/>
      </c>
      <c r="S155" s="63"/>
      <c r="T155" s="65"/>
      <c r="U155" s="65"/>
      <c r="V155" s="62"/>
      <c r="W155" s="62"/>
      <c r="X155" s="62"/>
      <c r="Y155" s="58"/>
      <c r="Z155" s="58"/>
      <c r="AA155" s="58"/>
    </row>
    <row r="156" spans="1:27" ht="15.75" customHeight="1" x14ac:dyDescent="0.2">
      <c r="A156" s="61" t="str">
        <f t="shared" si="4"/>
        <v/>
      </c>
      <c r="B156" s="62"/>
      <c r="C156" s="62"/>
      <c r="D156" s="62"/>
      <c r="E156" s="62"/>
      <c r="F156" s="63"/>
      <c r="G156" s="63"/>
      <c r="H156" s="63"/>
      <c r="I156" s="63"/>
      <c r="J156" s="63"/>
      <c r="K156" s="63"/>
      <c r="L156" s="64" t="str">
        <f>IF(OR($B156="", $H156="", $I156="", $J156="", $K156=""),"",ROUND((VLOOKUP($H156,Lists!$E$2:$F$5,2,FALSE())*VLOOKUP($I156,Lists!$H$2:$I$4,2,FALSE())*VLOOKUP($J156,Lists!$K$2:$L$4,2,FALSE()))/VLOOKUP($K156,Lists!$N$2:$O$6,2,FALSE()),2))</f>
        <v/>
      </c>
      <c r="M156" s="63"/>
      <c r="N156" s="63"/>
      <c r="O156" s="62"/>
      <c r="P156" s="63"/>
      <c r="Q156" s="65"/>
      <c r="R156" s="66" t="str">
        <f t="shared" ca="1" si="5"/>
        <v/>
      </c>
      <c r="S156" s="63"/>
      <c r="T156" s="65"/>
      <c r="U156" s="65"/>
      <c r="V156" s="62"/>
      <c r="W156" s="62"/>
      <c r="X156" s="62"/>
      <c r="Y156" s="58"/>
      <c r="Z156" s="58"/>
      <c r="AA156" s="58"/>
    </row>
    <row r="157" spans="1:27" ht="15.75" customHeight="1" x14ac:dyDescent="0.2">
      <c r="A157" s="61" t="str">
        <f t="shared" si="4"/>
        <v/>
      </c>
      <c r="B157" s="62"/>
      <c r="C157" s="62"/>
      <c r="D157" s="62"/>
      <c r="E157" s="62"/>
      <c r="F157" s="63"/>
      <c r="G157" s="63"/>
      <c r="H157" s="63"/>
      <c r="I157" s="63"/>
      <c r="J157" s="63"/>
      <c r="K157" s="63"/>
      <c r="L157" s="64" t="str">
        <f>IF(OR($B157="", $H157="", $I157="", $J157="", $K157=""),"",ROUND((VLOOKUP($H157,Lists!$E$2:$F$5,2,FALSE())*VLOOKUP($I157,Lists!$H$2:$I$4,2,FALSE())*VLOOKUP($J157,Lists!$K$2:$L$4,2,FALSE()))/VLOOKUP($K157,Lists!$N$2:$O$6,2,FALSE()),2))</f>
        <v/>
      </c>
      <c r="M157" s="63"/>
      <c r="N157" s="63"/>
      <c r="O157" s="62"/>
      <c r="P157" s="63"/>
      <c r="Q157" s="65"/>
      <c r="R157" s="66" t="str">
        <f t="shared" ca="1" si="5"/>
        <v/>
      </c>
      <c r="S157" s="63"/>
      <c r="T157" s="65"/>
      <c r="U157" s="65"/>
      <c r="V157" s="62"/>
      <c r="W157" s="62"/>
      <c r="X157" s="62"/>
      <c r="Y157" s="58"/>
      <c r="Z157" s="58"/>
      <c r="AA157" s="58"/>
    </row>
    <row r="158" spans="1:27" ht="15.75" customHeight="1" x14ac:dyDescent="0.2">
      <c r="A158" s="61" t="str">
        <f t="shared" si="4"/>
        <v/>
      </c>
      <c r="B158" s="62"/>
      <c r="C158" s="62"/>
      <c r="D158" s="62"/>
      <c r="E158" s="62"/>
      <c r="F158" s="63"/>
      <c r="G158" s="63"/>
      <c r="H158" s="63"/>
      <c r="I158" s="63"/>
      <c r="J158" s="63"/>
      <c r="K158" s="63"/>
      <c r="L158" s="64" t="str">
        <f>IF(OR($B158="", $H158="", $I158="", $J158="", $K158=""),"",ROUND((VLOOKUP($H158,Lists!$E$2:$F$5,2,FALSE())*VLOOKUP($I158,Lists!$H$2:$I$4,2,FALSE())*VLOOKUP($J158,Lists!$K$2:$L$4,2,FALSE()))/VLOOKUP($K158,Lists!$N$2:$O$6,2,FALSE()),2))</f>
        <v/>
      </c>
      <c r="M158" s="63"/>
      <c r="N158" s="63"/>
      <c r="O158" s="62"/>
      <c r="P158" s="63"/>
      <c r="Q158" s="65"/>
      <c r="R158" s="66" t="str">
        <f t="shared" ca="1" si="5"/>
        <v/>
      </c>
      <c r="S158" s="63"/>
      <c r="T158" s="65"/>
      <c r="U158" s="65"/>
      <c r="V158" s="62"/>
      <c r="W158" s="62"/>
      <c r="X158" s="62"/>
      <c r="Y158" s="58"/>
      <c r="Z158" s="58"/>
      <c r="AA158" s="58"/>
    </row>
    <row r="159" spans="1:27" ht="15.75" customHeight="1" x14ac:dyDescent="0.2">
      <c r="A159" s="61" t="str">
        <f t="shared" si="4"/>
        <v/>
      </c>
      <c r="B159" s="62"/>
      <c r="C159" s="62"/>
      <c r="D159" s="62"/>
      <c r="E159" s="62"/>
      <c r="F159" s="63"/>
      <c r="G159" s="63"/>
      <c r="H159" s="63"/>
      <c r="I159" s="63"/>
      <c r="J159" s="63"/>
      <c r="K159" s="63"/>
      <c r="L159" s="64" t="str">
        <f>IF(OR($B159="", $H159="", $I159="", $J159="", $K159=""),"",ROUND((VLOOKUP($H159,Lists!$E$2:$F$5,2,FALSE())*VLOOKUP($I159,Lists!$H$2:$I$4,2,FALSE())*VLOOKUP($J159,Lists!$K$2:$L$4,2,FALSE()))/VLOOKUP($K159,Lists!$N$2:$O$6,2,FALSE()),2))</f>
        <v/>
      </c>
      <c r="M159" s="63"/>
      <c r="N159" s="63"/>
      <c r="O159" s="62"/>
      <c r="P159" s="63"/>
      <c r="Q159" s="65"/>
      <c r="R159" s="66" t="str">
        <f t="shared" ca="1" si="5"/>
        <v/>
      </c>
      <c r="S159" s="63"/>
      <c r="T159" s="65"/>
      <c r="U159" s="65"/>
      <c r="V159" s="62"/>
      <c r="W159" s="62"/>
      <c r="X159" s="62"/>
      <c r="Y159" s="58"/>
      <c r="Z159" s="58"/>
      <c r="AA159" s="58"/>
    </row>
    <row r="160" spans="1:27" ht="15.75" customHeight="1" x14ac:dyDescent="0.2">
      <c r="A160" s="61" t="str">
        <f t="shared" si="4"/>
        <v/>
      </c>
      <c r="B160" s="62"/>
      <c r="C160" s="62"/>
      <c r="D160" s="62"/>
      <c r="E160" s="62"/>
      <c r="F160" s="63"/>
      <c r="G160" s="63"/>
      <c r="H160" s="63"/>
      <c r="I160" s="63"/>
      <c r="J160" s="63"/>
      <c r="K160" s="63"/>
      <c r="L160" s="64" t="str">
        <f>IF(OR($B160="", $H160="", $I160="", $J160="", $K160=""),"",ROUND((VLOOKUP($H160,Lists!$E$2:$F$5,2,FALSE())*VLOOKUP($I160,Lists!$H$2:$I$4,2,FALSE())*VLOOKUP($J160,Lists!$K$2:$L$4,2,FALSE()))/VLOOKUP($K160,Lists!$N$2:$O$6,2,FALSE()),2))</f>
        <v/>
      </c>
      <c r="M160" s="63"/>
      <c r="N160" s="63"/>
      <c r="O160" s="62"/>
      <c r="P160" s="63"/>
      <c r="Q160" s="65"/>
      <c r="R160" s="66" t="str">
        <f t="shared" ca="1" si="5"/>
        <v/>
      </c>
      <c r="S160" s="63"/>
      <c r="T160" s="65"/>
      <c r="U160" s="65"/>
      <c r="V160" s="62"/>
      <c r="W160" s="62"/>
      <c r="X160" s="62"/>
      <c r="Y160" s="58"/>
      <c r="Z160" s="58"/>
      <c r="AA160" s="58"/>
    </row>
    <row r="161" spans="1:27" ht="15.75" customHeight="1" x14ac:dyDescent="0.2">
      <c r="A161" s="61" t="str">
        <f t="shared" si="4"/>
        <v/>
      </c>
      <c r="B161" s="62"/>
      <c r="C161" s="62"/>
      <c r="D161" s="62"/>
      <c r="E161" s="62"/>
      <c r="F161" s="63"/>
      <c r="G161" s="63"/>
      <c r="H161" s="63"/>
      <c r="I161" s="63"/>
      <c r="J161" s="63"/>
      <c r="K161" s="63"/>
      <c r="L161" s="64" t="str">
        <f>IF(OR($B161="", $H161="", $I161="", $J161="", $K161=""),"",ROUND((VLOOKUP($H161,Lists!$E$2:$F$5,2,FALSE())*VLOOKUP($I161,Lists!$H$2:$I$4,2,FALSE())*VLOOKUP($J161,Lists!$K$2:$L$4,2,FALSE()))/VLOOKUP($K161,Lists!$N$2:$O$6,2,FALSE()),2))</f>
        <v/>
      </c>
      <c r="M161" s="63"/>
      <c r="N161" s="63"/>
      <c r="O161" s="62"/>
      <c r="P161" s="63"/>
      <c r="Q161" s="65"/>
      <c r="R161" s="66" t="str">
        <f t="shared" ca="1" si="5"/>
        <v/>
      </c>
      <c r="S161" s="63"/>
      <c r="T161" s="65"/>
      <c r="U161" s="65"/>
      <c r="V161" s="62"/>
      <c r="W161" s="62"/>
      <c r="X161" s="62"/>
      <c r="Y161" s="58"/>
      <c r="Z161" s="58"/>
      <c r="AA161" s="58"/>
    </row>
    <row r="162" spans="1:27" ht="15.75" customHeight="1" x14ac:dyDescent="0.2">
      <c r="A162" s="61" t="str">
        <f t="shared" si="4"/>
        <v/>
      </c>
      <c r="B162" s="62"/>
      <c r="C162" s="62"/>
      <c r="D162" s="62"/>
      <c r="E162" s="62"/>
      <c r="F162" s="63"/>
      <c r="G162" s="63"/>
      <c r="H162" s="63"/>
      <c r="I162" s="63"/>
      <c r="J162" s="63"/>
      <c r="K162" s="63"/>
      <c r="L162" s="64" t="str">
        <f>IF(OR($B162="", $H162="", $I162="", $J162="", $K162=""),"",ROUND((VLOOKUP($H162,Lists!$E$2:$F$5,2,FALSE())*VLOOKUP($I162,Lists!$H$2:$I$4,2,FALSE())*VLOOKUP($J162,Lists!$K$2:$L$4,2,FALSE()))/VLOOKUP($K162,Lists!$N$2:$O$6,2,FALSE()),2))</f>
        <v/>
      </c>
      <c r="M162" s="63"/>
      <c r="N162" s="63"/>
      <c r="O162" s="62"/>
      <c r="P162" s="63"/>
      <c r="Q162" s="65"/>
      <c r="R162" s="66" t="str">
        <f t="shared" ca="1" si="5"/>
        <v/>
      </c>
      <c r="S162" s="63"/>
      <c r="T162" s="65"/>
      <c r="U162" s="65"/>
      <c r="V162" s="62"/>
      <c r="W162" s="62"/>
      <c r="X162" s="62"/>
      <c r="Y162" s="58"/>
      <c r="Z162" s="58"/>
      <c r="AA162" s="58"/>
    </row>
    <row r="163" spans="1:27" ht="15.75" customHeight="1" x14ac:dyDescent="0.2">
      <c r="A163" s="61" t="str">
        <f t="shared" si="4"/>
        <v/>
      </c>
      <c r="B163" s="62"/>
      <c r="C163" s="62"/>
      <c r="D163" s="62"/>
      <c r="E163" s="62"/>
      <c r="F163" s="63"/>
      <c r="G163" s="63"/>
      <c r="H163" s="63"/>
      <c r="I163" s="63"/>
      <c r="J163" s="63"/>
      <c r="K163" s="63"/>
      <c r="L163" s="64" t="str">
        <f>IF(OR($B163="", $H163="", $I163="", $J163="", $K163=""),"",ROUND((VLOOKUP($H163,Lists!$E$2:$F$5,2,FALSE())*VLOOKUP($I163,Lists!$H$2:$I$4,2,FALSE())*VLOOKUP($J163,Lists!$K$2:$L$4,2,FALSE()))/VLOOKUP($K163,Lists!$N$2:$O$6,2,FALSE()),2))</f>
        <v/>
      </c>
      <c r="M163" s="63"/>
      <c r="N163" s="63"/>
      <c r="O163" s="62"/>
      <c r="P163" s="63"/>
      <c r="Q163" s="65"/>
      <c r="R163" s="66" t="str">
        <f t="shared" ca="1" si="5"/>
        <v/>
      </c>
      <c r="S163" s="63"/>
      <c r="T163" s="65"/>
      <c r="U163" s="65"/>
      <c r="V163" s="62"/>
      <c r="W163" s="62"/>
      <c r="X163" s="62"/>
      <c r="Y163" s="58"/>
      <c r="Z163" s="58"/>
      <c r="AA163" s="58"/>
    </row>
    <row r="164" spans="1:27" ht="15.75" customHeight="1" x14ac:dyDescent="0.2">
      <c r="A164" s="61" t="str">
        <f t="shared" si="4"/>
        <v/>
      </c>
      <c r="B164" s="62"/>
      <c r="C164" s="62"/>
      <c r="D164" s="62"/>
      <c r="E164" s="62"/>
      <c r="F164" s="63"/>
      <c r="G164" s="63"/>
      <c r="H164" s="63"/>
      <c r="I164" s="63"/>
      <c r="J164" s="63"/>
      <c r="K164" s="63"/>
      <c r="L164" s="64" t="str">
        <f>IF(OR($B164="", $H164="", $I164="", $J164="", $K164=""),"",ROUND((VLOOKUP($H164,Lists!$E$2:$F$5,2,FALSE())*VLOOKUP($I164,Lists!$H$2:$I$4,2,FALSE())*VLOOKUP($J164,Lists!$K$2:$L$4,2,FALSE()))/VLOOKUP($K164,Lists!$N$2:$O$6,2,FALSE()),2))</f>
        <v/>
      </c>
      <c r="M164" s="63"/>
      <c r="N164" s="63"/>
      <c r="O164" s="62"/>
      <c r="P164" s="63"/>
      <c r="Q164" s="65"/>
      <c r="R164" s="66" t="str">
        <f t="shared" ca="1" si="5"/>
        <v/>
      </c>
      <c r="S164" s="63"/>
      <c r="T164" s="65"/>
      <c r="U164" s="65"/>
      <c r="V164" s="62"/>
      <c r="W164" s="62"/>
      <c r="X164" s="62"/>
      <c r="Y164" s="58"/>
      <c r="Z164" s="58"/>
      <c r="AA164" s="58"/>
    </row>
    <row r="165" spans="1:27" ht="15.75" customHeight="1" x14ac:dyDescent="0.2">
      <c r="A165" s="61" t="str">
        <f t="shared" si="4"/>
        <v/>
      </c>
      <c r="B165" s="62"/>
      <c r="C165" s="62"/>
      <c r="D165" s="62"/>
      <c r="E165" s="62"/>
      <c r="F165" s="63"/>
      <c r="G165" s="63"/>
      <c r="H165" s="63"/>
      <c r="I165" s="63"/>
      <c r="J165" s="63"/>
      <c r="K165" s="63"/>
      <c r="L165" s="64" t="str">
        <f>IF(OR($B165="", $H165="", $I165="", $J165="", $K165=""),"",ROUND((VLOOKUP($H165,Lists!$E$2:$F$5,2,FALSE())*VLOOKUP($I165,Lists!$H$2:$I$4,2,FALSE())*VLOOKUP($J165,Lists!$K$2:$L$4,2,FALSE()))/VLOOKUP($K165,Lists!$N$2:$O$6,2,FALSE()),2))</f>
        <v/>
      </c>
      <c r="M165" s="63"/>
      <c r="N165" s="63"/>
      <c r="O165" s="62"/>
      <c r="P165" s="63"/>
      <c r="Q165" s="65"/>
      <c r="R165" s="66" t="str">
        <f t="shared" ca="1" si="5"/>
        <v/>
      </c>
      <c r="S165" s="63"/>
      <c r="T165" s="65"/>
      <c r="U165" s="65"/>
      <c r="V165" s="62"/>
      <c r="W165" s="62"/>
      <c r="X165" s="62"/>
      <c r="Y165" s="58"/>
      <c r="Z165" s="58"/>
      <c r="AA165" s="58"/>
    </row>
    <row r="166" spans="1:27" ht="15.75" customHeight="1" x14ac:dyDescent="0.2">
      <c r="A166" s="61" t="str">
        <f t="shared" si="4"/>
        <v/>
      </c>
      <c r="B166" s="62"/>
      <c r="C166" s="62"/>
      <c r="D166" s="62"/>
      <c r="E166" s="62"/>
      <c r="F166" s="63"/>
      <c r="G166" s="63"/>
      <c r="H166" s="63"/>
      <c r="I166" s="63"/>
      <c r="J166" s="63"/>
      <c r="K166" s="63"/>
      <c r="L166" s="64" t="str">
        <f>IF(OR($B166="", $H166="", $I166="", $J166="", $K166=""),"",ROUND((VLOOKUP($H166,Lists!$E$2:$F$5,2,FALSE())*VLOOKUP($I166,Lists!$H$2:$I$4,2,FALSE())*VLOOKUP($J166,Lists!$K$2:$L$4,2,FALSE()))/VLOOKUP($K166,Lists!$N$2:$O$6,2,FALSE()),2))</f>
        <v/>
      </c>
      <c r="M166" s="63"/>
      <c r="N166" s="63"/>
      <c r="O166" s="62"/>
      <c r="P166" s="63"/>
      <c r="Q166" s="65"/>
      <c r="R166" s="66" t="str">
        <f t="shared" ca="1" si="5"/>
        <v/>
      </c>
      <c r="S166" s="63"/>
      <c r="T166" s="65"/>
      <c r="U166" s="65"/>
      <c r="V166" s="62"/>
      <c r="W166" s="62"/>
      <c r="X166" s="62"/>
      <c r="Y166" s="58"/>
      <c r="Z166" s="58"/>
      <c r="AA166" s="58"/>
    </row>
    <row r="167" spans="1:27" ht="15.75" customHeight="1" x14ac:dyDescent="0.2">
      <c r="A167" s="61" t="str">
        <f t="shared" si="4"/>
        <v/>
      </c>
      <c r="B167" s="62"/>
      <c r="C167" s="62"/>
      <c r="D167" s="62"/>
      <c r="E167" s="62"/>
      <c r="F167" s="63"/>
      <c r="G167" s="63"/>
      <c r="H167" s="63"/>
      <c r="I167" s="63"/>
      <c r="J167" s="63"/>
      <c r="K167" s="63"/>
      <c r="L167" s="64" t="str">
        <f>IF(OR($B167="", $H167="", $I167="", $J167="", $K167=""),"",ROUND((VLOOKUP($H167,Lists!$E$2:$F$5,2,FALSE())*VLOOKUP($I167,Lists!$H$2:$I$4,2,FALSE())*VLOOKUP($J167,Lists!$K$2:$L$4,2,FALSE()))/VLOOKUP($K167,Lists!$N$2:$O$6,2,FALSE()),2))</f>
        <v/>
      </c>
      <c r="M167" s="63"/>
      <c r="N167" s="63"/>
      <c r="O167" s="62"/>
      <c r="P167" s="63"/>
      <c r="Q167" s="65"/>
      <c r="R167" s="66" t="str">
        <f t="shared" ca="1" si="5"/>
        <v/>
      </c>
      <c r="S167" s="63"/>
      <c r="T167" s="65"/>
      <c r="U167" s="65"/>
      <c r="V167" s="62"/>
      <c r="W167" s="62"/>
      <c r="X167" s="62"/>
      <c r="Y167" s="58"/>
      <c r="Z167" s="58"/>
      <c r="AA167" s="58"/>
    </row>
    <row r="168" spans="1:27" ht="15.75" customHeight="1" x14ac:dyDescent="0.2">
      <c r="A168" s="61" t="str">
        <f t="shared" si="4"/>
        <v/>
      </c>
      <c r="B168" s="62"/>
      <c r="C168" s="62"/>
      <c r="D168" s="62"/>
      <c r="E168" s="62"/>
      <c r="F168" s="63"/>
      <c r="G168" s="63"/>
      <c r="H168" s="63"/>
      <c r="I168" s="63"/>
      <c r="J168" s="63"/>
      <c r="K168" s="63"/>
      <c r="L168" s="64" t="str">
        <f>IF(OR($B168="", $H168="", $I168="", $J168="", $K168=""),"",ROUND((VLOOKUP($H168,Lists!$E$2:$F$5,2,FALSE())*VLOOKUP($I168,Lists!$H$2:$I$4,2,FALSE())*VLOOKUP($J168,Lists!$K$2:$L$4,2,FALSE()))/VLOOKUP($K168,Lists!$N$2:$O$6,2,FALSE()),2))</f>
        <v/>
      </c>
      <c r="M168" s="63"/>
      <c r="N168" s="63"/>
      <c r="O168" s="62"/>
      <c r="P168" s="63"/>
      <c r="Q168" s="65"/>
      <c r="R168" s="66" t="str">
        <f t="shared" ca="1" si="5"/>
        <v/>
      </c>
      <c r="S168" s="63"/>
      <c r="T168" s="65"/>
      <c r="U168" s="65"/>
      <c r="V168" s="62"/>
      <c r="W168" s="62"/>
      <c r="X168" s="62"/>
      <c r="Y168" s="58"/>
      <c r="Z168" s="58"/>
      <c r="AA168" s="58"/>
    </row>
    <row r="169" spans="1:27" ht="15.75" customHeight="1" x14ac:dyDescent="0.2">
      <c r="A169" s="61" t="str">
        <f t="shared" si="4"/>
        <v/>
      </c>
      <c r="B169" s="62"/>
      <c r="C169" s="62"/>
      <c r="D169" s="62"/>
      <c r="E169" s="62"/>
      <c r="F169" s="63"/>
      <c r="G169" s="63"/>
      <c r="H169" s="63"/>
      <c r="I169" s="63"/>
      <c r="J169" s="63"/>
      <c r="K169" s="63"/>
      <c r="L169" s="64" t="str">
        <f>IF(OR($B169="", $H169="", $I169="", $J169="", $K169=""),"",ROUND((VLOOKUP($H169,Lists!$E$2:$F$5,2,FALSE())*VLOOKUP($I169,Lists!$H$2:$I$4,2,FALSE())*VLOOKUP($J169,Lists!$K$2:$L$4,2,FALSE()))/VLOOKUP($K169,Lists!$N$2:$O$6,2,FALSE()),2))</f>
        <v/>
      </c>
      <c r="M169" s="63"/>
      <c r="N169" s="63"/>
      <c r="O169" s="62"/>
      <c r="P169" s="63"/>
      <c r="Q169" s="65"/>
      <c r="R169" s="66" t="str">
        <f t="shared" ca="1" si="5"/>
        <v/>
      </c>
      <c r="S169" s="63"/>
      <c r="T169" s="65"/>
      <c r="U169" s="65"/>
      <c r="V169" s="62"/>
      <c r="W169" s="62"/>
      <c r="X169" s="62"/>
      <c r="Y169" s="58"/>
      <c r="Z169" s="58"/>
      <c r="AA169" s="58"/>
    </row>
    <row r="170" spans="1:27" ht="15.75" customHeight="1" x14ac:dyDescent="0.2">
      <c r="A170" s="61" t="str">
        <f t="shared" si="4"/>
        <v/>
      </c>
      <c r="B170" s="62"/>
      <c r="C170" s="62"/>
      <c r="D170" s="62"/>
      <c r="E170" s="62"/>
      <c r="F170" s="63"/>
      <c r="G170" s="63"/>
      <c r="H170" s="63"/>
      <c r="I170" s="63"/>
      <c r="J170" s="63"/>
      <c r="K170" s="63"/>
      <c r="L170" s="64" t="str">
        <f>IF(OR($B170="", $H170="", $I170="", $J170="", $K170=""),"",ROUND((VLOOKUP($H170,Lists!$E$2:$F$5,2,FALSE())*VLOOKUP($I170,Lists!$H$2:$I$4,2,FALSE())*VLOOKUP($J170,Lists!$K$2:$L$4,2,FALSE()))/VLOOKUP($K170,Lists!$N$2:$O$6,2,FALSE()),2))</f>
        <v/>
      </c>
      <c r="M170" s="63"/>
      <c r="N170" s="63"/>
      <c r="O170" s="62"/>
      <c r="P170" s="63"/>
      <c r="Q170" s="65"/>
      <c r="R170" s="66" t="str">
        <f t="shared" ca="1" si="5"/>
        <v/>
      </c>
      <c r="S170" s="63"/>
      <c r="T170" s="65"/>
      <c r="U170" s="65"/>
      <c r="V170" s="62"/>
      <c r="W170" s="62"/>
      <c r="X170" s="62"/>
      <c r="Y170" s="58"/>
      <c r="Z170" s="58"/>
      <c r="AA170" s="58"/>
    </row>
    <row r="171" spans="1:27" ht="15.75" customHeight="1" x14ac:dyDescent="0.2">
      <c r="A171" s="61" t="str">
        <f t="shared" si="4"/>
        <v/>
      </c>
      <c r="B171" s="62"/>
      <c r="C171" s="62"/>
      <c r="D171" s="62"/>
      <c r="E171" s="62"/>
      <c r="F171" s="63"/>
      <c r="G171" s="63"/>
      <c r="H171" s="63"/>
      <c r="I171" s="63"/>
      <c r="J171" s="63"/>
      <c r="K171" s="63"/>
      <c r="L171" s="64" t="str">
        <f>IF(OR($B171="", $H171="", $I171="", $J171="", $K171=""),"",ROUND((VLOOKUP($H171,Lists!$E$2:$F$5,2,FALSE())*VLOOKUP($I171,Lists!$H$2:$I$4,2,FALSE())*VLOOKUP($J171,Lists!$K$2:$L$4,2,FALSE()))/VLOOKUP($K171,Lists!$N$2:$O$6,2,FALSE()),2))</f>
        <v/>
      </c>
      <c r="M171" s="63"/>
      <c r="N171" s="63"/>
      <c r="O171" s="62"/>
      <c r="P171" s="63"/>
      <c r="Q171" s="65"/>
      <c r="R171" s="66" t="str">
        <f t="shared" ca="1" si="5"/>
        <v/>
      </c>
      <c r="S171" s="63"/>
      <c r="T171" s="65"/>
      <c r="U171" s="65"/>
      <c r="V171" s="62"/>
      <c r="W171" s="62"/>
      <c r="X171" s="62"/>
      <c r="Y171" s="58"/>
      <c r="Z171" s="58"/>
      <c r="AA171" s="58"/>
    </row>
    <row r="172" spans="1:27" ht="15.75" customHeight="1" x14ac:dyDescent="0.2">
      <c r="A172" s="61" t="str">
        <f t="shared" si="4"/>
        <v/>
      </c>
      <c r="B172" s="62"/>
      <c r="C172" s="62"/>
      <c r="D172" s="62"/>
      <c r="E172" s="62"/>
      <c r="F172" s="63"/>
      <c r="G172" s="63"/>
      <c r="H172" s="63"/>
      <c r="I172" s="63"/>
      <c r="J172" s="63"/>
      <c r="K172" s="63"/>
      <c r="L172" s="64" t="str">
        <f>IF(OR($B172="", $H172="", $I172="", $J172="", $K172=""),"",ROUND((VLOOKUP($H172,Lists!$E$2:$F$5,2,FALSE())*VLOOKUP($I172,Lists!$H$2:$I$4,2,FALSE())*VLOOKUP($J172,Lists!$K$2:$L$4,2,FALSE()))/VLOOKUP($K172,Lists!$N$2:$O$6,2,FALSE()),2))</f>
        <v/>
      </c>
      <c r="M172" s="63"/>
      <c r="N172" s="63"/>
      <c r="O172" s="62"/>
      <c r="P172" s="63"/>
      <c r="Q172" s="65"/>
      <c r="R172" s="66" t="str">
        <f t="shared" ca="1" si="5"/>
        <v/>
      </c>
      <c r="S172" s="63"/>
      <c r="T172" s="65"/>
      <c r="U172" s="65"/>
      <c r="V172" s="62"/>
      <c r="W172" s="62"/>
      <c r="X172" s="62"/>
      <c r="Y172" s="58"/>
      <c r="Z172" s="58"/>
      <c r="AA172" s="58"/>
    </row>
    <row r="173" spans="1:27" ht="15.75" customHeight="1" x14ac:dyDescent="0.2">
      <c r="A173" s="61" t="str">
        <f t="shared" si="4"/>
        <v/>
      </c>
      <c r="B173" s="62"/>
      <c r="C173" s="62"/>
      <c r="D173" s="62"/>
      <c r="E173" s="62"/>
      <c r="F173" s="63"/>
      <c r="G173" s="63"/>
      <c r="H173" s="63"/>
      <c r="I173" s="63"/>
      <c r="J173" s="63"/>
      <c r="K173" s="63"/>
      <c r="L173" s="64" t="str">
        <f>IF(OR($B173="", $H173="", $I173="", $J173="", $K173=""),"",ROUND((VLOOKUP($H173,Lists!$E$2:$F$5,2,FALSE())*VLOOKUP($I173,Lists!$H$2:$I$4,2,FALSE())*VLOOKUP($J173,Lists!$K$2:$L$4,2,FALSE()))/VLOOKUP($K173,Lists!$N$2:$O$6,2,FALSE()),2))</f>
        <v/>
      </c>
      <c r="M173" s="63"/>
      <c r="N173" s="63"/>
      <c r="O173" s="62"/>
      <c r="P173" s="63"/>
      <c r="Q173" s="65"/>
      <c r="R173" s="66" t="str">
        <f t="shared" ca="1" si="5"/>
        <v/>
      </c>
      <c r="S173" s="63"/>
      <c r="T173" s="65"/>
      <c r="U173" s="65"/>
      <c r="V173" s="62"/>
      <c r="W173" s="62"/>
      <c r="X173" s="62"/>
      <c r="Y173" s="58"/>
      <c r="Z173" s="58"/>
      <c r="AA173" s="58"/>
    </row>
    <row r="174" spans="1:27" ht="15.75" customHeight="1" x14ac:dyDescent="0.2">
      <c r="A174" s="61" t="str">
        <f t="shared" si="4"/>
        <v/>
      </c>
      <c r="B174" s="62"/>
      <c r="C174" s="62"/>
      <c r="D174" s="62"/>
      <c r="E174" s="62"/>
      <c r="F174" s="63"/>
      <c r="G174" s="63"/>
      <c r="H174" s="63"/>
      <c r="I174" s="63"/>
      <c r="J174" s="63"/>
      <c r="K174" s="63"/>
      <c r="L174" s="64" t="str">
        <f>IF(OR($B174="", $H174="", $I174="", $J174="", $K174=""),"",ROUND((VLOOKUP($H174,Lists!$E$2:$F$5,2,FALSE())*VLOOKUP($I174,Lists!$H$2:$I$4,2,FALSE())*VLOOKUP($J174,Lists!$K$2:$L$4,2,FALSE()))/VLOOKUP($K174,Lists!$N$2:$O$6,2,FALSE()),2))</f>
        <v/>
      </c>
      <c r="M174" s="63"/>
      <c r="N174" s="63"/>
      <c r="O174" s="62"/>
      <c r="P174" s="63"/>
      <c r="Q174" s="65"/>
      <c r="R174" s="66" t="str">
        <f t="shared" ca="1" si="5"/>
        <v/>
      </c>
      <c r="S174" s="63"/>
      <c r="T174" s="65"/>
      <c r="U174" s="65"/>
      <c r="V174" s="62"/>
      <c r="W174" s="62"/>
      <c r="X174" s="62"/>
      <c r="Y174" s="58"/>
      <c r="Z174" s="58"/>
      <c r="AA174" s="58"/>
    </row>
    <row r="175" spans="1:27" ht="15.75" customHeight="1" x14ac:dyDescent="0.2">
      <c r="A175" s="61" t="str">
        <f t="shared" si="4"/>
        <v/>
      </c>
      <c r="B175" s="62"/>
      <c r="C175" s="62"/>
      <c r="D175" s="62"/>
      <c r="E175" s="62"/>
      <c r="F175" s="63"/>
      <c r="G175" s="63"/>
      <c r="H175" s="63"/>
      <c r="I175" s="63"/>
      <c r="J175" s="63"/>
      <c r="K175" s="63"/>
      <c r="L175" s="64" t="str">
        <f>IF(OR($B175="", $H175="", $I175="", $J175="", $K175=""),"",ROUND((VLOOKUP($H175,Lists!$E$2:$F$5,2,FALSE())*VLOOKUP($I175,Lists!$H$2:$I$4,2,FALSE())*VLOOKUP($J175,Lists!$K$2:$L$4,2,FALSE()))/VLOOKUP($K175,Lists!$N$2:$O$6,2,FALSE()),2))</f>
        <v/>
      </c>
      <c r="M175" s="63"/>
      <c r="N175" s="63"/>
      <c r="O175" s="62"/>
      <c r="P175" s="63"/>
      <c r="Q175" s="65"/>
      <c r="R175" s="66" t="str">
        <f t="shared" ca="1" si="5"/>
        <v/>
      </c>
      <c r="S175" s="63"/>
      <c r="T175" s="65"/>
      <c r="U175" s="65"/>
      <c r="V175" s="62"/>
      <c r="W175" s="62"/>
      <c r="X175" s="62"/>
      <c r="Y175" s="58"/>
      <c r="Z175" s="58"/>
      <c r="AA175" s="58"/>
    </row>
    <row r="176" spans="1:27" ht="15.75" customHeight="1" x14ac:dyDescent="0.2">
      <c r="A176" s="61" t="str">
        <f t="shared" si="4"/>
        <v/>
      </c>
      <c r="B176" s="62"/>
      <c r="C176" s="62"/>
      <c r="D176" s="62"/>
      <c r="E176" s="62"/>
      <c r="F176" s="63"/>
      <c r="G176" s="63"/>
      <c r="H176" s="63"/>
      <c r="I176" s="63"/>
      <c r="J176" s="63"/>
      <c r="K176" s="63"/>
      <c r="L176" s="64" t="str">
        <f>IF(OR($B176="", $H176="", $I176="", $J176="", $K176=""),"",ROUND((VLOOKUP($H176,Lists!$E$2:$F$5,2,FALSE())*VLOOKUP($I176,Lists!$H$2:$I$4,2,FALSE())*VLOOKUP($J176,Lists!$K$2:$L$4,2,FALSE()))/VLOOKUP($K176,Lists!$N$2:$O$6,2,FALSE()),2))</f>
        <v/>
      </c>
      <c r="M176" s="63"/>
      <c r="N176" s="63"/>
      <c r="O176" s="62"/>
      <c r="P176" s="63"/>
      <c r="Q176" s="65"/>
      <c r="R176" s="66" t="str">
        <f t="shared" ca="1" si="5"/>
        <v/>
      </c>
      <c r="S176" s="63"/>
      <c r="T176" s="65"/>
      <c r="U176" s="65"/>
      <c r="V176" s="62"/>
      <c r="W176" s="62"/>
      <c r="X176" s="62"/>
      <c r="Y176" s="58"/>
      <c r="Z176" s="58"/>
      <c r="AA176" s="58"/>
    </row>
    <row r="177" spans="1:27" ht="15.75" customHeight="1" x14ac:dyDescent="0.2">
      <c r="A177" s="61" t="str">
        <f t="shared" si="4"/>
        <v/>
      </c>
      <c r="B177" s="62"/>
      <c r="C177" s="62"/>
      <c r="D177" s="62"/>
      <c r="E177" s="62"/>
      <c r="F177" s="63"/>
      <c r="G177" s="63"/>
      <c r="H177" s="63"/>
      <c r="I177" s="63"/>
      <c r="J177" s="63"/>
      <c r="K177" s="63"/>
      <c r="L177" s="64" t="str">
        <f>IF(OR($B177="", $H177="", $I177="", $J177="", $K177=""),"",ROUND((VLOOKUP($H177,Lists!$E$2:$F$5,2,FALSE())*VLOOKUP($I177,Lists!$H$2:$I$4,2,FALSE())*VLOOKUP($J177,Lists!$K$2:$L$4,2,FALSE()))/VLOOKUP($K177,Lists!$N$2:$O$6,2,FALSE()),2))</f>
        <v/>
      </c>
      <c r="M177" s="63"/>
      <c r="N177" s="63"/>
      <c r="O177" s="62"/>
      <c r="P177" s="63"/>
      <c r="Q177" s="65"/>
      <c r="R177" s="66" t="str">
        <f t="shared" ca="1" si="5"/>
        <v/>
      </c>
      <c r="S177" s="63"/>
      <c r="T177" s="65"/>
      <c r="U177" s="65"/>
      <c r="V177" s="62"/>
      <c r="W177" s="62"/>
      <c r="X177" s="62"/>
      <c r="Y177" s="58"/>
      <c r="Z177" s="58"/>
      <c r="AA177" s="58"/>
    </row>
    <row r="178" spans="1:27" ht="15.75" customHeight="1" x14ac:dyDescent="0.2">
      <c r="A178" s="61" t="str">
        <f t="shared" si="4"/>
        <v/>
      </c>
      <c r="B178" s="62"/>
      <c r="C178" s="62"/>
      <c r="D178" s="62"/>
      <c r="E178" s="62"/>
      <c r="F178" s="63"/>
      <c r="G178" s="63"/>
      <c r="H178" s="63"/>
      <c r="I178" s="63"/>
      <c r="J178" s="63"/>
      <c r="K178" s="63"/>
      <c r="L178" s="64" t="str">
        <f>IF(OR($B178="", $H178="", $I178="", $J178="", $K178=""),"",ROUND((VLOOKUP($H178,Lists!$E$2:$F$5,2,FALSE())*VLOOKUP($I178,Lists!$H$2:$I$4,2,FALSE())*VLOOKUP($J178,Lists!$K$2:$L$4,2,FALSE()))/VLOOKUP($K178,Lists!$N$2:$O$6,2,FALSE()),2))</f>
        <v/>
      </c>
      <c r="M178" s="63"/>
      <c r="N178" s="63"/>
      <c r="O178" s="62"/>
      <c r="P178" s="63"/>
      <c r="Q178" s="65"/>
      <c r="R178" s="66" t="str">
        <f t="shared" ca="1" si="5"/>
        <v/>
      </c>
      <c r="S178" s="63"/>
      <c r="T178" s="65"/>
      <c r="U178" s="65"/>
      <c r="V178" s="62"/>
      <c r="W178" s="62"/>
      <c r="X178" s="62"/>
      <c r="Y178" s="58"/>
      <c r="Z178" s="58"/>
      <c r="AA178" s="58"/>
    </row>
    <row r="179" spans="1:27" ht="15.75" customHeight="1" x14ac:dyDescent="0.2">
      <c r="A179" s="61" t="str">
        <f t="shared" si="4"/>
        <v/>
      </c>
      <c r="B179" s="62"/>
      <c r="C179" s="62"/>
      <c r="D179" s="62"/>
      <c r="E179" s="62"/>
      <c r="F179" s="63"/>
      <c r="G179" s="63"/>
      <c r="H179" s="63"/>
      <c r="I179" s="63"/>
      <c r="J179" s="63"/>
      <c r="K179" s="63"/>
      <c r="L179" s="64" t="str">
        <f>IF(OR($B179="", $H179="", $I179="", $J179="", $K179=""),"",ROUND((VLOOKUP($H179,Lists!$E$2:$F$5,2,FALSE())*VLOOKUP($I179,Lists!$H$2:$I$4,2,FALSE())*VLOOKUP($J179,Lists!$K$2:$L$4,2,FALSE()))/VLOOKUP($K179,Lists!$N$2:$O$6,2,FALSE()),2))</f>
        <v/>
      </c>
      <c r="M179" s="63"/>
      <c r="N179" s="63"/>
      <c r="O179" s="62"/>
      <c r="P179" s="63"/>
      <c r="Q179" s="65"/>
      <c r="R179" s="66" t="str">
        <f t="shared" ca="1" si="5"/>
        <v/>
      </c>
      <c r="S179" s="63"/>
      <c r="T179" s="65"/>
      <c r="U179" s="65"/>
      <c r="V179" s="62"/>
      <c r="W179" s="62"/>
      <c r="X179" s="62"/>
      <c r="Y179" s="58"/>
      <c r="Z179" s="58"/>
      <c r="AA179" s="58"/>
    </row>
    <row r="180" spans="1:27" ht="15.75" customHeight="1" x14ac:dyDescent="0.2">
      <c r="A180" s="61" t="str">
        <f t="shared" si="4"/>
        <v/>
      </c>
      <c r="B180" s="62"/>
      <c r="C180" s="62"/>
      <c r="D180" s="62"/>
      <c r="E180" s="62"/>
      <c r="F180" s="63"/>
      <c r="G180" s="63"/>
      <c r="H180" s="63"/>
      <c r="I180" s="63"/>
      <c r="J180" s="63"/>
      <c r="K180" s="63"/>
      <c r="L180" s="64" t="str">
        <f>IF(OR($B180="", $H180="", $I180="", $J180="", $K180=""),"",ROUND((VLOOKUP($H180,Lists!$E$2:$F$5,2,FALSE())*VLOOKUP($I180,Lists!$H$2:$I$4,2,FALSE())*VLOOKUP($J180,Lists!$K$2:$L$4,2,FALSE()))/VLOOKUP($K180,Lists!$N$2:$O$6,2,FALSE()),2))</f>
        <v/>
      </c>
      <c r="M180" s="63"/>
      <c r="N180" s="63"/>
      <c r="O180" s="62"/>
      <c r="P180" s="63"/>
      <c r="Q180" s="65"/>
      <c r="R180" s="66" t="str">
        <f t="shared" ca="1" si="5"/>
        <v/>
      </c>
      <c r="S180" s="63"/>
      <c r="T180" s="65"/>
      <c r="U180" s="65"/>
      <c r="V180" s="62"/>
      <c r="W180" s="62"/>
      <c r="X180" s="62"/>
      <c r="Y180" s="58"/>
      <c r="Z180" s="58"/>
      <c r="AA180" s="58"/>
    </row>
    <row r="181" spans="1:27" ht="15.75" customHeight="1" x14ac:dyDescent="0.2">
      <c r="A181" s="61" t="str">
        <f t="shared" si="4"/>
        <v/>
      </c>
      <c r="B181" s="62"/>
      <c r="C181" s="62"/>
      <c r="D181" s="62"/>
      <c r="E181" s="62"/>
      <c r="F181" s="63"/>
      <c r="G181" s="63"/>
      <c r="H181" s="63"/>
      <c r="I181" s="63"/>
      <c r="J181" s="63"/>
      <c r="K181" s="63"/>
      <c r="L181" s="64" t="str">
        <f>IF(OR($B181="", $H181="", $I181="", $J181="", $K181=""),"",ROUND((VLOOKUP($H181,Lists!$E$2:$F$5,2,FALSE())*VLOOKUP($I181,Lists!$H$2:$I$4,2,FALSE())*VLOOKUP($J181,Lists!$K$2:$L$4,2,FALSE()))/VLOOKUP($K181,Lists!$N$2:$O$6,2,FALSE()),2))</f>
        <v/>
      </c>
      <c r="M181" s="63"/>
      <c r="N181" s="63"/>
      <c r="O181" s="62"/>
      <c r="P181" s="63"/>
      <c r="Q181" s="65"/>
      <c r="R181" s="66" t="str">
        <f t="shared" ca="1" si="5"/>
        <v/>
      </c>
      <c r="S181" s="63"/>
      <c r="T181" s="65"/>
      <c r="U181" s="65"/>
      <c r="V181" s="62"/>
      <c r="W181" s="62"/>
      <c r="X181" s="62"/>
      <c r="Y181" s="58"/>
      <c r="Z181" s="58"/>
      <c r="AA181" s="58"/>
    </row>
    <row r="182" spans="1:27" ht="15.75" customHeight="1" x14ac:dyDescent="0.2">
      <c r="A182" s="61" t="str">
        <f t="shared" si="4"/>
        <v/>
      </c>
      <c r="B182" s="62"/>
      <c r="C182" s="62"/>
      <c r="D182" s="62"/>
      <c r="E182" s="62"/>
      <c r="F182" s="63"/>
      <c r="G182" s="63"/>
      <c r="H182" s="63"/>
      <c r="I182" s="63"/>
      <c r="J182" s="63"/>
      <c r="K182" s="63"/>
      <c r="L182" s="64" t="str">
        <f>IF(OR($B182="", $H182="", $I182="", $J182="", $K182=""),"",ROUND((VLOOKUP($H182,Lists!$E$2:$F$5,2,FALSE())*VLOOKUP($I182,Lists!$H$2:$I$4,2,FALSE())*VLOOKUP($J182,Lists!$K$2:$L$4,2,FALSE()))/VLOOKUP($K182,Lists!$N$2:$O$6,2,FALSE()),2))</f>
        <v/>
      </c>
      <c r="M182" s="63"/>
      <c r="N182" s="63"/>
      <c r="O182" s="62"/>
      <c r="P182" s="63"/>
      <c r="Q182" s="65"/>
      <c r="R182" s="66" t="str">
        <f t="shared" ca="1" si="5"/>
        <v/>
      </c>
      <c r="S182" s="63"/>
      <c r="T182" s="65"/>
      <c r="U182" s="65"/>
      <c r="V182" s="62"/>
      <c r="W182" s="62"/>
      <c r="X182" s="62"/>
      <c r="Y182" s="58"/>
      <c r="Z182" s="58"/>
      <c r="AA182" s="58"/>
    </row>
    <row r="183" spans="1:27" ht="15.75" customHeight="1" x14ac:dyDescent="0.2">
      <c r="A183" s="61" t="str">
        <f t="shared" si="4"/>
        <v/>
      </c>
      <c r="B183" s="62"/>
      <c r="C183" s="62"/>
      <c r="D183" s="62"/>
      <c r="E183" s="62"/>
      <c r="F183" s="63"/>
      <c r="G183" s="63"/>
      <c r="H183" s="63"/>
      <c r="I183" s="63"/>
      <c r="J183" s="63"/>
      <c r="K183" s="63"/>
      <c r="L183" s="64" t="str">
        <f>IF(OR($B183="", $H183="", $I183="", $J183="", $K183=""),"",ROUND((VLOOKUP($H183,Lists!$E$2:$F$5,2,FALSE())*VLOOKUP($I183,Lists!$H$2:$I$4,2,FALSE())*VLOOKUP($J183,Lists!$K$2:$L$4,2,FALSE()))/VLOOKUP($K183,Lists!$N$2:$O$6,2,FALSE()),2))</f>
        <v/>
      </c>
      <c r="M183" s="63"/>
      <c r="N183" s="63"/>
      <c r="O183" s="62"/>
      <c r="P183" s="63"/>
      <c r="Q183" s="65"/>
      <c r="R183" s="66" t="str">
        <f t="shared" ca="1" si="5"/>
        <v/>
      </c>
      <c r="S183" s="63"/>
      <c r="T183" s="65"/>
      <c r="U183" s="65"/>
      <c r="V183" s="62"/>
      <c r="W183" s="62"/>
      <c r="X183" s="62"/>
      <c r="Y183" s="58"/>
      <c r="Z183" s="58"/>
      <c r="AA183" s="58"/>
    </row>
    <row r="184" spans="1:27" ht="15.75" customHeight="1" x14ac:dyDescent="0.2">
      <c r="A184" s="61" t="str">
        <f t="shared" si="4"/>
        <v/>
      </c>
      <c r="B184" s="62"/>
      <c r="C184" s="62"/>
      <c r="D184" s="62"/>
      <c r="E184" s="62"/>
      <c r="F184" s="63"/>
      <c r="G184" s="63"/>
      <c r="H184" s="63"/>
      <c r="I184" s="63"/>
      <c r="J184" s="63"/>
      <c r="K184" s="63"/>
      <c r="L184" s="64" t="str">
        <f>IF(OR($B184="", $H184="", $I184="", $J184="", $K184=""),"",ROUND((VLOOKUP($H184,Lists!$E$2:$F$5,2,FALSE())*VLOOKUP($I184,Lists!$H$2:$I$4,2,FALSE())*VLOOKUP($J184,Lists!$K$2:$L$4,2,FALSE()))/VLOOKUP($K184,Lists!$N$2:$O$6,2,FALSE()),2))</f>
        <v/>
      </c>
      <c r="M184" s="63"/>
      <c r="N184" s="63"/>
      <c r="O184" s="62"/>
      <c r="P184" s="63"/>
      <c r="Q184" s="65"/>
      <c r="R184" s="66" t="str">
        <f t="shared" ca="1" si="5"/>
        <v/>
      </c>
      <c r="S184" s="63"/>
      <c r="T184" s="65"/>
      <c r="U184" s="65"/>
      <c r="V184" s="62"/>
      <c r="W184" s="62"/>
      <c r="X184" s="62"/>
      <c r="Y184" s="58"/>
      <c r="Z184" s="58"/>
      <c r="AA184" s="58"/>
    </row>
    <row r="185" spans="1:27" ht="15.75" customHeight="1" x14ac:dyDescent="0.2">
      <c r="A185" s="61" t="str">
        <f t="shared" si="4"/>
        <v/>
      </c>
      <c r="B185" s="62"/>
      <c r="C185" s="62"/>
      <c r="D185" s="62"/>
      <c r="E185" s="62"/>
      <c r="F185" s="63"/>
      <c r="G185" s="63"/>
      <c r="H185" s="63"/>
      <c r="I185" s="63"/>
      <c r="J185" s="63"/>
      <c r="K185" s="63"/>
      <c r="L185" s="64" t="str">
        <f>IF(OR($B185="", $H185="", $I185="", $J185="", $K185=""),"",ROUND((VLOOKUP($H185,Lists!$E$2:$F$5,2,FALSE())*VLOOKUP($I185,Lists!$H$2:$I$4,2,FALSE())*VLOOKUP($J185,Lists!$K$2:$L$4,2,FALSE()))/VLOOKUP($K185,Lists!$N$2:$O$6,2,FALSE()),2))</f>
        <v/>
      </c>
      <c r="M185" s="63"/>
      <c r="N185" s="63"/>
      <c r="O185" s="62"/>
      <c r="P185" s="63"/>
      <c r="Q185" s="65"/>
      <c r="R185" s="66" t="str">
        <f t="shared" ca="1" si="5"/>
        <v/>
      </c>
      <c r="S185" s="63"/>
      <c r="T185" s="65"/>
      <c r="U185" s="65"/>
      <c r="V185" s="62"/>
      <c r="W185" s="62"/>
      <c r="X185" s="62"/>
      <c r="Y185" s="58"/>
      <c r="Z185" s="58"/>
      <c r="AA185" s="58"/>
    </row>
    <row r="186" spans="1:27" ht="15.75" customHeight="1" x14ac:dyDescent="0.2">
      <c r="A186" s="61" t="str">
        <f t="shared" si="4"/>
        <v/>
      </c>
      <c r="B186" s="62"/>
      <c r="C186" s="62"/>
      <c r="D186" s="62"/>
      <c r="E186" s="62"/>
      <c r="F186" s="63"/>
      <c r="G186" s="63"/>
      <c r="H186" s="63"/>
      <c r="I186" s="63"/>
      <c r="J186" s="63"/>
      <c r="K186" s="63"/>
      <c r="L186" s="64" t="str">
        <f>IF(OR($B186="", $H186="", $I186="", $J186="", $K186=""),"",ROUND((VLOOKUP($H186,Lists!$E$2:$F$5,2,FALSE())*VLOOKUP($I186,Lists!$H$2:$I$4,2,FALSE())*VLOOKUP($J186,Lists!$K$2:$L$4,2,FALSE()))/VLOOKUP($K186,Lists!$N$2:$O$6,2,FALSE()),2))</f>
        <v/>
      </c>
      <c r="M186" s="63"/>
      <c r="N186" s="63"/>
      <c r="O186" s="62"/>
      <c r="P186" s="63"/>
      <c r="Q186" s="65"/>
      <c r="R186" s="66" t="str">
        <f t="shared" ca="1" si="5"/>
        <v/>
      </c>
      <c r="S186" s="63"/>
      <c r="T186" s="65"/>
      <c r="U186" s="65"/>
      <c r="V186" s="62"/>
      <c r="W186" s="62"/>
      <c r="X186" s="62"/>
      <c r="Y186" s="58"/>
      <c r="Z186" s="58"/>
      <c r="AA186" s="58"/>
    </row>
    <row r="187" spans="1:27" ht="15.75" customHeight="1" x14ac:dyDescent="0.2">
      <c r="A187" s="61" t="str">
        <f t="shared" si="4"/>
        <v/>
      </c>
      <c r="B187" s="62"/>
      <c r="C187" s="62"/>
      <c r="D187" s="62"/>
      <c r="E187" s="62"/>
      <c r="F187" s="63"/>
      <c r="G187" s="63"/>
      <c r="H187" s="63"/>
      <c r="I187" s="63"/>
      <c r="J187" s="63"/>
      <c r="K187" s="63"/>
      <c r="L187" s="64" t="str">
        <f>IF(OR($B187="", $H187="", $I187="", $J187="", $K187=""),"",ROUND((VLOOKUP($H187,Lists!$E$2:$F$5,2,FALSE())*VLOOKUP($I187,Lists!$H$2:$I$4,2,FALSE())*VLOOKUP($J187,Lists!$K$2:$L$4,2,FALSE()))/VLOOKUP($K187,Lists!$N$2:$O$6,2,FALSE()),2))</f>
        <v/>
      </c>
      <c r="M187" s="63"/>
      <c r="N187" s="63"/>
      <c r="O187" s="62"/>
      <c r="P187" s="63"/>
      <c r="Q187" s="65"/>
      <c r="R187" s="66" t="str">
        <f t="shared" ca="1" si="5"/>
        <v/>
      </c>
      <c r="S187" s="63"/>
      <c r="T187" s="65"/>
      <c r="U187" s="65"/>
      <c r="V187" s="62"/>
      <c r="W187" s="62"/>
      <c r="X187" s="62"/>
      <c r="Y187" s="58"/>
      <c r="Z187" s="58"/>
      <c r="AA187" s="58"/>
    </row>
    <row r="188" spans="1:27" ht="15.75" customHeight="1" x14ac:dyDescent="0.2">
      <c r="A188" s="61" t="str">
        <f t="shared" si="4"/>
        <v/>
      </c>
      <c r="B188" s="62"/>
      <c r="C188" s="62"/>
      <c r="D188" s="62"/>
      <c r="E188" s="62"/>
      <c r="F188" s="63"/>
      <c r="G188" s="63"/>
      <c r="H188" s="63"/>
      <c r="I188" s="63"/>
      <c r="J188" s="63"/>
      <c r="K188" s="63"/>
      <c r="L188" s="64" t="str">
        <f>IF(OR($B188="", $H188="", $I188="", $J188="", $K188=""),"",ROUND((VLOOKUP($H188,Lists!$E$2:$F$5,2,FALSE())*VLOOKUP($I188,Lists!$H$2:$I$4,2,FALSE())*VLOOKUP($J188,Lists!$K$2:$L$4,2,FALSE()))/VLOOKUP($K188,Lists!$N$2:$O$6,2,FALSE()),2))</f>
        <v/>
      </c>
      <c r="M188" s="63"/>
      <c r="N188" s="63"/>
      <c r="O188" s="62"/>
      <c r="P188" s="63"/>
      <c r="Q188" s="65"/>
      <c r="R188" s="66" t="str">
        <f t="shared" ca="1" si="5"/>
        <v/>
      </c>
      <c r="S188" s="63"/>
      <c r="T188" s="65"/>
      <c r="U188" s="65"/>
      <c r="V188" s="62"/>
      <c r="W188" s="62"/>
      <c r="X188" s="62"/>
      <c r="Y188" s="58"/>
      <c r="Z188" s="58"/>
      <c r="AA188" s="58"/>
    </row>
    <row r="189" spans="1:27" ht="15.75" customHeight="1" x14ac:dyDescent="0.2">
      <c r="A189" s="61" t="str">
        <f t="shared" si="4"/>
        <v/>
      </c>
      <c r="B189" s="62"/>
      <c r="C189" s="62"/>
      <c r="D189" s="62"/>
      <c r="E189" s="62"/>
      <c r="F189" s="63"/>
      <c r="G189" s="63"/>
      <c r="H189" s="63"/>
      <c r="I189" s="63"/>
      <c r="J189" s="63"/>
      <c r="K189" s="63"/>
      <c r="L189" s="64" t="str">
        <f>IF(OR($B189="", $H189="", $I189="", $J189="", $K189=""),"",ROUND((VLOOKUP($H189,Lists!$E$2:$F$5,2,FALSE())*VLOOKUP($I189,Lists!$H$2:$I$4,2,FALSE())*VLOOKUP($J189,Lists!$K$2:$L$4,2,FALSE()))/VLOOKUP($K189,Lists!$N$2:$O$6,2,FALSE()),2))</f>
        <v/>
      </c>
      <c r="M189" s="63"/>
      <c r="N189" s="63"/>
      <c r="O189" s="62"/>
      <c r="P189" s="63"/>
      <c r="Q189" s="65"/>
      <c r="R189" s="66" t="str">
        <f t="shared" ca="1" si="5"/>
        <v/>
      </c>
      <c r="S189" s="63"/>
      <c r="T189" s="65"/>
      <c r="U189" s="65"/>
      <c r="V189" s="62"/>
      <c r="W189" s="62"/>
      <c r="X189" s="62"/>
      <c r="Y189" s="58"/>
      <c r="Z189" s="58"/>
      <c r="AA189" s="58"/>
    </row>
    <row r="190" spans="1:27" ht="15.75" customHeight="1" x14ac:dyDescent="0.2">
      <c r="A190" s="61" t="str">
        <f t="shared" si="4"/>
        <v/>
      </c>
      <c r="B190" s="62"/>
      <c r="C190" s="62"/>
      <c r="D190" s="62"/>
      <c r="E190" s="62"/>
      <c r="F190" s="63"/>
      <c r="G190" s="63"/>
      <c r="H190" s="63"/>
      <c r="I190" s="63"/>
      <c r="J190" s="63"/>
      <c r="K190" s="63"/>
      <c r="L190" s="64" t="str">
        <f>IF(OR($B190="", $H190="", $I190="", $J190="", $K190=""),"",ROUND((VLOOKUP($H190,Lists!$E$2:$F$5,2,FALSE())*VLOOKUP($I190,Lists!$H$2:$I$4,2,FALSE())*VLOOKUP($J190,Lists!$K$2:$L$4,2,FALSE()))/VLOOKUP($K190,Lists!$N$2:$O$6,2,FALSE()),2))</f>
        <v/>
      </c>
      <c r="M190" s="63"/>
      <c r="N190" s="63"/>
      <c r="O190" s="62"/>
      <c r="P190" s="63"/>
      <c r="Q190" s="65"/>
      <c r="R190" s="66" t="str">
        <f t="shared" ca="1" si="5"/>
        <v/>
      </c>
      <c r="S190" s="63"/>
      <c r="T190" s="65"/>
      <c r="U190" s="65"/>
      <c r="V190" s="62"/>
      <c r="W190" s="62"/>
      <c r="X190" s="62"/>
      <c r="Y190" s="58"/>
      <c r="Z190" s="58"/>
      <c r="AA190" s="58"/>
    </row>
    <row r="191" spans="1:27" ht="15.75" customHeight="1" x14ac:dyDescent="0.2">
      <c r="A191" s="61" t="str">
        <f t="shared" si="4"/>
        <v/>
      </c>
      <c r="B191" s="62"/>
      <c r="C191" s="62"/>
      <c r="D191" s="62"/>
      <c r="E191" s="62"/>
      <c r="F191" s="63"/>
      <c r="G191" s="63"/>
      <c r="H191" s="63"/>
      <c r="I191" s="63"/>
      <c r="J191" s="63"/>
      <c r="K191" s="63"/>
      <c r="L191" s="64" t="str">
        <f>IF(OR($B191="", $H191="", $I191="", $J191="", $K191=""),"",ROUND((VLOOKUP($H191,Lists!$E$2:$F$5,2,FALSE())*VLOOKUP($I191,Lists!$H$2:$I$4,2,FALSE())*VLOOKUP($J191,Lists!$K$2:$L$4,2,FALSE()))/VLOOKUP($K191,Lists!$N$2:$O$6,2,FALSE()),2))</f>
        <v/>
      </c>
      <c r="M191" s="63"/>
      <c r="N191" s="63"/>
      <c r="O191" s="62"/>
      <c r="P191" s="63"/>
      <c r="Q191" s="65"/>
      <c r="R191" s="66" t="str">
        <f t="shared" ca="1" si="5"/>
        <v/>
      </c>
      <c r="S191" s="63"/>
      <c r="T191" s="65"/>
      <c r="U191" s="65"/>
      <c r="V191" s="62"/>
      <c r="W191" s="62"/>
      <c r="X191" s="62"/>
      <c r="Y191" s="58"/>
      <c r="Z191" s="58"/>
      <c r="AA191" s="58"/>
    </row>
    <row r="192" spans="1:27" ht="15.75" customHeight="1" x14ac:dyDescent="0.2">
      <c r="A192" s="61" t="str">
        <f t="shared" si="4"/>
        <v/>
      </c>
      <c r="B192" s="62"/>
      <c r="C192" s="62"/>
      <c r="D192" s="62"/>
      <c r="E192" s="62"/>
      <c r="F192" s="63"/>
      <c r="G192" s="63"/>
      <c r="H192" s="63"/>
      <c r="I192" s="63"/>
      <c r="J192" s="63"/>
      <c r="K192" s="63"/>
      <c r="L192" s="64" t="str">
        <f>IF(OR($B192="", $H192="", $I192="", $J192="", $K192=""),"",ROUND((VLOOKUP($H192,Lists!$E$2:$F$5,2,FALSE())*VLOOKUP($I192,Lists!$H$2:$I$4,2,FALSE())*VLOOKUP($J192,Lists!$K$2:$L$4,2,FALSE()))/VLOOKUP($K192,Lists!$N$2:$O$6,2,FALSE()),2))</f>
        <v/>
      </c>
      <c r="M192" s="63"/>
      <c r="N192" s="63"/>
      <c r="O192" s="62"/>
      <c r="P192" s="63"/>
      <c r="Q192" s="65"/>
      <c r="R192" s="66" t="str">
        <f t="shared" ca="1" si="5"/>
        <v/>
      </c>
      <c r="S192" s="63"/>
      <c r="T192" s="65"/>
      <c r="U192" s="65"/>
      <c r="V192" s="62"/>
      <c r="W192" s="62"/>
      <c r="X192" s="62"/>
      <c r="Y192" s="58"/>
      <c r="Z192" s="58"/>
      <c r="AA192" s="58"/>
    </row>
    <row r="193" spans="1:27" ht="15.75" customHeight="1" x14ac:dyDescent="0.2">
      <c r="A193" s="61" t="str">
        <f t="shared" si="4"/>
        <v/>
      </c>
      <c r="B193" s="62"/>
      <c r="C193" s="62"/>
      <c r="D193" s="62"/>
      <c r="E193" s="62"/>
      <c r="F193" s="63"/>
      <c r="G193" s="63"/>
      <c r="H193" s="63"/>
      <c r="I193" s="63"/>
      <c r="J193" s="63"/>
      <c r="K193" s="63"/>
      <c r="L193" s="64" t="str">
        <f>IF(OR($B193="", $H193="", $I193="", $J193="", $K193=""),"",ROUND((VLOOKUP($H193,Lists!$E$2:$F$5,2,FALSE())*VLOOKUP($I193,Lists!$H$2:$I$4,2,FALSE())*VLOOKUP($J193,Lists!$K$2:$L$4,2,FALSE()))/VLOOKUP($K193,Lists!$N$2:$O$6,2,FALSE()),2))</f>
        <v/>
      </c>
      <c r="M193" s="63"/>
      <c r="N193" s="63"/>
      <c r="O193" s="62"/>
      <c r="P193" s="63"/>
      <c r="Q193" s="65"/>
      <c r="R193" s="66" t="str">
        <f t="shared" ca="1" si="5"/>
        <v/>
      </c>
      <c r="S193" s="63"/>
      <c r="T193" s="65"/>
      <c r="U193" s="65"/>
      <c r="V193" s="62"/>
      <c r="W193" s="62"/>
      <c r="X193" s="62"/>
      <c r="Y193" s="58"/>
      <c r="Z193" s="58"/>
      <c r="AA193" s="58"/>
    </row>
    <row r="194" spans="1:27" ht="15.75" customHeight="1" x14ac:dyDescent="0.2">
      <c r="A194" s="61" t="str">
        <f t="shared" ref="A194:A257" si="6">IF($B194="","", "TD-" &amp; RIGHT("0000"&amp;ROW()-1,4))</f>
        <v/>
      </c>
      <c r="B194" s="62"/>
      <c r="C194" s="62"/>
      <c r="D194" s="62"/>
      <c r="E194" s="62"/>
      <c r="F194" s="63"/>
      <c r="G194" s="63"/>
      <c r="H194" s="63"/>
      <c r="I194" s="63"/>
      <c r="J194" s="63"/>
      <c r="K194" s="63"/>
      <c r="L194" s="64" t="str">
        <f>IF(OR($B194="", $H194="", $I194="", $J194="", $K194=""),"",ROUND((VLOOKUP($H194,Lists!$E$2:$F$5,2,FALSE())*VLOOKUP($I194,Lists!$H$2:$I$4,2,FALSE())*VLOOKUP($J194,Lists!$K$2:$L$4,2,FALSE()))/VLOOKUP($K194,Lists!$N$2:$O$6,2,FALSE()),2))</f>
        <v/>
      </c>
      <c r="M194" s="63"/>
      <c r="N194" s="63"/>
      <c r="O194" s="62"/>
      <c r="P194" s="63"/>
      <c r="Q194" s="65"/>
      <c r="R194" s="66" t="str">
        <f t="shared" ref="R194:R257" ca="1" si="7">IF($Q194="","", TODAY()-$Q194)</f>
        <v/>
      </c>
      <c r="S194" s="63"/>
      <c r="T194" s="65"/>
      <c r="U194" s="65"/>
      <c r="V194" s="62"/>
      <c r="W194" s="62"/>
      <c r="X194" s="62"/>
      <c r="Y194" s="58"/>
      <c r="Z194" s="58"/>
      <c r="AA194" s="58"/>
    </row>
    <row r="195" spans="1:27" ht="15.75" customHeight="1" x14ac:dyDescent="0.2">
      <c r="A195" s="61" t="str">
        <f t="shared" si="6"/>
        <v/>
      </c>
      <c r="B195" s="62"/>
      <c r="C195" s="62"/>
      <c r="D195" s="62"/>
      <c r="E195" s="62"/>
      <c r="F195" s="63"/>
      <c r="G195" s="63"/>
      <c r="H195" s="63"/>
      <c r="I195" s="63"/>
      <c r="J195" s="63"/>
      <c r="K195" s="63"/>
      <c r="L195" s="64" t="str">
        <f>IF(OR($B195="", $H195="", $I195="", $J195="", $K195=""),"",ROUND((VLOOKUP($H195,Lists!$E$2:$F$5,2,FALSE())*VLOOKUP($I195,Lists!$H$2:$I$4,2,FALSE())*VLOOKUP($J195,Lists!$K$2:$L$4,2,FALSE()))/VLOOKUP($K195,Lists!$N$2:$O$6,2,FALSE()),2))</f>
        <v/>
      </c>
      <c r="M195" s="63"/>
      <c r="N195" s="63"/>
      <c r="O195" s="62"/>
      <c r="P195" s="63"/>
      <c r="Q195" s="65"/>
      <c r="R195" s="66" t="str">
        <f t="shared" ca="1" si="7"/>
        <v/>
      </c>
      <c r="S195" s="63"/>
      <c r="T195" s="65"/>
      <c r="U195" s="65"/>
      <c r="V195" s="62"/>
      <c r="W195" s="62"/>
      <c r="X195" s="62"/>
      <c r="Y195" s="58"/>
      <c r="Z195" s="58"/>
      <c r="AA195" s="58"/>
    </row>
    <row r="196" spans="1:27" ht="15.75" customHeight="1" x14ac:dyDescent="0.2">
      <c r="A196" s="61" t="str">
        <f t="shared" si="6"/>
        <v/>
      </c>
      <c r="B196" s="62"/>
      <c r="C196" s="62"/>
      <c r="D196" s="62"/>
      <c r="E196" s="62"/>
      <c r="F196" s="63"/>
      <c r="G196" s="63"/>
      <c r="H196" s="63"/>
      <c r="I196" s="63"/>
      <c r="J196" s="63"/>
      <c r="K196" s="63"/>
      <c r="L196" s="64" t="str">
        <f>IF(OR($B196="", $H196="", $I196="", $J196="", $K196=""),"",ROUND((VLOOKUP($H196,Lists!$E$2:$F$5,2,FALSE())*VLOOKUP($I196,Lists!$H$2:$I$4,2,FALSE())*VLOOKUP($J196,Lists!$K$2:$L$4,2,FALSE()))/VLOOKUP($K196,Lists!$N$2:$O$6,2,FALSE()),2))</f>
        <v/>
      </c>
      <c r="M196" s="63"/>
      <c r="N196" s="63"/>
      <c r="O196" s="62"/>
      <c r="P196" s="63"/>
      <c r="Q196" s="65"/>
      <c r="R196" s="66" t="str">
        <f t="shared" ca="1" si="7"/>
        <v/>
      </c>
      <c r="S196" s="63"/>
      <c r="T196" s="65"/>
      <c r="U196" s="65"/>
      <c r="V196" s="62"/>
      <c r="W196" s="62"/>
      <c r="X196" s="62"/>
      <c r="Y196" s="58"/>
      <c r="Z196" s="58"/>
      <c r="AA196" s="58"/>
    </row>
    <row r="197" spans="1:27" ht="15.75" customHeight="1" x14ac:dyDescent="0.2">
      <c r="A197" s="61" t="str">
        <f t="shared" si="6"/>
        <v/>
      </c>
      <c r="B197" s="62"/>
      <c r="C197" s="62"/>
      <c r="D197" s="62"/>
      <c r="E197" s="62"/>
      <c r="F197" s="63"/>
      <c r="G197" s="63"/>
      <c r="H197" s="63"/>
      <c r="I197" s="63"/>
      <c r="J197" s="63"/>
      <c r="K197" s="63"/>
      <c r="L197" s="64" t="str">
        <f>IF(OR($B197="", $H197="", $I197="", $J197="", $K197=""),"",ROUND((VLOOKUP($H197,Lists!$E$2:$F$5,2,FALSE())*VLOOKUP($I197,Lists!$H$2:$I$4,2,FALSE())*VLOOKUP($J197,Lists!$K$2:$L$4,2,FALSE()))/VLOOKUP($K197,Lists!$N$2:$O$6,2,FALSE()),2))</f>
        <v/>
      </c>
      <c r="M197" s="63"/>
      <c r="N197" s="63"/>
      <c r="O197" s="62"/>
      <c r="P197" s="63"/>
      <c r="Q197" s="65"/>
      <c r="R197" s="66" t="str">
        <f t="shared" ca="1" si="7"/>
        <v/>
      </c>
      <c r="S197" s="63"/>
      <c r="T197" s="65"/>
      <c r="U197" s="65"/>
      <c r="V197" s="62"/>
      <c r="W197" s="62"/>
      <c r="X197" s="62"/>
      <c r="Y197" s="58"/>
      <c r="Z197" s="58"/>
      <c r="AA197" s="58"/>
    </row>
    <row r="198" spans="1:27" ht="15.75" customHeight="1" x14ac:dyDescent="0.2">
      <c r="A198" s="61" t="str">
        <f t="shared" si="6"/>
        <v/>
      </c>
      <c r="B198" s="62"/>
      <c r="C198" s="62"/>
      <c r="D198" s="62"/>
      <c r="E198" s="62"/>
      <c r="F198" s="63"/>
      <c r="G198" s="63"/>
      <c r="H198" s="63"/>
      <c r="I198" s="63"/>
      <c r="J198" s="63"/>
      <c r="K198" s="63"/>
      <c r="L198" s="64" t="str">
        <f>IF(OR($B198="", $H198="", $I198="", $J198="", $K198=""),"",ROUND((VLOOKUP($H198,Lists!$E$2:$F$5,2,FALSE())*VLOOKUP($I198,Lists!$H$2:$I$4,2,FALSE())*VLOOKUP($J198,Lists!$K$2:$L$4,2,FALSE()))/VLOOKUP($K198,Lists!$N$2:$O$6,2,FALSE()),2))</f>
        <v/>
      </c>
      <c r="M198" s="63"/>
      <c r="N198" s="63"/>
      <c r="O198" s="62"/>
      <c r="P198" s="63"/>
      <c r="Q198" s="65"/>
      <c r="R198" s="66" t="str">
        <f t="shared" ca="1" si="7"/>
        <v/>
      </c>
      <c r="S198" s="63"/>
      <c r="T198" s="65"/>
      <c r="U198" s="65"/>
      <c r="V198" s="62"/>
      <c r="W198" s="62"/>
      <c r="X198" s="62"/>
      <c r="Y198" s="58"/>
      <c r="Z198" s="58"/>
      <c r="AA198" s="58"/>
    </row>
    <row r="199" spans="1:27" ht="15.75" customHeight="1" x14ac:dyDescent="0.2">
      <c r="A199" s="61" t="str">
        <f t="shared" si="6"/>
        <v/>
      </c>
      <c r="B199" s="62"/>
      <c r="C199" s="62"/>
      <c r="D199" s="62"/>
      <c r="E199" s="62"/>
      <c r="F199" s="63"/>
      <c r="G199" s="63"/>
      <c r="H199" s="63"/>
      <c r="I199" s="63"/>
      <c r="J199" s="63"/>
      <c r="K199" s="63"/>
      <c r="L199" s="64" t="str">
        <f>IF(OR($B199="", $H199="", $I199="", $J199="", $K199=""),"",ROUND((VLOOKUP($H199,Lists!$E$2:$F$5,2,FALSE())*VLOOKUP($I199,Lists!$H$2:$I$4,2,FALSE())*VLOOKUP($J199,Lists!$K$2:$L$4,2,FALSE()))/VLOOKUP($K199,Lists!$N$2:$O$6,2,FALSE()),2))</f>
        <v/>
      </c>
      <c r="M199" s="63"/>
      <c r="N199" s="63"/>
      <c r="O199" s="62"/>
      <c r="P199" s="63"/>
      <c r="Q199" s="65"/>
      <c r="R199" s="66" t="str">
        <f t="shared" ca="1" si="7"/>
        <v/>
      </c>
      <c r="S199" s="63"/>
      <c r="T199" s="65"/>
      <c r="U199" s="65"/>
      <c r="V199" s="62"/>
      <c r="W199" s="62"/>
      <c r="X199" s="62"/>
      <c r="Y199" s="58"/>
      <c r="Z199" s="58"/>
      <c r="AA199" s="58"/>
    </row>
    <row r="200" spans="1:27" ht="15.75" customHeight="1" x14ac:dyDescent="0.2">
      <c r="A200" s="61" t="str">
        <f t="shared" si="6"/>
        <v/>
      </c>
      <c r="B200" s="62"/>
      <c r="C200" s="62"/>
      <c r="D200" s="62"/>
      <c r="E200" s="62"/>
      <c r="F200" s="63"/>
      <c r="G200" s="63"/>
      <c r="H200" s="63"/>
      <c r="I200" s="63"/>
      <c r="J200" s="63"/>
      <c r="K200" s="63"/>
      <c r="L200" s="64" t="str">
        <f>IF(OR($B200="", $H200="", $I200="", $J200="", $K200=""),"",ROUND((VLOOKUP($H200,Lists!$E$2:$F$5,2,FALSE())*VLOOKUP($I200,Lists!$H$2:$I$4,2,FALSE())*VLOOKUP($J200,Lists!$K$2:$L$4,2,FALSE()))/VLOOKUP($K200,Lists!$N$2:$O$6,2,FALSE()),2))</f>
        <v/>
      </c>
      <c r="M200" s="63"/>
      <c r="N200" s="63"/>
      <c r="O200" s="62"/>
      <c r="P200" s="63"/>
      <c r="Q200" s="65"/>
      <c r="R200" s="66" t="str">
        <f t="shared" ca="1" si="7"/>
        <v/>
      </c>
      <c r="S200" s="63"/>
      <c r="T200" s="65"/>
      <c r="U200" s="65"/>
      <c r="V200" s="62"/>
      <c r="W200" s="62"/>
      <c r="X200" s="62"/>
      <c r="Y200" s="58"/>
      <c r="Z200" s="58"/>
      <c r="AA200" s="58"/>
    </row>
    <row r="201" spans="1:27" ht="15.75" customHeight="1" x14ac:dyDescent="0.2">
      <c r="A201" s="61" t="str">
        <f t="shared" si="6"/>
        <v/>
      </c>
      <c r="B201" s="62"/>
      <c r="C201" s="62"/>
      <c r="D201" s="62"/>
      <c r="E201" s="62"/>
      <c r="F201" s="63"/>
      <c r="G201" s="63"/>
      <c r="H201" s="63"/>
      <c r="I201" s="63"/>
      <c r="J201" s="63"/>
      <c r="K201" s="63"/>
      <c r="L201" s="64" t="str">
        <f>IF(OR($B201="", $H201="", $I201="", $J201="", $K201=""),"",ROUND((VLOOKUP($H201,Lists!$E$2:$F$5,2,FALSE())*VLOOKUP($I201,Lists!$H$2:$I$4,2,FALSE())*VLOOKUP($J201,Lists!$K$2:$L$4,2,FALSE()))/VLOOKUP($K201,Lists!$N$2:$O$6,2,FALSE()),2))</f>
        <v/>
      </c>
      <c r="M201" s="63"/>
      <c r="N201" s="63"/>
      <c r="O201" s="62"/>
      <c r="P201" s="63"/>
      <c r="Q201" s="65"/>
      <c r="R201" s="66" t="str">
        <f t="shared" ca="1" si="7"/>
        <v/>
      </c>
      <c r="S201" s="63"/>
      <c r="T201" s="65"/>
      <c r="U201" s="65"/>
      <c r="V201" s="62"/>
      <c r="W201" s="62"/>
      <c r="X201" s="62"/>
      <c r="Y201" s="58"/>
      <c r="Z201" s="58"/>
      <c r="AA201" s="58"/>
    </row>
    <row r="202" spans="1:27" ht="15.75" customHeight="1" x14ac:dyDescent="0.2">
      <c r="A202" s="61" t="str">
        <f t="shared" si="6"/>
        <v/>
      </c>
      <c r="B202" s="62"/>
      <c r="C202" s="62"/>
      <c r="D202" s="62"/>
      <c r="E202" s="62"/>
      <c r="F202" s="63"/>
      <c r="G202" s="63"/>
      <c r="H202" s="63"/>
      <c r="I202" s="63"/>
      <c r="J202" s="63"/>
      <c r="K202" s="63"/>
      <c r="L202" s="64" t="str">
        <f>IF(OR($B202="", $H202="", $I202="", $J202="", $K202=""),"",ROUND((VLOOKUP($H202,Lists!$E$2:$F$5,2,FALSE())*VLOOKUP($I202,Lists!$H$2:$I$4,2,FALSE())*VLOOKUP($J202,Lists!$K$2:$L$4,2,FALSE()))/VLOOKUP($K202,Lists!$N$2:$O$6,2,FALSE()),2))</f>
        <v/>
      </c>
      <c r="M202" s="63"/>
      <c r="N202" s="63"/>
      <c r="O202" s="62"/>
      <c r="P202" s="63"/>
      <c r="Q202" s="65"/>
      <c r="R202" s="66" t="str">
        <f t="shared" ca="1" si="7"/>
        <v/>
      </c>
      <c r="S202" s="63"/>
      <c r="T202" s="65"/>
      <c r="U202" s="65"/>
      <c r="V202" s="62"/>
      <c r="W202" s="62"/>
      <c r="X202" s="62"/>
      <c r="Y202" s="58"/>
      <c r="Z202" s="58"/>
      <c r="AA202" s="58"/>
    </row>
    <row r="203" spans="1:27" ht="15.75" customHeight="1" x14ac:dyDescent="0.2">
      <c r="A203" s="61" t="str">
        <f t="shared" si="6"/>
        <v/>
      </c>
      <c r="B203" s="62"/>
      <c r="C203" s="62"/>
      <c r="D203" s="62"/>
      <c r="E203" s="62"/>
      <c r="F203" s="63"/>
      <c r="G203" s="63"/>
      <c r="H203" s="63"/>
      <c r="I203" s="63"/>
      <c r="J203" s="63"/>
      <c r="K203" s="63"/>
      <c r="L203" s="64" t="str">
        <f>IF(OR($B203="", $H203="", $I203="", $J203="", $K203=""),"",ROUND((VLOOKUP($H203,Lists!$E$2:$F$5,2,FALSE())*VLOOKUP($I203,Lists!$H$2:$I$4,2,FALSE())*VLOOKUP($J203,Lists!$K$2:$L$4,2,FALSE()))/VLOOKUP($K203,Lists!$N$2:$O$6,2,FALSE()),2))</f>
        <v/>
      </c>
      <c r="M203" s="63"/>
      <c r="N203" s="63"/>
      <c r="O203" s="62"/>
      <c r="P203" s="63"/>
      <c r="Q203" s="65"/>
      <c r="R203" s="66" t="str">
        <f t="shared" ca="1" si="7"/>
        <v/>
      </c>
      <c r="S203" s="63"/>
      <c r="T203" s="65"/>
      <c r="U203" s="65"/>
      <c r="V203" s="62"/>
      <c r="W203" s="62"/>
      <c r="X203" s="62"/>
      <c r="Y203" s="58"/>
      <c r="Z203" s="58"/>
      <c r="AA203" s="58"/>
    </row>
    <row r="204" spans="1:27" ht="15.75" customHeight="1" x14ac:dyDescent="0.2">
      <c r="A204" s="61" t="str">
        <f t="shared" si="6"/>
        <v/>
      </c>
      <c r="B204" s="62"/>
      <c r="C204" s="62"/>
      <c r="D204" s="62"/>
      <c r="E204" s="62"/>
      <c r="F204" s="63"/>
      <c r="G204" s="63"/>
      <c r="H204" s="63"/>
      <c r="I204" s="63"/>
      <c r="J204" s="63"/>
      <c r="K204" s="63"/>
      <c r="L204" s="64" t="str">
        <f>IF(OR($B204="", $H204="", $I204="", $J204="", $K204=""),"",ROUND((VLOOKUP($H204,Lists!$E$2:$F$5,2,FALSE())*VLOOKUP($I204,Lists!$H$2:$I$4,2,FALSE())*VLOOKUP($J204,Lists!$K$2:$L$4,2,FALSE()))/VLOOKUP($K204,Lists!$N$2:$O$6,2,FALSE()),2))</f>
        <v/>
      </c>
      <c r="M204" s="63"/>
      <c r="N204" s="63"/>
      <c r="O204" s="62"/>
      <c r="P204" s="63"/>
      <c r="Q204" s="65"/>
      <c r="R204" s="66" t="str">
        <f t="shared" ca="1" si="7"/>
        <v/>
      </c>
      <c r="S204" s="63"/>
      <c r="T204" s="65"/>
      <c r="U204" s="65"/>
      <c r="V204" s="62"/>
      <c r="W204" s="62"/>
      <c r="X204" s="62"/>
      <c r="Y204" s="58"/>
      <c r="Z204" s="58"/>
      <c r="AA204" s="58"/>
    </row>
    <row r="205" spans="1:27" ht="15.75" customHeight="1" x14ac:dyDescent="0.2">
      <c r="A205" s="61" t="str">
        <f t="shared" si="6"/>
        <v/>
      </c>
      <c r="B205" s="62"/>
      <c r="C205" s="62"/>
      <c r="D205" s="62"/>
      <c r="E205" s="62"/>
      <c r="F205" s="63"/>
      <c r="G205" s="63"/>
      <c r="H205" s="63"/>
      <c r="I205" s="63"/>
      <c r="J205" s="63"/>
      <c r="K205" s="63"/>
      <c r="L205" s="64" t="str">
        <f>IF(OR($B205="", $H205="", $I205="", $J205="", $K205=""),"",ROUND((VLOOKUP($H205,Lists!$E$2:$F$5,2,FALSE())*VLOOKUP($I205,Lists!$H$2:$I$4,2,FALSE())*VLOOKUP($J205,Lists!$K$2:$L$4,2,FALSE()))/VLOOKUP($K205,Lists!$N$2:$O$6,2,FALSE()),2))</f>
        <v/>
      </c>
      <c r="M205" s="63"/>
      <c r="N205" s="63"/>
      <c r="O205" s="62"/>
      <c r="P205" s="63"/>
      <c r="Q205" s="65"/>
      <c r="R205" s="66" t="str">
        <f t="shared" ca="1" si="7"/>
        <v/>
      </c>
      <c r="S205" s="63"/>
      <c r="T205" s="65"/>
      <c r="U205" s="65"/>
      <c r="V205" s="62"/>
      <c r="W205" s="62"/>
      <c r="X205" s="62"/>
      <c r="Y205" s="58"/>
      <c r="Z205" s="58"/>
      <c r="AA205" s="58"/>
    </row>
    <row r="206" spans="1:27" ht="15.75" customHeight="1" x14ac:dyDescent="0.2">
      <c r="A206" s="61" t="str">
        <f t="shared" si="6"/>
        <v/>
      </c>
      <c r="B206" s="62"/>
      <c r="C206" s="62"/>
      <c r="D206" s="62"/>
      <c r="E206" s="62"/>
      <c r="F206" s="63"/>
      <c r="G206" s="63"/>
      <c r="H206" s="63"/>
      <c r="I206" s="63"/>
      <c r="J206" s="63"/>
      <c r="K206" s="63"/>
      <c r="L206" s="64" t="str">
        <f>IF(OR($B206="", $H206="", $I206="", $J206="", $K206=""),"",ROUND((VLOOKUP($H206,Lists!$E$2:$F$5,2,FALSE())*VLOOKUP($I206,Lists!$H$2:$I$4,2,FALSE())*VLOOKUP($J206,Lists!$K$2:$L$4,2,FALSE()))/VLOOKUP($K206,Lists!$N$2:$O$6,2,FALSE()),2))</f>
        <v/>
      </c>
      <c r="M206" s="63"/>
      <c r="N206" s="63"/>
      <c r="O206" s="62"/>
      <c r="P206" s="63"/>
      <c r="Q206" s="65"/>
      <c r="R206" s="66" t="str">
        <f t="shared" ca="1" si="7"/>
        <v/>
      </c>
      <c r="S206" s="63"/>
      <c r="T206" s="65"/>
      <c r="U206" s="65"/>
      <c r="V206" s="62"/>
      <c r="W206" s="62"/>
      <c r="X206" s="62"/>
      <c r="Y206" s="58"/>
      <c r="Z206" s="58"/>
      <c r="AA206" s="58"/>
    </row>
    <row r="207" spans="1:27" ht="15.75" customHeight="1" x14ac:dyDescent="0.2">
      <c r="A207" s="61" t="str">
        <f t="shared" si="6"/>
        <v/>
      </c>
      <c r="B207" s="62"/>
      <c r="C207" s="62"/>
      <c r="D207" s="62"/>
      <c r="E207" s="62"/>
      <c r="F207" s="63"/>
      <c r="G207" s="63"/>
      <c r="H207" s="63"/>
      <c r="I207" s="63"/>
      <c r="J207" s="63"/>
      <c r="K207" s="63"/>
      <c r="L207" s="64" t="str">
        <f>IF(OR($B207="", $H207="", $I207="", $J207="", $K207=""),"",ROUND((VLOOKUP($H207,Lists!$E$2:$F$5,2,FALSE())*VLOOKUP($I207,Lists!$H$2:$I$4,2,FALSE())*VLOOKUP($J207,Lists!$K$2:$L$4,2,FALSE()))/VLOOKUP($K207,Lists!$N$2:$O$6,2,FALSE()),2))</f>
        <v/>
      </c>
      <c r="M207" s="63"/>
      <c r="N207" s="63"/>
      <c r="O207" s="62"/>
      <c r="P207" s="63"/>
      <c r="Q207" s="65"/>
      <c r="R207" s="66" t="str">
        <f t="shared" ca="1" si="7"/>
        <v/>
      </c>
      <c r="S207" s="63"/>
      <c r="T207" s="65"/>
      <c r="U207" s="65"/>
      <c r="V207" s="62"/>
      <c r="W207" s="62"/>
      <c r="X207" s="62"/>
      <c r="Y207" s="58"/>
      <c r="Z207" s="58"/>
      <c r="AA207" s="58"/>
    </row>
    <row r="208" spans="1:27" ht="15.75" customHeight="1" x14ac:dyDescent="0.2">
      <c r="A208" s="61" t="str">
        <f t="shared" si="6"/>
        <v/>
      </c>
      <c r="B208" s="62"/>
      <c r="C208" s="62"/>
      <c r="D208" s="62"/>
      <c r="E208" s="62"/>
      <c r="F208" s="63"/>
      <c r="G208" s="63"/>
      <c r="H208" s="63"/>
      <c r="I208" s="63"/>
      <c r="J208" s="63"/>
      <c r="K208" s="63"/>
      <c r="L208" s="64" t="str">
        <f>IF(OR($B208="", $H208="", $I208="", $J208="", $K208=""),"",ROUND((VLOOKUP($H208,Lists!$E$2:$F$5,2,FALSE())*VLOOKUP($I208,Lists!$H$2:$I$4,2,FALSE())*VLOOKUP($J208,Lists!$K$2:$L$4,2,FALSE()))/VLOOKUP($K208,Lists!$N$2:$O$6,2,FALSE()),2))</f>
        <v/>
      </c>
      <c r="M208" s="63"/>
      <c r="N208" s="63"/>
      <c r="O208" s="62"/>
      <c r="P208" s="63"/>
      <c r="Q208" s="65"/>
      <c r="R208" s="66" t="str">
        <f t="shared" ca="1" si="7"/>
        <v/>
      </c>
      <c r="S208" s="63"/>
      <c r="T208" s="65"/>
      <c r="U208" s="65"/>
      <c r="V208" s="62"/>
      <c r="W208" s="62"/>
      <c r="X208" s="62"/>
      <c r="Y208" s="58"/>
      <c r="Z208" s="58"/>
      <c r="AA208" s="58"/>
    </row>
    <row r="209" spans="1:27" ht="15.75" customHeight="1" x14ac:dyDescent="0.2">
      <c r="A209" s="61" t="str">
        <f t="shared" si="6"/>
        <v/>
      </c>
      <c r="B209" s="62"/>
      <c r="C209" s="62"/>
      <c r="D209" s="62"/>
      <c r="E209" s="62"/>
      <c r="F209" s="63"/>
      <c r="G209" s="63"/>
      <c r="H209" s="63"/>
      <c r="I209" s="63"/>
      <c r="J209" s="63"/>
      <c r="K209" s="63"/>
      <c r="L209" s="64" t="str">
        <f>IF(OR($B209="", $H209="", $I209="", $J209="", $K209=""),"",ROUND((VLOOKUP($H209,Lists!$E$2:$F$5,2,FALSE())*VLOOKUP($I209,Lists!$H$2:$I$4,2,FALSE())*VLOOKUP($J209,Lists!$K$2:$L$4,2,FALSE()))/VLOOKUP($K209,Lists!$N$2:$O$6,2,FALSE()),2))</f>
        <v/>
      </c>
      <c r="M209" s="63"/>
      <c r="N209" s="63"/>
      <c r="O209" s="62"/>
      <c r="P209" s="63"/>
      <c r="Q209" s="65"/>
      <c r="R209" s="66" t="str">
        <f t="shared" ca="1" si="7"/>
        <v/>
      </c>
      <c r="S209" s="63"/>
      <c r="T209" s="65"/>
      <c r="U209" s="65"/>
      <c r="V209" s="62"/>
      <c r="W209" s="62"/>
      <c r="X209" s="62"/>
      <c r="Y209" s="58"/>
      <c r="Z209" s="58"/>
      <c r="AA209" s="58"/>
    </row>
    <row r="210" spans="1:27" ht="15.75" customHeight="1" x14ac:dyDescent="0.2">
      <c r="A210" s="61" t="str">
        <f t="shared" si="6"/>
        <v/>
      </c>
      <c r="B210" s="62"/>
      <c r="C210" s="62"/>
      <c r="D210" s="62"/>
      <c r="E210" s="62"/>
      <c r="F210" s="63"/>
      <c r="G210" s="63"/>
      <c r="H210" s="63"/>
      <c r="I210" s="63"/>
      <c r="J210" s="63"/>
      <c r="K210" s="63"/>
      <c r="L210" s="64" t="str">
        <f>IF(OR($B210="", $H210="", $I210="", $J210="", $K210=""),"",ROUND((VLOOKUP($H210,Lists!$E$2:$F$5,2,FALSE())*VLOOKUP($I210,Lists!$H$2:$I$4,2,FALSE())*VLOOKUP($J210,Lists!$K$2:$L$4,2,FALSE()))/VLOOKUP($K210,Lists!$N$2:$O$6,2,FALSE()),2))</f>
        <v/>
      </c>
      <c r="M210" s="63"/>
      <c r="N210" s="63"/>
      <c r="O210" s="62"/>
      <c r="P210" s="63"/>
      <c r="Q210" s="65"/>
      <c r="R210" s="66" t="str">
        <f t="shared" ca="1" si="7"/>
        <v/>
      </c>
      <c r="S210" s="63"/>
      <c r="T210" s="65"/>
      <c r="U210" s="65"/>
      <c r="V210" s="62"/>
      <c r="W210" s="62"/>
      <c r="X210" s="62"/>
      <c r="Y210" s="58"/>
      <c r="Z210" s="58"/>
      <c r="AA210" s="58"/>
    </row>
    <row r="211" spans="1:27" ht="15.75" customHeight="1" x14ac:dyDescent="0.2">
      <c r="A211" s="61" t="str">
        <f t="shared" si="6"/>
        <v/>
      </c>
      <c r="B211" s="62"/>
      <c r="C211" s="62"/>
      <c r="D211" s="62"/>
      <c r="E211" s="62"/>
      <c r="F211" s="63"/>
      <c r="G211" s="63"/>
      <c r="H211" s="63"/>
      <c r="I211" s="63"/>
      <c r="J211" s="63"/>
      <c r="K211" s="63"/>
      <c r="L211" s="64" t="str">
        <f>IF(OR($B211="", $H211="", $I211="", $J211="", $K211=""),"",ROUND((VLOOKUP($H211,Lists!$E$2:$F$5,2,FALSE())*VLOOKUP($I211,Lists!$H$2:$I$4,2,FALSE())*VLOOKUP($J211,Lists!$K$2:$L$4,2,FALSE()))/VLOOKUP($K211,Lists!$N$2:$O$6,2,FALSE()),2))</f>
        <v/>
      </c>
      <c r="M211" s="63"/>
      <c r="N211" s="63"/>
      <c r="O211" s="62"/>
      <c r="P211" s="63"/>
      <c r="Q211" s="65"/>
      <c r="R211" s="66" t="str">
        <f t="shared" ca="1" si="7"/>
        <v/>
      </c>
      <c r="S211" s="63"/>
      <c r="T211" s="65"/>
      <c r="U211" s="65"/>
      <c r="V211" s="62"/>
      <c r="W211" s="62"/>
      <c r="X211" s="62"/>
      <c r="Y211" s="58"/>
      <c r="Z211" s="58"/>
      <c r="AA211" s="58"/>
    </row>
    <row r="212" spans="1:27" ht="15.75" customHeight="1" x14ac:dyDescent="0.2">
      <c r="A212" s="61" t="str">
        <f t="shared" si="6"/>
        <v/>
      </c>
      <c r="B212" s="62"/>
      <c r="C212" s="62"/>
      <c r="D212" s="62"/>
      <c r="E212" s="62"/>
      <c r="F212" s="63"/>
      <c r="G212" s="63"/>
      <c r="H212" s="63"/>
      <c r="I212" s="63"/>
      <c r="J212" s="63"/>
      <c r="K212" s="63"/>
      <c r="L212" s="64" t="str">
        <f>IF(OR($B212="", $H212="", $I212="", $J212="", $K212=""),"",ROUND((VLOOKUP($H212,Lists!$E$2:$F$5,2,FALSE())*VLOOKUP($I212,Lists!$H$2:$I$4,2,FALSE())*VLOOKUP($J212,Lists!$K$2:$L$4,2,FALSE()))/VLOOKUP($K212,Lists!$N$2:$O$6,2,FALSE()),2))</f>
        <v/>
      </c>
      <c r="M212" s="63"/>
      <c r="N212" s="63"/>
      <c r="O212" s="62"/>
      <c r="P212" s="63"/>
      <c r="Q212" s="65"/>
      <c r="R212" s="66" t="str">
        <f t="shared" ca="1" si="7"/>
        <v/>
      </c>
      <c r="S212" s="63"/>
      <c r="T212" s="65"/>
      <c r="U212" s="65"/>
      <c r="V212" s="62"/>
      <c r="W212" s="62"/>
      <c r="X212" s="62"/>
      <c r="Y212" s="58"/>
      <c r="Z212" s="58"/>
      <c r="AA212" s="58"/>
    </row>
    <row r="213" spans="1:27" ht="15.75" customHeight="1" x14ac:dyDescent="0.2">
      <c r="A213" s="61" t="str">
        <f t="shared" si="6"/>
        <v/>
      </c>
      <c r="B213" s="62"/>
      <c r="C213" s="62"/>
      <c r="D213" s="62"/>
      <c r="E213" s="62"/>
      <c r="F213" s="63"/>
      <c r="G213" s="63"/>
      <c r="H213" s="63"/>
      <c r="I213" s="63"/>
      <c r="J213" s="63"/>
      <c r="K213" s="63"/>
      <c r="L213" s="64" t="str">
        <f>IF(OR($B213="", $H213="", $I213="", $J213="", $K213=""),"",ROUND((VLOOKUP($H213,Lists!$E$2:$F$5,2,FALSE())*VLOOKUP($I213,Lists!$H$2:$I$4,2,FALSE())*VLOOKUP($J213,Lists!$K$2:$L$4,2,FALSE()))/VLOOKUP($K213,Lists!$N$2:$O$6,2,FALSE()),2))</f>
        <v/>
      </c>
      <c r="M213" s="63"/>
      <c r="N213" s="63"/>
      <c r="O213" s="62"/>
      <c r="P213" s="63"/>
      <c r="Q213" s="65"/>
      <c r="R213" s="66" t="str">
        <f t="shared" ca="1" si="7"/>
        <v/>
      </c>
      <c r="S213" s="63"/>
      <c r="T213" s="65"/>
      <c r="U213" s="65"/>
      <c r="V213" s="62"/>
      <c r="W213" s="62"/>
      <c r="X213" s="62"/>
      <c r="Y213" s="58"/>
      <c r="Z213" s="58"/>
      <c r="AA213" s="58"/>
    </row>
    <row r="214" spans="1:27" ht="15.75" customHeight="1" x14ac:dyDescent="0.2">
      <c r="A214" s="61" t="str">
        <f t="shared" si="6"/>
        <v/>
      </c>
      <c r="B214" s="62"/>
      <c r="C214" s="62"/>
      <c r="D214" s="62"/>
      <c r="E214" s="62"/>
      <c r="F214" s="63"/>
      <c r="G214" s="63"/>
      <c r="H214" s="63"/>
      <c r="I214" s="63"/>
      <c r="J214" s="63"/>
      <c r="K214" s="63"/>
      <c r="L214" s="64" t="str">
        <f>IF(OR($B214="", $H214="", $I214="", $J214="", $K214=""),"",ROUND((VLOOKUP($H214,Lists!$E$2:$F$5,2,FALSE())*VLOOKUP($I214,Lists!$H$2:$I$4,2,FALSE())*VLOOKUP($J214,Lists!$K$2:$L$4,2,FALSE()))/VLOOKUP($K214,Lists!$N$2:$O$6,2,FALSE()),2))</f>
        <v/>
      </c>
      <c r="M214" s="63"/>
      <c r="N214" s="63"/>
      <c r="O214" s="62"/>
      <c r="P214" s="63"/>
      <c r="Q214" s="65"/>
      <c r="R214" s="66" t="str">
        <f t="shared" ca="1" si="7"/>
        <v/>
      </c>
      <c r="S214" s="63"/>
      <c r="T214" s="65"/>
      <c r="U214" s="65"/>
      <c r="V214" s="62"/>
      <c r="W214" s="62"/>
      <c r="X214" s="62"/>
      <c r="Y214" s="58"/>
      <c r="Z214" s="58"/>
      <c r="AA214" s="58"/>
    </row>
    <row r="215" spans="1:27" ht="15.75" customHeight="1" x14ac:dyDescent="0.2">
      <c r="A215" s="61" t="str">
        <f t="shared" si="6"/>
        <v/>
      </c>
      <c r="B215" s="62"/>
      <c r="C215" s="62"/>
      <c r="D215" s="62"/>
      <c r="E215" s="62"/>
      <c r="F215" s="63"/>
      <c r="G215" s="63"/>
      <c r="H215" s="63"/>
      <c r="I215" s="63"/>
      <c r="J215" s="63"/>
      <c r="K215" s="63"/>
      <c r="L215" s="64" t="str">
        <f>IF(OR($B215="", $H215="", $I215="", $J215="", $K215=""),"",ROUND((VLOOKUP($H215,Lists!$E$2:$F$5,2,FALSE())*VLOOKUP($I215,Lists!$H$2:$I$4,2,FALSE())*VLOOKUP($J215,Lists!$K$2:$L$4,2,FALSE()))/VLOOKUP($K215,Lists!$N$2:$O$6,2,FALSE()),2))</f>
        <v/>
      </c>
      <c r="M215" s="63"/>
      <c r="N215" s="63"/>
      <c r="O215" s="62"/>
      <c r="P215" s="63"/>
      <c r="Q215" s="65"/>
      <c r="R215" s="66" t="str">
        <f t="shared" ca="1" si="7"/>
        <v/>
      </c>
      <c r="S215" s="63"/>
      <c r="T215" s="65"/>
      <c r="U215" s="65"/>
      <c r="V215" s="62"/>
      <c r="W215" s="62"/>
      <c r="X215" s="62"/>
      <c r="Y215" s="58"/>
      <c r="Z215" s="58"/>
      <c r="AA215" s="58"/>
    </row>
    <row r="216" spans="1:27" ht="15.75" customHeight="1" x14ac:dyDescent="0.2">
      <c r="A216" s="61" t="str">
        <f t="shared" si="6"/>
        <v/>
      </c>
      <c r="B216" s="62"/>
      <c r="C216" s="62"/>
      <c r="D216" s="62"/>
      <c r="E216" s="62"/>
      <c r="F216" s="63"/>
      <c r="G216" s="63"/>
      <c r="H216" s="63"/>
      <c r="I216" s="63"/>
      <c r="J216" s="63"/>
      <c r="K216" s="63"/>
      <c r="L216" s="64" t="str">
        <f>IF(OR($B216="", $H216="", $I216="", $J216="", $K216=""),"",ROUND((VLOOKUP($H216,Lists!$E$2:$F$5,2,FALSE())*VLOOKUP($I216,Lists!$H$2:$I$4,2,FALSE())*VLOOKUP($J216,Lists!$K$2:$L$4,2,FALSE()))/VLOOKUP($K216,Lists!$N$2:$O$6,2,FALSE()),2))</f>
        <v/>
      </c>
      <c r="M216" s="63"/>
      <c r="N216" s="63"/>
      <c r="O216" s="62"/>
      <c r="P216" s="63"/>
      <c r="Q216" s="65"/>
      <c r="R216" s="66" t="str">
        <f t="shared" ca="1" si="7"/>
        <v/>
      </c>
      <c r="S216" s="63"/>
      <c r="T216" s="65"/>
      <c r="U216" s="65"/>
      <c r="V216" s="62"/>
      <c r="W216" s="62"/>
      <c r="X216" s="62"/>
      <c r="Y216" s="58"/>
      <c r="Z216" s="58"/>
      <c r="AA216" s="58"/>
    </row>
    <row r="217" spans="1:27" ht="15.75" customHeight="1" x14ac:dyDescent="0.2">
      <c r="A217" s="61" t="str">
        <f t="shared" si="6"/>
        <v/>
      </c>
      <c r="B217" s="62"/>
      <c r="C217" s="62"/>
      <c r="D217" s="62"/>
      <c r="E217" s="62"/>
      <c r="F217" s="63"/>
      <c r="G217" s="63"/>
      <c r="H217" s="63"/>
      <c r="I217" s="63"/>
      <c r="J217" s="63"/>
      <c r="K217" s="63"/>
      <c r="L217" s="64" t="str">
        <f>IF(OR($B217="", $H217="", $I217="", $J217="", $K217=""),"",ROUND((VLOOKUP($H217,Lists!$E$2:$F$5,2,FALSE())*VLOOKUP($I217,Lists!$H$2:$I$4,2,FALSE())*VLOOKUP($J217,Lists!$K$2:$L$4,2,FALSE()))/VLOOKUP($K217,Lists!$N$2:$O$6,2,FALSE()),2))</f>
        <v/>
      </c>
      <c r="M217" s="63"/>
      <c r="N217" s="63"/>
      <c r="O217" s="62"/>
      <c r="P217" s="63"/>
      <c r="Q217" s="65"/>
      <c r="R217" s="66" t="str">
        <f t="shared" ca="1" si="7"/>
        <v/>
      </c>
      <c r="S217" s="63"/>
      <c r="T217" s="65"/>
      <c r="U217" s="65"/>
      <c r="V217" s="62"/>
      <c r="W217" s="62"/>
      <c r="X217" s="62"/>
      <c r="Y217" s="58"/>
      <c r="Z217" s="58"/>
      <c r="AA217" s="58"/>
    </row>
    <row r="218" spans="1:27" ht="15.75" customHeight="1" x14ac:dyDescent="0.2">
      <c r="A218" s="61" t="str">
        <f t="shared" si="6"/>
        <v/>
      </c>
      <c r="B218" s="62"/>
      <c r="C218" s="62"/>
      <c r="D218" s="62"/>
      <c r="E218" s="62"/>
      <c r="F218" s="63"/>
      <c r="G218" s="63"/>
      <c r="H218" s="63"/>
      <c r="I218" s="63"/>
      <c r="J218" s="63"/>
      <c r="K218" s="63"/>
      <c r="L218" s="64" t="str">
        <f>IF(OR($B218="", $H218="", $I218="", $J218="", $K218=""),"",ROUND((VLOOKUP($H218,Lists!$E$2:$F$5,2,FALSE())*VLOOKUP($I218,Lists!$H$2:$I$4,2,FALSE())*VLOOKUP($J218,Lists!$K$2:$L$4,2,FALSE()))/VLOOKUP($K218,Lists!$N$2:$O$6,2,FALSE()),2))</f>
        <v/>
      </c>
      <c r="M218" s="63"/>
      <c r="N218" s="63"/>
      <c r="O218" s="62"/>
      <c r="P218" s="63"/>
      <c r="Q218" s="65"/>
      <c r="R218" s="66" t="str">
        <f t="shared" ca="1" si="7"/>
        <v/>
      </c>
      <c r="S218" s="63"/>
      <c r="T218" s="65"/>
      <c r="U218" s="65"/>
      <c r="V218" s="62"/>
      <c r="W218" s="62"/>
      <c r="X218" s="62"/>
      <c r="Y218" s="58"/>
      <c r="Z218" s="58"/>
      <c r="AA218" s="58"/>
    </row>
    <row r="219" spans="1:27" ht="15.75" customHeight="1" x14ac:dyDescent="0.2">
      <c r="A219" s="61" t="str">
        <f t="shared" si="6"/>
        <v/>
      </c>
      <c r="B219" s="62"/>
      <c r="C219" s="62"/>
      <c r="D219" s="62"/>
      <c r="E219" s="62"/>
      <c r="F219" s="63"/>
      <c r="G219" s="63"/>
      <c r="H219" s="63"/>
      <c r="I219" s="63"/>
      <c r="J219" s="63"/>
      <c r="K219" s="63"/>
      <c r="L219" s="64" t="str">
        <f>IF(OR($B219="", $H219="", $I219="", $J219="", $K219=""),"",ROUND((VLOOKUP($H219,Lists!$E$2:$F$5,2,FALSE())*VLOOKUP($I219,Lists!$H$2:$I$4,2,FALSE())*VLOOKUP($J219,Lists!$K$2:$L$4,2,FALSE()))/VLOOKUP($K219,Lists!$N$2:$O$6,2,FALSE()),2))</f>
        <v/>
      </c>
      <c r="M219" s="63"/>
      <c r="N219" s="63"/>
      <c r="O219" s="62"/>
      <c r="P219" s="63"/>
      <c r="Q219" s="65"/>
      <c r="R219" s="66" t="str">
        <f t="shared" ca="1" si="7"/>
        <v/>
      </c>
      <c r="S219" s="63"/>
      <c r="T219" s="65"/>
      <c r="U219" s="65"/>
      <c r="V219" s="62"/>
      <c r="W219" s="62"/>
      <c r="X219" s="62"/>
      <c r="Y219" s="58"/>
      <c r="Z219" s="58"/>
      <c r="AA219" s="58"/>
    </row>
    <row r="220" spans="1:27" ht="15.75" customHeight="1" x14ac:dyDescent="0.2">
      <c r="A220" s="61" t="str">
        <f t="shared" si="6"/>
        <v/>
      </c>
      <c r="B220" s="62"/>
      <c r="C220" s="62"/>
      <c r="D220" s="62"/>
      <c r="E220" s="62"/>
      <c r="F220" s="63"/>
      <c r="G220" s="63"/>
      <c r="H220" s="63"/>
      <c r="I220" s="63"/>
      <c r="J220" s="63"/>
      <c r="K220" s="63"/>
      <c r="L220" s="64" t="str">
        <f>IF(OR($B220="", $H220="", $I220="", $J220="", $K220=""),"",ROUND((VLOOKUP($H220,Lists!$E$2:$F$5,2,FALSE())*VLOOKUP($I220,Lists!$H$2:$I$4,2,FALSE())*VLOOKUP($J220,Lists!$K$2:$L$4,2,FALSE()))/VLOOKUP($K220,Lists!$N$2:$O$6,2,FALSE()),2))</f>
        <v/>
      </c>
      <c r="M220" s="63"/>
      <c r="N220" s="63"/>
      <c r="O220" s="62"/>
      <c r="P220" s="63"/>
      <c r="Q220" s="65"/>
      <c r="R220" s="66" t="str">
        <f t="shared" ca="1" si="7"/>
        <v/>
      </c>
      <c r="S220" s="63"/>
      <c r="T220" s="65"/>
      <c r="U220" s="65"/>
      <c r="V220" s="62"/>
      <c r="W220" s="62"/>
      <c r="X220" s="62"/>
      <c r="Y220" s="58"/>
      <c r="Z220" s="58"/>
      <c r="AA220" s="58"/>
    </row>
    <row r="221" spans="1:27" ht="15.75" customHeight="1" x14ac:dyDescent="0.2">
      <c r="A221" s="61" t="str">
        <f t="shared" si="6"/>
        <v/>
      </c>
      <c r="B221" s="62"/>
      <c r="C221" s="62"/>
      <c r="D221" s="62"/>
      <c r="E221" s="62"/>
      <c r="F221" s="63"/>
      <c r="G221" s="63"/>
      <c r="H221" s="63"/>
      <c r="I221" s="63"/>
      <c r="J221" s="63"/>
      <c r="K221" s="63"/>
      <c r="L221" s="64" t="str">
        <f>IF(OR($B221="", $H221="", $I221="", $J221="", $K221=""),"",ROUND((VLOOKUP($H221,Lists!$E$2:$F$5,2,FALSE())*VLOOKUP($I221,Lists!$H$2:$I$4,2,FALSE())*VLOOKUP($J221,Lists!$K$2:$L$4,2,FALSE()))/VLOOKUP($K221,Lists!$N$2:$O$6,2,FALSE()),2))</f>
        <v/>
      </c>
      <c r="M221" s="63"/>
      <c r="N221" s="63"/>
      <c r="O221" s="62"/>
      <c r="P221" s="63"/>
      <c r="Q221" s="65"/>
      <c r="R221" s="66" t="str">
        <f t="shared" ca="1" si="7"/>
        <v/>
      </c>
      <c r="S221" s="63"/>
      <c r="T221" s="65"/>
      <c r="U221" s="65"/>
      <c r="V221" s="62"/>
      <c r="W221" s="62"/>
      <c r="X221" s="62"/>
      <c r="Y221" s="58"/>
      <c r="Z221" s="58"/>
      <c r="AA221" s="58"/>
    </row>
    <row r="222" spans="1:27" ht="15.75" customHeight="1" x14ac:dyDescent="0.2">
      <c r="A222" s="61" t="str">
        <f t="shared" si="6"/>
        <v/>
      </c>
      <c r="B222" s="62"/>
      <c r="C222" s="62"/>
      <c r="D222" s="62"/>
      <c r="E222" s="62"/>
      <c r="F222" s="63"/>
      <c r="G222" s="63"/>
      <c r="H222" s="63"/>
      <c r="I222" s="63"/>
      <c r="J222" s="63"/>
      <c r="K222" s="63"/>
      <c r="L222" s="64" t="str">
        <f>IF(OR($B222="", $H222="", $I222="", $J222="", $K222=""),"",ROUND((VLOOKUP($H222,Lists!$E$2:$F$5,2,FALSE())*VLOOKUP($I222,Lists!$H$2:$I$4,2,FALSE())*VLOOKUP($J222,Lists!$K$2:$L$4,2,FALSE()))/VLOOKUP($K222,Lists!$N$2:$O$6,2,FALSE()),2))</f>
        <v/>
      </c>
      <c r="M222" s="63"/>
      <c r="N222" s="63"/>
      <c r="O222" s="62"/>
      <c r="P222" s="63"/>
      <c r="Q222" s="65"/>
      <c r="R222" s="66" t="str">
        <f t="shared" ca="1" si="7"/>
        <v/>
      </c>
      <c r="S222" s="63"/>
      <c r="T222" s="65"/>
      <c r="U222" s="65"/>
      <c r="V222" s="62"/>
      <c r="W222" s="62"/>
      <c r="X222" s="62"/>
      <c r="Y222" s="58"/>
      <c r="Z222" s="58"/>
      <c r="AA222" s="58"/>
    </row>
    <row r="223" spans="1:27" ht="15.75" customHeight="1" x14ac:dyDescent="0.2">
      <c r="A223" s="61" t="str">
        <f t="shared" si="6"/>
        <v/>
      </c>
      <c r="B223" s="62"/>
      <c r="C223" s="62"/>
      <c r="D223" s="62"/>
      <c r="E223" s="62"/>
      <c r="F223" s="63"/>
      <c r="G223" s="63"/>
      <c r="H223" s="63"/>
      <c r="I223" s="63"/>
      <c r="J223" s="63"/>
      <c r="K223" s="63"/>
      <c r="L223" s="64" t="str">
        <f>IF(OR($B223="", $H223="", $I223="", $J223="", $K223=""),"",ROUND((VLOOKUP($H223,Lists!$E$2:$F$5,2,FALSE())*VLOOKUP($I223,Lists!$H$2:$I$4,2,FALSE())*VLOOKUP($J223,Lists!$K$2:$L$4,2,FALSE()))/VLOOKUP($K223,Lists!$N$2:$O$6,2,FALSE()),2))</f>
        <v/>
      </c>
      <c r="M223" s="63"/>
      <c r="N223" s="63"/>
      <c r="O223" s="62"/>
      <c r="P223" s="63"/>
      <c r="Q223" s="65"/>
      <c r="R223" s="66" t="str">
        <f t="shared" ca="1" si="7"/>
        <v/>
      </c>
      <c r="S223" s="63"/>
      <c r="T223" s="65"/>
      <c r="U223" s="65"/>
      <c r="V223" s="62"/>
      <c r="W223" s="62"/>
      <c r="X223" s="62"/>
      <c r="Y223" s="58"/>
      <c r="Z223" s="58"/>
      <c r="AA223" s="58"/>
    </row>
    <row r="224" spans="1:27" ht="15.75" customHeight="1" x14ac:dyDescent="0.2">
      <c r="A224" s="61" t="str">
        <f t="shared" si="6"/>
        <v/>
      </c>
      <c r="B224" s="62"/>
      <c r="C224" s="62"/>
      <c r="D224" s="62"/>
      <c r="E224" s="62"/>
      <c r="F224" s="63"/>
      <c r="G224" s="63"/>
      <c r="H224" s="63"/>
      <c r="I224" s="63"/>
      <c r="J224" s="63"/>
      <c r="K224" s="63"/>
      <c r="L224" s="64" t="str">
        <f>IF(OR($B224="", $H224="", $I224="", $J224="", $K224=""),"",ROUND((VLOOKUP($H224,Lists!$E$2:$F$5,2,FALSE())*VLOOKUP($I224,Lists!$H$2:$I$4,2,FALSE())*VLOOKUP($J224,Lists!$K$2:$L$4,2,FALSE()))/VLOOKUP($K224,Lists!$N$2:$O$6,2,FALSE()),2))</f>
        <v/>
      </c>
      <c r="M224" s="63"/>
      <c r="N224" s="63"/>
      <c r="O224" s="62"/>
      <c r="P224" s="63"/>
      <c r="Q224" s="65"/>
      <c r="R224" s="66" t="str">
        <f t="shared" ca="1" si="7"/>
        <v/>
      </c>
      <c r="S224" s="63"/>
      <c r="T224" s="65"/>
      <c r="U224" s="65"/>
      <c r="V224" s="62"/>
      <c r="W224" s="62"/>
      <c r="X224" s="62"/>
      <c r="Y224" s="58"/>
      <c r="Z224" s="58"/>
      <c r="AA224" s="58"/>
    </row>
    <row r="225" spans="1:27" ht="15.75" customHeight="1" x14ac:dyDescent="0.2">
      <c r="A225" s="61" t="str">
        <f t="shared" si="6"/>
        <v/>
      </c>
      <c r="B225" s="62"/>
      <c r="C225" s="62"/>
      <c r="D225" s="62"/>
      <c r="E225" s="62"/>
      <c r="F225" s="63"/>
      <c r="G225" s="63"/>
      <c r="H225" s="63"/>
      <c r="I225" s="63"/>
      <c r="J225" s="63"/>
      <c r="K225" s="63"/>
      <c r="L225" s="64" t="str">
        <f>IF(OR($B225="", $H225="", $I225="", $J225="", $K225=""),"",ROUND((VLOOKUP($H225,Lists!$E$2:$F$5,2,FALSE())*VLOOKUP($I225,Lists!$H$2:$I$4,2,FALSE())*VLOOKUP($J225,Lists!$K$2:$L$4,2,FALSE()))/VLOOKUP($K225,Lists!$N$2:$O$6,2,FALSE()),2))</f>
        <v/>
      </c>
      <c r="M225" s="63"/>
      <c r="N225" s="63"/>
      <c r="O225" s="62"/>
      <c r="P225" s="63"/>
      <c r="Q225" s="65"/>
      <c r="R225" s="66" t="str">
        <f t="shared" ca="1" si="7"/>
        <v/>
      </c>
      <c r="S225" s="63"/>
      <c r="T225" s="65"/>
      <c r="U225" s="65"/>
      <c r="V225" s="62"/>
      <c r="W225" s="62"/>
      <c r="X225" s="62"/>
      <c r="Y225" s="58"/>
      <c r="Z225" s="58"/>
      <c r="AA225" s="58"/>
    </row>
    <row r="226" spans="1:27" ht="15.75" customHeight="1" x14ac:dyDescent="0.2">
      <c r="A226" s="61" t="str">
        <f t="shared" si="6"/>
        <v/>
      </c>
      <c r="B226" s="62"/>
      <c r="C226" s="62"/>
      <c r="D226" s="62"/>
      <c r="E226" s="62"/>
      <c r="F226" s="63"/>
      <c r="G226" s="63"/>
      <c r="H226" s="63"/>
      <c r="I226" s="63"/>
      <c r="J226" s="63"/>
      <c r="K226" s="63"/>
      <c r="L226" s="64" t="str">
        <f>IF(OR($B226="", $H226="", $I226="", $J226="", $K226=""),"",ROUND((VLOOKUP($H226,Lists!$E$2:$F$5,2,FALSE())*VLOOKUP($I226,Lists!$H$2:$I$4,2,FALSE())*VLOOKUP($J226,Lists!$K$2:$L$4,2,FALSE()))/VLOOKUP($K226,Lists!$N$2:$O$6,2,FALSE()),2))</f>
        <v/>
      </c>
      <c r="M226" s="63"/>
      <c r="N226" s="63"/>
      <c r="O226" s="62"/>
      <c r="P226" s="63"/>
      <c r="Q226" s="65"/>
      <c r="R226" s="66" t="str">
        <f t="shared" ca="1" si="7"/>
        <v/>
      </c>
      <c r="S226" s="63"/>
      <c r="T226" s="65"/>
      <c r="U226" s="65"/>
      <c r="V226" s="62"/>
      <c r="W226" s="62"/>
      <c r="X226" s="62"/>
      <c r="Y226" s="58"/>
      <c r="Z226" s="58"/>
      <c r="AA226" s="58"/>
    </row>
    <row r="227" spans="1:27" ht="15.75" customHeight="1" x14ac:dyDescent="0.2">
      <c r="A227" s="61" t="str">
        <f t="shared" si="6"/>
        <v/>
      </c>
      <c r="B227" s="62"/>
      <c r="C227" s="62"/>
      <c r="D227" s="62"/>
      <c r="E227" s="62"/>
      <c r="F227" s="63"/>
      <c r="G227" s="63"/>
      <c r="H227" s="63"/>
      <c r="I227" s="63"/>
      <c r="J227" s="63"/>
      <c r="K227" s="63"/>
      <c r="L227" s="64" t="str">
        <f>IF(OR($B227="", $H227="", $I227="", $J227="", $K227=""),"",ROUND((VLOOKUP($H227,Lists!$E$2:$F$5,2,FALSE())*VLOOKUP($I227,Lists!$H$2:$I$4,2,FALSE())*VLOOKUP($J227,Lists!$K$2:$L$4,2,FALSE()))/VLOOKUP($K227,Lists!$N$2:$O$6,2,FALSE()),2))</f>
        <v/>
      </c>
      <c r="M227" s="63"/>
      <c r="N227" s="63"/>
      <c r="O227" s="62"/>
      <c r="P227" s="63"/>
      <c r="Q227" s="65"/>
      <c r="R227" s="66" t="str">
        <f t="shared" ca="1" si="7"/>
        <v/>
      </c>
      <c r="S227" s="63"/>
      <c r="T227" s="65"/>
      <c r="U227" s="65"/>
      <c r="V227" s="62"/>
      <c r="W227" s="62"/>
      <c r="X227" s="62"/>
      <c r="Y227" s="58"/>
      <c r="Z227" s="58"/>
      <c r="AA227" s="58"/>
    </row>
    <row r="228" spans="1:27" ht="15.75" customHeight="1" x14ac:dyDescent="0.2">
      <c r="A228" s="61" t="str">
        <f t="shared" si="6"/>
        <v/>
      </c>
      <c r="B228" s="62"/>
      <c r="C228" s="62"/>
      <c r="D228" s="62"/>
      <c r="E228" s="62"/>
      <c r="F228" s="63"/>
      <c r="G228" s="63"/>
      <c r="H228" s="63"/>
      <c r="I228" s="63"/>
      <c r="J228" s="63"/>
      <c r="K228" s="63"/>
      <c r="L228" s="64" t="str">
        <f>IF(OR($B228="", $H228="", $I228="", $J228="", $K228=""),"",ROUND((VLOOKUP($H228,Lists!$E$2:$F$5,2,FALSE())*VLOOKUP($I228,Lists!$H$2:$I$4,2,FALSE())*VLOOKUP($J228,Lists!$K$2:$L$4,2,FALSE()))/VLOOKUP($K228,Lists!$N$2:$O$6,2,FALSE()),2))</f>
        <v/>
      </c>
      <c r="M228" s="63"/>
      <c r="N228" s="63"/>
      <c r="O228" s="62"/>
      <c r="P228" s="63"/>
      <c r="Q228" s="65"/>
      <c r="R228" s="66" t="str">
        <f t="shared" ca="1" si="7"/>
        <v/>
      </c>
      <c r="S228" s="63"/>
      <c r="T228" s="65"/>
      <c r="U228" s="65"/>
      <c r="V228" s="62"/>
      <c r="W228" s="62"/>
      <c r="X228" s="62"/>
      <c r="Y228" s="58"/>
      <c r="Z228" s="58"/>
      <c r="AA228" s="58"/>
    </row>
    <row r="229" spans="1:27" ht="15.75" customHeight="1" x14ac:dyDescent="0.2">
      <c r="A229" s="61" t="str">
        <f t="shared" si="6"/>
        <v/>
      </c>
      <c r="B229" s="62"/>
      <c r="C229" s="62"/>
      <c r="D229" s="62"/>
      <c r="E229" s="62"/>
      <c r="F229" s="63"/>
      <c r="G229" s="63"/>
      <c r="H229" s="63"/>
      <c r="I229" s="63"/>
      <c r="J229" s="63"/>
      <c r="K229" s="63"/>
      <c r="L229" s="64" t="str">
        <f>IF(OR($B229="", $H229="", $I229="", $J229="", $K229=""),"",ROUND((VLOOKUP($H229,Lists!$E$2:$F$5,2,FALSE())*VLOOKUP($I229,Lists!$H$2:$I$4,2,FALSE())*VLOOKUP($J229,Lists!$K$2:$L$4,2,FALSE()))/VLOOKUP($K229,Lists!$N$2:$O$6,2,FALSE()),2))</f>
        <v/>
      </c>
      <c r="M229" s="63"/>
      <c r="N229" s="63"/>
      <c r="O229" s="62"/>
      <c r="P229" s="63"/>
      <c r="Q229" s="65"/>
      <c r="R229" s="66" t="str">
        <f t="shared" ca="1" si="7"/>
        <v/>
      </c>
      <c r="S229" s="63"/>
      <c r="T229" s="65"/>
      <c r="U229" s="65"/>
      <c r="V229" s="62"/>
      <c r="W229" s="62"/>
      <c r="X229" s="62"/>
      <c r="Y229" s="58"/>
      <c r="Z229" s="58"/>
      <c r="AA229" s="58"/>
    </row>
    <row r="230" spans="1:27" ht="15.75" customHeight="1" x14ac:dyDescent="0.2">
      <c r="A230" s="61" t="str">
        <f t="shared" si="6"/>
        <v/>
      </c>
      <c r="B230" s="62"/>
      <c r="C230" s="62"/>
      <c r="D230" s="62"/>
      <c r="E230" s="62"/>
      <c r="F230" s="63"/>
      <c r="G230" s="63"/>
      <c r="H230" s="63"/>
      <c r="I230" s="63"/>
      <c r="J230" s="63"/>
      <c r="K230" s="63"/>
      <c r="L230" s="64" t="str">
        <f>IF(OR($B230="", $H230="", $I230="", $J230="", $K230=""),"",ROUND((VLOOKUP($H230,Lists!$E$2:$F$5,2,FALSE())*VLOOKUP($I230,Lists!$H$2:$I$4,2,FALSE())*VLOOKUP($J230,Lists!$K$2:$L$4,2,FALSE()))/VLOOKUP($K230,Lists!$N$2:$O$6,2,FALSE()),2))</f>
        <v/>
      </c>
      <c r="M230" s="63"/>
      <c r="N230" s="63"/>
      <c r="O230" s="62"/>
      <c r="P230" s="63"/>
      <c r="Q230" s="65"/>
      <c r="R230" s="66" t="str">
        <f t="shared" ca="1" si="7"/>
        <v/>
      </c>
      <c r="S230" s="63"/>
      <c r="T230" s="65"/>
      <c r="U230" s="65"/>
      <c r="V230" s="62"/>
      <c r="W230" s="62"/>
      <c r="X230" s="62"/>
      <c r="Y230" s="58"/>
      <c r="Z230" s="58"/>
      <c r="AA230" s="58"/>
    </row>
    <row r="231" spans="1:27" ht="15.75" customHeight="1" x14ac:dyDescent="0.2">
      <c r="A231" s="61" t="str">
        <f t="shared" si="6"/>
        <v/>
      </c>
      <c r="B231" s="62"/>
      <c r="C231" s="62"/>
      <c r="D231" s="62"/>
      <c r="E231" s="62"/>
      <c r="F231" s="63"/>
      <c r="G231" s="63"/>
      <c r="H231" s="63"/>
      <c r="I231" s="63"/>
      <c r="J231" s="63"/>
      <c r="K231" s="63"/>
      <c r="L231" s="64" t="str">
        <f>IF(OR($B231="", $H231="", $I231="", $J231="", $K231=""),"",ROUND((VLOOKUP($H231,Lists!$E$2:$F$5,2,FALSE())*VLOOKUP($I231,Lists!$H$2:$I$4,2,FALSE())*VLOOKUP($J231,Lists!$K$2:$L$4,2,FALSE()))/VLOOKUP($K231,Lists!$N$2:$O$6,2,FALSE()),2))</f>
        <v/>
      </c>
      <c r="M231" s="63"/>
      <c r="N231" s="63"/>
      <c r="O231" s="62"/>
      <c r="P231" s="63"/>
      <c r="Q231" s="65"/>
      <c r="R231" s="66" t="str">
        <f t="shared" ca="1" si="7"/>
        <v/>
      </c>
      <c r="S231" s="63"/>
      <c r="T231" s="65"/>
      <c r="U231" s="65"/>
      <c r="V231" s="62"/>
      <c r="W231" s="62"/>
      <c r="X231" s="62"/>
      <c r="Y231" s="58"/>
      <c r="Z231" s="58"/>
      <c r="AA231" s="58"/>
    </row>
    <row r="232" spans="1:27" ht="15.75" customHeight="1" x14ac:dyDescent="0.2">
      <c r="A232" s="61" t="str">
        <f t="shared" si="6"/>
        <v/>
      </c>
      <c r="B232" s="62"/>
      <c r="C232" s="62"/>
      <c r="D232" s="62"/>
      <c r="E232" s="62"/>
      <c r="F232" s="63"/>
      <c r="G232" s="63"/>
      <c r="H232" s="63"/>
      <c r="I232" s="63"/>
      <c r="J232" s="63"/>
      <c r="K232" s="63"/>
      <c r="L232" s="64" t="str">
        <f>IF(OR($B232="", $H232="", $I232="", $J232="", $K232=""),"",ROUND((VLOOKUP($H232,Lists!$E$2:$F$5,2,FALSE())*VLOOKUP($I232,Lists!$H$2:$I$4,2,FALSE())*VLOOKUP($J232,Lists!$K$2:$L$4,2,FALSE()))/VLOOKUP($K232,Lists!$N$2:$O$6,2,FALSE()),2))</f>
        <v/>
      </c>
      <c r="M232" s="63"/>
      <c r="N232" s="63"/>
      <c r="O232" s="62"/>
      <c r="P232" s="63"/>
      <c r="Q232" s="65"/>
      <c r="R232" s="66" t="str">
        <f t="shared" ca="1" si="7"/>
        <v/>
      </c>
      <c r="S232" s="63"/>
      <c r="T232" s="65"/>
      <c r="U232" s="65"/>
      <c r="V232" s="62"/>
      <c r="W232" s="62"/>
      <c r="X232" s="62"/>
      <c r="Y232" s="58"/>
      <c r="Z232" s="58"/>
      <c r="AA232" s="58"/>
    </row>
    <row r="233" spans="1:27" ht="15.75" customHeight="1" x14ac:dyDescent="0.2">
      <c r="A233" s="61" t="str">
        <f t="shared" si="6"/>
        <v/>
      </c>
      <c r="B233" s="62"/>
      <c r="C233" s="62"/>
      <c r="D233" s="62"/>
      <c r="E233" s="62"/>
      <c r="F233" s="63"/>
      <c r="G233" s="63"/>
      <c r="H233" s="63"/>
      <c r="I233" s="63"/>
      <c r="J233" s="63"/>
      <c r="K233" s="63"/>
      <c r="L233" s="64" t="str">
        <f>IF(OR($B233="", $H233="", $I233="", $J233="", $K233=""),"",ROUND((VLOOKUP($H233,Lists!$E$2:$F$5,2,FALSE())*VLOOKUP($I233,Lists!$H$2:$I$4,2,FALSE())*VLOOKUP($J233,Lists!$K$2:$L$4,2,FALSE()))/VLOOKUP($K233,Lists!$N$2:$O$6,2,FALSE()),2))</f>
        <v/>
      </c>
      <c r="M233" s="63"/>
      <c r="N233" s="63"/>
      <c r="O233" s="62"/>
      <c r="P233" s="63"/>
      <c r="Q233" s="65"/>
      <c r="R233" s="66" t="str">
        <f t="shared" ca="1" si="7"/>
        <v/>
      </c>
      <c r="S233" s="63"/>
      <c r="T233" s="65"/>
      <c r="U233" s="65"/>
      <c r="V233" s="62"/>
      <c r="W233" s="62"/>
      <c r="X233" s="62"/>
      <c r="Y233" s="58"/>
      <c r="Z233" s="58"/>
      <c r="AA233" s="58"/>
    </row>
    <row r="234" spans="1:27" ht="15.75" customHeight="1" x14ac:dyDescent="0.2">
      <c r="A234" s="61" t="str">
        <f t="shared" si="6"/>
        <v/>
      </c>
      <c r="B234" s="62"/>
      <c r="C234" s="62"/>
      <c r="D234" s="62"/>
      <c r="E234" s="62"/>
      <c r="F234" s="63"/>
      <c r="G234" s="63"/>
      <c r="H234" s="63"/>
      <c r="I234" s="63"/>
      <c r="J234" s="63"/>
      <c r="K234" s="63"/>
      <c r="L234" s="64" t="str">
        <f>IF(OR($B234="", $H234="", $I234="", $J234="", $K234=""),"",ROUND((VLOOKUP($H234,Lists!$E$2:$F$5,2,FALSE())*VLOOKUP($I234,Lists!$H$2:$I$4,2,FALSE())*VLOOKUP($J234,Lists!$K$2:$L$4,2,FALSE()))/VLOOKUP($K234,Lists!$N$2:$O$6,2,FALSE()),2))</f>
        <v/>
      </c>
      <c r="M234" s="63"/>
      <c r="N234" s="63"/>
      <c r="O234" s="62"/>
      <c r="P234" s="63"/>
      <c r="Q234" s="65"/>
      <c r="R234" s="66" t="str">
        <f t="shared" ca="1" si="7"/>
        <v/>
      </c>
      <c r="S234" s="63"/>
      <c r="T234" s="65"/>
      <c r="U234" s="65"/>
      <c r="V234" s="62"/>
      <c r="W234" s="62"/>
      <c r="X234" s="62"/>
      <c r="Y234" s="58"/>
      <c r="Z234" s="58"/>
      <c r="AA234" s="58"/>
    </row>
    <row r="235" spans="1:27" ht="15.75" customHeight="1" x14ac:dyDescent="0.2">
      <c r="A235" s="61" t="str">
        <f t="shared" si="6"/>
        <v/>
      </c>
      <c r="B235" s="62"/>
      <c r="C235" s="62"/>
      <c r="D235" s="62"/>
      <c r="E235" s="62"/>
      <c r="F235" s="63"/>
      <c r="G235" s="63"/>
      <c r="H235" s="63"/>
      <c r="I235" s="63"/>
      <c r="J235" s="63"/>
      <c r="K235" s="63"/>
      <c r="L235" s="64" t="str">
        <f>IF(OR($B235="", $H235="", $I235="", $J235="", $K235=""),"",ROUND((VLOOKUP($H235,Lists!$E$2:$F$5,2,FALSE())*VLOOKUP($I235,Lists!$H$2:$I$4,2,FALSE())*VLOOKUP($J235,Lists!$K$2:$L$4,2,FALSE()))/VLOOKUP($K235,Lists!$N$2:$O$6,2,FALSE()),2))</f>
        <v/>
      </c>
      <c r="M235" s="63"/>
      <c r="N235" s="63"/>
      <c r="O235" s="62"/>
      <c r="P235" s="63"/>
      <c r="Q235" s="65"/>
      <c r="R235" s="66" t="str">
        <f t="shared" ca="1" si="7"/>
        <v/>
      </c>
      <c r="S235" s="63"/>
      <c r="T235" s="65"/>
      <c r="U235" s="65"/>
      <c r="V235" s="62"/>
      <c r="W235" s="62"/>
      <c r="X235" s="62"/>
      <c r="Y235" s="58"/>
      <c r="Z235" s="58"/>
      <c r="AA235" s="58"/>
    </row>
    <row r="236" spans="1:27" ht="15.75" customHeight="1" x14ac:dyDescent="0.2">
      <c r="A236" s="61" t="str">
        <f t="shared" si="6"/>
        <v/>
      </c>
      <c r="B236" s="62"/>
      <c r="C236" s="62"/>
      <c r="D236" s="62"/>
      <c r="E236" s="62"/>
      <c r="F236" s="63"/>
      <c r="G236" s="63"/>
      <c r="H236" s="63"/>
      <c r="I236" s="63"/>
      <c r="J236" s="63"/>
      <c r="K236" s="63"/>
      <c r="L236" s="64" t="str">
        <f>IF(OR($B236="", $H236="", $I236="", $J236="", $K236=""),"",ROUND((VLOOKUP($H236,Lists!$E$2:$F$5,2,FALSE())*VLOOKUP($I236,Lists!$H$2:$I$4,2,FALSE())*VLOOKUP($J236,Lists!$K$2:$L$4,2,FALSE()))/VLOOKUP($K236,Lists!$N$2:$O$6,2,FALSE()),2))</f>
        <v/>
      </c>
      <c r="M236" s="63"/>
      <c r="N236" s="63"/>
      <c r="O236" s="62"/>
      <c r="P236" s="63"/>
      <c r="Q236" s="65"/>
      <c r="R236" s="66" t="str">
        <f t="shared" ca="1" si="7"/>
        <v/>
      </c>
      <c r="S236" s="63"/>
      <c r="T236" s="65"/>
      <c r="U236" s="65"/>
      <c r="V236" s="62"/>
      <c r="W236" s="62"/>
      <c r="X236" s="62"/>
      <c r="Y236" s="58"/>
      <c r="Z236" s="58"/>
      <c r="AA236" s="58"/>
    </row>
    <row r="237" spans="1:27" ht="15.75" customHeight="1" x14ac:dyDescent="0.2">
      <c r="A237" s="61" t="str">
        <f t="shared" si="6"/>
        <v/>
      </c>
      <c r="B237" s="62"/>
      <c r="C237" s="62"/>
      <c r="D237" s="62"/>
      <c r="E237" s="62"/>
      <c r="F237" s="63"/>
      <c r="G237" s="63"/>
      <c r="H237" s="63"/>
      <c r="I237" s="63"/>
      <c r="J237" s="63"/>
      <c r="K237" s="63"/>
      <c r="L237" s="64" t="str">
        <f>IF(OR($B237="", $H237="", $I237="", $J237="", $K237=""),"",ROUND((VLOOKUP($H237,Lists!$E$2:$F$5,2,FALSE())*VLOOKUP($I237,Lists!$H$2:$I$4,2,FALSE())*VLOOKUP($J237,Lists!$K$2:$L$4,2,FALSE()))/VLOOKUP($K237,Lists!$N$2:$O$6,2,FALSE()),2))</f>
        <v/>
      </c>
      <c r="M237" s="63"/>
      <c r="N237" s="63"/>
      <c r="O237" s="62"/>
      <c r="P237" s="63"/>
      <c r="Q237" s="65"/>
      <c r="R237" s="66" t="str">
        <f t="shared" ca="1" si="7"/>
        <v/>
      </c>
      <c r="S237" s="63"/>
      <c r="T237" s="65"/>
      <c r="U237" s="65"/>
      <c r="V237" s="62"/>
      <c r="W237" s="62"/>
      <c r="X237" s="62"/>
      <c r="Y237" s="58"/>
      <c r="Z237" s="58"/>
      <c r="AA237" s="58"/>
    </row>
    <row r="238" spans="1:27" ht="15.75" customHeight="1" x14ac:dyDescent="0.2">
      <c r="A238" s="61" t="str">
        <f t="shared" si="6"/>
        <v/>
      </c>
      <c r="B238" s="62"/>
      <c r="C238" s="62"/>
      <c r="D238" s="62"/>
      <c r="E238" s="62"/>
      <c r="F238" s="63"/>
      <c r="G238" s="63"/>
      <c r="H238" s="63"/>
      <c r="I238" s="63"/>
      <c r="J238" s="63"/>
      <c r="K238" s="63"/>
      <c r="L238" s="64" t="str">
        <f>IF(OR($B238="", $H238="", $I238="", $J238="", $K238=""),"",ROUND((VLOOKUP($H238,Lists!$E$2:$F$5,2,FALSE())*VLOOKUP($I238,Lists!$H$2:$I$4,2,FALSE())*VLOOKUP($J238,Lists!$K$2:$L$4,2,FALSE()))/VLOOKUP($K238,Lists!$N$2:$O$6,2,FALSE()),2))</f>
        <v/>
      </c>
      <c r="M238" s="63"/>
      <c r="N238" s="63"/>
      <c r="O238" s="62"/>
      <c r="P238" s="63"/>
      <c r="Q238" s="65"/>
      <c r="R238" s="66" t="str">
        <f t="shared" ca="1" si="7"/>
        <v/>
      </c>
      <c r="S238" s="63"/>
      <c r="T238" s="65"/>
      <c r="U238" s="65"/>
      <c r="V238" s="62"/>
      <c r="W238" s="62"/>
      <c r="X238" s="62"/>
      <c r="Y238" s="58"/>
      <c r="Z238" s="58"/>
      <c r="AA238" s="58"/>
    </row>
    <row r="239" spans="1:27" ht="15.75" customHeight="1" x14ac:dyDescent="0.2">
      <c r="A239" s="61" t="str">
        <f t="shared" si="6"/>
        <v/>
      </c>
      <c r="B239" s="62"/>
      <c r="C239" s="62"/>
      <c r="D239" s="62"/>
      <c r="E239" s="62"/>
      <c r="F239" s="63"/>
      <c r="G239" s="63"/>
      <c r="H239" s="63"/>
      <c r="I239" s="63"/>
      <c r="J239" s="63"/>
      <c r="K239" s="63"/>
      <c r="L239" s="64" t="str">
        <f>IF(OR($B239="", $H239="", $I239="", $J239="", $K239=""),"",ROUND((VLOOKUP($H239,Lists!$E$2:$F$5,2,FALSE())*VLOOKUP($I239,Lists!$H$2:$I$4,2,FALSE())*VLOOKUP($J239,Lists!$K$2:$L$4,2,FALSE()))/VLOOKUP($K239,Lists!$N$2:$O$6,2,FALSE()),2))</f>
        <v/>
      </c>
      <c r="M239" s="63"/>
      <c r="N239" s="63"/>
      <c r="O239" s="62"/>
      <c r="P239" s="63"/>
      <c r="Q239" s="65"/>
      <c r="R239" s="66" t="str">
        <f t="shared" ca="1" si="7"/>
        <v/>
      </c>
      <c r="S239" s="63"/>
      <c r="T239" s="65"/>
      <c r="U239" s="65"/>
      <c r="V239" s="62"/>
      <c r="W239" s="62"/>
      <c r="X239" s="62"/>
      <c r="Y239" s="58"/>
      <c r="Z239" s="58"/>
      <c r="AA239" s="58"/>
    </row>
    <row r="240" spans="1:27" ht="15.75" customHeight="1" x14ac:dyDescent="0.2">
      <c r="A240" s="61" t="str">
        <f t="shared" si="6"/>
        <v/>
      </c>
      <c r="B240" s="62"/>
      <c r="C240" s="62"/>
      <c r="D240" s="62"/>
      <c r="E240" s="62"/>
      <c r="F240" s="63"/>
      <c r="G240" s="63"/>
      <c r="H240" s="63"/>
      <c r="I240" s="63"/>
      <c r="J240" s="63"/>
      <c r="K240" s="63"/>
      <c r="L240" s="64" t="str">
        <f>IF(OR($B240="", $H240="", $I240="", $J240="", $K240=""),"",ROUND((VLOOKUP($H240,Lists!$E$2:$F$5,2,FALSE())*VLOOKUP($I240,Lists!$H$2:$I$4,2,FALSE())*VLOOKUP($J240,Lists!$K$2:$L$4,2,FALSE()))/VLOOKUP($K240,Lists!$N$2:$O$6,2,FALSE()),2))</f>
        <v/>
      </c>
      <c r="M240" s="63"/>
      <c r="N240" s="63"/>
      <c r="O240" s="62"/>
      <c r="P240" s="63"/>
      <c r="Q240" s="65"/>
      <c r="R240" s="66" t="str">
        <f t="shared" ca="1" si="7"/>
        <v/>
      </c>
      <c r="S240" s="63"/>
      <c r="T240" s="65"/>
      <c r="U240" s="65"/>
      <c r="V240" s="62"/>
      <c r="W240" s="62"/>
      <c r="X240" s="62"/>
      <c r="Y240" s="58"/>
      <c r="Z240" s="58"/>
      <c r="AA240" s="58"/>
    </row>
    <row r="241" spans="1:27" ht="15.75" customHeight="1" x14ac:dyDescent="0.2">
      <c r="A241" s="61" t="str">
        <f t="shared" si="6"/>
        <v/>
      </c>
      <c r="B241" s="62"/>
      <c r="C241" s="62"/>
      <c r="D241" s="62"/>
      <c r="E241" s="62"/>
      <c r="F241" s="63"/>
      <c r="G241" s="63"/>
      <c r="H241" s="63"/>
      <c r="I241" s="63"/>
      <c r="J241" s="63"/>
      <c r="K241" s="63"/>
      <c r="L241" s="64" t="str">
        <f>IF(OR($B241="", $H241="", $I241="", $J241="", $K241=""),"",ROUND((VLOOKUP($H241,Lists!$E$2:$F$5,2,FALSE())*VLOOKUP($I241,Lists!$H$2:$I$4,2,FALSE())*VLOOKUP($J241,Lists!$K$2:$L$4,2,FALSE()))/VLOOKUP($K241,Lists!$N$2:$O$6,2,FALSE()),2))</f>
        <v/>
      </c>
      <c r="M241" s="63"/>
      <c r="N241" s="63"/>
      <c r="O241" s="62"/>
      <c r="P241" s="63"/>
      <c r="Q241" s="65"/>
      <c r="R241" s="66" t="str">
        <f t="shared" ca="1" si="7"/>
        <v/>
      </c>
      <c r="S241" s="63"/>
      <c r="T241" s="65"/>
      <c r="U241" s="65"/>
      <c r="V241" s="62"/>
      <c r="W241" s="62"/>
      <c r="X241" s="62"/>
      <c r="Y241" s="58"/>
      <c r="Z241" s="58"/>
      <c r="AA241" s="58"/>
    </row>
    <row r="242" spans="1:27" ht="15.75" customHeight="1" x14ac:dyDescent="0.2">
      <c r="A242" s="61" t="str">
        <f t="shared" si="6"/>
        <v/>
      </c>
      <c r="B242" s="62"/>
      <c r="C242" s="62"/>
      <c r="D242" s="62"/>
      <c r="E242" s="62"/>
      <c r="F242" s="63"/>
      <c r="G242" s="63"/>
      <c r="H242" s="63"/>
      <c r="I242" s="63"/>
      <c r="J242" s="63"/>
      <c r="K242" s="63"/>
      <c r="L242" s="64" t="str">
        <f>IF(OR($B242="", $H242="", $I242="", $J242="", $K242=""),"",ROUND((VLOOKUP($H242,Lists!$E$2:$F$5,2,FALSE())*VLOOKUP($I242,Lists!$H$2:$I$4,2,FALSE())*VLOOKUP($J242,Lists!$K$2:$L$4,2,FALSE()))/VLOOKUP($K242,Lists!$N$2:$O$6,2,FALSE()),2))</f>
        <v/>
      </c>
      <c r="M242" s="63"/>
      <c r="N242" s="63"/>
      <c r="O242" s="62"/>
      <c r="P242" s="63"/>
      <c r="Q242" s="65"/>
      <c r="R242" s="66" t="str">
        <f t="shared" ca="1" si="7"/>
        <v/>
      </c>
      <c r="S242" s="63"/>
      <c r="T242" s="65"/>
      <c r="U242" s="65"/>
      <c r="V242" s="62"/>
      <c r="W242" s="62"/>
      <c r="X242" s="62"/>
      <c r="Y242" s="58"/>
      <c r="Z242" s="58"/>
      <c r="AA242" s="58"/>
    </row>
    <row r="243" spans="1:27" ht="15.75" customHeight="1" x14ac:dyDescent="0.2">
      <c r="A243" s="61" t="str">
        <f t="shared" si="6"/>
        <v/>
      </c>
      <c r="B243" s="62"/>
      <c r="C243" s="62"/>
      <c r="D243" s="62"/>
      <c r="E243" s="62"/>
      <c r="F243" s="63"/>
      <c r="G243" s="63"/>
      <c r="H243" s="63"/>
      <c r="I243" s="63"/>
      <c r="J243" s="63"/>
      <c r="K243" s="63"/>
      <c r="L243" s="64" t="str">
        <f>IF(OR($B243="", $H243="", $I243="", $J243="", $K243=""),"",ROUND((VLOOKUP($H243,Lists!$E$2:$F$5,2,FALSE())*VLOOKUP($I243,Lists!$H$2:$I$4,2,FALSE())*VLOOKUP($J243,Lists!$K$2:$L$4,2,FALSE()))/VLOOKUP($K243,Lists!$N$2:$O$6,2,FALSE()),2))</f>
        <v/>
      </c>
      <c r="M243" s="63"/>
      <c r="N243" s="63"/>
      <c r="O243" s="62"/>
      <c r="P243" s="63"/>
      <c r="Q243" s="65"/>
      <c r="R243" s="66" t="str">
        <f t="shared" ca="1" si="7"/>
        <v/>
      </c>
      <c r="S243" s="63"/>
      <c r="T243" s="65"/>
      <c r="U243" s="65"/>
      <c r="V243" s="62"/>
      <c r="W243" s="62"/>
      <c r="X243" s="62"/>
      <c r="Y243" s="58"/>
      <c r="Z243" s="58"/>
      <c r="AA243" s="58"/>
    </row>
    <row r="244" spans="1:27" ht="15.75" customHeight="1" x14ac:dyDescent="0.2">
      <c r="A244" s="61" t="str">
        <f t="shared" si="6"/>
        <v/>
      </c>
      <c r="B244" s="62"/>
      <c r="C244" s="62"/>
      <c r="D244" s="62"/>
      <c r="E244" s="62"/>
      <c r="F244" s="63"/>
      <c r="G244" s="63"/>
      <c r="H244" s="63"/>
      <c r="I244" s="63"/>
      <c r="J244" s="63"/>
      <c r="K244" s="63"/>
      <c r="L244" s="64" t="str">
        <f>IF(OR($B244="", $H244="", $I244="", $J244="", $K244=""),"",ROUND((VLOOKUP($H244,Lists!$E$2:$F$5,2,FALSE())*VLOOKUP($I244,Lists!$H$2:$I$4,2,FALSE())*VLOOKUP($J244,Lists!$K$2:$L$4,2,FALSE()))/VLOOKUP($K244,Lists!$N$2:$O$6,2,FALSE()),2))</f>
        <v/>
      </c>
      <c r="M244" s="63"/>
      <c r="N244" s="63"/>
      <c r="O244" s="62"/>
      <c r="P244" s="63"/>
      <c r="Q244" s="65"/>
      <c r="R244" s="66" t="str">
        <f t="shared" ca="1" si="7"/>
        <v/>
      </c>
      <c r="S244" s="63"/>
      <c r="T244" s="65"/>
      <c r="U244" s="65"/>
      <c r="V244" s="62"/>
      <c r="W244" s="62"/>
      <c r="X244" s="62"/>
      <c r="Y244" s="58"/>
      <c r="Z244" s="58"/>
      <c r="AA244" s="58"/>
    </row>
    <row r="245" spans="1:27" ht="15.75" customHeight="1" x14ac:dyDescent="0.2">
      <c r="A245" s="61" t="str">
        <f t="shared" si="6"/>
        <v/>
      </c>
      <c r="B245" s="62"/>
      <c r="C245" s="62"/>
      <c r="D245" s="62"/>
      <c r="E245" s="62"/>
      <c r="F245" s="63"/>
      <c r="G245" s="63"/>
      <c r="H245" s="63"/>
      <c r="I245" s="63"/>
      <c r="J245" s="63"/>
      <c r="K245" s="63"/>
      <c r="L245" s="64" t="str">
        <f>IF(OR($B245="", $H245="", $I245="", $J245="", $K245=""),"",ROUND((VLOOKUP($H245,Lists!$E$2:$F$5,2,FALSE())*VLOOKUP($I245,Lists!$H$2:$I$4,2,FALSE())*VLOOKUP($J245,Lists!$K$2:$L$4,2,FALSE()))/VLOOKUP($K245,Lists!$N$2:$O$6,2,FALSE()),2))</f>
        <v/>
      </c>
      <c r="M245" s="63"/>
      <c r="N245" s="63"/>
      <c r="O245" s="62"/>
      <c r="P245" s="63"/>
      <c r="Q245" s="65"/>
      <c r="R245" s="66" t="str">
        <f t="shared" ca="1" si="7"/>
        <v/>
      </c>
      <c r="S245" s="63"/>
      <c r="T245" s="65"/>
      <c r="U245" s="65"/>
      <c r="V245" s="62"/>
      <c r="W245" s="62"/>
      <c r="X245" s="62"/>
      <c r="Y245" s="58"/>
      <c r="Z245" s="58"/>
      <c r="AA245" s="58"/>
    </row>
    <row r="246" spans="1:27" ht="15.75" customHeight="1" x14ac:dyDescent="0.2">
      <c r="A246" s="61" t="str">
        <f t="shared" si="6"/>
        <v/>
      </c>
      <c r="B246" s="62"/>
      <c r="C246" s="62"/>
      <c r="D246" s="62"/>
      <c r="E246" s="62"/>
      <c r="F246" s="63"/>
      <c r="G246" s="63"/>
      <c r="H246" s="63"/>
      <c r="I246" s="63"/>
      <c r="J246" s="63"/>
      <c r="K246" s="63"/>
      <c r="L246" s="64" t="str">
        <f>IF(OR($B246="", $H246="", $I246="", $J246="", $K246=""),"",ROUND((VLOOKUP($H246,Lists!$E$2:$F$5,2,FALSE())*VLOOKUP($I246,Lists!$H$2:$I$4,2,FALSE())*VLOOKUP($J246,Lists!$K$2:$L$4,2,FALSE()))/VLOOKUP($K246,Lists!$N$2:$O$6,2,FALSE()),2))</f>
        <v/>
      </c>
      <c r="M246" s="63"/>
      <c r="N246" s="63"/>
      <c r="O246" s="62"/>
      <c r="P246" s="63"/>
      <c r="Q246" s="65"/>
      <c r="R246" s="66" t="str">
        <f t="shared" ca="1" si="7"/>
        <v/>
      </c>
      <c r="S246" s="63"/>
      <c r="T246" s="65"/>
      <c r="U246" s="65"/>
      <c r="V246" s="62"/>
      <c r="W246" s="62"/>
      <c r="X246" s="62"/>
      <c r="Y246" s="58"/>
      <c r="Z246" s="58"/>
      <c r="AA246" s="58"/>
    </row>
    <row r="247" spans="1:27" ht="15.75" customHeight="1" x14ac:dyDescent="0.2">
      <c r="A247" s="61" t="str">
        <f t="shared" si="6"/>
        <v/>
      </c>
      <c r="B247" s="62"/>
      <c r="C247" s="62"/>
      <c r="D247" s="62"/>
      <c r="E247" s="62"/>
      <c r="F247" s="63"/>
      <c r="G247" s="63"/>
      <c r="H247" s="63"/>
      <c r="I247" s="63"/>
      <c r="J247" s="63"/>
      <c r="K247" s="63"/>
      <c r="L247" s="64" t="str">
        <f>IF(OR($B247="", $H247="", $I247="", $J247="", $K247=""),"",ROUND((VLOOKUP($H247,Lists!$E$2:$F$5,2,FALSE())*VLOOKUP($I247,Lists!$H$2:$I$4,2,FALSE())*VLOOKUP($J247,Lists!$K$2:$L$4,2,FALSE()))/VLOOKUP($K247,Lists!$N$2:$O$6,2,FALSE()),2))</f>
        <v/>
      </c>
      <c r="M247" s="63"/>
      <c r="N247" s="63"/>
      <c r="O247" s="62"/>
      <c r="P247" s="63"/>
      <c r="Q247" s="65"/>
      <c r="R247" s="66" t="str">
        <f t="shared" ca="1" si="7"/>
        <v/>
      </c>
      <c r="S247" s="63"/>
      <c r="T247" s="65"/>
      <c r="U247" s="65"/>
      <c r="V247" s="62"/>
      <c r="W247" s="62"/>
      <c r="X247" s="62"/>
      <c r="Y247" s="58"/>
      <c r="Z247" s="58"/>
      <c r="AA247" s="58"/>
    </row>
    <row r="248" spans="1:27" ht="15.75" customHeight="1" x14ac:dyDescent="0.2">
      <c r="A248" s="61" t="str">
        <f t="shared" si="6"/>
        <v/>
      </c>
      <c r="B248" s="62"/>
      <c r="C248" s="62"/>
      <c r="D248" s="62"/>
      <c r="E248" s="62"/>
      <c r="F248" s="63"/>
      <c r="G248" s="63"/>
      <c r="H248" s="63"/>
      <c r="I248" s="63"/>
      <c r="J248" s="63"/>
      <c r="K248" s="63"/>
      <c r="L248" s="64" t="str">
        <f>IF(OR($B248="", $H248="", $I248="", $J248="", $K248=""),"",ROUND((VLOOKUP($H248,Lists!$E$2:$F$5,2,FALSE())*VLOOKUP($I248,Lists!$H$2:$I$4,2,FALSE())*VLOOKUP($J248,Lists!$K$2:$L$4,2,FALSE()))/VLOOKUP($K248,Lists!$N$2:$O$6,2,FALSE()),2))</f>
        <v/>
      </c>
      <c r="M248" s="63"/>
      <c r="N248" s="63"/>
      <c r="O248" s="62"/>
      <c r="P248" s="63"/>
      <c r="Q248" s="65"/>
      <c r="R248" s="66" t="str">
        <f t="shared" ca="1" si="7"/>
        <v/>
      </c>
      <c r="S248" s="63"/>
      <c r="T248" s="65"/>
      <c r="U248" s="65"/>
      <c r="V248" s="62"/>
      <c r="W248" s="62"/>
      <c r="X248" s="62"/>
      <c r="Y248" s="58"/>
      <c r="Z248" s="58"/>
      <c r="AA248" s="58"/>
    </row>
    <row r="249" spans="1:27" ht="15.75" customHeight="1" x14ac:dyDescent="0.2">
      <c r="A249" s="61" t="str">
        <f t="shared" si="6"/>
        <v/>
      </c>
      <c r="B249" s="62"/>
      <c r="C249" s="62"/>
      <c r="D249" s="62"/>
      <c r="E249" s="62"/>
      <c r="F249" s="63"/>
      <c r="G249" s="63"/>
      <c r="H249" s="63"/>
      <c r="I249" s="63"/>
      <c r="J249" s="63"/>
      <c r="K249" s="63"/>
      <c r="L249" s="64" t="str">
        <f>IF(OR($B249="", $H249="", $I249="", $J249="", $K249=""),"",ROUND((VLOOKUP($H249,Lists!$E$2:$F$5,2,FALSE())*VLOOKUP($I249,Lists!$H$2:$I$4,2,FALSE())*VLOOKUP($J249,Lists!$K$2:$L$4,2,FALSE()))/VLOOKUP($K249,Lists!$N$2:$O$6,2,FALSE()),2))</f>
        <v/>
      </c>
      <c r="M249" s="63"/>
      <c r="N249" s="63"/>
      <c r="O249" s="62"/>
      <c r="P249" s="63"/>
      <c r="Q249" s="65"/>
      <c r="R249" s="66" t="str">
        <f t="shared" ca="1" si="7"/>
        <v/>
      </c>
      <c r="S249" s="63"/>
      <c r="T249" s="65"/>
      <c r="U249" s="65"/>
      <c r="V249" s="62"/>
      <c r="W249" s="62"/>
      <c r="X249" s="62"/>
      <c r="Y249" s="58"/>
      <c r="Z249" s="58"/>
      <c r="AA249" s="58"/>
    </row>
    <row r="250" spans="1:27" ht="15.75" customHeight="1" x14ac:dyDescent="0.2">
      <c r="A250" s="61" t="str">
        <f t="shared" si="6"/>
        <v/>
      </c>
      <c r="B250" s="62"/>
      <c r="C250" s="62"/>
      <c r="D250" s="62"/>
      <c r="E250" s="62"/>
      <c r="F250" s="63"/>
      <c r="G250" s="63"/>
      <c r="H250" s="63"/>
      <c r="I250" s="63"/>
      <c r="J250" s="63"/>
      <c r="K250" s="63"/>
      <c r="L250" s="64" t="str">
        <f>IF(OR($B250="", $H250="", $I250="", $J250="", $K250=""),"",ROUND((VLOOKUP($H250,Lists!$E$2:$F$5,2,FALSE())*VLOOKUP($I250,Lists!$H$2:$I$4,2,FALSE())*VLOOKUP($J250,Lists!$K$2:$L$4,2,FALSE()))/VLOOKUP($K250,Lists!$N$2:$O$6,2,FALSE()),2))</f>
        <v/>
      </c>
      <c r="M250" s="63"/>
      <c r="N250" s="63"/>
      <c r="O250" s="62"/>
      <c r="P250" s="63"/>
      <c r="Q250" s="65"/>
      <c r="R250" s="66" t="str">
        <f t="shared" ca="1" si="7"/>
        <v/>
      </c>
      <c r="S250" s="63"/>
      <c r="T250" s="65"/>
      <c r="U250" s="65"/>
      <c r="V250" s="62"/>
      <c r="W250" s="62"/>
      <c r="X250" s="62"/>
      <c r="Y250" s="58"/>
      <c r="Z250" s="58"/>
      <c r="AA250" s="58"/>
    </row>
    <row r="251" spans="1:27" ht="15.75" customHeight="1" x14ac:dyDescent="0.2">
      <c r="A251" s="61" t="str">
        <f t="shared" si="6"/>
        <v/>
      </c>
      <c r="B251" s="62"/>
      <c r="C251" s="62"/>
      <c r="D251" s="62"/>
      <c r="E251" s="62"/>
      <c r="F251" s="63"/>
      <c r="G251" s="63"/>
      <c r="H251" s="63"/>
      <c r="I251" s="63"/>
      <c r="J251" s="63"/>
      <c r="K251" s="63"/>
      <c r="L251" s="64" t="str">
        <f>IF(OR($B251="", $H251="", $I251="", $J251="", $K251=""),"",ROUND((VLOOKUP($H251,Lists!$E$2:$F$5,2,FALSE())*VLOOKUP($I251,Lists!$H$2:$I$4,2,FALSE())*VLOOKUP($J251,Lists!$K$2:$L$4,2,FALSE()))/VLOOKUP($K251,Lists!$N$2:$O$6,2,FALSE()),2))</f>
        <v/>
      </c>
      <c r="M251" s="63"/>
      <c r="N251" s="63"/>
      <c r="O251" s="62"/>
      <c r="P251" s="63"/>
      <c r="Q251" s="65"/>
      <c r="R251" s="66" t="str">
        <f t="shared" ca="1" si="7"/>
        <v/>
      </c>
      <c r="S251" s="63"/>
      <c r="T251" s="65"/>
      <c r="U251" s="65"/>
      <c r="V251" s="62"/>
      <c r="W251" s="62"/>
      <c r="X251" s="62"/>
      <c r="Y251" s="58"/>
      <c r="Z251" s="58"/>
      <c r="AA251" s="58"/>
    </row>
    <row r="252" spans="1:27" ht="15.75" customHeight="1" x14ac:dyDescent="0.2">
      <c r="A252" s="61" t="str">
        <f t="shared" si="6"/>
        <v/>
      </c>
      <c r="B252" s="62"/>
      <c r="C252" s="62"/>
      <c r="D252" s="62"/>
      <c r="E252" s="62"/>
      <c r="F252" s="63"/>
      <c r="G252" s="63"/>
      <c r="H252" s="63"/>
      <c r="I252" s="63"/>
      <c r="J252" s="63"/>
      <c r="K252" s="63"/>
      <c r="L252" s="64" t="str">
        <f>IF(OR($B252="", $H252="", $I252="", $J252="", $K252=""),"",ROUND((VLOOKUP($H252,Lists!$E$2:$F$5,2,FALSE())*VLOOKUP($I252,Lists!$H$2:$I$4,2,FALSE())*VLOOKUP($J252,Lists!$K$2:$L$4,2,FALSE()))/VLOOKUP($K252,Lists!$N$2:$O$6,2,FALSE()),2))</f>
        <v/>
      </c>
      <c r="M252" s="63"/>
      <c r="N252" s="63"/>
      <c r="O252" s="62"/>
      <c r="P252" s="63"/>
      <c r="Q252" s="65"/>
      <c r="R252" s="66" t="str">
        <f t="shared" ca="1" si="7"/>
        <v/>
      </c>
      <c r="S252" s="63"/>
      <c r="T252" s="65"/>
      <c r="U252" s="65"/>
      <c r="V252" s="62"/>
      <c r="W252" s="62"/>
      <c r="X252" s="62"/>
      <c r="Y252" s="58"/>
      <c r="Z252" s="58"/>
      <c r="AA252" s="58"/>
    </row>
    <row r="253" spans="1:27" ht="15.75" customHeight="1" x14ac:dyDescent="0.2">
      <c r="A253" s="61" t="str">
        <f t="shared" si="6"/>
        <v/>
      </c>
      <c r="B253" s="62"/>
      <c r="C253" s="62"/>
      <c r="D253" s="62"/>
      <c r="E253" s="62"/>
      <c r="F253" s="63"/>
      <c r="G253" s="63"/>
      <c r="H253" s="63"/>
      <c r="I253" s="63"/>
      <c r="J253" s="63"/>
      <c r="K253" s="63"/>
      <c r="L253" s="64" t="str">
        <f>IF(OR($B253="", $H253="", $I253="", $J253="", $K253=""),"",ROUND((VLOOKUP($H253,Lists!$E$2:$F$5,2,FALSE())*VLOOKUP($I253,Lists!$H$2:$I$4,2,FALSE())*VLOOKUP($J253,Lists!$K$2:$L$4,2,FALSE()))/VLOOKUP($K253,Lists!$N$2:$O$6,2,FALSE()),2))</f>
        <v/>
      </c>
      <c r="M253" s="63"/>
      <c r="N253" s="63"/>
      <c r="O253" s="62"/>
      <c r="P253" s="63"/>
      <c r="Q253" s="65"/>
      <c r="R253" s="66" t="str">
        <f t="shared" ca="1" si="7"/>
        <v/>
      </c>
      <c r="S253" s="63"/>
      <c r="T253" s="65"/>
      <c r="U253" s="65"/>
      <c r="V253" s="62"/>
      <c r="W253" s="62"/>
      <c r="X253" s="62"/>
      <c r="Y253" s="58"/>
      <c r="Z253" s="58"/>
      <c r="AA253" s="58"/>
    </row>
    <row r="254" spans="1:27" ht="15.75" customHeight="1" x14ac:dyDescent="0.2">
      <c r="A254" s="61" t="str">
        <f t="shared" si="6"/>
        <v/>
      </c>
      <c r="B254" s="62"/>
      <c r="C254" s="62"/>
      <c r="D254" s="62"/>
      <c r="E254" s="62"/>
      <c r="F254" s="63"/>
      <c r="G254" s="63"/>
      <c r="H254" s="63"/>
      <c r="I254" s="63"/>
      <c r="J254" s="63"/>
      <c r="K254" s="63"/>
      <c r="L254" s="64" t="str">
        <f>IF(OR($B254="", $H254="", $I254="", $J254="", $K254=""),"",ROUND((VLOOKUP($H254,Lists!$E$2:$F$5,2,FALSE())*VLOOKUP($I254,Lists!$H$2:$I$4,2,FALSE())*VLOOKUP($J254,Lists!$K$2:$L$4,2,FALSE()))/VLOOKUP($K254,Lists!$N$2:$O$6,2,FALSE()),2))</f>
        <v/>
      </c>
      <c r="M254" s="63"/>
      <c r="N254" s="63"/>
      <c r="O254" s="62"/>
      <c r="P254" s="63"/>
      <c r="Q254" s="65"/>
      <c r="R254" s="66" t="str">
        <f t="shared" ca="1" si="7"/>
        <v/>
      </c>
      <c r="S254" s="63"/>
      <c r="T254" s="65"/>
      <c r="U254" s="65"/>
      <c r="V254" s="62"/>
      <c r="W254" s="62"/>
      <c r="X254" s="62"/>
      <c r="Y254" s="58"/>
      <c r="Z254" s="58"/>
      <c r="AA254" s="58"/>
    </row>
    <row r="255" spans="1:27" ht="15.75" customHeight="1" x14ac:dyDescent="0.2">
      <c r="A255" s="61" t="str">
        <f t="shared" si="6"/>
        <v/>
      </c>
      <c r="B255" s="62"/>
      <c r="C255" s="62"/>
      <c r="D255" s="62"/>
      <c r="E255" s="62"/>
      <c r="F255" s="63"/>
      <c r="G255" s="63"/>
      <c r="H255" s="63"/>
      <c r="I255" s="63"/>
      <c r="J255" s="63"/>
      <c r="K255" s="63"/>
      <c r="L255" s="64" t="str">
        <f>IF(OR($B255="", $H255="", $I255="", $J255="", $K255=""),"",ROUND((VLOOKUP($H255,Lists!$E$2:$F$5,2,FALSE())*VLOOKUP($I255,Lists!$H$2:$I$4,2,FALSE())*VLOOKUP($J255,Lists!$K$2:$L$4,2,FALSE()))/VLOOKUP($K255,Lists!$N$2:$O$6,2,FALSE()),2))</f>
        <v/>
      </c>
      <c r="M255" s="63"/>
      <c r="N255" s="63"/>
      <c r="O255" s="62"/>
      <c r="P255" s="63"/>
      <c r="Q255" s="65"/>
      <c r="R255" s="66" t="str">
        <f t="shared" ca="1" si="7"/>
        <v/>
      </c>
      <c r="S255" s="63"/>
      <c r="T255" s="65"/>
      <c r="U255" s="65"/>
      <c r="V255" s="62"/>
      <c r="W255" s="62"/>
      <c r="X255" s="62"/>
      <c r="Y255" s="58"/>
      <c r="Z255" s="58"/>
      <c r="AA255" s="58"/>
    </row>
    <row r="256" spans="1:27" ht="15.75" customHeight="1" x14ac:dyDescent="0.2">
      <c r="A256" s="61" t="str">
        <f t="shared" si="6"/>
        <v/>
      </c>
      <c r="B256" s="62"/>
      <c r="C256" s="62"/>
      <c r="D256" s="62"/>
      <c r="E256" s="62"/>
      <c r="F256" s="63"/>
      <c r="G256" s="63"/>
      <c r="H256" s="63"/>
      <c r="I256" s="63"/>
      <c r="J256" s="63"/>
      <c r="K256" s="63"/>
      <c r="L256" s="64" t="str">
        <f>IF(OR($B256="", $H256="", $I256="", $J256="", $K256=""),"",ROUND((VLOOKUP($H256,Lists!$E$2:$F$5,2,FALSE())*VLOOKUP($I256,Lists!$H$2:$I$4,2,FALSE())*VLOOKUP($J256,Lists!$K$2:$L$4,2,FALSE()))/VLOOKUP($K256,Lists!$N$2:$O$6,2,FALSE()),2))</f>
        <v/>
      </c>
      <c r="M256" s="63"/>
      <c r="N256" s="63"/>
      <c r="O256" s="62"/>
      <c r="P256" s="63"/>
      <c r="Q256" s="65"/>
      <c r="R256" s="66" t="str">
        <f t="shared" ca="1" si="7"/>
        <v/>
      </c>
      <c r="S256" s="63"/>
      <c r="T256" s="65"/>
      <c r="U256" s="65"/>
      <c r="V256" s="62"/>
      <c r="W256" s="62"/>
      <c r="X256" s="62"/>
      <c r="Y256" s="58"/>
      <c r="Z256" s="58"/>
      <c r="AA256" s="58"/>
    </row>
    <row r="257" spans="1:27" ht="15.75" customHeight="1" x14ac:dyDescent="0.2">
      <c r="A257" s="61" t="str">
        <f t="shared" si="6"/>
        <v/>
      </c>
      <c r="B257" s="62"/>
      <c r="C257" s="62"/>
      <c r="D257" s="62"/>
      <c r="E257" s="62"/>
      <c r="F257" s="63"/>
      <c r="G257" s="63"/>
      <c r="H257" s="63"/>
      <c r="I257" s="63"/>
      <c r="J257" s="63"/>
      <c r="K257" s="63"/>
      <c r="L257" s="64" t="str">
        <f>IF(OR($B257="", $H257="", $I257="", $J257="", $K257=""),"",ROUND((VLOOKUP($H257,Lists!$E$2:$F$5,2,FALSE())*VLOOKUP($I257,Lists!$H$2:$I$4,2,FALSE())*VLOOKUP($J257,Lists!$K$2:$L$4,2,FALSE()))/VLOOKUP($K257,Lists!$N$2:$O$6,2,FALSE()),2))</f>
        <v/>
      </c>
      <c r="M257" s="63"/>
      <c r="N257" s="63"/>
      <c r="O257" s="62"/>
      <c r="P257" s="63"/>
      <c r="Q257" s="65"/>
      <c r="R257" s="66" t="str">
        <f t="shared" ca="1" si="7"/>
        <v/>
      </c>
      <c r="S257" s="63"/>
      <c r="T257" s="65"/>
      <c r="U257" s="65"/>
      <c r="V257" s="62"/>
      <c r="W257" s="62"/>
      <c r="X257" s="62"/>
      <c r="Y257" s="58"/>
      <c r="Z257" s="58"/>
      <c r="AA257" s="58"/>
    </row>
    <row r="258" spans="1:27" ht="15.75" customHeight="1" x14ac:dyDescent="0.2">
      <c r="A258" s="61" t="str">
        <f t="shared" ref="A258:A321" si="8">IF($B258="","", "TD-" &amp; RIGHT("0000"&amp;ROW()-1,4))</f>
        <v/>
      </c>
      <c r="B258" s="62"/>
      <c r="C258" s="62"/>
      <c r="D258" s="62"/>
      <c r="E258" s="62"/>
      <c r="F258" s="63"/>
      <c r="G258" s="63"/>
      <c r="H258" s="63"/>
      <c r="I258" s="63"/>
      <c r="J258" s="63"/>
      <c r="K258" s="63"/>
      <c r="L258" s="64" t="str">
        <f>IF(OR($B258="", $H258="", $I258="", $J258="", $K258=""),"",ROUND((VLOOKUP($H258,Lists!$E$2:$F$5,2,FALSE())*VLOOKUP($I258,Lists!$H$2:$I$4,2,FALSE())*VLOOKUP($J258,Lists!$K$2:$L$4,2,FALSE()))/VLOOKUP($K258,Lists!$N$2:$O$6,2,FALSE()),2))</f>
        <v/>
      </c>
      <c r="M258" s="63"/>
      <c r="N258" s="63"/>
      <c r="O258" s="62"/>
      <c r="P258" s="63"/>
      <c r="Q258" s="65"/>
      <c r="R258" s="66" t="str">
        <f t="shared" ref="R258:R321" ca="1" si="9">IF($Q258="","", TODAY()-$Q258)</f>
        <v/>
      </c>
      <c r="S258" s="63"/>
      <c r="T258" s="65"/>
      <c r="U258" s="65"/>
      <c r="V258" s="62"/>
      <c r="W258" s="62"/>
      <c r="X258" s="62"/>
      <c r="Y258" s="58"/>
      <c r="Z258" s="58"/>
      <c r="AA258" s="58"/>
    </row>
    <row r="259" spans="1:27" ht="15.75" customHeight="1" x14ac:dyDescent="0.2">
      <c r="A259" s="61" t="str">
        <f t="shared" si="8"/>
        <v/>
      </c>
      <c r="B259" s="62"/>
      <c r="C259" s="62"/>
      <c r="D259" s="62"/>
      <c r="E259" s="62"/>
      <c r="F259" s="63"/>
      <c r="G259" s="63"/>
      <c r="H259" s="63"/>
      <c r="I259" s="63"/>
      <c r="J259" s="63"/>
      <c r="K259" s="63"/>
      <c r="L259" s="64" t="str">
        <f>IF(OR($B259="", $H259="", $I259="", $J259="", $K259=""),"",ROUND((VLOOKUP($H259,Lists!$E$2:$F$5,2,FALSE())*VLOOKUP($I259,Lists!$H$2:$I$4,2,FALSE())*VLOOKUP($J259,Lists!$K$2:$L$4,2,FALSE()))/VLOOKUP($K259,Lists!$N$2:$O$6,2,FALSE()),2))</f>
        <v/>
      </c>
      <c r="M259" s="63"/>
      <c r="N259" s="63"/>
      <c r="O259" s="62"/>
      <c r="P259" s="63"/>
      <c r="Q259" s="65"/>
      <c r="R259" s="66" t="str">
        <f t="shared" ca="1" si="9"/>
        <v/>
      </c>
      <c r="S259" s="63"/>
      <c r="T259" s="65"/>
      <c r="U259" s="65"/>
      <c r="V259" s="62"/>
      <c r="W259" s="62"/>
      <c r="X259" s="62"/>
      <c r="Y259" s="58"/>
      <c r="Z259" s="58"/>
      <c r="AA259" s="58"/>
    </row>
    <row r="260" spans="1:27" ht="15.75" customHeight="1" x14ac:dyDescent="0.2">
      <c r="A260" s="61" t="str">
        <f t="shared" si="8"/>
        <v/>
      </c>
      <c r="B260" s="62"/>
      <c r="C260" s="62"/>
      <c r="D260" s="62"/>
      <c r="E260" s="62"/>
      <c r="F260" s="63"/>
      <c r="G260" s="63"/>
      <c r="H260" s="63"/>
      <c r="I260" s="63"/>
      <c r="J260" s="63"/>
      <c r="K260" s="63"/>
      <c r="L260" s="64" t="str">
        <f>IF(OR($B260="", $H260="", $I260="", $J260="", $K260=""),"",ROUND((VLOOKUP($H260,Lists!$E$2:$F$5,2,FALSE())*VLOOKUP($I260,Lists!$H$2:$I$4,2,FALSE())*VLOOKUP($J260,Lists!$K$2:$L$4,2,FALSE()))/VLOOKUP($K260,Lists!$N$2:$O$6,2,FALSE()),2))</f>
        <v/>
      </c>
      <c r="M260" s="63"/>
      <c r="N260" s="63"/>
      <c r="O260" s="62"/>
      <c r="P260" s="63"/>
      <c r="Q260" s="65"/>
      <c r="R260" s="66" t="str">
        <f t="shared" ca="1" si="9"/>
        <v/>
      </c>
      <c r="S260" s="63"/>
      <c r="T260" s="65"/>
      <c r="U260" s="65"/>
      <c r="V260" s="62"/>
      <c r="W260" s="62"/>
      <c r="X260" s="62"/>
      <c r="Y260" s="58"/>
      <c r="Z260" s="58"/>
      <c r="AA260" s="58"/>
    </row>
    <row r="261" spans="1:27" ht="15.75" customHeight="1" x14ac:dyDescent="0.2">
      <c r="A261" s="61" t="str">
        <f t="shared" si="8"/>
        <v/>
      </c>
      <c r="B261" s="62"/>
      <c r="C261" s="62"/>
      <c r="D261" s="62"/>
      <c r="E261" s="62"/>
      <c r="F261" s="63"/>
      <c r="G261" s="63"/>
      <c r="H261" s="63"/>
      <c r="I261" s="63"/>
      <c r="J261" s="63"/>
      <c r="K261" s="63"/>
      <c r="L261" s="64" t="str">
        <f>IF(OR($B261="", $H261="", $I261="", $J261="", $K261=""),"",ROUND((VLOOKUP($H261,Lists!$E$2:$F$5,2,FALSE())*VLOOKUP($I261,Lists!$H$2:$I$4,2,FALSE())*VLOOKUP($J261,Lists!$K$2:$L$4,2,FALSE()))/VLOOKUP($K261,Lists!$N$2:$O$6,2,FALSE()),2))</f>
        <v/>
      </c>
      <c r="M261" s="63"/>
      <c r="N261" s="63"/>
      <c r="O261" s="62"/>
      <c r="P261" s="63"/>
      <c r="Q261" s="65"/>
      <c r="R261" s="66" t="str">
        <f t="shared" ca="1" si="9"/>
        <v/>
      </c>
      <c r="S261" s="63"/>
      <c r="T261" s="65"/>
      <c r="U261" s="65"/>
      <c r="V261" s="62"/>
      <c r="W261" s="62"/>
      <c r="X261" s="62"/>
      <c r="Y261" s="58"/>
      <c r="Z261" s="58"/>
      <c r="AA261" s="58"/>
    </row>
    <row r="262" spans="1:27" ht="15.75" customHeight="1" x14ac:dyDescent="0.2">
      <c r="A262" s="61" t="str">
        <f t="shared" si="8"/>
        <v/>
      </c>
      <c r="B262" s="62"/>
      <c r="C262" s="62"/>
      <c r="D262" s="62"/>
      <c r="E262" s="62"/>
      <c r="F262" s="63"/>
      <c r="G262" s="63"/>
      <c r="H262" s="63"/>
      <c r="I262" s="63"/>
      <c r="J262" s="63"/>
      <c r="K262" s="63"/>
      <c r="L262" s="64" t="str">
        <f>IF(OR($B262="", $H262="", $I262="", $J262="", $K262=""),"",ROUND((VLOOKUP($H262,Lists!$E$2:$F$5,2,FALSE())*VLOOKUP($I262,Lists!$H$2:$I$4,2,FALSE())*VLOOKUP($J262,Lists!$K$2:$L$4,2,FALSE()))/VLOOKUP($K262,Lists!$N$2:$O$6,2,FALSE()),2))</f>
        <v/>
      </c>
      <c r="M262" s="63"/>
      <c r="N262" s="63"/>
      <c r="O262" s="62"/>
      <c r="P262" s="63"/>
      <c r="Q262" s="65"/>
      <c r="R262" s="66" t="str">
        <f t="shared" ca="1" si="9"/>
        <v/>
      </c>
      <c r="S262" s="63"/>
      <c r="T262" s="65"/>
      <c r="U262" s="65"/>
      <c r="V262" s="62"/>
      <c r="W262" s="62"/>
      <c r="X262" s="62"/>
      <c r="Y262" s="58"/>
      <c r="Z262" s="58"/>
      <c r="AA262" s="58"/>
    </row>
    <row r="263" spans="1:27" ht="15.75" customHeight="1" x14ac:dyDescent="0.2">
      <c r="A263" s="61" t="str">
        <f t="shared" si="8"/>
        <v/>
      </c>
      <c r="B263" s="62"/>
      <c r="C263" s="62"/>
      <c r="D263" s="62"/>
      <c r="E263" s="62"/>
      <c r="F263" s="63"/>
      <c r="G263" s="63"/>
      <c r="H263" s="63"/>
      <c r="I263" s="63"/>
      <c r="J263" s="63"/>
      <c r="K263" s="63"/>
      <c r="L263" s="64" t="str">
        <f>IF(OR($B263="", $H263="", $I263="", $J263="", $K263=""),"",ROUND((VLOOKUP($H263,Lists!$E$2:$F$5,2,FALSE())*VLOOKUP($I263,Lists!$H$2:$I$4,2,FALSE())*VLOOKUP($J263,Lists!$K$2:$L$4,2,FALSE()))/VLOOKUP($K263,Lists!$N$2:$O$6,2,FALSE()),2))</f>
        <v/>
      </c>
      <c r="M263" s="63"/>
      <c r="N263" s="63"/>
      <c r="O263" s="62"/>
      <c r="P263" s="63"/>
      <c r="Q263" s="65"/>
      <c r="R263" s="66" t="str">
        <f t="shared" ca="1" si="9"/>
        <v/>
      </c>
      <c r="S263" s="63"/>
      <c r="T263" s="65"/>
      <c r="U263" s="65"/>
      <c r="V263" s="62"/>
      <c r="W263" s="62"/>
      <c r="X263" s="62"/>
      <c r="Y263" s="58"/>
      <c r="Z263" s="58"/>
      <c r="AA263" s="58"/>
    </row>
    <row r="264" spans="1:27" ht="15.75" customHeight="1" x14ac:dyDescent="0.2">
      <c r="A264" s="61" t="str">
        <f t="shared" si="8"/>
        <v/>
      </c>
      <c r="B264" s="62"/>
      <c r="C264" s="62"/>
      <c r="D264" s="62"/>
      <c r="E264" s="62"/>
      <c r="F264" s="63"/>
      <c r="G264" s="63"/>
      <c r="H264" s="63"/>
      <c r="I264" s="63"/>
      <c r="J264" s="63"/>
      <c r="K264" s="63"/>
      <c r="L264" s="64" t="str">
        <f>IF(OR($B264="", $H264="", $I264="", $J264="", $K264=""),"",ROUND((VLOOKUP($H264,Lists!$E$2:$F$5,2,FALSE())*VLOOKUP($I264,Lists!$H$2:$I$4,2,FALSE())*VLOOKUP($J264,Lists!$K$2:$L$4,2,FALSE()))/VLOOKUP($K264,Lists!$N$2:$O$6,2,FALSE()),2))</f>
        <v/>
      </c>
      <c r="M264" s="63"/>
      <c r="N264" s="63"/>
      <c r="O264" s="62"/>
      <c r="P264" s="63"/>
      <c r="Q264" s="65"/>
      <c r="R264" s="66" t="str">
        <f t="shared" ca="1" si="9"/>
        <v/>
      </c>
      <c r="S264" s="63"/>
      <c r="T264" s="65"/>
      <c r="U264" s="65"/>
      <c r="V264" s="62"/>
      <c r="W264" s="62"/>
      <c r="X264" s="62"/>
      <c r="Y264" s="58"/>
      <c r="Z264" s="58"/>
      <c r="AA264" s="58"/>
    </row>
    <row r="265" spans="1:27" ht="15.75" customHeight="1" x14ac:dyDescent="0.2">
      <c r="A265" s="61" t="str">
        <f t="shared" si="8"/>
        <v/>
      </c>
      <c r="B265" s="62"/>
      <c r="C265" s="62"/>
      <c r="D265" s="62"/>
      <c r="E265" s="62"/>
      <c r="F265" s="63"/>
      <c r="G265" s="63"/>
      <c r="H265" s="63"/>
      <c r="I265" s="63"/>
      <c r="J265" s="63"/>
      <c r="K265" s="63"/>
      <c r="L265" s="64" t="str">
        <f>IF(OR($B265="", $H265="", $I265="", $J265="", $K265=""),"",ROUND((VLOOKUP($H265,Lists!$E$2:$F$5,2,FALSE())*VLOOKUP($I265,Lists!$H$2:$I$4,2,FALSE())*VLOOKUP($J265,Lists!$K$2:$L$4,2,FALSE()))/VLOOKUP($K265,Lists!$N$2:$O$6,2,FALSE()),2))</f>
        <v/>
      </c>
      <c r="M265" s="63"/>
      <c r="N265" s="63"/>
      <c r="O265" s="62"/>
      <c r="P265" s="63"/>
      <c r="Q265" s="65"/>
      <c r="R265" s="66" t="str">
        <f t="shared" ca="1" si="9"/>
        <v/>
      </c>
      <c r="S265" s="63"/>
      <c r="T265" s="65"/>
      <c r="U265" s="65"/>
      <c r="V265" s="62"/>
      <c r="W265" s="62"/>
      <c r="X265" s="62"/>
      <c r="Y265" s="58"/>
      <c r="Z265" s="58"/>
      <c r="AA265" s="58"/>
    </row>
    <row r="266" spans="1:27" ht="15.75" customHeight="1" x14ac:dyDescent="0.2">
      <c r="A266" s="61" t="str">
        <f t="shared" si="8"/>
        <v/>
      </c>
      <c r="B266" s="62"/>
      <c r="C266" s="62"/>
      <c r="D266" s="62"/>
      <c r="E266" s="62"/>
      <c r="F266" s="63"/>
      <c r="G266" s="63"/>
      <c r="H266" s="63"/>
      <c r="I266" s="63"/>
      <c r="J266" s="63"/>
      <c r="K266" s="63"/>
      <c r="L266" s="64" t="str">
        <f>IF(OR($B266="", $H266="", $I266="", $J266="", $K266=""),"",ROUND((VLOOKUP($H266,Lists!$E$2:$F$5,2,FALSE())*VLOOKUP($I266,Lists!$H$2:$I$4,2,FALSE())*VLOOKUP($J266,Lists!$K$2:$L$4,2,FALSE()))/VLOOKUP($K266,Lists!$N$2:$O$6,2,FALSE()),2))</f>
        <v/>
      </c>
      <c r="M266" s="63"/>
      <c r="N266" s="63"/>
      <c r="O266" s="62"/>
      <c r="P266" s="63"/>
      <c r="Q266" s="65"/>
      <c r="R266" s="66" t="str">
        <f t="shared" ca="1" si="9"/>
        <v/>
      </c>
      <c r="S266" s="63"/>
      <c r="T266" s="65"/>
      <c r="U266" s="65"/>
      <c r="V266" s="62"/>
      <c r="W266" s="62"/>
      <c r="X266" s="62"/>
      <c r="Y266" s="58"/>
      <c r="Z266" s="58"/>
      <c r="AA266" s="58"/>
    </row>
    <row r="267" spans="1:27" ht="15.75" customHeight="1" x14ac:dyDescent="0.2">
      <c r="A267" s="61" t="str">
        <f t="shared" si="8"/>
        <v/>
      </c>
      <c r="B267" s="62"/>
      <c r="C267" s="62"/>
      <c r="D267" s="62"/>
      <c r="E267" s="62"/>
      <c r="F267" s="63"/>
      <c r="G267" s="63"/>
      <c r="H267" s="63"/>
      <c r="I267" s="63"/>
      <c r="J267" s="63"/>
      <c r="K267" s="63"/>
      <c r="L267" s="64" t="str">
        <f>IF(OR($B267="", $H267="", $I267="", $J267="", $K267=""),"",ROUND((VLOOKUP($H267,Lists!$E$2:$F$5,2,FALSE())*VLOOKUP($I267,Lists!$H$2:$I$4,2,FALSE())*VLOOKUP($J267,Lists!$K$2:$L$4,2,FALSE()))/VLOOKUP($K267,Lists!$N$2:$O$6,2,FALSE()),2))</f>
        <v/>
      </c>
      <c r="M267" s="63"/>
      <c r="N267" s="63"/>
      <c r="O267" s="62"/>
      <c r="P267" s="63"/>
      <c r="Q267" s="65"/>
      <c r="R267" s="66" t="str">
        <f t="shared" ca="1" si="9"/>
        <v/>
      </c>
      <c r="S267" s="63"/>
      <c r="T267" s="65"/>
      <c r="U267" s="65"/>
      <c r="V267" s="62"/>
      <c r="W267" s="62"/>
      <c r="X267" s="62"/>
      <c r="Y267" s="58"/>
      <c r="Z267" s="58"/>
      <c r="AA267" s="58"/>
    </row>
    <row r="268" spans="1:27" ht="15.75" customHeight="1" x14ac:dyDescent="0.2">
      <c r="A268" s="61" t="str">
        <f t="shared" si="8"/>
        <v/>
      </c>
      <c r="B268" s="62"/>
      <c r="C268" s="62"/>
      <c r="D268" s="62"/>
      <c r="E268" s="62"/>
      <c r="F268" s="63"/>
      <c r="G268" s="63"/>
      <c r="H268" s="63"/>
      <c r="I268" s="63"/>
      <c r="J268" s="63"/>
      <c r="K268" s="63"/>
      <c r="L268" s="64" t="str">
        <f>IF(OR($B268="", $H268="", $I268="", $J268="", $K268=""),"",ROUND((VLOOKUP($H268,Lists!$E$2:$F$5,2,FALSE())*VLOOKUP($I268,Lists!$H$2:$I$4,2,FALSE())*VLOOKUP($J268,Lists!$K$2:$L$4,2,FALSE()))/VLOOKUP($K268,Lists!$N$2:$O$6,2,FALSE()),2))</f>
        <v/>
      </c>
      <c r="M268" s="63"/>
      <c r="N268" s="63"/>
      <c r="O268" s="62"/>
      <c r="P268" s="63"/>
      <c r="Q268" s="65"/>
      <c r="R268" s="66" t="str">
        <f t="shared" ca="1" si="9"/>
        <v/>
      </c>
      <c r="S268" s="63"/>
      <c r="T268" s="65"/>
      <c r="U268" s="65"/>
      <c r="V268" s="62"/>
      <c r="W268" s="62"/>
      <c r="X268" s="62"/>
      <c r="Y268" s="58"/>
      <c r="Z268" s="58"/>
      <c r="AA268" s="58"/>
    </row>
    <row r="269" spans="1:27" ht="15.75" customHeight="1" x14ac:dyDescent="0.2">
      <c r="A269" s="61" t="str">
        <f t="shared" si="8"/>
        <v/>
      </c>
      <c r="B269" s="62"/>
      <c r="C269" s="62"/>
      <c r="D269" s="62"/>
      <c r="E269" s="62"/>
      <c r="F269" s="63"/>
      <c r="G269" s="63"/>
      <c r="H269" s="63"/>
      <c r="I269" s="63"/>
      <c r="J269" s="63"/>
      <c r="K269" s="63"/>
      <c r="L269" s="64" t="str">
        <f>IF(OR($B269="", $H269="", $I269="", $J269="", $K269=""),"",ROUND((VLOOKUP($H269,Lists!$E$2:$F$5,2,FALSE())*VLOOKUP($I269,Lists!$H$2:$I$4,2,FALSE())*VLOOKUP($J269,Lists!$K$2:$L$4,2,FALSE()))/VLOOKUP($K269,Lists!$N$2:$O$6,2,FALSE()),2))</f>
        <v/>
      </c>
      <c r="M269" s="63"/>
      <c r="N269" s="63"/>
      <c r="O269" s="62"/>
      <c r="P269" s="63"/>
      <c r="Q269" s="65"/>
      <c r="R269" s="66" t="str">
        <f t="shared" ca="1" si="9"/>
        <v/>
      </c>
      <c r="S269" s="63"/>
      <c r="T269" s="65"/>
      <c r="U269" s="65"/>
      <c r="V269" s="62"/>
      <c r="W269" s="62"/>
      <c r="X269" s="62"/>
      <c r="Y269" s="58"/>
      <c r="Z269" s="58"/>
      <c r="AA269" s="58"/>
    </row>
    <row r="270" spans="1:27" ht="15.75" customHeight="1" x14ac:dyDescent="0.2">
      <c r="A270" s="61" t="str">
        <f t="shared" si="8"/>
        <v/>
      </c>
      <c r="B270" s="62"/>
      <c r="C270" s="62"/>
      <c r="D270" s="62"/>
      <c r="E270" s="62"/>
      <c r="F270" s="63"/>
      <c r="G270" s="63"/>
      <c r="H270" s="63"/>
      <c r="I270" s="63"/>
      <c r="J270" s="63"/>
      <c r="K270" s="63"/>
      <c r="L270" s="64" t="str">
        <f>IF(OR($B270="", $H270="", $I270="", $J270="", $K270=""),"",ROUND((VLOOKUP($H270,Lists!$E$2:$F$5,2,FALSE())*VLOOKUP($I270,Lists!$H$2:$I$4,2,FALSE())*VLOOKUP($J270,Lists!$K$2:$L$4,2,FALSE()))/VLOOKUP($K270,Lists!$N$2:$O$6,2,FALSE()),2))</f>
        <v/>
      </c>
      <c r="M270" s="63"/>
      <c r="N270" s="63"/>
      <c r="O270" s="62"/>
      <c r="P270" s="63"/>
      <c r="Q270" s="65"/>
      <c r="R270" s="66" t="str">
        <f t="shared" ca="1" si="9"/>
        <v/>
      </c>
      <c r="S270" s="63"/>
      <c r="T270" s="65"/>
      <c r="U270" s="65"/>
      <c r="V270" s="62"/>
      <c r="W270" s="62"/>
      <c r="X270" s="62"/>
      <c r="Y270" s="58"/>
      <c r="Z270" s="58"/>
      <c r="AA270" s="58"/>
    </row>
    <row r="271" spans="1:27" ht="15.75" customHeight="1" x14ac:dyDescent="0.2">
      <c r="A271" s="61" t="str">
        <f t="shared" si="8"/>
        <v/>
      </c>
      <c r="B271" s="62"/>
      <c r="C271" s="62"/>
      <c r="D271" s="62"/>
      <c r="E271" s="62"/>
      <c r="F271" s="63"/>
      <c r="G271" s="63"/>
      <c r="H271" s="63"/>
      <c r="I271" s="63"/>
      <c r="J271" s="63"/>
      <c r="K271" s="63"/>
      <c r="L271" s="64" t="str">
        <f>IF(OR($B271="", $H271="", $I271="", $J271="", $K271=""),"",ROUND((VLOOKUP($H271,Lists!$E$2:$F$5,2,FALSE())*VLOOKUP($I271,Lists!$H$2:$I$4,2,FALSE())*VLOOKUP($J271,Lists!$K$2:$L$4,2,FALSE()))/VLOOKUP($K271,Lists!$N$2:$O$6,2,FALSE()),2))</f>
        <v/>
      </c>
      <c r="M271" s="63"/>
      <c r="N271" s="63"/>
      <c r="O271" s="62"/>
      <c r="P271" s="63"/>
      <c r="Q271" s="65"/>
      <c r="R271" s="66" t="str">
        <f t="shared" ca="1" si="9"/>
        <v/>
      </c>
      <c r="S271" s="63"/>
      <c r="T271" s="65"/>
      <c r="U271" s="65"/>
      <c r="V271" s="62"/>
      <c r="W271" s="62"/>
      <c r="X271" s="62"/>
      <c r="Y271" s="58"/>
      <c r="Z271" s="58"/>
      <c r="AA271" s="58"/>
    </row>
    <row r="272" spans="1:27" ht="15.75" customHeight="1" x14ac:dyDescent="0.2">
      <c r="A272" s="61" t="str">
        <f t="shared" si="8"/>
        <v/>
      </c>
      <c r="B272" s="62"/>
      <c r="C272" s="62"/>
      <c r="D272" s="62"/>
      <c r="E272" s="62"/>
      <c r="F272" s="63"/>
      <c r="G272" s="63"/>
      <c r="H272" s="63"/>
      <c r="I272" s="63"/>
      <c r="J272" s="63"/>
      <c r="K272" s="63"/>
      <c r="L272" s="64" t="str">
        <f>IF(OR($B272="", $H272="", $I272="", $J272="", $K272=""),"",ROUND((VLOOKUP($H272,Lists!$E$2:$F$5,2,FALSE())*VLOOKUP($I272,Lists!$H$2:$I$4,2,FALSE())*VLOOKUP($J272,Lists!$K$2:$L$4,2,FALSE()))/VLOOKUP($K272,Lists!$N$2:$O$6,2,FALSE()),2))</f>
        <v/>
      </c>
      <c r="M272" s="63"/>
      <c r="N272" s="63"/>
      <c r="O272" s="62"/>
      <c r="P272" s="63"/>
      <c r="Q272" s="65"/>
      <c r="R272" s="66" t="str">
        <f t="shared" ca="1" si="9"/>
        <v/>
      </c>
      <c r="S272" s="63"/>
      <c r="T272" s="65"/>
      <c r="U272" s="65"/>
      <c r="V272" s="62"/>
      <c r="W272" s="62"/>
      <c r="X272" s="62"/>
      <c r="Y272" s="58"/>
      <c r="Z272" s="58"/>
      <c r="AA272" s="58"/>
    </row>
    <row r="273" spans="1:27" ht="15.75" customHeight="1" x14ac:dyDescent="0.2">
      <c r="A273" s="61" t="str">
        <f t="shared" si="8"/>
        <v/>
      </c>
      <c r="B273" s="62"/>
      <c r="C273" s="62"/>
      <c r="D273" s="62"/>
      <c r="E273" s="62"/>
      <c r="F273" s="63"/>
      <c r="G273" s="63"/>
      <c r="H273" s="63"/>
      <c r="I273" s="63"/>
      <c r="J273" s="63"/>
      <c r="K273" s="63"/>
      <c r="L273" s="64" t="str">
        <f>IF(OR($B273="", $H273="", $I273="", $J273="", $K273=""),"",ROUND((VLOOKUP($H273,Lists!$E$2:$F$5,2,FALSE())*VLOOKUP($I273,Lists!$H$2:$I$4,2,FALSE())*VLOOKUP($J273,Lists!$K$2:$L$4,2,FALSE()))/VLOOKUP($K273,Lists!$N$2:$O$6,2,FALSE()),2))</f>
        <v/>
      </c>
      <c r="M273" s="63"/>
      <c r="N273" s="63"/>
      <c r="O273" s="62"/>
      <c r="P273" s="63"/>
      <c r="Q273" s="65"/>
      <c r="R273" s="66" t="str">
        <f t="shared" ca="1" si="9"/>
        <v/>
      </c>
      <c r="S273" s="63"/>
      <c r="T273" s="65"/>
      <c r="U273" s="65"/>
      <c r="V273" s="62"/>
      <c r="W273" s="62"/>
      <c r="X273" s="62"/>
      <c r="Y273" s="58"/>
      <c r="Z273" s="58"/>
      <c r="AA273" s="58"/>
    </row>
    <row r="274" spans="1:27" ht="15.75" customHeight="1" x14ac:dyDescent="0.2">
      <c r="A274" s="61" t="str">
        <f t="shared" si="8"/>
        <v/>
      </c>
      <c r="B274" s="62"/>
      <c r="C274" s="62"/>
      <c r="D274" s="62"/>
      <c r="E274" s="62"/>
      <c r="F274" s="63"/>
      <c r="G274" s="63"/>
      <c r="H274" s="63"/>
      <c r="I274" s="63"/>
      <c r="J274" s="63"/>
      <c r="K274" s="63"/>
      <c r="L274" s="64" t="str">
        <f>IF(OR($B274="", $H274="", $I274="", $J274="", $K274=""),"",ROUND((VLOOKUP($H274,Lists!$E$2:$F$5,2,FALSE())*VLOOKUP($I274,Lists!$H$2:$I$4,2,FALSE())*VLOOKUP($J274,Lists!$K$2:$L$4,2,FALSE()))/VLOOKUP($K274,Lists!$N$2:$O$6,2,FALSE()),2))</f>
        <v/>
      </c>
      <c r="M274" s="63"/>
      <c r="N274" s="63"/>
      <c r="O274" s="62"/>
      <c r="P274" s="63"/>
      <c r="Q274" s="65"/>
      <c r="R274" s="66" t="str">
        <f t="shared" ca="1" si="9"/>
        <v/>
      </c>
      <c r="S274" s="63"/>
      <c r="T274" s="65"/>
      <c r="U274" s="65"/>
      <c r="V274" s="62"/>
      <c r="W274" s="62"/>
      <c r="X274" s="62"/>
      <c r="Y274" s="58"/>
      <c r="Z274" s="58"/>
      <c r="AA274" s="58"/>
    </row>
    <row r="275" spans="1:27" ht="15.75" customHeight="1" x14ac:dyDescent="0.2">
      <c r="A275" s="61" t="str">
        <f t="shared" si="8"/>
        <v/>
      </c>
      <c r="B275" s="62"/>
      <c r="C275" s="62"/>
      <c r="D275" s="62"/>
      <c r="E275" s="62"/>
      <c r="F275" s="63"/>
      <c r="G275" s="63"/>
      <c r="H275" s="63"/>
      <c r="I275" s="63"/>
      <c r="J275" s="63"/>
      <c r="K275" s="63"/>
      <c r="L275" s="64" t="str">
        <f>IF(OR($B275="", $H275="", $I275="", $J275="", $K275=""),"",ROUND((VLOOKUP($H275,Lists!$E$2:$F$5,2,FALSE())*VLOOKUP($I275,Lists!$H$2:$I$4,2,FALSE())*VLOOKUP($J275,Lists!$K$2:$L$4,2,FALSE()))/VLOOKUP($K275,Lists!$N$2:$O$6,2,FALSE()),2))</f>
        <v/>
      </c>
      <c r="M275" s="63"/>
      <c r="N275" s="63"/>
      <c r="O275" s="62"/>
      <c r="P275" s="63"/>
      <c r="Q275" s="65"/>
      <c r="R275" s="66" t="str">
        <f t="shared" ca="1" si="9"/>
        <v/>
      </c>
      <c r="S275" s="63"/>
      <c r="T275" s="65"/>
      <c r="U275" s="65"/>
      <c r="V275" s="62"/>
      <c r="W275" s="62"/>
      <c r="X275" s="62"/>
      <c r="Y275" s="58"/>
      <c r="Z275" s="58"/>
      <c r="AA275" s="58"/>
    </row>
    <row r="276" spans="1:27" ht="15.75" customHeight="1" x14ac:dyDescent="0.2">
      <c r="A276" s="61" t="str">
        <f t="shared" si="8"/>
        <v/>
      </c>
      <c r="B276" s="62"/>
      <c r="C276" s="62"/>
      <c r="D276" s="62"/>
      <c r="E276" s="62"/>
      <c r="F276" s="63"/>
      <c r="G276" s="63"/>
      <c r="H276" s="63"/>
      <c r="I276" s="63"/>
      <c r="J276" s="63"/>
      <c r="K276" s="63"/>
      <c r="L276" s="64" t="str">
        <f>IF(OR($B276="", $H276="", $I276="", $J276="", $K276=""),"",ROUND((VLOOKUP($H276,Lists!$E$2:$F$5,2,FALSE())*VLOOKUP($I276,Lists!$H$2:$I$4,2,FALSE())*VLOOKUP($J276,Lists!$K$2:$L$4,2,FALSE()))/VLOOKUP($K276,Lists!$N$2:$O$6,2,FALSE()),2))</f>
        <v/>
      </c>
      <c r="M276" s="63"/>
      <c r="N276" s="63"/>
      <c r="O276" s="62"/>
      <c r="P276" s="63"/>
      <c r="Q276" s="65"/>
      <c r="R276" s="66" t="str">
        <f t="shared" ca="1" si="9"/>
        <v/>
      </c>
      <c r="S276" s="63"/>
      <c r="T276" s="65"/>
      <c r="U276" s="65"/>
      <c r="V276" s="62"/>
      <c r="W276" s="62"/>
      <c r="X276" s="62"/>
      <c r="Y276" s="58"/>
      <c r="Z276" s="58"/>
      <c r="AA276" s="58"/>
    </row>
    <row r="277" spans="1:27" ht="15.75" customHeight="1" x14ac:dyDescent="0.2">
      <c r="A277" s="61" t="str">
        <f t="shared" si="8"/>
        <v/>
      </c>
      <c r="B277" s="62"/>
      <c r="C277" s="62"/>
      <c r="D277" s="62"/>
      <c r="E277" s="62"/>
      <c r="F277" s="63"/>
      <c r="G277" s="63"/>
      <c r="H277" s="63"/>
      <c r="I277" s="63"/>
      <c r="J277" s="63"/>
      <c r="K277" s="63"/>
      <c r="L277" s="64" t="str">
        <f>IF(OR($B277="", $H277="", $I277="", $J277="", $K277=""),"",ROUND((VLOOKUP($H277,Lists!$E$2:$F$5,2,FALSE())*VLOOKUP($I277,Lists!$H$2:$I$4,2,FALSE())*VLOOKUP($J277,Lists!$K$2:$L$4,2,FALSE()))/VLOOKUP($K277,Lists!$N$2:$O$6,2,FALSE()),2))</f>
        <v/>
      </c>
      <c r="M277" s="63"/>
      <c r="N277" s="63"/>
      <c r="O277" s="62"/>
      <c r="P277" s="63"/>
      <c r="Q277" s="65"/>
      <c r="R277" s="66" t="str">
        <f t="shared" ca="1" si="9"/>
        <v/>
      </c>
      <c r="S277" s="63"/>
      <c r="T277" s="65"/>
      <c r="U277" s="65"/>
      <c r="V277" s="62"/>
      <c r="W277" s="62"/>
      <c r="X277" s="62"/>
      <c r="Y277" s="58"/>
      <c r="Z277" s="58"/>
      <c r="AA277" s="58"/>
    </row>
    <row r="278" spans="1:27" ht="15.75" customHeight="1" x14ac:dyDescent="0.2">
      <c r="A278" s="61" t="str">
        <f t="shared" si="8"/>
        <v/>
      </c>
      <c r="B278" s="62"/>
      <c r="C278" s="62"/>
      <c r="D278" s="62"/>
      <c r="E278" s="62"/>
      <c r="F278" s="63"/>
      <c r="G278" s="63"/>
      <c r="H278" s="63"/>
      <c r="I278" s="63"/>
      <c r="J278" s="63"/>
      <c r="K278" s="63"/>
      <c r="L278" s="64" t="str">
        <f>IF(OR($B278="", $H278="", $I278="", $J278="", $K278=""),"",ROUND((VLOOKUP($H278,Lists!$E$2:$F$5,2,FALSE())*VLOOKUP($I278,Lists!$H$2:$I$4,2,FALSE())*VLOOKUP($J278,Lists!$K$2:$L$4,2,FALSE()))/VLOOKUP($K278,Lists!$N$2:$O$6,2,FALSE()),2))</f>
        <v/>
      </c>
      <c r="M278" s="63"/>
      <c r="N278" s="63"/>
      <c r="O278" s="62"/>
      <c r="P278" s="63"/>
      <c r="Q278" s="65"/>
      <c r="R278" s="66" t="str">
        <f t="shared" ca="1" si="9"/>
        <v/>
      </c>
      <c r="S278" s="63"/>
      <c r="T278" s="65"/>
      <c r="U278" s="65"/>
      <c r="V278" s="62"/>
      <c r="W278" s="62"/>
      <c r="X278" s="62"/>
      <c r="Y278" s="58"/>
      <c r="Z278" s="58"/>
      <c r="AA278" s="58"/>
    </row>
    <row r="279" spans="1:27" ht="15.75" customHeight="1" x14ac:dyDescent="0.2">
      <c r="A279" s="61" t="str">
        <f t="shared" si="8"/>
        <v/>
      </c>
      <c r="B279" s="62"/>
      <c r="C279" s="62"/>
      <c r="D279" s="62"/>
      <c r="E279" s="62"/>
      <c r="F279" s="63"/>
      <c r="G279" s="63"/>
      <c r="H279" s="63"/>
      <c r="I279" s="63"/>
      <c r="J279" s="63"/>
      <c r="K279" s="63"/>
      <c r="L279" s="64" t="str">
        <f>IF(OR($B279="", $H279="", $I279="", $J279="", $K279=""),"",ROUND((VLOOKUP($H279,Lists!$E$2:$F$5,2,FALSE())*VLOOKUP($I279,Lists!$H$2:$I$4,2,FALSE())*VLOOKUP($J279,Lists!$K$2:$L$4,2,FALSE()))/VLOOKUP($K279,Lists!$N$2:$O$6,2,FALSE()),2))</f>
        <v/>
      </c>
      <c r="M279" s="63"/>
      <c r="N279" s="63"/>
      <c r="O279" s="62"/>
      <c r="P279" s="63"/>
      <c r="Q279" s="65"/>
      <c r="R279" s="66" t="str">
        <f t="shared" ca="1" si="9"/>
        <v/>
      </c>
      <c r="S279" s="63"/>
      <c r="T279" s="65"/>
      <c r="U279" s="65"/>
      <c r="V279" s="62"/>
      <c r="W279" s="62"/>
      <c r="X279" s="62"/>
      <c r="Y279" s="58"/>
      <c r="Z279" s="58"/>
      <c r="AA279" s="58"/>
    </row>
    <row r="280" spans="1:27" ht="15.75" customHeight="1" x14ac:dyDescent="0.2">
      <c r="A280" s="61" t="str">
        <f t="shared" si="8"/>
        <v/>
      </c>
      <c r="B280" s="62"/>
      <c r="C280" s="62"/>
      <c r="D280" s="62"/>
      <c r="E280" s="62"/>
      <c r="F280" s="63"/>
      <c r="G280" s="63"/>
      <c r="H280" s="63"/>
      <c r="I280" s="63"/>
      <c r="J280" s="63"/>
      <c r="K280" s="63"/>
      <c r="L280" s="64" t="str">
        <f>IF(OR($B280="", $H280="", $I280="", $J280="", $K280=""),"",ROUND((VLOOKUP($H280,Lists!$E$2:$F$5,2,FALSE())*VLOOKUP($I280,Lists!$H$2:$I$4,2,FALSE())*VLOOKUP($J280,Lists!$K$2:$L$4,2,FALSE()))/VLOOKUP($K280,Lists!$N$2:$O$6,2,FALSE()),2))</f>
        <v/>
      </c>
      <c r="M280" s="63"/>
      <c r="N280" s="63"/>
      <c r="O280" s="62"/>
      <c r="P280" s="63"/>
      <c r="Q280" s="65"/>
      <c r="R280" s="66" t="str">
        <f t="shared" ca="1" si="9"/>
        <v/>
      </c>
      <c r="S280" s="63"/>
      <c r="T280" s="65"/>
      <c r="U280" s="65"/>
      <c r="V280" s="62"/>
      <c r="W280" s="62"/>
      <c r="X280" s="62"/>
      <c r="Y280" s="58"/>
      <c r="Z280" s="58"/>
      <c r="AA280" s="58"/>
    </row>
    <row r="281" spans="1:27" ht="15.75" customHeight="1" x14ac:dyDescent="0.2">
      <c r="A281" s="61" t="str">
        <f t="shared" si="8"/>
        <v/>
      </c>
      <c r="B281" s="62"/>
      <c r="C281" s="62"/>
      <c r="D281" s="62"/>
      <c r="E281" s="62"/>
      <c r="F281" s="63"/>
      <c r="G281" s="63"/>
      <c r="H281" s="63"/>
      <c r="I281" s="63"/>
      <c r="J281" s="63"/>
      <c r="K281" s="63"/>
      <c r="L281" s="64" t="str">
        <f>IF(OR($B281="", $H281="", $I281="", $J281="", $K281=""),"",ROUND((VLOOKUP($H281,Lists!$E$2:$F$5,2,FALSE())*VLOOKUP($I281,Lists!$H$2:$I$4,2,FALSE())*VLOOKUP($J281,Lists!$K$2:$L$4,2,FALSE()))/VLOOKUP($K281,Lists!$N$2:$O$6,2,FALSE()),2))</f>
        <v/>
      </c>
      <c r="M281" s="63"/>
      <c r="N281" s="63"/>
      <c r="O281" s="62"/>
      <c r="P281" s="63"/>
      <c r="Q281" s="65"/>
      <c r="R281" s="66" t="str">
        <f t="shared" ca="1" si="9"/>
        <v/>
      </c>
      <c r="S281" s="63"/>
      <c r="T281" s="65"/>
      <c r="U281" s="65"/>
      <c r="V281" s="62"/>
      <c r="W281" s="62"/>
      <c r="X281" s="62"/>
      <c r="Y281" s="58"/>
      <c r="Z281" s="58"/>
      <c r="AA281" s="58"/>
    </row>
    <row r="282" spans="1:27" ht="15.75" customHeight="1" x14ac:dyDescent="0.2">
      <c r="A282" s="61" t="str">
        <f t="shared" si="8"/>
        <v/>
      </c>
      <c r="B282" s="62"/>
      <c r="C282" s="62"/>
      <c r="D282" s="62"/>
      <c r="E282" s="62"/>
      <c r="F282" s="63"/>
      <c r="G282" s="63"/>
      <c r="H282" s="63"/>
      <c r="I282" s="63"/>
      <c r="J282" s="63"/>
      <c r="K282" s="63"/>
      <c r="L282" s="64" t="str">
        <f>IF(OR($B282="", $H282="", $I282="", $J282="", $K282=""),"",ROUND((VLOOKUP($H282,Lists!$E$2:$F$5,2,FALSE())*VLOOKUP($I282,Lists!$H$2:$I$4,2,FALSE())*VLOOKUP($J282,Lists!$K$2:$L$4,2,FALSE()))/VLOOKUP($K282,Lists!$N$2:$O$6,2,FALSE()),2))</f>
        <v/>
      </c>
      <c r="M282" s="63"/>
      <c r="N282" s="63"/>
      <c r="O282" s="62"/>
      <c r="P282" s="63"/>
      <c r="Q282" s="65"/>
      <c r="R282" s="66" t="str">
        <f t="shared" ca="1" si="9"/>
        <v/>
      </c>
      <c r="S282" s="63"/>
      <c r="T282" s="65"/>
      <c r="U282" s="65"/>
      <c r="V282" s="62"/>
      <c r="W282" s="62"/>
      <c r="X282" s="62"/>
      <c r="Y282" s="58"/>
      <c r="Z282" s="58"/>
      <c r="AA282" s="58"/>
    </row>
    <row r="283" spans="1:27" ht="15.75" customHeight="1" x14ac:dyDescent="0.2">
      <c r="A283" s="61" t="str">
        <f t="shared" si="8"/>
        <v/>
      </c>
      <c r="B283" s="62"/>
      <c r="C283" s="62"/>
      <c r="D283" s="62"/>
      <c r="E283" s="62"/>
      <c r="F283" s="63"/>
      <c r="G283" s="63"/>
      <c r="H283" s="63"/>
      <c r="I283" s="63"/>
      <c r="J283" s="63"/>
      <c r="K283" s="63"/>
      <c r="L283" s="64" t="str">
        <f>IF(OR($B283="", $H283="", $I283="", $J283="", $K283=""),"",ROUND((VLOOKUP($H283,Lists!$E$2:$F$5,2,FALSE())*VLOOKUP($I283,Lists!$H$2:$I$4,2,FALSE())*VLOOKUP($J283,Lists!$K$2:$L$4,2,FALSE()))/VLOOKUP($K283,Lists!$N$2:$O$6,2,FALSE()),2))</f>
        <v/>
      </c>
      <c r="M283" s="63"/>
      <c r="N283" s="63"/>
      <c r="O283" s="62"/>
      <c r="P283" s="63"/>
      <c r="Q283" s="65"/>
      <c r="R283" s="66" t="str">
        <f t="shared" ca="1" si="9"/>
        <v/>
      </c>
      <c r="S283" s="63"/>
      <c r="T283" s="65"/>
      <c r="U283" s="65"/>
      <c r="V283" s="62"/>
      <c r="W283" s="62"/>
      <c r="X283" s="62"/>
      <c r="Y283" s="58"/>
      <c r="Z283" s="58"/>
      <c r="AA283" s="58"/>
    </row>
    <row r="284" spans="1:27" ht="15.75" customHeight="1" x14ac:dyDescent="0.2">
      <c r="A284" s="61" t="str">
        <f t="shared" si="8"/>
        <v/>
      </c>
      <c r="B284" s="62"/>
      <c r="C284" s="62"/>
      <c r="D284" s="62"/>
      <c r="E284" s="62"/>
      <c r="F284" s="63"/>
      <c r="G284" s="63"/>
      <c r="H284" s="63"/>
      <c r="I284" s="63"/>
      <c r="J284" s="63"/>
      <c r="K284" s="63"/>
      <c r="L284" s="64" t="str">
        <f>IF(OR($B284="", $H284="", $I284="", $J284="", $K284=""),"",ROUND((VLOOKUP($H284,Lists!$E$2:$F$5,2,FALSE())*VLOOKUP($I284,Lists!$H$2:$I$4,2,FALSE())*VLOOKUP($J284,Lists!$K$2:$L$4,2,FALSE()))/VLOOKUP($K284,Lists!$N$2:$O$6,2,FALSE()),2))</f>
        <v/>
      </c>
      <c r="M284" s="63"/>
      <c r="N284" s="63"/>
      <c r="O284" s="62"/>
      <c r="P284" s="63"/>
      <c r="Q284" s="65"/>
      <c r="R284" s="66" t="str">
        <f t="shared" ca="1" si="9"/>
        <v/>
      </c>
      <c r="S284" s="63"/>
      <c r="T284" s="65"/>
      <c r="U284" s="65"/>
      <c r="V284" s="62"/>
      <c r="W284" s="62"/>
      <c r="X284" s="62"/>
      <c r="Y284" s="58"/>
      <c r="Z284" s="58"/>
      <c r="AA284" s="58"/>
    </row>
    <row r="285" spans="1:27" ht="15.75" customHeight="1" x14ac:dyDescent="0.2">
      <c r="A285" s="61" t="str">
        <f t="shared" si="8"/>
        <v/>
      </c>
      <c r="B285" s="62"/>
      <c r="C285" s="62"/>
      <c r="D285" s="62"/>
      <c r="E285" s="62"/>
      <c r="F285" s="63"/>
      <c r="G285" s="63"/>
      <c r="H285" s="63"/>
      <c r="I285" s="63"/>
      <c r="J285" s="63"/>
      <c r="K285" s="63"/>
      <c r="L285" s="64" t="str">
        <f>IF(OR($B285="", $H285="", $I285="", $J285="", $K285=""),"",ROUND((VLOOKUP($H285,Lists!$E$2:$F$5,2,FALSE())*VLOOKUP($I285,Lists!$H$2:$I$4,2,FALSE())*VLOOKUP($J285,Lists!$K$2:$L$4,2,FALSE()))/VLOOKUP($K285,Lists!$N$2:$O$6,2,FALSE()),2))</f>
        <v/>
      </c>
      <c r="M285" s="63"/>
      <c r="N285" s="63"/>
      <c r="O285" s="62"/>
      <c r="P285" s="63"/>
      <c r="Q285" s="65"/>
      <c r="R285" s="66" t="str">
        <f t="shared" ca="1" si="9"/>
        <v/>
      </c>
      <c r="S285" s="63"/>
      <c r="T285" s="65"/>
      <c r="U285" s="65"/>
      <c r="V285" s="62"/>
      <c r="W285" s="62"/>
      <c r="X285" s="62"/>
      <c r="Y285" s="58"/>
      <c r="Z285" s="58"/>
      <c r="AA285" s="58"/>
    </row>
    <row r="286" spans="1:27" ht="15.75" customHeight="1" x14ac:dyDescent="0.2">
      <c r="A286" s="61" t="str">
        <f t="shared" si="8"/>
        <v/>
      </c>
      <c r="B286" s="62"/>
      <c r="C286" s="62"/>
      <c r="D286" s="62"/>
      <c r="E286" s="62"/>
      <c r="F286" s="63"/>
      <c r="G286" s="63"/>
      <c r="H286" s="63"/>
      <c r="I286" s="63"/>
      <c r="J286" s="63"/>
      <c r="K286" s="63"/>
      <c r="L286" s="64" t="str">
        <f>IF(OR($B286="", $H286="", $I286="", $J286="", $K286=""),"",ROUND((VLOOKUP($H286,Lists!$E$2:$F$5,2,FALSE())*VLOOKUP($I286,Lists!$H$2:$I$4,2,FALSE())*VLOOKUP($J286,Lists!$K$2:$L$4,2,FALSE()))/VLOOKUP($K286,Lists!$N$2:$O$6,2,FALSE()),2))</f>
        <v/>
      </c>
      <c r="M286" s="63"/>
      <c r="N286" s="63"/>
      <c r="O286" s="62"/>
      <c r="P286" s="63"/>
      <c r="Q286" s="65"/>
      <c r="R286" s="66" t="str">
        <f t="shared" ca="1" si="9"/>
        <v/>
      </c>
      <c r="S286" s="63"/>
      <c r="T286" s="65"/>
      <c r="U286" s="65"/>
      <c r="V286" s="62"/>
      <c r="W286" s="62"/>
      <c r="X286" s="62"/>
      <c r="Y286" s="58"/>
      <c r="Z286" s="58"/>
      <c r="AA286" s="58"/>
    </row>
    <row r="287" spans="1:27" ht="15.75" customHeight="1" x14ac:dyDescent="0.2">
      <c r="A287" s="61" t="str">
        <f t="shared" si="8"/>
        <v/>
      </c>
      <c r="B287" s="62"/>
      <c r="C287" s="62"/>
      <c r="D287" s="62"/>
      <c r="E287" s="62"/>
      <c r="F287" s="63"/>
      <c r="G287" s="63"/>
      <c r="H287" s="63"/>
      <c r="I287" s="63"/>
      <c r="J287" s="63"/>
      <c r="K287" s="63"/>
      <c r="L287" s="64" t="str">
        <f>IF(OR($B287="", $H287="", $I287="", $J287="", $K287=""),"",ROUND((VLOOKUP($H287,Lists!$E$2:$F$5,2,FALSE())*VLOOKUP($I287,Lists!$H$2:$I$4,2,FALSE())*VLOOKUP($J287,Lists!$K$2:$L$4,2,FALSE()))/VLOOKUP($K287,Lists!$N$2:$O$6,2,FALSE()),2))</f>
        <v/>
      </c>
      <c r="M287" s="63"/>
      <c r="N287" s="63"/>
      <c r="O287" s="62"/>
      <c r="P287" s="63"/>
      <c r="Q287" s="65"/>
      <c r="R287" s="66" t="str">
        <f t="shared" ca="1" si="9"/>
        <v/>
      </c>
      <c r="S287" s="63"/>
      <c r="T287" s="65"/>
      <c r="U287" s="65"/>
      <c r="V287" s="62"/>
      <c r="W287" s="62"/>
      <c r="X287" s="62"/>
      <c r="Y287" s="58"/>
      <c r="Z287" s="58"/>
      <c r="AA287" s="58"/>
    </row>
    <row r="288" spans="1:27" ht="15.75" customHeight="1" x14ac:dyDescent="0.2">
      <c r="A288" s="61" t="str">
        <f t="shared" si="8"/>
        <v/>
      </c>
      <c r="B288" s="62"/>
      <c r="C288" s="62"/>
      <c r="D288" s="62"/>
      <c r="E288" s="62"/>
      <c r="F288" s="63"/>
      <c r="G288" s="63"/>
      <c r="H288" s="63"/>
      <c r="I288" s="63"/>
      <c r="J288" s="63"/>
      <c r="K288" s="63"/>
      <c r="L288" s="64" t="str">
        <f>IF(OR($B288="", $H288="", $I288="", $J288="", $K288=""),"",ROUND((VLOOKUP($H288,Lists!$E$2:$F$5,2,FALSE())*VLOOKUP($I288,Lists!$H$2:$I$4,2,FALSE())*VLOOKUP($J288,Lists!$K$2:$L$4,2,FALSE()))/VLOOKUP($K288,Lists!$N$2:$O$6,2,FALSE()),2))</f>
        <v/>
      </c>
      <c r="M288" s="63"/>
      <c r="N288" s="63"/>
      <c r="O288" s="62"/>
      <c r="P288" s="63"/>
      <c r="Q288" s="65"/>
      <c r="R288" s="66" t="str">
        <f t="shared" ca="1" si="9"/>
        <v/>
      </c>
      <c r="S288" s="63"/>
      <c r="T288" s="65"/>
      <c r="U288" s="65"/>
      <c r="V288" s="62"/>
      <c r="W288" s="62"/>
      <c r="X288" s="62"/>
      <c r="Y288" s="58"/>
      <c r="Z288" s="58"/>
      <c r="AA288" s="58"/>
    </row>
    <row r="289" spans="1:27" ht="15.75" customHeight="1" x14ac:dyDescent="0.2">
      <c r="A289" s="61" t="str">
        <f t="shared" si="8"/>
        <v/>
      </c>
      <c r="B289" s="62"/>
      <c r="C289" s="62"/>
      <c r="D289" s="62"/>
      <c r="E289" s="62"/>
      <c r="F289" s="63"/>
      <c r="G289" s="63"/>
      <c r="H289" s="63"/>
      <c r="I289" s="63"/>
      <c r="J289" s="63"/>
      <c r="K289" s="63"/>
      <c r="L289" s="64" t="str">
        <f>IF(OR($B289="", $H289="", $I289="", $J289="", $K289=""),"",ROUND((VLOOKUP($H289,Lists!$E$2:$F$5,2,FALSE())*VLOOKUP($I289,Lists!$H$2:$I$4,2,FALSE())*VLOOKUP($J289,Lists!$K$2:$L$4,2,FALSE()))/VLOOKUP($K289,Lists!$N$2:$O$6,2,FALSE()),2))</f>
        <v/>
      </c>
      <c r="M289" s="63"/>
      <c r="N289" s="63"/>
      <c r="O289" s="62"/>
      <c r="P289" s="63"/>
      <c r="Q289" s="65"/>
      <c r="R289" s="66" t="str">
        <f t="shared" ca="1" si="9"/>
        <v/>
      </c>
      <c r="S289" s="63"/>
      <c r="T289" s="65"/>
      <c r="U289" s="65"/>
      <c r="V289" s="62"/>
      <c r="W289" s="62"/>
      <c r="X289" s="62"/>
      <c r="Y289" s="58"/>
      <c r="Z289" s="58"/>
      <c r="AA289" s="58"/>
    </row>
    <row r="290" spans="1:27" ht="15.75" customHeight="1" x14ac:dyDescent="0.2">
      <c r="A290" s="61" t="str">
        <f t="shared" si="8"/>
        <v/>
      </c>
      <c r="B290" s="62"/>
      <c r="C290" s="62"/>
      <c r="D290" s="62"/>
      <c r="E290" s="62"/>
      <c r="F290" s="63"/>
      <c r="G290" s="63"/>
      <c r="H290" s="63"/>
      <c r="I290" s="63"/>
      <c r="J290" s="63"/>
      <c r="K290" s="63"/>
      <c r="L290" s="64" t="str">
        <f>IF(OR($B290="", $H290="", $I290="", $J290="", $K290=""),"",ROUND((VLOOKUP($H290,Lists!$E$2:$F$5,2,FALSE())*VLOOKUP($I290,Lists!$H$2:$I$4,2,FALSE())*VLOOKUP($J290,Lists!$K$2:$L$4,2,FALSE()))/VLOOKUP($K290,Lists!$N$2:$O$6,2,FALSE()),2))</f>
        <v/>
      </c>
      <c r="M290" s="63"/>
      <c r="N290" s="63"/>
      <c r="O290" s="62"/>
      <c r="P290" s="63"/>
      <c r="Q290" s="65"/>
      <c r="R290" s="66" t="str">
        <f t="shared" ca="1" si="9"/>
        <v/>
      </c>
      <c r="S290" s="63"/>
      <c r="T290" s="65"/>
      <c r="U290" s="65"/>
      <c r="V290" s="62"/>
      <c r="W290" s="62"/>
      <c r="X290" s="62"/>
      <c r="Y290" s="58"/>
      <c r="Z290" s="58"/>
      <c r="AA290" s="58"/>
    </row>
    <row r="291" spans="1:27" ht="15.75" customHeight="1" x14ac:dyDescent="0.2">
      <c r="A291" s="61" t="str">
        <f t="shared" si="8"/>
        <v/>
      </c>
      <c r="B291" s="62"/>
      <c r="C291" s="62"/>
      <c r="D291" s="62"/>
      <c r="E291" s="62"/>
      <c r="F291" s="63"/>
      <c r="G291" s="63"/>
      <c r="H291" s="63"/>
      <c r="I291" s="63"/>
      <c r="J291" s="63"/>
      <c r="K291" s="63"/>
      <c r="L291" s="64" t="str">
        <f>IF(OR($B291="", $H291="", $I291="", $J291="", $K291=""),"",ROUND((VLOOKUP($H291,Lists!$E$2:$F$5,2,FALSE())*VLOOKUP($I291,Lists!$H$2:$I$4,2,FALSE())*VLOOKUP($J291,Lists!$K$2:$L$4,2,FALSE()))/VLOOKUP($K291,Lists!$N$2:$O$6,2,FALSE()),2))</f>
        <v/>
      </c>
      <c r="M291" s="63"/>
      <c r="N291" s="63"/>
      <c r="O291" s="62"/>
      <c r="P291" s="63"/>
      <c r="Q291" s="65"/>
      <c r="R291" s="66" t="str">
        <f t="shared" ca="1" si="9"/>
        <v/>
      </c>
      <c r="S291" s="63"/>
      <c r="T291" s="65"/>
      <c r="U291" s="65"/>
      <c r="V291" s="62"/>
      <c r="W291" s="62"/>
      <c r="X291" s="62"/>
      <c r="Y291" s="58"/>
      <c r="Z291" s="58"/>
      <c r="AA291" s="58"/>
    </row>
    <row r="292" spans="1:27" ht="15.75" customHeight="1" x14ac:dyDescent="0.2">
      <c r="A292" s="61" t="str">
        <f t="shared" si="8"/>
        <v/>
      </c>
      <c r="B292" s="62"/>
      <c r="C292" s="62"/>
      <c r="D292" s="62"/>
      <c r="E292" s="62"/>
      <c r="F292" s="63"/>
      <c r="G292" s="63"/>
      <c r="H292" s="63"/>
      <c r="I292" s="63"/>
      <c r="J292" s="63"/>
      <c r="K292" s="63"/>
      <c r="L292" s="64" t="str">
        <f>IF(OR($B292="", $H292="", $I292="", $J292="", $K292=""),"",ROUND((VLOOKUP($H292,Lists!$E$2:$F$5,2,FALSE())*VLOOKUP($I292,Lists!$H$2:$I$4,2,FALSE())*VLOOKUP($J292,Lists!$K$2:$L$4,2,FALSE()))/VLOOKUP($K292,Lists!$N$2:$O$6,2,FALSE()),2))</f>
        <v/>
      </c>
      <c r="M292" s="63"/>
      <c r="N292" s="63"/>
      <c r="O292" s="62"/>
      <c r="P292" s="63"/>
      <c r="Q292" s="65"/>
      <c r="R292" s="66" t="str">
        <f t="shared" ca="1" si="9"/>
        <v/>
      </c>
      <c r="S292" s="63"/>
      <c r="T292" s="65"/>
      <c r="U292" s="65"/>
      <c r="V292" s="62"/>
      <c r="W292" s="62"/>
      <c r="X292" s="62"/>
      <c r="Y292" s="58"/>
      <c r="Z292" s="58"/>
      <c r="AA292" s="58"/>
    </row>
    <row r="293" spans="1:27" ht="15.75" customHeight="1" x14ac:dyDescent="0.2">
      <c r="A293" s="61" t="str">
        <f t="shared" si="8"/>
        <v/>
      </c>
      <c r="B293" s="62"/>
      <c r="C293" s="62"/>
      <c r="D293" s="62"/>
      <c r="E293" s="62"/>
      <c r="F293" s="63"/>
      <c r="G293" s="63"/>
      <c r="H293" s="63"/>
      <c r="I293" s="63"/>
      <c r="J293" s="63"/>
      <c r="K293" s="63"/>
      <c r="L293" s="64" t="str">
        <f>IF(OR($B293="", $H293="", $I293="", $J293="", $K293=""),"",ROUND((VLOOKUP($H293,Lists!$E$2:$F$5,2,FALSE())*VLOOKUP($I293,Lists!$H$2:$I$4,2,FALSE())*VLOOKUP($J293,Lists!$K$2:$L$4,2,FALSE()))/VLOOKUP($K293,Lists!$N$2:$O$6,2,FALSE()),2))</f>
        <v/>
      </c>
      <c r="M293" s="63"/>
      <c r="N293" s="63"/>
      <c r="O293" s="62"/>
      <c r="P293" s="63"/>
      <c r="Q293" s="65"/>
      <c r="R293" s="66" t="str">
        <f t="shared" ca="1" si="9"/>
        <v/>
      </c>
      <c r="S293" s="63"/>
      <c r="T293" s="65"/>
      <c r="U293" s="65"/>
      <c r="V293" s="62"/>
      <c r="W293" s="62"/>
      <c r="X293" s="62"/>
      <c r="Y293" s="58"/>
      <c r="Z293" s="58"/>
      <c r="AA293" s="58"/>
    </row>
    <row r="294" spans="1:27" ht="15.75" customHeight="1" x14ac:dyDescent="0.2">
      <c r="A294" s="61" t="str">
        <f t="shared" si="8"/>
        <v/>
      </c>
      <c r="B294" s="62"/>
      <c r="C294" s="62"/>
      <c r="D294" s="62"/>
      <c r="E294" s="62"/>
      <c r="F294" s="63"/>
      <c r="G294" s="63"/>
      <c r="H294" s="63"/>
      <c r="I294" s="63"/>
      <c r="J294" s="63"/>
      <c r="K294" s="63"/>
      <c r="L294" s="64" t="str">
        <f>IF(OR($B294="", $H294="", $I294="", $J294="", $K294=""),"",ROUND((VLOOKUP($H294,Lists!$E$2:$F$5,2,FALSE())*VLOOKUP($I294,Lists!$H$2:$I$4,2,FALSE())*VLOOKUP($J294,Lists!$K$2:$L$4,2,FALSE()))/VLOOKUP($K294,Lists!$N$2:$O$6,2,FALSE()),2))</f>
        <v/>
      </c>
      <c r="M294" s="63"/>
      <c r="N294" s="63"/>
      <c r="O294" s="62"/>
      <c r="P294" s="63"/>
      <c r="Q294" s="65"/>
      <c r="R294" s="66" t="str">
        <f t="shared" ca="1" si="9"/>
        <v/>
      </c>
      <c r="S294" s="63"/>
      <c r="T294" s="65"/>
      <c r="U294" s="65"/>
      <c r="V294" s="62"/>
      <c r="W294" s="62"/>
      <c r="X294" s="62"/>
      <c r="Y294" s="58"/>
      <c r="Z294" s="58"/>
      <c r="AA294" s="58"/>
    </row>
    <row r="295" spans="1:27" ht="15.75" customHeight="1" x14ac:dyDescent="0.2">
      <c r="A295" s="61" t="str">
        <f t="shared" si="8"/>
        <v/>
      </c>
      <c r="B295" s="62"/>
      <c r="C295" s="62"/>
      <c r="D295" s="62"/>
      <c r="E295" s="62"/>
      <c r="F295" s="63"/>
      <c r="G295" s="63"/>
      <c r="H295" s="63"/>
      <c r="I295" s="63"/>
      <c r="J295" s="63"/>
      <c r="K295" s="63"/>
      <c r="L295" s="64" t="str">
        <f>IF(OR($B295="", $H295="", $I295="", $J295="", $K295=""),"",ROUND((VLOOKUP($H295,Lists!$E$2:$F$5,2,FALSE())*VLOOKUP($I295,Lists!$H$2:$I$4,2,FALSE())*VLOOKUP($J295,Lists!$K$2:$L$4,2,FALSE()))/VLOOKUP($K295,Lists!$N$2:$O$6,2,FALSE()),2))</f>
        <v/>
      </c>
      <c r="M295" s="63"/>
      <c r="N295" s="63"/>
      <c r="O295" s="62"/>
      <c r="P295" s="63"/>
      <c r="Q295" s="65"/>
      <c r="R295" s="66" t="str">
        <f t="shared" ca="1" si="9"/>
        <v/>
      </c>
      <c r="S295" s="63"/>
      <c r="T295" s="65"/>
      <c r="U295" s="65"/>
      <c r="V295" s="62"/>
      <c r="W295" s="62"/>
      <c r="X295" s="62"/>
      <c r="Y295" s="58"/>
      <c r="Z295" s="58"/>
      <c r="AA295" s="58"/>
    </row>
    <row r="296" spans="1:27" ht="15.75" customHeight="1" x14ac:dyDescent="0.2">
      <c r="A296" s="61" t="str">
        <f t="shared" si="8"/>
        <v/>
      </c>
      <c r="B296" s="62"/>
      <c r="C296" s="62"/>
      <c r="D296" s="62"/>
      <c r="E296" s="62"/>
      <c r="F296" s="63"/>
      <c r="G296" s="63"/>
      <c r="H296" s="63"/>
      <c r="I296" s="63"/>
      <c r="J296" s="63"/>
      <c r="K296" s="63"/>
      <c r="L296" s="64" t="str">
        <f>IF(OR($B296="", $H296="", $I296="", $J296="", $K296=""),"",ROUND((VLOOKUP($H296,Lists!$E$2:$F$5,2,FALSE())*VLOOKUP($I296,Lists!$H$2:$I$4,2,FALSE())*VLOOKUP($J296,Lists!$K$2:$L$4,2,FALSE()))/VLOOKUP($K296,Lists!$N$2:$O$6,2,FALSE()),2))</f>
        <v/>
      </c>
      <c r="M296" s="63"/>
      <c r="N296" s="63"/>
      <c r="O296" s="62"/>
      <c r="P296" s="63"/>
      <c r="Q296" s="65"/>
      <c r="R296" s="66" t="str">
        <f t="shared" ca="1" si="9"/>
        <v/>
      </c>
      <c r="S296" s="63"/>
      <c r="T296" s="65"/>
      <c r="U296" s="65"/>
      <c r="V296" s="62"/>
      <c r="W296" s="62"/>
      <c r="X296" s="62"/>
      <c r="Y296" s="58"/>
      <c r="Z296" s="58"/>
      <c r="AA296" s="58"/>
    </row>
    <row r="297" spans="1:27" ht="15.75" customHeight="1" x14ac:dyDescent="0.2">
      <c r="A297" s="61" t="str">
        <f t="shared" si="8"/>
        <v/>
      </c>
      <c r="B297" s="62"/>
      <c r="C297" s="62"/>
      <c r="D297" s="62"/>
      <c r="E297" s="62"/>
      <c r="F297" s="63"/>
      <c r="G297" s="63"/>
      <c r="H297" s="63"/>
      <c r="I297" s="63"/>
      <c r="J297" s="63"/>
      <c r="K297" s="63"/>
      <c r="L297" s="64" t="str">
        <f>IF(OR($B297="", $H297="", $I297="", $J297="", $K297=""),"",ROUND((VLOOKUP($H297,Lists!$E$2:$F$5,2,FALSE())*VLOOKUP($I297,Lists!$H$2:$I$4,2,FALSE())*VLOOKUP($J297,Lists!$K$2:$L$4,2,FALSE()))/VLOOKUP($K297,Lists!$N$2:$O$6,2,FALSE()),2))</f>
        <v/>
      </c>
      <c r="M297" s="63"/>
      <c r="N297" s="63"/>
      <c r="O297" s="62"/>
      <c r="P297" s="63"/>
      <c r="Q297" s="65"/>
      <c r="R297" s="66" t="str">
        <f t="shared" ca="1" si="9"/>
        <v/>
      </c>
      <c r="S297" s="63"/>
      <c r="T297" s="65"/>
      <c r="U297" s="65"/>
      <c r="V297" s="62"/>
      <c r="W297" s="62"/>
      <c r="X297" s="62"/>
      <c r="Y297" s="58"/>
      <c r="Z297" s="58"/>
      <c r="AA297" s="58"/>
    </row>
    <row r="298" spans="1:27" ht="15.75" customHeight="1" x14ac:dyDescent="0.2">
      <c r="A298" s="61" t="str">
        <f t="shared" si="8"/>
        <v/>
      </c>
      <c r="B298" s="62"/>
      <c r="C298" s="62"/>
      <c r="D298" s="62"/>
      <c r="E298" s="62"/>
      <c r="F298" s="63"/>
      <c r="G298" s="63"/>
      <c r="H298" s="63"/>
      <c r="I298" s="63"/>
      <c r="J298" s="63"/>
      <c r="K298" s="63"/>
      <c r="L298" s="64" t="str">
        <f>IF(OR($B298="", $H298="", $I298="", $J298="", $K298=""),"",ROUND((VLOOKUP($H298,Lists!$E$2:$F$5,2,FALSE())*VLOOKUP($I298,Lists!$H$2:$I$4,2,FALSE())*VLOOKUP($J298,Lists!$K$2:$L$4,2,FALSE()))/VLOOKUP($K298,Lists!$N$2:$O$6,2,FALSE()),2))</f>
        <v/>
      </c>
      <c r="M298" s="63"/>
      <c r="N298" s="63"/>
      <c r="O298" s="62"/>
      <c r="P298" s="63"/>
      <c r="Q298" s="65"/>
      <c r="R298" s="66" t="str">
        <f t="shared" ca="1" si="9"/>
        <v/>
      </c>
      <c r="S298" s="63"/>
      <c r="T298" s="65"/>
      <c r="U298" s="65"/>
      <c r="V298" s="62"/>
      <c r="W298" s="62"/>
      <c r="X298" s="62"/>
      <c r="Y298" s="58"/>
      <c r="Z298" s="58"/>
      <c r="AA298" s="58"/>
    </row>
    <row r="299" spans="1:27" ht="15.75" customHeight="1" x14ac:dyDescent="0.2">
      <c r="A299" s="61" t="str">
        <f t="shared" si="8"/>
        <v/>
      </c>
      <c r="B299" s="62"/>
      <c r="C299" s="62"/>
      <c r="D299" s="62"/>
      <c r="E299" s="62"/>
      <c r="F299" s="63"/>
      <c r="G299" s="63"/>
      <c r="H299" s="63"/>
      <c r="I299" s="63"/>
      <c r="J299" s="63"/>
      <c r="K299" s="63"/>
      <c r="L299" s="64" t="str">
        <f>IF(OR($B299="", $H299="", $I299="", $J299="", $K299=""),"",ROUND((VLOOKUP($H299,Lists!$E$2:$F$5,2,FALSE())*VLOOKUP($I299,Lists!$H$2:$I$4,2,FALSE())*VLOOKUP($J299,Lists!$K$2:$L$4,2,FALSE()))/VLOOKUP($K299,Lists!$N$2:$O$6,2,FALSE()),2))</f>
        <v/>
      </c>
      <c r="M299" s="63"/>
      <c r="N299" s="63"/>
      <c r="O299" s="62"/>
      <c r="P299" s="63"/>
      <c r="Q299" s="65"/>
      <c r="R299" s="66" t="str">
        <f t="shared" ca="1" si="9"/>
        <v/>
      </c>
      <c r="S299" s="63"/>
      <c r="T299" s="65"/>
      <c r="U299" s="65"/>
      <c r="V299" s="62"/>
      <c r="W299" s="62"/>
      <c r="X299" s="62"/>
      <c r="Y299" s="58"/>
      <c r="Z299" s="58"/>
      <c r="AA299" s="58"/>
    </row>
    <row r="300" spans="1:27" ht="15.75" customHeight="1" x14ac:dyDescent="0.2">
      <c r="A300" s="61" t="str">
        <f t="shared" si="8"/>
        <v/>
      </c>
      <c r="B300" s="62"/>
      <c r="C300" s="62"/>
      <c r="D300" s="62"/>
      <c r="E300" s="62"/>
      <c r="F300" s="63"/>
      <c r="G300" s="63"/>
      <c r="H300" s="63"/>
      <c r="I300" s="63"/>
      <c r="J300" s="63"/>
      <c r="K300" s="63"/>
      <c r="L300" s="64" t="str">
        <f>IF(OR($B300="", $H300="", $I300="", $J300="", $K300=""),"",ROUND((VLOOKUP($H300,Lists!$E$2:$F$5,2,FALSE())*VLOOKUP($I300,Lists!$H$2:$I$4,2,FALSE())*VLOOKUP($J300,Lists!$K$2:$L$4,2,FALSE()))/VLOOKUP($K300,Lists!$N$2:$O$6,2,FALSE()),2))</f>
        <v/>
      </c>
      <c r="M300" s="63"/>
      <c r="N300" s="63"/>
      <c r="O300" s="62"/>
      <c r="P300" s="63"/>
      <c r="Q300" s="65"/>
      <c r="R300" s="66" t="str">
        <f t="shared" ca="1" si="9"/>
        <v/>
      </c>
      <c r="S300" s="63"/>
      <c r="T300" s="65"/>
      <c r="U300" s="65"/>
      <c r="V300" s="62"/>
      <c r="W300" s="62"/>
      <c r="X300" s="62"/>
      <c r="Y300" s="58"/>
      <c r="Z300" s="58"/>
      <c r="AA300" s="58"/>
    </row>
    <row r="301" spans="1:27" ht="15.75" customHeight="1" x14ac:dyDescent="0.2">
      <c r="A301" s="61" t="str">
        <f t="shared" si="8"/>
        <v/>
      </c>
      <c r="B301" s="62"/>
      <c r="C301" s="62"/>
      <c r="D301" s="62"/>
      <c r="E301" s="62"/>
      <c r="F301" s="63"/>
      <c r="G301" s="63"/>
      <c r="H301" s="63"/>
      <c r="I301" s="63"/>
      <c r="J301" s="63"/>
      <c r="K301" s="63"/>
      <c r="L301" s="64" t="str">
        <f>IF(OR($B301="", $H301="", $I301="", $J301="", $K301=""),"",ROUND((VLOOKUP($H301,Lists!$E$2:$F$5,2,FALSE())*VLOOKUP($I301,Lists!$H$2:$I$4,2,FALSE())*VLOOKUP($J301,Lists!$K$2:$L$4,2,FALSE()))/VLOOKUP($K301,Lists!$N$2:$O$6,2,FALSE()),2))</f>
        <v/>
      </c>
      <c r="M301" s="63"/>
      <c r="N301" s="63"/>
      <c r="O301" s="62"/>
      <c r="P301" s="63"/>
      <c r="Q301" s="65"/>
      <c r="R301" s="66" t="str">
        <f t="shared" ca="1" si="9"/>
        <v/>
      </c>
      <c r="S301" s="63"/>
      <c r="T301" s="65"/>
      <c r="U301" s="65"/>
      <c r="V301" s="62"/>
      <c r="W301" s="62"/>
      <c r="X301" s="62"/>
      <c r="Y301" s="58"/>
      <c r="Z301" s="58"/>
      <c r="AA301" s="58"/>
    </row>
    <row r="302" spans="1:27" ht="15.75" customHeight="1" x14ac:dyDescent="0.2">
      <c r="A302" s="61" t="str">
        <f t="shared" si="8"/>
        <v/>
      </c>
      <c r="B302" s="62"/>
      <c r="C302" s="62"/>
      <c r="D302" s="62"/>
      <c r="E302" s="62"/>
      <c r="F302" s="63"/>
      <c r="G302" s="63"/>
      <c r="H302" s="63"/>
      <c r="I302" s="63"/>
      <c r="J302" s="63"/>
      <c r="K302" s="63"/>
      <c r="L302" s="64" t="str">
        <f>IF(OR($B302="", $H302="", $I302="", $J302="", $K302=""),"",ROUND((VLOOKUP($H302,Lists!$E$2:$F$5,2,FALSE())*VLOOKUP($I302,Lists!$H$2:$I$4,2,FALSE())*VLOOKUP($J302,Lists!$K$2:$L$4,2,FALSE()))/VLOOKUP($K302,Lists!$N$2:$O$6,2,FALSE()),2))</f>
        <v/>
      </c>
      <c r="M302" s="63"/>
      <c r="N302" s="63"/>
      <c r="O302" s="62"/>
      <c r="P302" s="63"/>
      <c r="Q302" s="65"/>
      <c r="R302" s="66" t="str">
        <f t="shared" ca="1" si="9"/>
        <v/>
      </c>
      <c r="S302" s="63"/>
      <c r="T302" s="65"/>
      <c r="U302" s="65"/>
      <c r="V302" s="62"/>
      <c r="W302" s="62"/>
      <c r="X302" s="62"/>
      <c r="Y302" s="58"/>
      <c r="Z302" s="58"/>
      <c r="AA302" s="58"/>
    </row>
    <row r="303" spans="1:27" ht="15.75" customHeight="1" x14ac:dyDescent="0.2">
      <c r="A303" s="61" t="str">
        <f t="shared" si="8"/>
        <v/>
      </c>
      <c r="B303" s="62"/>
      <c r="C303" s="62"/>
      <c r="D303" s="62"/>
      <c r="E303" s="62"/>
      <c r="F303" s="63"/>
      <c r="G303" s="63"/>
      <c r="H303" s="63"/>
      <c r="I303" s="63"/>
      <c r="J303" s="63"/>
      <c r="K303" s="63"/>
      <c r="L303" s="64" t="str">
        <f>IF(OR($B303="", $H303="", $I303="", $J303="", $K303=""),"",ROUND((VLOOKUP($H303,Lists!$E$2:$F$5,2,FALSE())*VLOOKUP($I303,Lists!$H$2:$I$4,2,FALSE())*VLOOKUP($J303,Lists!$K$2:$L$4,2,FALSE()))/VLOOKUP($K303,Lists!$N$2:$O$6,2,FALSE()),2))</f>
        <v/>
      </c>
      <c r="M303" s="63"/>
      <c r="N303" s="63"/>
      <c r="O303" s="62"/>
      <c r="P303" s="63"/>
      <c r="Q303" s="65"/>
      <c r="R303" s="66" t="str">
        <f t="shared" ca="1" si="9"/>
        <v/>
      </c>
      <c r="S303" s="63"/>
      <c r="T303" s="65"/>
      <c r="U303" s="65"/>
      <c r="V303" s="62"/>
      <c r="W303" s="62"/>
      <c r="X303" s="62"/>
      <c r="Y303" s="58"/>
      <c r="Z303" s="58"/>
      <c r="AA303" s="58"/>
    </row>
    <row r="304" spans="1:27" ht="15.75" customHeight="1" x14ac:dyDescent="0.2">
      <c r="A304" s="61" t="str">
        <f t="shared" si="8"/>
        <v/>
      </c>
      <c r="B304" s="62"/>
      <c r="C304" s="62"/>
      <c r="D304" s="62"/>
      <c r="E304" s="62"/>
      <c r="F304" s="63"/>
      <c r="G304" s="63"/>
      <c r="H304" s="63"/>
      <c r="I304" s="63"/>
      <c r="J304" s="63"/>
      <c r="K304" s="63"/>
      <c r="L304" s="64" t="str">
        <f>IF(OR($B304="", $H304="", $I304="", $J304="", $K304=""),"",ROUND((VLOOKUP($H304,Lists!$E$2:$F$5,2,FALSE())*VLOOKUP($I304,Lists!$H$2:$I$4,2,FALSE())*VLOOKUP($J304,Lists!$K$2:$L$4,2,FALSE()))/VLOOKUP($K304,Lists!$N$2:$O$6,2,FALSE()),2))</f>
        <v/>
      </c>
      <c r="M304" s="63"/>
      <c r="N304" s="63"/>
      <c r="O304" s="62"/>
      <c r="P304" s="63"/>
      <c r="Q304" s="65"/>
      <c r="R304" s="66" t="str">
        <f t="shared" ca="1" si="9"/>
        <v/>
      </c>
      <c r="S304" s="63"/>
      <c r="T304" s="65"/>
      <c r="U304" s="65"/>
      <c r="V304" s="62"/>
      <c r="W304" s="62"/>
      <c r="X304" s="62"/>
      <c r="Y304" s="58"/>
      <c r="Z304" s="58"/>
      <c r="AA304" s="58"/>
    </row>
    <row r="305" spans="1:27" ht="15.75" customHeight="1" x14ac:dyDescent="0.2">
      <c r="A305" s="61" t="str">
        <f t="shared" si="8"/>
        <v/>
      </c>
      <c r="B305" s="62"/>
      <c r="C305" s="62"/>
      <c r="D305" s="62"/>
      <c r="E305" s="62"/>
      <c r="F305" s="63"/>
      <c r="G305" s="63"/>
      <c r="H305" s="63"/>
      <c r="I305" s="63"/>
      <c r="J305" s="63"/>
      <c r="K305" s="63"/>
      <c r="L305" s="64" t="str">
        <f>IF(OR($B305="", $H305="", $I305="", $J305="", $K305=""),"",ROUND((VLOOKUP($H305,Lists!$E$2:$F$5,2,FALSE())*VLOOKUP($I305,Lists!$H$2:$I$4,2,FALSE())*VLOOKUP($J305,Lists!$K$2:$L$4,2,FALSE()))/VLOOKUP($K305,Lists!$N$2:$O$6,2,FALSE()),2))</f>
        <v/>
      </c>
      <c r="M305" s="63"/>
      <c r="N305" s="63"/>
      <c r="O305" s="62"/>
      <c r="P305" s="63"/>
      <c r="Q305" s="65"/>
      <c r="R305" s="66" t="str">
        <f t="shared" ca="1" si="9"/>
        <v/>
      </c>
      <c r="S305" s="63"/>
      <c r="T305" s="65"/>
      <c r="U305" s="65"/>
      <c r="V305" s="62"/>
      <c r="W305" s="62"/>
      <c r="X305" s="62"/>
      <c r="Y305" s="58"/>
      <c r="Z305" s="58"/>
      <c r="AA305" s="58"/>
    </row>
    <row r="306" spans="1:27" ht="15.75" customHeight="1" x14ac:dyDescent="0.2">
      <c r="A306" s="61" t="str">
        <f t="shared" si="8"/>
        <v/>
      </c>
      <c r="B306" s="62"/>
      <c r="C306" s="62"/>
      <c r="D306" s="62"/>
      <c r="E306" s="62"/>
      <c r="F306" s="63"/>
      <c r="G306" s="63"/>
      <c r="H306" s="63"/>
      <c r="I306" s="63"/>
      <c r="J306" s="63"/>
      <c r="K306" s="63"/>
      <c r="L306" s="64" t="str">
        <f>IF(OR($B306="", $H306="", $I306="", $J306="", $K306=""),"",ROUND((VLOOKUP($H306,Lists!$E$2:$F$5,2,FALSE())*VLOOKUP($I306,Lists!$H$2:$I$4,2,FALSE())*VLOOKUP($J306,Lists!$K$2:$L$4,2,FALSE()))/VLOOKUP($K306,Lists!$N$2:$O$6,2,FALSE()),2))</f>
        <v/>
      </c>
      <c r="M306" s="63"/>
      <c r="N306" s="63"/>
      <c r="O306" s="62"/>
      <c r="P306" s="63"/>
      <c r="Q306" s="65"/>
      <c r="R306" s="66" t="str">
        <f t="shared" ca="1" si="9"/>
        <v/>
      </c>
      <c r="S306" s="63"/>
      <c r="T306" s="65"/>
      <c r="U306" s="65"/>
      <c r="V306" s="62"/>
      <c r="W306" s="62"/>
      <c r="X306" s="62"/>
      <c r="Y306" s="58"/>
      <c r="Z306" s="58"/>
      <c r="AA306" s="58"/>
    </row>
    <row r="307" spans="1:27" ht="15.75" customHeight="1" x14ac:dyDescent="0.2">
      <c r="A307" s="61" t="str">
        <f t="shared" si="8"/>
        <v/>
      </c>
      <c r="B307" s="62"/>
      <c r="C307" s="62"/>
      <c r="D307" s="62"/>
      <c r="E307" s="62"/>
      <c r="F307" s="63"/>
      <c r="G307" s="63"/>
      <c r="H307" s="63"/>
      <c r="I307" s="63"/>
      <c r="J307" s="63"/>
      <c r="K307" s="63"/>
      <c r="L307" s="64" t="str">
        <f>IF(OR($B307="", $H307="", $I307="", $J307="", $K307=""),"",ROUND((VLOOKUP($H307,Lists!$E$2:$F$5,2,FALSE())*VLOOKUP($I307,Lists!$H$2:$I$4,2,FALSE())*VLOOKUP($J307,Lists!$K$2:$L$4,2,FALSE()))/VLOOKUP($K307,Lists!$N$2:$O$6,2,FALSE()),2))</f>
        <v/>
      </c>
      <c r="M307" s="63"/>
      <c r="N307" s="63"/>
      <c r="O307" s="62"/>
      <c r="P307" s="63"/>
      <c r="Q307" s="65"/>
      <c r="R307" s="66" t="str">
        <f t="shared" ca="1" si="9"/>
        <v/>
      </c>
      <c r="S307" s="63"/>
      <c r="T307" s="65"/>
      <c r="U307" s="65"/>
      <c r="V307" s="62"/>
      <c r="W307" s="62"/>
      <c r="X307" s="62"/>
      <c r="Y307" s="58"/>
      <c r="Z307" s="58"/>
      <c r="AA307" s="58"/>
    </row>
    <row r="308" spans="1:27" ht="15.75" customHeight="1" x14ac:dyDescent="0.2">
      <c r="A308" s="61" t="str">
        <f t="shared" si="8"/>
        <v/>
      </c>
      <c r="B308" s="62"/>
      <c r="C308" s="62"/>
      <c r="D308" s="62"/>
      <c r="E308" s="62"/>
      <c r="F308" s="63"/>
      <c r="G308" s="63"/>
      <c r="H308" s="63"/>
      <c r="I308" s="63"/>
      <c r="J308" s="63"/>
      <c r="K308" s="63"/>
      <c r="L308" s="64" t="str">
        <f>IF(OR($B308="", $H308="", $I308="", $J308="", $K308=""),"",ROUND((VLOOKUP($H308,Lists!$E$2:$F$5,2,FALSE())*VLOOKUP($I308,Lists!$H$2:$I$4,2,FALSE())*VLOOKUP($J308,Lists!$K$2:$L$4,2,FALSE()))/VLOOKUP($K308,Lists!$N$2:$O$6,2,FALSE()),2))</f>
        <v/>
      </c>
      <c r="M308" s="63"/>
      <c r="N308" s="63"/>
      <c r="O308" s="62"/>
      <c r="P308" s="63"/>
      <c r="Q308" s="65"/>
      <c r="R308" s="66" t="str">
        <f t="shared" ca="1" si="9"/>
        <v/>
      </c>
      <c r="S308" s="63"/>
      <c r="T308" s="65"/>
      <c r="U308" s="65"/>
      <c r="V308" s="62"/>
      <c r="W308" s="62"/>
      <c r="X308" s="62"/>
      <c r="Y308" s="58"/>
      <c r="Z308" s="58"/>
      <c r="AA308" s="58"/>
    </row>
    <row r="309" spans="1:27" ht="15.75" customHeight="1" x14ac:dyDescent="0.2">
      <c r="A309" s="61" t="str">
        <f t="shared" si="8"/>
        <v/>
      </c>
      <c r="B309" s="62"/>
      <c r="C309" s="62"/>
      <c r="D309" s="62"/>
      <c r="E309" s="62"/>
      <c r="F309" s="63"/>
      <c r="G309" s="63"/>
      <c r="H309" s="63"/>
      <c r="I309" s="63"/>
      <c r="J309" s="63"/>
      <c r="K309" s="63"/>
      <c r="L309" s="64" t="str">
        <f>IF(OR($B309="", $H309="", $I309="", $J309="", $K309=""),"",ROUND((VLOOKUP($H309,Lists!$E$2:$F$5,2,FALSE())*VLOOKUP($I309,Lists!$H$2:$I$4,2,FALSE())*VLOOKUP($J309,Lists!$K$2:$L$4,2,FALSE()))/VLOOKUP($K309,Lists!$N$2:$O$6,2,FALSE()),2))</f>
        <v/>
      </c>
      <c r="M309" s="63"/>
      <c r="N309" s="63"/>
      <c r="O309" s="62"/>
      <c r="P309" s="63"/>
      <c r="Q309" s="65"/>
      <c r="R309" s="66" t="str">
        <f t="shared" ca="1" si="9"/>
        <v/>
      </c>
      <c r="S309" s="63"/>
      <c r="T309" s="65"/>
      <c r="U309" s="65"/>
      <c r="V309" s="62"/>
      <c r="W309" s="62"/>
      <c r="X309" s="62"/>
      <c r="Y309" s="58"/>
      <c r="Z309" s="58"/>
      <c r="AA309" s="58"/>
    </row>
    <row r="310" spans="1:27" ht="15.75" customHeight="1" x14ac:dyDescent="0.2">
      <c r="A310" s="61" t="str">
        <f t="shared" si="8"/>
        <v/>
      </c>
      <c r="B310" s="62"/>
      <c r="C310" s="62"/>
      <c r="D310" s="62"/>
      <c r="E310" s="62"/>
      <c r="F310" s="63"/>
      <c r="G310" s="63"/>
      <c r="H310" s="63"/>
      <c r="I310" s="63"/>
      <c r="J310" s="63"/>
      <c r="K310" s="63"/>
      <c r="L310" s="64" t="str">
        <f>IF(OR($B310="", $H310="", $I310="", $J310="", $K310=""),"",ROUND((VLOOKUP($H310,Lists!$E$2:$F$5,2,FALSE())*VLOOKUP($I310,Lists!$H$2:$I$4,2,FALSE())*VLOOKUP($J310,Lists!$K$2:$L$4,2,FALSE()))/VLOOKUP($K310,Lists!$N$2:$O$6,2,FALSE()),2))</f>
        <v/>
      </c>
      <c r="M310" s="63"/>
      <c r="N310" s="63"/>
      <c r="O310" s="62"/>
      <c r="P310" s="63"/>
      <c r="Q310" s="65"/>
      <c r="R310" s="66" t="str">
        <f t="shared" ca="1" si="9"/>
        <v/>
      </c>
      <c r="S310" s="63"/>
      <c r="T310" s="65"/>
      <c r="U310" s="65"/>
      <c r="V310" s="62"/>
      <c r="W310" s="62"/>
      <c r="X310" s="62"/>
      <c r="Y310" s="58"/>
      <c r="Z310" s="58"/>
      <c r="AA310" s="58"/>
    </row>
    <row r="311" spans="1:27" ht="15.75" customHeight="1" x14ac:dyDescent="0.2">
      <c r="A311" s="61" t="str">
        <f t="shared" si="8"/>
        <v/>
      </c>
      <c r="B311" s="62"/>
      <c r="C311" s="62"/>
      <c r="D311" s="62"/>
      <c r="E311" s="62"/>
      <c r="F311" s="63"/>
      <c r="G311" s="63"/>
      <c r="H311" s="63"/>
      <c r="I311" s="63"/>
      <c r="J311" s="63"/>
      <c r="K311" s="63"/>
      <c r="L311" s="64" t="str">
        <f>IF(OR($B311="", $H311="", $I311="", $J311="", $K311=""),"",ROUND((VLOOKUP($H311,Lists!$E$2:$F$5,2,FALSE())*VLOOKUP($I311,Lists!$H$2:$I$4,2,FALSE())*VLOOKUP($J311,Lists!$K$2:$L$4,2,FALSE()))/VLOOKUP($K311,Lists!$N$2:$O$6,2,FALSE()),2))</f>
        <v/>
      </c>
      <c r="M311" s="63"/>
      <c r="N311" s="63"/>
      <c r="O311" s="62"/>
      <c r="P311" s="63"/>
      <c r="Q311" s="65"/>
      <c r="R311" s="66" t="str">
        <f t="shared" ca="1" si="9"/>
        <v/>
      </c>
      <c r="S311" s="63"/>
      <c r="T311" s="65"/>
      <c r="U311" s="65"/>
      <c r="V311" s="62"/>
      <c r="W311" s="62"/>
      <c r="X311" s="62"/>
      <c r="Y311" s="58"/>
      <c r="Z311" s="58"/>
      <c r="AA311" s="58"/>
    </row>
    <row r="312" spans="1:27" ht="15.75" customHeight="1" x14ac:dyDescent="0.2">
      <c r="A312" s="61" t="str">
        <f t="shared" si="8"/>
        <v/>
      </c>
      <c r="B312" s="62"/>
      <c r="C312" s="62"/>
      <c r="D312" s="62"/>
      <c r="E312" s="62"/>
      <c r="F312" s="63"/>
      <c r="G312" s="63"/>
      <c r="H312" s="63"/>
      <c r="I312" s="63"/>
      <c r="J312" s="63"/>
      <c r="K312" s="63"/>
      <c r="L312" s="64" t="str">
        <f>IF(OR($B312="", $H312="", $I312="", $J312="", $K312=""),"",ROUND((VLOOKUP($H312,Lists!$E$2:$F$5,2,FALSE())*VLOOKUP($I312,Lists!$H$2:$I$4,2,FALSE())*VLOOKUP($J312,Lists!$K$2:$L$4,2,FALSE()))/VLOOKUP($K312,Lists!$N$2:$O$6,2,FALSE()),2))</f>
        <v/>
      </c>
      <c r="M312" s="63"/>
      <c r="N312" s="63"/>
      <c r="O312" s="62"/>
      <c r="P312" s="63"/>
      <c r="Q312" s="65"/>
      <c r="R312" s="66" t="str">
        <f t="shared" ca="1" si="9"/>
        <v/>
      </c>
      <c r="S312" s="63"/>
      <c r="T312" s="65"/>
      <c r="U312" s="65"/>
      <c r="V312" s="62"/>
      <c r="W312" s="62"/>
      <c r="X312" s="62"/>
      <c r="Y312" s="58"/>
      <c r="Z312" s="58"/>
      <c r="AA312" s="58"/>
    </row>
    <row r="313" spans="1:27" ht="15.75" customHeight="1" x14ac:dyDescent="0.2">
      <c r="A313" s="61" t="str">
        <f t="shared" si="8"/>
        <v/>
      </c>
      <c r="B313" s="62"/>
      <c r="C313" s="62"/>
      <c r="D313" s="62"/>
      <c r="E313" s="62"/>
      <c r="F313" s="63"/>
      <c r="G313" s="63"/>
      <c r="H313" s="63"/>
      <c r="I313" s="63"/>
      <c r="J313" s="63"/>
      <c r="K313" s="63"/>
      <c r="L313" s="64" t="str">
        <f>IF(OR($B313="", $H313="", $I313="", $J313="", $K313=""),"",ROUND((VLOOKUP($H313,Lists!$E$2:$F$5,2,FALSE())*VLOOKUP($I313,Lists!$H$2:$I$4,2,FALSE())*VLOOKUP($J313,Lists!$K$2:$L$4,2,FALSE()))/VLOOKUP($K313,Lists!$N$2:$O$6,2,FALSE()),2))</f>
        <v/>
      </c>
      <c r="M313" s="63"/>
      <c r="N313" s="63"/>
      <c r="O313" s="62"/>
      <c r="P313" s="63"/>
      <c r="Q313" s="65"/>
      <c r="R313" s="66" t="str">
        <f t="shared" ca="1" si="9"/>
        <v/>
      </c>
      <c r="S313" s="63"/>
      <c r="T313" s="65"/>
      <c r="U313" s="65"/>
      <c r="V313" s="62"/>
      <c r="W313" s="62"/>
      <c r="X313" s="62"/>
      <c r="Y313" s="58"/>
      <c r="Z313" s="58"/>
      <c r="AA313" s="58"/>
    </row>
    <row r="314" spans="1:27" ht="15.75" customHeight="1" x14ac:dyDescent="0.2">
      <c r="A314" s="61" t="str">
        <f t="shared" si="8"/>
        <v/>
      </c>
      <c r="B314" s="62"/>
      <c r="C314" s="62"/>
      <c r="D314" s="62"/>
      <c r="E314" s="62"/>
      <c r="F314" s="63"/>
      <c r="G314" s="63"/>
      <c r="H314" s="63"/>
      <c r="I314" s="63"/>
      <c r="J314" s="63"/>
      <c r="K314" s="63"/>
      <c r="L314" s="64" t="str">
        <f>IF(OR($B314="", $H314="", $I314="", $J314="", $K314=""),"",ROUND((VLOOKUP($H314,Lists!$E$2:$F$5,2,FALSE())*VLOOKUP($I314,Lists!$H$2:$I$4,2,FALSE())*VLOOKUP($J314,Lists!$K$2:$L$4,2,FALSE()))/VLOOKUP($K314,Lists!$N$2:$O$6,2,FALSE()),2))</f>
        <v/>
      </c>
      <c r="M314" s="63"/>
      <c r="N314" s="63"/>
      <c r="O314" s="62"/>
      <c r="P314" s="63"/>
      <c r="Q314" s="65"/>
      <c r="R314" s="66" t="str">
        <f t="shared" ca="1" si="9"/>
        <v/>
      </c>
      <c r="S314" s="63"/>
      <c r="T314" s="65"/>
      <c r="U314" s="65"/>
      <c r="V314" s="62"/>
      <c r="W314" s="62"/>
      <c r="X314" s="62"/>
      <c r="Y314" s="58"/>
      <c r="Z314" s="58"/>
      <c r="AA314" s="58"/>
    </row>
    <row r="315" spans="1:27" ht="15.75" customHeight="1" x14ac:dyDescent="0.2">
      <c r="A315" s="61" t="str">
        <f t="shared" si="8"/>
        <v/>
      </c>
      <c r="B315" s="62"/>
      <c r="C315" s="62"/>
      <c r="D315" s="62"/>
      <c r="E315" s="62"/>
      <c r="F315" s="63"/>
      <c r="G315" s="63"/>
      <c r="H315" s="63"/>
      <c r="I315" s="63"/>
      <c r="J315" s="63"/>
      <c r="K315" s="63"/>
      <c r="L315" s="64" t="str">
        <f>IF(OR($B315="", $H315="", $I315="", $J315="", $K315=""),"",ROUND((VLOOKUP($H315,Lists!$E$2:$F$5,2,FALSE())*VLOOKUP($I315,Lists!$H$2:$I$4,2,FALSE())*VLOOKUP($J315,Lists!$K$2:$L$4,2,FALSE()))/VLOOKUP($K315,Lists!$N$2:$O$6,2,FALSE()),2))</f>
        <v/>
      </c>
      <c r="M315" s="63"/>
      <c r="N315" s="63"/>
      <c r="O315" s="62"/>
      <c r="P315" s="63"/>
      <c r="Q315" s="65"/>
      <c r="R315" s="66" t="str">
        <f t="shared" ca="1" si="9"/>
        <v/>
      </c>
      <c r="S315" s="63"/>
      <c r="T315" s="65"/>
      <c r="U315" s="65"/>
      <c r="V315" s="62"/>
      <c r="W315" s="62"/>
      <c r="X315" s="62"/>
      <c r="Y315" s="58"/>
      <c r="Z315" s="58"/>
      <c r="AA315" s="58"/>
    </row>
    <row r="316" spans="1:27" ht="15.75" customHeight="1" x14ac:dyDescent="0.2">
      <c r="A316" s="61" t="str">
        <f t="shared" si="8"/>
        <v/>
      </c>
      <c r="B316" s="62"/>
      <c r="C316" s="62"/>
      <c r="D316" s="62"/>
      <c r="E316" s="62"/>
      <c r="F316" s="63"/>
      <c r="G316" s="63"/>
      <c r="H316" s="63"/>
      <c r="I316" s="63"/>
      <c r="J316" s="63"/>
      <c r="K316" s="63"/>
      <c r="L316" s="64" t="str">
        <f>IF(OR($B316="", $H316="", $I316="", $J316="", $K316=""),"",ROUND((VLOOKUP($H316,Lists!$E$2:$F$5,2,FALSE())*VLOOKUP($I316,Lists!$H$2:$I$4,2,FALSE())*VLOOKUP($J316,Lists!$K$2:$L$4,2,FALSE()))/VLOOKUP($K316,Lists!$N$2:$O$6,2,FALSE()),2))</f>
        <v/>
      </c>
      <c r="M316" s="63"/>
      <c r="N316" s="63"/>
      <c r="O316" s="62"/>
      <c r="P316" s="63"/>
      <c r="Q316" s="65"/>
      <c r="R316" s="66" t="str">
        <f t="shared" ca="1" si="9"/>
        <v/>
      </c>
      <c r="S316" s="63"/>
      <c r="T316" s="65"/>
      <c r="U316" s="65"/>
      <c r="V316" s="62"/>
      <c r="W316" s="62"/>
      <c r="X316" s="62"/>
      <c r="Y316" s="58"/>
      <c r="Z316" s="58"/>
      <c r="AA316" s="58"/>
    </row>
    <row r="317" spans="1:27" ht="15.75" customHeight="1" x14ac:dyDescent="0.2">
      <c r="A317" s="61" t="str">
        <f t="shared" si="8"/>
        <v/>
      </c>
      <c r="B317" s="62"/>
      <c r="C317" s="62"/>
      <c r="D317" s="62"/>
      <c r="E317" s="62"/>
      <c r="F317" s="63"/>
      <c r="G317" s="63"/>
      <c r="H317" s="63"/>
      <c r="I317" s="63"/>
      <c r="J317" s="63"/>
      <c r="K317" s="63"/>
      <c r="L317" s="64" t="str">
        <f>IF(OR($B317="", $H317="", $I317="", $J317="", $K317=""),"",ROUND((VLOOKUP($H317,Lists!$E$2:$F$5,2,FALSE())*VLOOKUP($I317,Lists!$H$2:$I$4,2,FALSE())*VLOOKUP($J317,Lists!$K$2:$L$4,2,FALSE()))/VLOOKUP($K317,Lists!$N$2:$O$6,2,FALSE()),2))</f>
        <v/>
      </c>
      <c r="M317" s="63"/>
      <c r="N317" s="63"/>
      <c r="O317" s="62"/>
      <c r="P317" s="63"/>
      <c r="Q317" s="65"/>
      <c r="R317" s="66" t="str">
        <f t="shared" ca="1" si="9"/>
        <v/>
      </c>
      <c r="S317" s="63"/>
      <c r="T317" s="65"/>
      <c r="U317" s="65"/>
      <c r="V317" s="62"/>
      <c r="W317" s="62"/>
      <c r="X317" s="62"/>
      <c r="Y317" s="58"/>
      <c r="Z317" s="58"/>
      <c r="AA317" s="58"/>
    </row>
    <row r="318" spans="1:27" ht="15.75" customHeight="1" x14ac:dyDescent="0.2">
      <c r="A318" s="61" t="str">
        <f t="shared" si="8"/>
        <v/>
      </c>
      <c r="B318" s="62"/>
      <c r="C318" s="62"/>
      <c r="D318" s="62"/>
      <c r="E318" s="62"/>
      <c r="F318" s="63"/>
      <c r="G318" s="63"/>
      <c r="H318" s="63"/>
      <c r="I318" s="63"/>
      <c r="J318" s="63"/>
      <c r="K318" s="63"/>
      <c r="L318" s="64" t="str">
        <f>IF(OR($B318="", $H318="", $I318="", $J318="", $K318=""),"",ROUND((VLOOKUP($H318,Lists!$E$2:$F$5,2,FALSE())*VLOOKUP($I318,Lists!$H$2:$I$4,2,FALSE())*VLOOKUP($J318,Lists!$K$2:$L$4,2,FALSE()))/VLOOKUP($K318,Lists!$N$2:$O$6,2,FALSE()),2))</f>
        <v/>
      </c>
      <c r="M318" s="63"/>
      <c r="N318" s="63"/>
      <c r="O318" s="62"/>
      <c r="P318" s="63"/>
      <c r="Q318" s="65"/>
      <c r="R318" s="66" t="str">
        <f t="shared" ca="1" si="9"/>
        <v/>
      </c>
      <c r="S318" s="63"/>
      <c r="T318" s="65"/>
      <c r="U318" s="65"/>
      <c r="V318" s="62"/>
      <c r="W318" s="62"/>
      <c r="X318" s="62"/>
      <c r="Y318" s="58"/>
      <c r="Z318" s="58"/>
      <c r="AA318" s="58"/>
    </row>
    <row r="319" spans="1:27" ht="15.75" customHeight="1" x14ac:dyDescent="0.2">
      <c r="A319" s="61" t="str">
        <f t="shared" si="8"/>
        <v/>
      </c>
      <c r="B319" s="62"/>
      <c r="C319" s="62"/>
      <c r="D319" s="62"/>
      <c r="E319" s="62"/>
      <c r="F319" s="63"/>
      <c r="G319" s="63"/>
      <c r="H319" s="63"/>
      <c r="I319" s="63"/>
      <c r="J319" s="63"/>
      <c r="K319" s="63"/>
      <c r="L319" s="64" t="str">
        <f>IF(OR($B319="", $H319="", $I319="", $J319="", $K319=""),"",ROUND((VLOOKUP($H319,Lists!$E$2:$F$5,2,FALSE())*VLOOKUP($I319,Lists!$H$2:$I$4,2,FALSE())*VLOOKUP($J319,Lists!$K$2:$L$4,2,FALSE()))/VLOOKUP($K319,Lists!$N$2:$O$6,2,FALSE()),2))</f>
        <v/>
      </c>
      <c r="M319" s="63"/>
      <c r="N319" s="63"/>
      <c r="O319" s="62"/>
      <c r="P319" s="63"/>
      <c r="Q319" s="65"/>
      <c r="R319" s="66" t="str">
        <f t="shared" ca="1" si="9"/>
        <v/>
      </c>
      <c r="S319" s="63"/>
      <c r="T319" s="65"/>
      <c r="U319" s="65"/>
      <c r="V319" s="62"/>
      <c r="W319" s="62"/>
      <c r="X319" s="62"/>
      <c r="Y319" s="58"/>
      <c r="Z319" s="58"/>
      <c r="AA319" s="58"/>
    </row>
    <row r="320" spans="1:27" ht="15.75" customHeight="1" x14ac:dyDescent="0.2">
      <c r="A320" s="61" t="str">
        <f t="shared" si="8"/>
        <v/>
      </c>
      <c r="B320" s="62"/>
      <c r="C320" s="62"/>
      <c r="D320" s="62"/>
      <c r="E320" s="62"/>
      <c r="F320" s="63"/>
      <c r="G320" s="63"/>
      <c r="H320" s="63"/>
      <c r="I320" s="63"/>
      <c r="J320" s="63"/>
      <c r="K320" s="63"/>
      <c r="L320" s="64" t="str">
        <f>IF(OR($B320="", $H320="", $I320="", $J320="", $K320=""),"",ROUND((VLOOKUP($H320,Lists!$E$2:$F$5,2,FALSE())*VLOOKUP($I320,Lists!$H$2:$I$4,2,FALSE())*VLOOKUP($J320,Lists!$K$2:$L$4,2,FALSE()))/VLOOKUP($K320,Lists!$N$2:$O$6,2,FALSE()),2))</f>
        <v/>
      </c>
      <c r="M320" s="63"/>
      <c r="N320" s="63"/>
      <c r="O320" s="62"/>
      <c r="P320" s="63"/>
      <c r="Q320" s="65"/>
      <c r="R320" s="66" t="str">
        <f t="shared" ca="1" si="9"/>
        <v/>
      </c>
      <c r="S320" s="63"/>
      <c r="T320" s="65"/>
      <c r="U320" s="65"/>
      <c r="V320" s="62"/>
      <c r="W320" s="62"/>
      <c r="X320" s="62"/>
      <c r="Y320" s="58"/>
      <c r="Z320" s="58"/>
      <c r="AA320" s="58"/>
    </row>
    <row r="321" spans="1:27" ht="15.75" customHeight="1" x14ac:dyDescent="0.2">
      <c r="A321" s="61" t="str">
        <f t="shared" si="8"/>
        <v/>
      </c>
      <c r="B321" s="62"/>
      <c r="C321" s="62"/>
      <c r="D321" s="62"/>
      <c r="E321" s="62"/>
      <c r="F321" s="63"/>
      <c r="G321" s="63"/>
      <c r="H321" s="63"/>
      <c r="I321" s="63"/>
      <c r="J321" s="63"/>
      <c r="K321" s="63"/>
      <c r="L321" s="64" t="str">
        <f>IF(OR($B321="", $H321="", $I321="", $J321="", $K321=""),"",ROUND((VLOOKUP($H321,Lists!$E$2:$F$5,2,FALSE())*VLOOKUP($I321,Lists!$H$2:$I$4,2,FALSE())*VLOOKUP($J321,Lists!$K$2:$L$4,2,FALSE()))/VLOOKUP($K321,Lists!$N$2:$O$6,2,FALSE()),2))</f>
        <v/>
      </c>
      <c r="M321" s="63"/>
      <c r="N321" s="63"/>
      <c r="O321" s="62"/>
      <c r="P321" s="63"/>
      <c r="Q321" s="65"/>
      <c r="R321" s="66" t="str">
        <f t="shared" ca="1" si="9"/>
        <v/>
      </c>
      <c r="S321" s="63"/>
      <c r="T321" s="65"/>
      <c r="U321" s="65"/>
      <c r="V321" s="62"/>
      <c r="W321" s="62"/>
      <c r="X321" s="62"/>
      <c r="Y321" s="58"/>
      <c r="Z321" s="58"/>
      <c r="AA321" s="58"/>
    </row>
    <row r="322" spans="1:27" ht="15.75" customHeight="1" x14ac:dyDescent="0.2">
      <c r="A322" s="61" t="str">
        <f t="shared" ref="A322:A385" si="10">IF($B322="","", "TD-" &amp; RIGHT("0000"&amp;ROW()-1,4))</f>
        <v/>
      </c>
      <c r="B322" s="62"/>
      <c r="C322" s="62"/>
      <c r="D322" s="62"/>
      <c r="E322" s="62"/>
      <c r="F322" s="63"/>
      <c r="G322" s="63"/>
      <c r="H322" s="63"/>
      <c r="I322" s="63"/>
      <c r="J322" s="63"/>
      <c r="K322" s="63"/>
      <c r="L322" s="64" t="str">
        <f>IF(OR($B322="", $H322="", $I322="", $J322="", $K322=""),"",ROUND((VLOOKUP($H322,Lists!$E$2:$F$5,2,FALSE())*VLOOKUP($I322,Lists!$H$2:$I$4,2,FALSE())*VLOOKUP($J322,Lists!$K$2:$L$4,2,FALSE()))/VLOOKUP($K322,Lists!$N$2:$O$6,2,FALSE()),2))</f>
        <v/>
      </c>
      <c r="M322" s="63"/>
      <c r="N322" s="63"/>
      <c r="O322" s="62"/>
      <c r="P322" s="63"/>
      <c r="Q322" s="65"/>
      <c r="R322" s="66" t="str">
        <f t="shared" ref="R322:R385" ca="1" si="11">IF($Q322="","", TODAY()-$Q322)</f>
        <v/>
      </c>
      <c r="S322" s="63"/>
      <c r="T322" s="65"/>
      <c r="U322" s="65"/>
      <c r="V322" s="62"/>
      <c r="W322" s="62"/>
      <c r="X322" s="62"/>
      <c r="Y322" s="58"/>
      <c r="Z322" s="58"/>
      <c r="AA322" s="58"/>
    </row>
    <row r="323" spans="1:27" ht="15.75" customHeight="1" x14ac:dyDescent="0.2">
      <c r="A323" s="61" t="str">
        <f t="shared" si="10"/>
        <v/>
      </c>
      <c r="B323" s="62"/>
      <c r="C323" s="62"/>
      <c r="D323" s="62"/>
      <c r="E323" s="62"/>
      <c r="F323" s="63"/>
      <c r="G323" s="63"/>
      <c r="H323" s="63"/>
      <c r="I323" s="63"/>
      <c r="J323" s="63"/>
      <c r="K323" s="63"/>
      <c r="L323" s="64" t="str">
        <f>IF(OR($B323="", $H323="", $I323="", $J323="", $K323=""),"",ROUND((VLOOKUP($H323,Lists!$E$2:$F$5,2,FALSE())*VLOOKUP($I323,Lists!$H$2:$I$4,2,FALSE())*VLOOKUP($J323,Lists!$K$2:$L$4,2,FALSE()))/VLOOKUP($K323,Lists!$N$2:$O$6,2,FALSE()),2))</f>
        <v/>
      </c>
      <c r="M323" s="63"/>
      <c r="N323" s="63"/>
      <c r="O323" s="62"/>
      <c r="P323" s="63"/>
      <c r="Q323" s="65"/>
      <c r="R323" s="66" t="str">
        <f t="shared" ca="1" si="11"/>
        <v/>
      </c>
      <c r="S323" s="63"/>
      <c r="T323" s="65"/>
      <c r="U323" s="65"/>
      <c r="V323" s="62"/>
      <c r="W323" s="62"/>
      <c r="X323" s="62"/>
      <c r="Y323" s="58"/>
      <c r="Z323" s="58"/>
      <c r="AA323" s="58"/>
    </row>
    <row r="324" spans="1:27" ht="15.75" customHeight="1" x14ac:dyDescent="0.2">
      <c r="A324" s="61" t="str">
        <f t="shared" si="10"/>
        <v/>
      </c>
      <c r="B324" s="62"/>
      <c r="C324" s="62"/>
      <c r="D324" s="62"/>
      <c r="E324" s="62"/>
      <c r="F324" s="63"/>
      <c r="G324" s="63"/>
      <c r="H324" s="63"/>
      <c r="I324" s="63"/>
      <c r="J324" s="63"/>
      <c r="K324" s="63"/>
      <c r="L324" s="64" t="str">
        <f>IF(OR($B324="", $H324="", $I324="", $J324="", $K324=""),"",ROUND((VLOOKUP($H324,Lists!$E$2:$F$5,2,FALSE())*VLOOKUP($I324,Lists!$H$2:$I$4,2,FALSE())*VLOOKUP($J324,Lists!$K$2:$L$4,2,FALSE()))/VLOOKUP($K324,Lists!$N$2:$O$6,2,FALSE()),2))</f>
        <v/>
      </c>
      <c r="M324" s="63"/>
      <c r="N324" s="63"/>
      <c r="O324" s="62"/>
      <c r="P324" s="63"/>
      <c r="Q324" s="65"/>
      <c r="R324" s="66" t="str">
        <f t="shared" ca="1" si="11"/>
        <v/>
      </c>
      <c r="S324" s="63"/>
      <c r="T324" s="65"/>
      <c r="U324" s="65"/>
      <c r="V324" s="62"/>
      <c r="W324" s="62"/>
      <c r="X324" s="62"/>
      <c r="Y324" s="58"/>
      <c r="Z324" s="58"/>
      <c r="AA324" s="58"/>
    </row>
    <row r="325" spans="1:27" ht="15.75" customHeight="1" x14ac:dyDescent="0.2">
      <c r="A325" s="61" t="str">
        <f t="shared" si="10"/>
        <v/>
      </c>
      <c r="B325" s="62"/>
      <c r="C325" s="62"/>
      <c r="D325" s="62"/>
      <c r="E325" s="62"/>
      <c r="F325" s="63"/>
      <c r="G325" s="63"/>
      <c r="H325" s="63"/>
      <c r="I325" s="63"/>
      <c r="J325" s="63"/>
      <c r="K325" s="63"/>
      <c r="L325" s="64" t="str">
        <f>IF(OR($B325="", $H325="", $I325="", $J325="", $K325=""),"",ROUND((VLOOKUP($H325,Lists!$E$2:$F$5,2,FALSE())*VLOOKUP($I325,Lists!$H$2:$I$4,2,FALSE())*VLOOKUP($J325,Lists!$K$2:$L$4,2,FALSE()))/VLOOKUP($K325,Lists!$N$2:$O$6,2,FALSE()),2))</f>
        <v/>
      </c>
      <c r="M325" s="63"/>
      <c r="N325" s="63"/>
      <c r="O325" s="62"/>
      <c r="P325" s="63"/>
      <c r="Q325" s="65"/>
      <c r="R325" s="66" t="str">
        <f t="shared" ca="1" si="11"/>
        <v/>
      </c>
      <c r="S325" s="63"/>
      <c r="T325" s="65"/>
      <c r="U325" s="65"/>
      <c r="V325" s="62"/>
      <c r="W325" s="62"/>
      <c r="X325" s="62"/>
      <c r="Y325" s="58"/>
      <c r="Z325" s="58"/>
      <c r="AA325" s="58"/>
    </row>
    <row r="326" spans="1:27" ht="15.75" customHeight="1" x14ac:dyDescent="0.2">
      <c r="A326" s="61" t="str">
        <f t="shared" si="10"/>
        <v/>
      </c>
      <c r="B326" s="62"/>
      <c r="C326" s="62"/>
      <c r="D326" s="62"/>
      <c r="E326" s="62"/>
      <c r="F326" s="63"/>
      <c r="G326" s="63"/>
      <c r="H326" s="63"/>
      <c r="I326" s="63"/>
      <c r="J326" s="63"/>
      <c r="K326" s="63"/>
      <c r="L326" s="64" t="str">
        <f>IF(OR($B326="", $H326="", $I326="", $J326="", $K326=""),"",ROUND((VLOOKUP($H326,Lists!$E$2:$F$5,2,FALSE())*VLOOKUP($I326,Lists!$H$2:$I$4,2,FALSE())*VLOOKUP($J326,Lists!$K$2:$L$4,2,FALSE()))/VLOOKUP($K326,Lists!$N$2:$O$6,2,FALSE()),2))</f>
        <v/>
      </c>
      <c r="M326" s="63"/>
      <c r="N326" s="63"/>
      <c r="O326" s="62"/>
      <c r="P326" s="63"/>
      <c r="Q326" s="65"/>
      <c r="R326" s="66" t="str">
        <f t="shared" ca="1" si="11"/>
        <v/>
      </c>
      <c r="S326" s="63"/>
      <c r="T326" s="65"/>
      <c r="U326" s="65"/>
      <c r="V326" s="62"/>
      <c r="W326" s="62"/>
      <c r="X326" s="62"/>
      <c r="Y326" s="58"/>
      <c r="Z326" s="58"/>
      <c r="AA326" s="58"/>
    </row>
    <row r="327" spans="1:27" ht="15.75" customHeight="1" x14ac:dyDescent="0.2">
      <c r="A327" s="61" t="str">
        <f t="shared" si="10"/>
        <v/>
      </c>
      <c r="B327" s="62"/>
      <c r="C327" s="62"/>
      <c r="D327" s="62"/>
      <c r="E327" s="62"/>
      <c r="F327" s="63"/>
      <c r="G327" s="63"/>
      <c r="H327" s="63"/>
      <c r="I327" s="63"/>
      <c r="J327" s="63"/>
      <c r="K327" s="63"/>
      <c r="L327" s="64" t="str">
        <f>IF(OR($B327="", $H327="", $I327="", $J327="", $K327=""),"",ROUND((VLOOKUP($H327,Lists!$E$2:$F$5,2,FALSE())*VLOOKUP($I327,Lists!$H$2:$I$4,2,FALSE())*VLOOKUP($J327,Lists!$K$2:$L$4,2,FALSE()))/VLOOKUP($K327,Lists!$N$2:$O$6,2,FALSE()),2))</f>
        <v/>
      </c>
      <c r="M327" s="63"/>
      <c r="N327" s="63"/>
      <c r="O327" s="62"/>
      <c r="P327" s="63"/>
      <c r="Q327" s="65"/>
      <c r="R327" s="66" t="str">
        <f t="shared" ca="1" si="11"/>
        <v/>
      </c>
      <c r="S327" s="63"/>
      <c r="T327" s="65"/>
      <c r="U327" s="65"/>
      <c r="V327" s="62"/>
      <c r="W327" s="62"/>
      <c r="X327" s="62"/>
      <c r="Y327" s="58"/>
      <c r="Z327" s="58"/>
      <c r="AA327" s="58"/>
    </row>
    <row r="328" spans="1:27" ht="15.75" customHeight="1" x14ac:dyDescent="0.2">
      <c r="A328" s="61" t="str">
        <f t="shared" si="10"/>
        <v/>
      </c>
      <c r="B328" s="62"/>
      <c r="C328" s="62"/>
      <c r="D328" s="62"/>
      <c r="E328" s="62"/>
      <c r="F328" s="63"/>
      <c r="G328" s="63"/>
      <c r="H328" s="63"/>
      <c r="I328" s="63"/>
      <c r="J328" s="63"/>
      <c r="K328" s="63"/>
      <c r="L328" s="64" t="str">
        <f>IF(OR($B328="", $H328="", $I328="", $J328="", $K328=""),"",ROUND((VLOOKUP($H328,Lists!$E$2:$F$5,2,FALSE())*VLOOKUP($I328,Lists!$H$2:$I$4,2,FALSE())*VLOOKUP($J328,Lists!$K$2:$L$4,2,FALSE()))/VLOOKUP($K328,Lists!$N$2:$O$6,2,FALSE()),2))</f>
        <v/>
      </c>
      <c r="M328" s="63"/>
      <c r="N328" s="63"/>
      <c r="O328" s="62"/>
      <c r="P328" s="63"/>
      <c r="Q328" s="65"/>
      <c r="R328" s="66" t="str">
        <f t="shared" ca="1" si="11"/>
        <v/>
      </c>
      <c r="S328" s="63"/>
      <c r="T328" s="65"/>
      <c r="U328" s="65"/>
      <c r="V328" s="62"/>
      <c r="W328" s="62"/>
      <c r="X328" s="62"/>
      <c r="Y328" s="58"/>
      <c r="Z328" s="58"/>
      <c r="AA328" s="58"/>
    </row>
    <row r="329" spans="1:27" ht="15.75" customHeight="1" x14ac:dyDescent="0.2">
      <c r="A329" s="61" t="str">
        <f t="shared" si="10"/>
        <v/>
      </c>
      <c r="B329" s="62"/>
      <c r="C329" s="62"/>
      <c r="D329" s="62"/>
      <c r="E329" s="62"/>
      <c r="F329" s="63"/>
      <c r="G329" s="63"/>
      <c r="H329" s="63"/>
      <c r="I329" s="63"/>
      <c r="J329" s="63"/>
      <c r="K329" s="63"/>
      <c r="L329" s="64" t="str">
        <f>IF(OR($B329="", $H329="", $I329="", $J329="", $K329=""),"",ROUND((VLOOKUP($H329,Lists!$E$2:$F$5,2,FALSE())*VLOOKUP($I329,Lists!$H$2:$I$4,2,FALSE())*VLOOKUP($J329,Lists!$K$2:$L$4,2,FALSE()))/VLOOKUP($K329,Lists!$N$2:$O$6,2,FALSE()),2))</f>
        <v/>
      </c>
      <c r="M329" s="63"/>
      <c r="N329" s="63"/>
      <c r="O329" s="62"/>
      <c r="P329" s="63"/>
      <c r="Q329" s="65"/>
      <c r="R329" s="66" t="str">
        <f t="shared" ca="1" si="11"/>
        <v/>
      </c>
      <c r="S329" s="63"/>
      <c r="T329" s="65"/>
      <c r="U329" s="65"/>
      <c r="V329" s="62"/>
      <c r="W329" s="62"/>
      <c r="X329" s="62"/>
      <c r="Y329" s="58"/>
      <c r="Z329" s="58"/>
      <c r="AA329" s="58"/>
    </row>
    <row r="330" spans="1:27" ht="15.75" customHeight="1" x14ac:dyDescent="0.2">
      <c r="A330" s="61" t="str">
        <f t="shared" si="10"/>
        <v/>
      </c>
      <c r="B330" s="62"/>
      <c r="C330" s="62"/>
      <c r="D330" s="62"/>
      <c r="E330" s="62"/>
      <c r="F330" s="63"/>
      <c r="G330" s="63"/>
      <c r="H330" s="63"/>
      <c r="I330" s="63"/>
      <c r="J330" s="63"/>
      <c r="K330" s="63"/>
      <c r="L330" s="64" t="str">
        <f>IF(OR($B330="", $H330="", $I330="", $J330="", $K330=""),"",ROUND((VLOOKUP($H330,Lists!$E$2:$F$5,2,FALSE())*VLOOKUP($I330,Lists!$H$2:$I$4,2,FALSE())*VLOOKUP($J330,Lists!$K$2:$L$4,2,FALSE()))/VLOOKUP($K330,Lists!$N$2:$O$6,2,FALSE()),2))</f>
        <v/>
      </c>
      <c r="M330" s="63"/>
      <c r="N330" s="63"/>
      <c r="O330" s="62"/>
      <c r="P330" s="63"/>
      <c r="Q330" s="65"/>
      <c r="R330" s="66" t="str">
        <f t="shared" ca="1" si="11"/>
        <v/>
      </c>
      <c r="S330" s="63"/>
      <c r="T330" s="65"/>
      <c r="U330" s="65"/>
      <c r="V330" s="62"/>
      <c r="W330" s="62"/>
      <c r="X330" s="62"/>
      <c r="Y330" s="58"/>
      <c r="Z330" s="58"/>
      <c r="AA330" s="58"/>
    </row>
    <row r="331" spans="1:27" ht="15.75" customHeight="1" x14ac:dyDescent="0.2">
      <c r="A331" s="61" t="str">
        <f t="shared" si="10"/>
        <v/>
      </c>
      <c r="B331" s="62"/>
      <c r="C331" s="62"/>
      <c r="D331" s="62"/>
      <c r="E331" s="62"/>
      <c r="F331" s="63"/>
      <c r="G331" s="63"/>
      <c r="H331" s="63"/>
      <c r="I331" s="63"/>
      <c r="J331" s="63"/>
      <c r="K331" s="63"/>
      <c r="L331" s="64" t="str">
        <f>IF(OR($B331="", $H331="", $I331="", $J331="", $K331=""),"",ROUND((VLOOKUP($H331,Lists!$E$2:$F$5,2,FALSE())*VLOOKUP($I331,Lists!$H$2:$I$4,2,FALSE())*VLOOKUP($J331,Lists!$K$2:$L$4,2,FALSE()))/VLOOKUP($K331,Lists!$N$2:$O$6,2,FALSE()),2))</f>
        <v/>
      </c>
      <c r="M331" s="63"/>
      <c r="N331" s="63"/>
      <c r="O331" s="62"/>
      <c r="P331" s="63"/>
      <c r="Q331" s="65"/>
      <c r="R331" s="66" t="str">
        <f t="shared" ca="1" si="11"/>
        <v/>
      </c>
      <c r="S331" s="63"/>
      <c r="T331" s="65"/>
      <c r="U331" s="65"/>
      <c r="V331" s="62"/>
      <c r="W331" s="62"/>
      <c r="X331" s="62"/>
      <c r="Y331" s="58"/>
      <c r="Z331" s="58"/>
      <c r="AA331" s="58"/>
    </row>
    <row r="332" spans="1:27" ht="15.75" customHeight="1" x14ac:dyDescent="0.2">
      <c r="A332" s="61" t="str">
        <f t="shared" si="10"/>
        <v/>
      </c>
      <c r="B332" s="62"/>
      <c r="C332" s="62"/>
      <c r="D332" s="62"/>
      <c r="E332" s="62"/>
      <c r="F332" s="63"/>
      <c r="G332" s="63"/>
      <c r="H332" s="63"/>
      <c r="I332" s="63"/>
      <c r="J332" s="63"/>
      <c r="K332" s="63"/>
      <c r="L332" s="64" t="str">
        <f>IF(OR($B332="", $H332="", $I332="", $J332="", $K332=""),"",ROUND((VLOOKUP($H332,Lists!$E$2:$F$5,2,FALSE())*VLOOKUP($I332,Lists!$H$2:$I$4,2,FALSE())*VLOOKUP($J332,Lists!$K$2:$L$4,2,FALSE()))/VLOOKUP($K332,Lists!$N$2:$O$6,2,FALSE()),2))</f>
        <v/>
      </c>
      <c r="M332" s="63"/>
      <c r="N332" s="63"/>
      <c r="O332" s="62"/>
      <c r="P332" s="63"/>
      <c r="Q332" s="65"/>
      <c r="R332" s="66" t="str">
        <f t="shared" ca="1" si="11"/>
        <v/>
      </c>
      <c r="S332" s="63"/>
      <c r="T332" s="65"/>
      <c r="U332" s="65"/>
      <c r="V332" s="62"/>
      <c r="W332" s="62"/>
      <c r="X332" s="62"/>
      <c r="Y332" s="58"/>
      <c r="Z332" s="58"/>
      <c r="AA332" s="58"/>
    </row>
    <row r="333" spans="1:27" ht="15.75" customHeight="1" x14ac:dyDescent="0.2">
      <c r="A333" s="61" t="str">
        <f t="shared" si="10"/>
        <v/>
      </c>
      <c r="B333" s="62"/>
      <c r="C333" s="62"/>
      <c r="D333" s="62"/>
      <c r="E333" s="62"/>
      <c r="F333" s="63"/>
      <c r="G333" s="63"/>
      <c r="H333" s="63"/>
      <c r="I333" s="63"/>
      <c r="J333" s="63"/>
      <c r="K333" s="63"/>
      <c r="L333" s="64" t="str">
        <f>IF(OR($B333="", $H333="", $I333="", $J333="", $K333=""),"",ROUND((VLOOKUP($H333,Lists!$E$2:$F$5,2,FALSE())*VLOOKUP($I333,Lists!$H$2:$I$4,2,FALSE())*VLOOKUP($J333,Lists!$K$2:$L$4,2,FALSE()))/VLOOKUP($K333,Lists!$N$2:$O$6,2,FALSE()),2))</f>
        <v/>
      </c>
      <c r="M333" s="63"/>
      <c r="N333" s="63"/>
      <c r="O333" s="62"/>
      <c r="P333" s="63"/>
      <c r="Q333" s="65"/>
      <c r="R333" s="66" t="str">
        <f t="shared" ca="1" si="11"/>
        <v/>
      </c>
      <c r="S333" s="63"/>
      <c r="T333" s="65"/>
      <c r="U333" s="65"/>
      <c r="V333" s="62"/>
      <c r="W333" s="62"/>
      <c r="X333" s="62"/>
      <c r="Y333" s="58"/>
      <c r="Z333" s="58"/>
      <c r="AA333" s="58"/>
    </row>
    <row r="334" spans="1:27" ht="15.75" customHeight="1" x14ac:dyDescent="0.2">
      <c r="A334" s="61" t="str">
        <f t="shared" si="10"/>
        <v/>
      </c>
      <c r="B334" s="62"/>
      <c r="C334" s="62"/>
      <c r="D334" s="62"/>
      <c r="E334" s="62"/>
      <c r="F334" s="63"/>
      <c r="G334" s="63"/>
      <c r="H334" s="63"/>
      <c r="I334" s="63"/>
      <c r="J334" s="63"/>
      <c r="K334" s="63"/>
      <c r="L334" s="64" t="str">
        <f>IF(OR($B334="", $H334="", $I334="", $J334="", $K334=""),"",ROUND((VLOOKUP($H334,Lists!$E$2:$F$5,2,FALSE())*VLOOKUP($I334,Lists!$H$2:$I$4,2,FALSE())*VLOOKUP($J334,Lists!$K$2:$L$4,2,FALSE()))/VLOOKUP($K334,Lists!$N$2:$O$6,2,FALSE()),2))</f>
        <v/>
      </c>
      <c r="M334" s="63"/>
      <c r="N334" s="63"/>
      <c r="O334" s="62"/>
      <c r="P334" s="63"/>
      <c r="Q334" s="65"/>
      <c r="R334" s="66" t="str">
        <f t="shared" ca="1" si="11"/>
        <v/>
      </c>
      <c r="S334" s="63"/>
      <c r="T334" s="65"/>
      <c r="U334" s="65"/>
      <c r="V334" s="62"/>
      <c r="W334" s="62"/>
      <c r="X334" s="62"/>
      <c r="Y334" s="58"/>
      <c r="Z334" s="58"/>
      <c r="AA334" s="58"/>
    </row>
    <row r="335" spans="1:27" ht="15.75" customHeight="1" x14ac:dyDescent="0.2">
      <c r="A335" s="61" t="str">
        <f t="shared" si="10"/>
        <v/>
      </c>
      <c r="B335" s="62"/>
      <c r="C335" s="62"/>
      <c r="D335" s="62"/>
      <c r="E335" s="62"/>
      <c r="F335" s="63"/>
      <c r="G335" s="63"/>
      <c r="H335" s="63"/>
      <c r="I335" s="63"/>
      <c r="J335" s="63"/>
      <c r="K335" s="63"/>
      <c r="L335" s="64" t="str">
        <f>IF(OR($B335="", $H335="", $I335="", $J335="", $K335=""),"",ROUND((VLOOKUP($H335,Lists!$E$2:$F$5,2,FALSE())*VLOOKUP($I335,Lists!$H$2:$I$4,2,FALSE())*VLOOKUP($J335,Lists!$K$2:$L$4,2,FALSE()))/VLOOKUP($K335,Lists!$N$2:$O$6,2,FALSE()),2))</f>
        <v/>
      </c>
      <c r="M335" s="63"/>
      <c r="N335" s="63"/>
      <c r="O335" s="62"/>
      <c r="P335" s="63"/>
      <c r="Q335" s="65"/>
      <c r="R335" s="66" t="str">
        <f t="shared" ca="1" si="11"/>
        <v/>
      </c>
      <c r="S335" s="63"/>
      <c r="T335" s="65"/>
      <c r="U335" s="65"/>
      <c r="V335" s="62"/>
      <c r="W335" s="62"/>
      <c r="X335" s="62"/>
      <c r="Y335" s="58"/>
      <c r="Z335" s="58"/>
      <c r="AA335" s="58"/>
    </row>
    <row r="336" spans="1:27" ht="15.75" customHeight="1" x14ac:dyDescent="0.2">
      <c r="A336" s="61" t="str">
        <f t="shared" si="10"/>
        <v/>
      </c>
      <c r="B336" s="62"/>
      <c r="C336" s="62"/>
      <c r="D336" s="62"/>
      <c r="E336" s="62"/>
      <c r="F336" s="63"/>
      <c r="G336" s="63"/>
      <c r="H336" s="63"/>
      <c r="I336" s="63"/>
      <c r="J336" s="63"/>
      <c r="K336" s="63"/>
      <c r="L336" s="64" t="str">
        <f>IF(OR($B336="", $H336="", $I336="", $J336="", $K336=""),"",ROUND((VLOOKUP($H336,Lists!$E$2:$F$5,2,FALSE())*VLOOKUP($I336,Lists!$H$2:$I$4,2,FALSE())*VLOOKUP($J336,Lists!$K$2:$L$4,2,FALSE()))/VLOOKUP($K336,Lists!$N$2:$O$6,2,FALSE()),2))</f>
        <v/>
      </c>
      <c r="M336" s="63"/>
      <c r="N336" s="63"/>
      <c r="O336" s="62"/>
      <c r="P336" s="63"/>
      <c r="Q336" s="65"/>
      <c r="R336" s="66" t="str">
        <f t="shared" ca="1" si="11"/>
        <v/>
      </c>
      <c r="S336" s="63"/>
      <c r="T336" s="65"/>
      <c r="U336" s="65"/>
      <c r="V336" s="62"/>
      <c r="W336" s="62"/>
      <c r="X336" s="62"/>
      <c r="Y336" s="58"/>
      <c r="Z336" s="58"/>
      <c r="AA336" s="58"/>
    </row>
    <row r="337" spans="1:27" ht="15.75" customHeight="1" x14ac:dyDescent="0.2">
      <c r="A337" s="61" t="str">
        <f t="shared" si="10"/>
        <v/>
      </c>
      <c r="B337" s="62"/>
      <c r="C337" s="62"/>
      <c r="D337" s="62"/>
      <c r="E337" s="62"/>
      <c r="F337" s="63"/>
      <c r="G337" s="63"/>
      <c r="H337" s="63"/>
      <c r="I337" s="63"/>
      <c r="J337" s="63"/>
      <c r="K337" s="63"/>
      <c r="L337" s="64" t="str">
        <f>IF(OR($B337="", $H337="", $I337="", $J337="", $K337=""),"",ROUND((VLOOKUP($H337,Lists!$E$2:$F$5,2,FALSE())*VLOOKUP($I337,Lists!$H$2:$I$4,2,FALSE())*VLOOKUP($J337,Lists!$K$2:$L$4,2,FALSE()))/VLOOKUP($K337,Lists!$N$2:$O$6,2,FALSE()),2))</f>
        <v/>
      </c>
      <c r="M337" s="63"/>
      <c r="N337" s="63"/>
      <c r="O337" s="62"/>
      <c r="P337" s="63"/>
      <c r="Q337" s="65"/>
      <c r="R337" s="66" t="str">
        <f t="shared" ca="1" si="11"/>
        <v/>
      </c>
      <c r="S337" s="63"/>
      <c r="T337" s="65"/>
      <c r="U337" s="65"/>
      <c r="V337" s="62"/>
      <c r="W337" s="62"/>
      <c r="X337" s="62"/>
      <c r="Y337" s="58"/>
      <c r="Z337" s="58"/>
      <c r="AA337" s="58"/>
    </row>
    <row r="338" spans="1:27" ht="15.75" customHeight="1" x14ac:dyDescent="0.2">
      <c r="A338" s="61" t="str">
        <f t="shared" si="10"/>
        <v/>
      </c>
      <c r="B338" s="62"/>
      <c r="C338" s="62"/>
      <c r="D338" s="62"/>
      <c r="E338" s="62"/>
      <c r="F338" s="63"/>
      <c r="G338" s="63"/>
      <c r="H338" s="63"/>
      <c r="I338" s="63"/>
      <c r="J338" s="63"/>
      <c r="K338" s="63"/>
      <c r="L338" s="64" t="str">
        <f>IF(OR($B338="", $H338="", $I338="", $J338="", $K338=""),"",ROUND((VLOOKUP($H338,Lists!$E$2:$F$5,2,FALSE())*VLOOKUP($I338,Lists!$H$2:$I$4,2,FALSE())*VLOOKUP($J338,Lists!$K$2:$L$4,2,FALSE()))/VLOOKUP($K338,Lists!$N$2:$O$6,2,FALSE()),2))</f>
        <v/>
      </c>
      <c r="M338" s="63"/>
      <c r="N338" s="63"/>
      <c r="O338" s="62"/>
      <c r="P338" s="63"/>
      <c r="Q338" s="65"/>
      <c r="R338" s="66" t="str">
        <f t="shared" ca="1" si="11"/>
        <v/>
      </c>
      <c r="S338" s="63"/>
      <c r="T338" s="65"/>
      <c r="U338" s="65"/>
      <c r="V338" s="62"/>
      <c r="W338" s="62"/>
      <c r="X338" s="62"/>
      <c r="Y338" s="58"/>
      <c r="Z338" s="58"/>
      <c r="AA338" s="58"/>
    </row>
    <row r="339" spans="1:27" ht="15.75" customHeight="1" x14ac:dyDescent="0.2">
      <c r="A339" s="61" t="str">
        <f t="shared" si="10"/>
        <v/>
      </c>
      <c r="B339" s="62"/>
      <c r="C339" s="62"/>
      <c r="D339" s="62"/>
      <c r="E339" s="62"/>
      <c r="F339" s="63"/>
      <c r="G339" s="63"/>
      <c r="H339" s="63"/>
      <c r="I339" s="63"/>
      <c r="J339" s="63"/>
      <c r="K339" s="63"/>
      <c r="L339" s="64" t="str">
        <f>IF(OR($B339="", $H339="", $I339="", $J339="", $K339=""),"",ROUND((VLOOKUP($H339,Lists!$E$2:$F$5,2,FALSE())*VLOOKUP($I339,Lists!$H$2:$I$4,2,FALSE())*VLOOKUP($J339,Lists!$K$2:$L$4,2,FALSE()))/VLOOKUP($K339,Lists!$N$2:$O$6,2,FALSE()),2))</f>
        <v/>
      </c>
      <c r="M339" s="63"/>
      <c r="N339" s="63"/>
      <c r="O339" s="62"/>
      <c r="P339" s="63"/>
      <c r="Q339" s="65"/>
      <c r="R339" s="66" t="str">
        <f t="shared" ca="1" si="11"/>
        <v/>
      </c>
      <c r="S339" s="63"/>
      <c r="T339" s="65"/>
      <c r="U339" s="65"/>
      <c r="V339" s="62"/>
      <c r="W339" s="62"/>
      <c r="X339" s="62"/>
      <c r="Y339" s="58"/>
      <c r="Z339" s="58"/>
      <c r="AA339" s="58"/>
    </row>
    <row r="340" spans="1:27" ht="15.75" customHeight="1" x14ac:dyDescent="0.2">
      <c r="A340" s="61" t="str">
        <f t="shared" si="10"/>
        <v/>
      </c>
      <c r="B340" s="62"/>
      <c r="C340" s="62"/>
      <c r="D340" s="62"/>
      <c r="E340" s="62"/>
      <c r="F340" s="63"/>
      <c r="G340" s="63"/>
      <c r="H340" s="63"/>
      <c r="I340" s="63"/>
      <c r="J340" s="63"/>
      <c r="K340" s="63"/>
      <c r="L340" s="64" t="str">
        <f>IF(OR($B340="", $H340="", $I340="", $J340="", $K340=""),"",ROUND((VLOOKUP($H340,Lists!$E$2:$F$5,2,FALSE())*VLOOKUP($I340,Lists!$H$2:$I$4,2,FALSE())*VLOOKUP($J340,Lists!$K$2:$L$4,2,FALSE()))/VLOOKUP($K340,Lists!$N$2:$O$6,2,FALSE()),2))</f>
        <v/>
      </c>
      <c r="M340" s="63"/>
      <c r="N340" s="63"/>
      <c r="O340" s="62"/>
      <c r="P340" s="63"/>
      <c r="Q340" s="65"/>
      <c r="R340" s="66" t="str">
        <f t="shared" ca="1" si="11"/>
        <v/>
      </c>
      <c r="S340" s="63"/>
      <c r="T340" s="65"/>
      <c r="U340" s="65"/>
      <c r="V340" s="62"/>
      <c r="W340" s="62"/>
      <c r="X340" s="62"/>
      <c r="Y340" s="58"/>
      <c r="Z340" s="58"/>
      <c r="AA340" s="58"/>
    </row>
    <row r="341" spans="1:27" ht="15.75" customHeight="1" x14ac:dyDescent="0.2">
      <c r="A341" s="61" t="str">
        <f t="shared" si="10"/>
        <v/>
      </c>
      <c r="B341" s="62"/>
      <c r="C341" s="62"/>
      <c r="D341" s="62"/>
      <c r="E341" s="62"/>
      <c r="F341" s="63"/>
      <c r="G341" s="63"/>
      <c r="H341" s="63"/>
      <c r="I341" s="63"/>
      <c r="J341" s="63"/>
      <c r="K341" s="63"/>
      <c r="L341" s="64" t="str">
        <f>IF(OR($B341="", $H341="", $I341="", $J341="", $K341=""),"",ROUND((VLOOKUP($H341,Lists!$E$2:$F$5,2,FALSE())*VLOOKUP($I341,Lists!$H$2:$I$4,2,FALSE())*VLOOKUP($J341,Lists!$K$2:$L$4,2,FALSE()))/VLOOKUP($K341,Lists!$N$2:$O$6,2,FALSE()),2))</f>
        <v/>
      </c>
      <c r="M341" s="63"/>
      <c r="N341" s="63"/>
      <c r="O341" s="62"/>
      <c r="P341" s="63"/>
      <c r="Q341" s="65"/>
      <c r="R341" s="66" t="str">
        <f t="shared" ca="1" si="11"/>
        <v/>
      </c>
      <c r="S341" s="63"/>
      <c r="T341" s="65"/>
      <c r="U341" s="65"/>
      <c r="V341" s="62"/>
      <c r="W341" s="62"/>
      <c r="X341" s="62"/>
      <c r="Y341" s="58"/>
      <c r="Z341" s="58"/>
      <c r="AA341" s="58"/>
    </row>
    <row r="342" spans="1:27" ht="15.75" customHeight="1" x14ac:dyDescent="0.2">
      <c r="A342" s="61" t="str">
        <f t="shared" si="10"/>
        <v/>
      </c>
      <c r="B342" s="62"/>
      <c r="C342" s="62"/>
      <c r="D342" s="62"/>
      <c r="E342" s="62"/>
      <c r="F342" s="63"/>
      <c r="G342" s="63"/>
      <c r="H342" s="63"/>
      <c r="I342" s="63"/>
      <c r="J342" s="63"/>
      <c r="K342" s="63"/>
      <c r="L342" s="64" t="str">
        <f>IF(OR($B342="", $H342="", $I342="", $J342="", $K342=""),"",ROUND((VLOOKUP($H342,Lists!$E$2:$F$5,2,FALSE())*VLOOKUP($I342,Lists!$H$2:$I$4,2,FALSE())*VLOOKUP($J342,Lists!$K$2:$L$4,2,FALSE()))/VLOOKUP($K342,Lists!$N$2:$O$6,2,FALSE()),2))</f>
        <v/>
      </c>
      <c r="M342" s="63"/>
      <c r="N342" s="63"/>
      <c r="O342" s="62"/>
      <c r="P342" s="63"/>
      <c r="Q342" s="65"/>
      <c r="R342" s="66" t="str">
        <f t="shared" ca="1" si="11"/>
        <v/>
      </c>
      <c r="S342" s="63"/>
      <c r="T342" s="65"/>
      <c r="U342" s="65"/>
      <c r="V342" s="62"/>
      <c r="W342" s="62"/>
      <c r="X342" s="62"/>
      <c r="Y342" s="58"/>
      <c r="Z342" s="58"/>
      <c r="AA342" s="58"/>
    </row>
    <row r="343" spans="1:27" ht="15.75" customHeight="1" x14ac:dyDescent="0.2">
      <c r="A343" s="61" t="str">
        <f t="shared" si="10"/>
        <v/>
      </c>
      <c r="B343" s="62"/>
      <c r="C343" s="62"/>
      <c r="D343" s="62"/>
      <c r="E343" s="62"/>
      <c r="F343" s="63"/>
      <c r="G343" s="63"/>
      <c r="H343" s="63"/>
      <c r="I343" s="63"/>
      <c r="J343" s="63"/>
      <c r="K343" s="63"/>
      <c r="L343" s="64" t="str">
        <f>IF(OR($B343="", $H343="", $I343="", $J343="", $K343=""),"",ROUND((VLOOKUP($H343,Lists!$E$2:$F$5,2,FALSE())*VLOOKUP($I343,Lists!$H$2:$I$4,2,FALSE())*VLOOKUP($J343,Lists!$K$2:$L$4,2,FALSE()))/VLOOKUP($K343,Lists!$N$2:$O$6,2,FALSE()),2))</f>
        <v/>
      </c>
      <c r="M343" s="63"/>
      <c r="N343" s="63"/>
      <c r="O343" s="62"/>
      <c r="P343" s="63"/>
      <c r="Q343" s="65"/>
      <c r="R343" s="66" t="str">
        <f t="shared" ca="1" si="11"/>
        <v/>
      </c>
      <c r="S343" s="63"/>
      <c r="T343" s="65"/>
      <c r="U343" s="65"/>
      <c r="V343" s="62"/>
      <c r="W343" s="62"/>
      <c r="X343" s="62"/>
      <c r="Y343" s="58"/>
      <c r="Z343" s="58"/>
      <c r="AA343" s="58"/>
    </row>
    <row r="344" spans="1:27" ht="15.75" customHeight="1" x14ac:dyDescent="0.2">
      <c r="A344" s="61" t="str">
        <f t="shared" si="10"/>
        <v/>
      </c>
      <c r="B344" s="62"/>
      <c r="C344" s="62"/>
      <c r="D344" s="62"/>
      <c r="E344" s="62"/>
      <c r="F344" s="63"/>
      <c r="G344" s="63"/>
      <c r="H344" s="63"/>
      <c r="I344" s="63"/>
      <c r="J344" s="63"/>
      <c r="K344" s="63"/>
      <c r="L344" s="64" t="str">
        <f>IF(OR($B344="", $H344="", $I344="", $J344="", $K344=""),"",ROUND((VLOOKUP($H344,Lists!$E$2:$F$5,2,FALSE())*VLOOKUP($I344,Lists!$H$2:$I$4,2,FALSE())*VLOOKUP($J344,Lists!$K$2:$L$4,2,FALSE()))/VLOOKUP($K344,Lists!$N$2:$O$6,2,FALSE()),2))</f>
        <v/>
      </c>
      <c r="M344" s="63"/>
      <c r="N344" s="63"/>
      <c r="O344" s="62"/>
      <c r="P344" s="63"/>
      <c r="Q344" s="65"/>
      <c r="R344" s="66" t="str">
        <f t="shared" ca="1" si="11"/>
        <v/>
      </c>
      <c r="S344" s="63"/>
      <c r="T344" s="65"/>
      <c r="U344" s="65"/>
      <c r="V344" s="62"/>
      <c r="W344" s="62"/>
      <c r="X344" s="62"/>
      <c r="Y344" s="58"/>
      <c r="Z344" s="58"/>
      <c r="AA344" s="58"/>
    </row>
    <row r="345" spans="1:27" ht="15.75" customHeight="1" x14ac:dyDescent="0.2">
      <c r="A345" s="61" t="str">
        <f t="shared" si="10"/>
        <v/>
      </c>
      <c r="B345" s="62"/>
      <c r="C345" s="62"/>
      <c r="D345" s="62"/>
      <c r="E345" s="62"/>
      <c r="F345" s="63"/>
      <c r="G345" s="63"/>
      <c r="H345" s="63"/>
      <c r="I345" s="63"/>
      <c r="J345" s="63"/>
      <c r="K345" s="63"/>
      <c r="L345" s="64" t="str">
        <f>IF(OR($B345="", $H345="", $I345="", $J345="", $K345=""),"",ROUND((VLOOKUP($H345,Lists!$E$2:$F$5,2,FALSE())*VLOOKUP($I345,Lists!$H$2:$I$4,2,FALSE())*VLOOKUP($J345,Lists!$K$2:$L$4,2,FALSE()))/VLOOKUP($K345,Lists!$N$2:$O$6,2,FALSE()),2))</f>
        <v/>
      </c>
      <c r="M345" s="63"/>
      <c r="N345" s="63"/>
      <c r="O345" s="62"/>
      <c r="P345" s="63"/>
      <c r="Q345" s="65"/>
      <c r="R345" s="66" t="str">
        <f t="shared" ca="1" si="11"/>
        <v/>
      </c>
      <c r="S345" s="63"/>
      <c r="T345" s="65"/>
      <c r="U345" s="65"/>
      <c r="V345" s="62"/>
      <c r="W345" s="62"/>
      <c r="X345" s="62"/>
      <c r="Y345" s="58"/>
      <c r="Z345" s="58"/>
      <c r="AA345" s="58"/>
    </row>
    <row r="346" spans="1:27" ht="15.75" customHeight="1" x14ac:dyDescent="0.2">
      <c r="A346" s="61" t="str">
        <f t="shared" si="10"/>
        <v/>
      </c>
      <c r="B346" s="62"/>
      <c r="C346" s="62"/>
      <c r="D346" s="62"/>
      <c r="E346" s="62"/>
      <c r="F346" s="63"/>
      <c r="G346" s="63"/>
      <c r="H346" s="63"/>
      <c r="I346" s="63"/>
      <c r="J346" s="63"/>
      <c r="K346" s="63"/>
      <c r="L346" s="64" t="str">
        <f>IF(OR($B346="", $H346="", $I346="", $J346="", $K346=""),"",ROUND((VLOOKUP($H346,Lists!$E$2:$F$5,2,FALSE())*VLOOKUP($I346,Lists!$H$2:$I$4,2,FALSE())*VLOOKUP($J346,Lists!$K$2:$L$4,2,FALSE()))/VLOOKUP($K346,Lists!$N$2:$O$6,2,FALSE()),2))</f>
        <v/>
      </c>
      <c r="M346" s="63"/>
      <c r="N346" s="63"/>
      <c r="O346" s="62"/>
      <c r="P346" s="63"/>
      <c r="Q346" s="65"/>
      <c r="R346" s="66" t="str">
        <f t="shared" ca="1" si="11"/>
        <v/>
      </c>
      <c r="S346" s="63"/>
      <c r="T346" s="65"/>
      <c r="U346" s="65"/>
      <c r="V346" s="62"/>
      <c r="W346" s="62"/>
      <c r="X346" s="62"/>
      <c r="Y346" s="58"/>
      <c r="Z346" s="58"/>
      <c r="AA346" s="58"/>
    </row>
    <row r="347" spans="1:27" ht="15.75" customHeight="1" x14ac:dyDescent="0.2">
      <c r="A347" s="61" t="str">
        <f t="shared" si="10"/>
        <v/>
      </c>
      <c r="B347" s="62"/>
      <c r="C347" s="62"/>
      <c r="D347" s="62"/>
      <c r="E347" s="62"/>
      <c r="F347" s="63"/>
      <c r="G347" s="63"/>
      <c r="H347" s="63"/>
      <c r="I347" s="63"/>
      <c r="J347" s="63"/>
      <c r="K347" s="63"/>
      <c r="L347" s="64" t="str">
        <f>IF(OR($B347="", $H347="", $I347="", $J347="", $K347=""),"",ROUND((VLOOKUP($H347,Lists!$E$2:$F$5,2,FALSE())*VLOOKUP($I347,Lists!$H$2:$I$4,2,FALSE())*VLOOKUP($J347,Lists!$K$2:$L$4,2,FALSE()))/VLOOKUP($K347,Lists!$N$2:$O$6,2,FALSE()),2))</f>
        <v/>
      </c>
      <c r="M347" s="63"/>
      <c r="N347" s="63"/>
      <c r="O347" s="62"/>
      <c r="P347" s="63"/>
      <c r="Q347" s="65"/>
      <c r="R347" s="66" t="str">
        <f t="shared" ca="1" si="11"/>
        <v/>
      </c>
      <c r="S347" s="63"/>
      <c r="T347" s="65"/>
      <c r="U347" s="65"/>
      <c r="V347" s="62"/>
      <c r="W347" s="62"/>
      <c r="X347" s="62"/>
      <c r="Y347" s="58"/>
      <c r="Z347" s="58"/>
      <c r="AA347" s="58"/>
    </row>
    <row r="348" spans="1:27" ht="15.75" customHeight="1" x14ac:dyDescent="0.2">
      <c r="A348" s="61" t="str">
        <f t="shared" si="10"/>
        <v/>
      </c>
      <c r="B348" s="62"/>
      <c r="C348" s="62"/>
      <c r="D348" s="62"/>
      <c r="E348" s="62"/>
      <c r="F348" s="63"/>
      <c r="G348" s="63"/>
      <c r="H348" s="63"/>
      <c r="I348" s="63"/>
      <c r="J348" s="63"/>
      <c r="K348" s="63"/>
      <c r="L348" s="64" t="str">
        <f>IF(OR($B348="", $H348="", $I348="", $J348="", $K348=""),"",ROUND((VLOOKUP($H348,Lists!$E$2:$F$5,2,FALSE())*VLOOKUP($I348,Lists!$H$2:$I$4,2,FALSE())*VLOOKUP($J348,Lists!$K$2:$L$4,2,FALSE()))/VLOOKUP($K348,Lists!$N$2:$O$6,2,FALSE()),2))</f>
        <v/>
      </c>
      <c r="M348" s="63"/>
      <c r="N348" s="63"/>
      <c r="O348" s="62"/>
      <c r="P348" s="63"/>
      <c r="Q348" s="65"/>
      <c r="R348" s="66" t="str">
        <f t="shared" ca="1" si="11"/>
        <v/>
      </c>
      <c r="S348" s="63"/>
      <c r="T348" s="65"/>
      <c r="U348" s="65"/>
      <c r="V348" s="62"/>
      <c r="W348" s="62"/>
      <c r="X348" s="62"/>
      <c r="Y348" s="58"/>
      <c r="Z348" s="58"/>
      <c r="AA348" s="58"/>
    </row>
    <row r="349" spans="1:27" ht="15.75" customHeight="1" x14ac:dyDescent="0.2">
      <c r="A349" s="61" t="str">
        <f t="shared" si="10"/>
        <v/>
      </c>
      <c r="B349" s="62"/>
      <c r="C349" s="62"/>
      <c r="D349" s="62"/>
      <c r="E349" s="62"/>
      <c r="F349" s="63"/>
      <c r="G349" s="63"/>
      <c r="H349" s="63"/>
      <c r="I349" s="63"/>
      <c r="J349" s="63"/>
      <c r="K349" s="63"/>
      <c r="L349" s="64" t="str">
        <f>IF(OR($B349="", $H349="", $I349="", $J349="", $K349=""),"",ROUND((VLOOKUP($H349,Lists!$E$2:$F$5,2,FALSE())*VLOOKUP($I349,Lists!$H$2:$I$4,2,FALSE())*VLOOKUP($J349,Lists!$K$2:$L$4,2,FALSE()))/VLOOKUP($K349,Lists!$N$2:$O$6,2,FALSE()),2))</f>
        <v/>
      </c>
      <c r="M349" s="63"/>
      <c r="N349" s="63"/>
      <c r="O349" s="62"/>
      <c r="P349" s="63"/>
      <c r="Q349" s="65"/>
      <c r="R349" s="66" t="str">
        <f t="shared" ca="1" si="11"/>
        <v/>
      </c>
      <c r="S349" s="63"/>
      <c r="T349" s="65"/>
      <c r="U349" s="65"/>
      <c r="V349" s="62"/>
      <c r="W349" s="62"/>
      <c r="X349" s="62"/>
      <c r="Y349" s="58"/>
      <c r="Z349" s="58"/>
      <c r="AA349" s="58"/>
    </row>
    <row r="350" spans="1:27" ht="15.75" customHeight="1" x14ac:dyDescent="0.2">
      <c r="A350" s="61" t="str">
        <f t="shared" si="10"/>
        <v/>
      </c>
      <c r="B350" s="62"/>
      <c r="C350" s="62"/>
      <c r="D350" s="62"/>
      <c r="E350" s="62"/>
      <c r="F350" s="63"/>
      <c r="G350" s="63"/>
      <c r="H350" s="63"/>
      <c r="I350" s="63"/>
      <c r="J350" s="63"/>
      <c r="K350" s="63"/>
      <c r="L350" s="64" t="str">
        <f>IF(OR($B350="", $H350="", $I350="", $J350="", $K350=""),"",ROUND((VLOOKUP($H350,Lists!$E$2:$F$5,2,FALSE())*VLOOKUP($I350,Lists!$H$2:$I$4,2,FALSE())*VLOOKUP($J350,Lists!$K$2:$L$4,2,FALSE()))/VLOOKUP($K350,Lists!$N$2:$O$6,2,FALSE()),2))</f>
        <v/>
      </c>
      <c r="M350" s="63"/>
      <c r="N350" s="63"/>
      <c r="O350" s="62"/>
      <c r="P350" s="63"/>
      <c r="Q350" s="65"/>
      <c r="R350" s="66" t="str">
        <f t="shared" ca="1" si="11"/>
        <v/>
      </c>
      <c r="S350" s="63"/>
      <c r="T350" s="65"/>
      <c r="U350" s="65"/>
      <c r="V350" s="62"/>
      <c r="W350" s="62"/>
      <c r="X350" s="62"/>
      <c r="Y350" s="58"/>
      <c r="Z350" s="58"/>
      <c r="AA350" s="58"/>
    </row>
    <row r="351" spans="1:27" ht="15.75" customHeight="1" x14ac:dyDescent="0.2">
      <c r="A351" s="61" t="str">
        <f t="shared" si="10"/>
        <v/>
      </c>
      <c r="B351" s="62"/>
      <c r="C351" s="62"/>
      <c r="D351" s="62"/>
      <c r="E351" s="62"/>
      <c r="F351" s="63"/>
      <c r="G351" s="63"/>
      <c r="H351" s="63"/>
      <c r="I351" s="63"/>
      <c r="J351" s="63"/>
      <c r="K351" s="63"/>
      <c r="L351" s="64" t="str">
        <f>IF(OR($B351="", $H351="", $I351="", $J351="", $K351=""),"",ROUND((VLOOKUP($H351,Lists!$E$2:$F$5,2,FALSE())*VLOOKUP($I351,Lists!$H$2:$I$4,2,FALSE())*VLOOKUP($J351,Lists!$K$2:$L$4,2,FALSE()))/VLOOKUP($K351,Lists!$N$2:$O$6,2,FALSE()),2))</f>
        <v/>
      </c>
      <c r="M351" s="63"/>
      <c r="N351" s="63"/>
      <c r="O351" s="62"/>
      <c r="P351" s="63"/>
      <c r="Q351" s="65"/>
      <c r="R351" s="66" t="str">
        <f t="shared" ca="1" si="11"/>
        <v/>
      </c>
      <c r="S351" s="63"/>
      <c r="T351" s="65"/>
      <c r="U351" s="65"/>
      <c r="V351" s="62"/>
      <c r="W351" s="62"/>
      <c r="X351" s="62"/>
      <c r="Y351" s="58"/>
      <c r="Z351" s="58"/>
      <c r="AA351" s="58"/>
    </row>
    <row r="352" spans="1:27" ht="15.75" customHeight="1" x14ac:dyDescent="0.2">
      <c r="A352" s="61" t="str">
        <f t="shared" si="10"/>
        <v/>
      </c>
      <c r="B352" s="62"/>
      <c r="C352" s="62"/>
      <c r="D352" s="62"/>
      <c r="E352" s="62"/>
      <c r="F352" s="63"/>
      <c r="G352" s="63"/>
      <c r="H352" s="63"/>
      <c r="I352" s="63"/>
      <c r="J352" s="63"/>
      <c r="K352" s="63"/>
      <c r="L352" s="64" t="str">
        <f>IF(OR($B352="", $H352="", $I352="", $J352="", $K352=""),"",ROUND((VLOOKUP($H352,Lists!$E$2:$F$5,2,FALSE())*VLOOKUP($I352,Lists!$H$2:$I$4,2,FALSE())*VLOOKUP($J352,Lists!$K$2:$L$4,2,FALSE()))/VLOOKUP($K352,Lists!$N$2:$O$6,2,FALSE()),2))</f>
        <v/>
      </c>
      <c r="M352" s="63"/>
      <c r="N352" s="63"/>
      <c r="O352" s="62"/>
      <c r="P352" s="63"/>
      <c r="Q352" s="65"/>
      <c r="R352" s="66" t="str">
        <f t="shared" ca="1" si="11"/>
        <v/>
      </c>
      <c r="S352" s="63"/>
      <c r="T352" s="65"/>
      <c r="U352" s="65"/>
      <c r="V352" s="62"/>
      <c r="W352" s="62"/>
      <c r="X352" s="62"/>
      <c r="Y352" s="58"/>
      <c r="Z352" s="58"/>
      <c r="AA352" s="58"/>
    </row>
    <row r="353" spans="1:27" ht="15.75" customHeight="1" x14ac:dyDescent="0.2">
      <c r="A353" s="61" t="str">
        <f t="shared" si="10"/>
        <v/>
      </c>
      <c r="B353" s="62"/>
      <c r="C353" s="62"/>
      <c r="D353" s="62"/>
      <c r="E353" s="62"/>
      <c r="F353" s="63"/>
      <c r="G353" s="63"/>
      <c r="H353" s="63"/>
      <c r="I353" s="63"/>
      <c r="J353" s="63"/>
      <c r="K353" s="63"/>
      <c r="L353" s="64" t="str">
        <f>IF(OR($B353="", $H353="", $I353="", $J353="", $K353=""),"",ROUND((VLOOKUP($H353,Lists!$E$2:$F$5,2,FALSE())*VLOOKUP($I353,Lists!$H$2:$I$4,2,FALSE())*VLOOKUP($J353,Lists!$K$2:$L$4,2,FALSE()))/VLOOKUP($K353,Lists!$N$2:$O$6,2,FALSE()),2))</f>
        <v/>
      </c>
      <c r="M353" s="63"/>
      <c r="N353" s="63"/>
      <c r="O353" s="62"/>
      <c r="P353" s="63"/>
      <c r="Q353" s="65"/>
      <c r="R353" s="66" t="str">
        <f t="shared" ca="1" si="11"/>
        <v/>
      </c>
      <c r="S353" s="63"/>
      <c r="T353" s="65"/>
      <c r="U353" s="65"/>
      <c r="V353" s="62"/>
      <c r="W353" s="62"/>
      <c r="X353" s="62"/>
      <c r="Y353" s="58"/>
      <c r="Z353" s="58"/>
      <c r="AA353" s="58"/>
    </row>
    <row r="354" spans="1:27" ht="15.75" customHeight="1" x14ac:dyDescent="0.2">
      <c r="A354" s="61" t="str">
        <f t="shared" si="10"/>
        <v/>
      </c>
      <c r="B354" s="62"/>
      <c r="C354" s="62"/>
      <c r="D354" s="62"/>
      <c r="E354" s="62"/>
      <c r="F354" s="63"/>
      <c r="G354" s="63"/>
      <c r="H354" s="63"/>
      <c r="I354" s="63"/>
      <c r="J354" s="63"/>
      <c r="K354" s="63"/>
      <c r="L354" s="64" t="str">
        <f>IF(OR($B354="", $H354="", $I354="", $J354="", $K354=""),"",ROUND((VLOOKUP($H354,Lists!$E$2:$F$5,2,FALSE())*VLOOKUP($I354,Lists!$H$2:$I$4,2,FALSE())*VLOOKUP($J354,Lists!$K$2:$L$4,2,FALSE()))/VLOOKUP($K354,Lists!$N$2:$O$6,2,FALSE()),2))</f>
        <v/>
      </c>
      <c r="M354" s="63"/>
      <c r="N354" s="63"/>
      <c r="O354" s="62"/>
      <c r="P354" s="63"/>
      <c r="Q354" s="65"/>
      <c r="R354" s="66" t="str">
        <f t="shared" ca="1" si="11"/>
        <v/>
      </c>
      <c r="S354" s="63"/>
      <c r="T354" s="65"/>
      <c r="U354" s="65"/>
      <c r="V354" s="62"/>
      <c r="W354" s="62"/>
      <c r="X354" s="62"/>
      <c r="Y354" s="58"/>
      <c r="Z354" s="58"/>
      <c r="AA354" s="58"/>
    </row>
    <row r="355" spans="1:27" ht="15.75" customHeight="1" x14ac:dyDescent="0.2">
      <c r="A355" s="61" t="str">
        <f t="shared" si="10"/>
        <v/>
      </c>
      <c r="B355" s="62"/>
      <c r="C355" s="62"/>
      <c r="D355" s="62"/>
      <c r="E355" s="62"/>
      <c r="F355" s="63"/>
      <c r="G355" s="63"/>
      <c r="H355" s="63"/>
      <c r="I355" s="63"/>
      <c r="J355" s="63"/>
      <c r="K355" s="63"/>
      <c r="L355" s="64" t="str">
        <f>IF(OR($B355="", $H355="", $I355="", $J355="", $K355=""),"",ROUND((VLOOKUP($H355,Lists!$E$2:$F$5,2,FALSE())*VLOOKUP($I355,Lists!$H$2:$I$4,2,FALSE())*VLOOKUP($J355,Lists!$K$2:$L$4,2,FALSE()))/VLOOKUP($K355,Lists!$N$2:$O$6,2,FALSE()),2))</f>
        <v/>
      </c>
      <c r="M355" s="63"/>
      <c r="N355" s="63"/>
      <c r="O355" s="62"/>
      <c r="P355" s="63"/>
      <c r="Q355" s="65"/>
      <c r="R355" s="66" t="str">
        <f t="shared" ca="1" si="11"/>
        <v/>
      </c>
      <c r="S355" s="63"/>
      <c r="T355" s="65"/>
      <c r="U355" s="65"/>
      <c r="V355" s="62"/>
      <c r="W355" s="62"/>
      <c r="X355" s="62"/>
      <c r="Y355" s="58"/>
      <c r="Z355" s="58"/>
      <c r="AA355" s="58"/>
    </row>
    <row r="356" spans="1:27" ht="15.75" customHeight="1" x14ac:dyDescent="0.2">
      <c r="A356" s="61" t="str">
        <f t="shared" si="10"/>
        <v/>
      </c>
      <c r="B356" s="62"/>
      <c r="C356" s="62"/>
      <c r="D356" s="62"/>
      <c r="E356" s="62"/>
      <c r="F356" s="63"/>
      <c r="G356" s="63"/>
      <c r="H356" s="63"/>
      <c r="I356" s="63"/>
      <c r="J356" s="63"/>
      <c r="K356" s="63"/>
      <c r="L356" s="64" t="str">
        <f>IF(OR($B356="", $H356="", $I356="", $J356="", $K356=""),"",ROUND((VLOOKUP($H356,Lists!$E$2:$F$5,2,FALSE())*VLOOKUP($I356,Lists!$H$2:$I$4,2,FALSE())*VLOOKUP($J356,Lists!$K$2:$L$4,2,FALSE()))/VLOOKUP($K356,Lists!$N$2:$O$6,2,FALSE()),2))</f>
        <v/>
      </c>
      <c r="M356" s="63"/>
      <c r="N356" s="63"/>
      <c r="O356" s="62"/>
      <c r="P356" s="63"/>
      <c r="Q356" s="65"/>
      <c r="R356" s="66" t="str">
        <f t="shared" ca="1" si="11"/>
        <v/>
      </c>
      <c r="S356" s="63"/>
      <c r="T356" s="65"/>
      <c r="U356" s="65"/>
      <c r="V356" s="62"/>
      <c r="W356" s="62"/>
      <c r="X356" s="62"/>
      <c r="Y356" s="58"/>
      <c r="Z356" s="58"/>
      <c r="AA356" s="58"/>
    </row>
    <row r="357" spans="1:27" ht="15.75" customHeight="1" x14ac:dyDescent="0.2">
      <c r="A357" s="61" t="str">
        <f t="shared" si="10"/>
        <v/>
      </c>
      <c r="B357" s="62"/>
      <c r="C357" s="62"/>
      <c r="D357" s="62"/>
      <c r="E357" s="62"/>
      <c r="F357" s="63"/>
      <c r="G357" s="63"/>
      <c r="H357" s="63"/>
      <c r="I357" s="63"/>
      <c r="J357" s="63"/>
      <c r="K357" s="63"/>
      <c r="L357" s="64" t="str">
        <f>IF(OR($B357="", $H357="", $I357="", $J357="", $K357=""),"",ROUND((VLOOKUP($H357,Lists!$E$2:$F$5,2,FALSE())*VLOOKUP($I357,Lists!$H$2:$I$4,2,FALSE())*VLOOKUP($J357,Lists!$K$2:$L$4,2,FALSE()))/VLOOKUP($K357,Lists!$N$2:$O$6,2,FALSE()),2))</f>
        <v/>
      </c>
      <c r="M357" s="63"/>
      <c r="N357" s="63"/>
      <c r="O357" s="62"/>
      <c r="P357" s="63"/>
      <c r="Q357" s="65"/>
      <c r="R357" s="66" t="str">
        <f t="shared" ca="1" si="11"/>
        <v/>
      </c>
      <c r="S357" s="63"/>
      <c r="T357" s="65"/>
      <c r="U357" s="65"/>
      <c r="V357" s="62"/>
      <c r="W357" s="62"/>
      <c r="X357" s="62"/>
      <c r="Y357" s="58"/>
      <c r="Z357" s="58"/>
      <c r="AA357" s="58"/>
    </row>
    <row r="358" spans="1:27" ht="15.75" customHeight="1" x14ac:dyDescent="0.2">
      <c r="A358" s="61" t="str">
        <f t="shared" si="10"/>
        <v/>
      </c>
      <c r="B358" s="62"/>
      <c r="C358" s="62"/>
      <c r="D358" s="62"/>
      <c r="E358" s="62"/>
      <c r="F358" s="63"/>
      <c r="G358" s="63"/>
      <c r="H358" s="63"/>
      <c r="I358" s="63"/>
      <c r="J358" s="63"/>
      <c r="K358" s="63"/>
      <c r="L358" s="64" t="str">
        <f>IF(OR($B358="", $H358="", $I358="", $J358="", $K358=""),"",ROUND((VLOOKUP($H358,Lists!$E$2:$F$5,2,FALSE())*VLOOKUP($I358,Lists!$H$2:$I$4,2,FALSE())*VLOOKUP($J358,Lists!$K$2:$L$4,2,FALSE()))/VLOOKUP($K358,Lists!$N$2:$O$6,2,FALSE()),2))</f>
        <v/>
      </c>
      <c r="M358" s="63"/>
      <c r="N358" s="63"/>
      <c r="O358" s="62"/>
      <c r="P358" s="63"/>
      <c r="Q358" s="65"/>
      <c r="R358" s="66" t="str">
        <f t="shared" ca="1" si="11"/>
        <v/>
      </c>
      <c r="S358" s="63"/>
      <c r="T358" s="65"/>
      <c r="U358" s="65"/>
      <c r="V358" s="62"/>
      <c r="W358" s="62"/>
      <c r="X358" s="62"/>
      <c r="Y358" s="58"/>
      <c r="Z358" s="58"/>
      <c r="AA358" s="58"/>
    </row>
    <row r="359" spans="1:27" ht="15.75" customHeight="1" x14ac:dyDescent="0.2">
      <c r="A359" s="61" t="str">
        <f t="shared" si="10"/>
        <v/>
      </c>
      <c r="B359" s="62"/>
      <c r="C359" s="62"/>
      <c r="D359" s="62"/>
      <c r="E359" s="62"/>
      <c r="F359" s="63"/>
      <c r="G359" s="63"/>
      <c r="H359" s="63"/>
      <c r="I359" s="63"/>
      <c r="J359" s="63"/>
      <c r="K359" s="63"/>
      <c r="L359" s="64" t="str">
        <f>IF(OR($B359="", $H359="", $I359="", $J359="", $K359=""),"",ROUND((VLOOKUP($H359,Lists!$E$2:$F$5,2,FALSE())*VLOOKUP($I359,Lists!$H$2:$I$4,2,FALSE())*VLOOKUP($J359,Lists!$K$2:$L$4,2,FALSE()))/VLOOKUP($K359,Lists!$N$2:$O$6,2,FALSE()),2))</f>
        <v/>
      </c>
      <c r="M359" s="63"/>
      <c r="N359" s="63"/>
      <c r="O359" s="62"/>
      <c r="P359" s="63"/>
      <c r="Q359" s="65"/>
      <c r="R359" s="66" t="str">
        <f t="shared" ca="1" si="11"/>
        <v/>
      </c>
      <c r="S359" s="63"/>
      <c r="T359" s="65"/>
      <c r="U359" s="65"/>
      <c r="V359" s="62"/>
      <c r="W359" s="62"/>
      <c r="X359" s="62"/>
      <c r="Y359" s="58"/>
      <c r="Z359" s="58"/>
      <c r="AA359" s="58"/>
    </row>
    <row r="360" spans="1:27" ht="15.75" customHeight="1" x14ac:dyDescent="0.2">
      <c r="A360" s="61" t="str">
        <f t="shared" si="10"/>
        <v/>
      </c>
      <c r="B360" s="62"/>
      <c r="C360" s="62"/>
      <c r="D360" s="62"/>
      <c r="E360" s="62"/>
      <c r="F360" s="63"/>
      <c r="G360" s="63"/>
      <c r="H360" s="63"/>
      <c r="I360" s="63"/>
      <c r="J360" s="63"/>
      <c r="K360" s="63"/>
      <c r="L360" s="64" t="str">
        <f>IF(OR($B360="", $H360="", $I360="", $J360="", $K360=""),"",ROUND((VLOOKUP($H360,Lists!$E$2:$F$5,2,FALSE())*VLOOKUP($I360,Lists!$H$2:$I$4,2,FALSE())*VLOOKUP($J360,Lists!$K$2:$L$4,2,FALSE()))/VLOOKUP($K360,Lists!$N$2:$O$6,2,FALSE()),2))</f>
        <v/>
      </c>
      <c r="M360" s="63"/>
      <c r="N360" s="63"/>
      <c r="O360" s="62"/>
      <c r="P360" s="63"/>
      <c r="Q360" s="65"/>
      <c r="R360" s="66" t="str">
        <f t="shared" ca="1" si="11"/>
        <v/>
      </c>
      <c r="S360" s="63"/>
      <c r="T360" s="65"/>
      <c r="U360" s="65"/>
      <c r="V360" s="62"/>
      <c r="W360" s="62"/>
      <c r="X360" s="62"/>
      <c r="Y360" s="58"/>
      <c r="Z360" s="58"/>
      <c r="AA360" s="58"/>
    </row>
    <row r="361" spans="1:27" ht="15.75" customHeight="1" x14ac:dyDescent="0.2">
      <c r="A361" s="61" t="str">
        <f t="shared" si="10"/>
        <v/>
      </c>
      <c r="B361" s="62"/>
      <c r="C361" s="62"/>
      <c r="D361" s="62"/>
      <c r="E361" s="62"/>
      <c r="F361" s="63"/>
      <c r="G361" s="63"/>
      <c r="H361" s="63"/>
      <c r="I361" s="63"/>
      <c r="J361" s="63"/>
      <c r="K361" s="63"/>
      <c r="L361" s="64" t="str">
        <f>IF(OR($B361="", $H361="", $I361="", $J361="", $K361=""),"",ROUND((VLOOKUP($H361,Lists!$E$2:$F$5,2,FALSE())*VLOOKUP($I361,Lists!$H$2:$I$4,2,FALSE())*VLOOKUP($J361,Lists!$K$2:$L$4,2,FALSE()))/VLOOKUP($K361,Lists!$N$2:$O$6,2,FALSE()),2))</f>
        <v/>
      </c>
      <c r="M361" s="63"/>
      <c r="N361" s="63"/>
      <c r="O361" s="62"/>
      <c r="P361" s="63"/>
      <c r="Q361" s="65"/>
      <c r="R361" s="66" t="str">
        <f t="shared" ca="1" si="11"/>
        <v/>
      </c>
      <c r="S361" s="63"/>
      <c r="T361" s="65"/>
      <c r="U361" s="65"/>
      <c r="V361" s="62"/>
      <c r="W361" s="62"/>
      <c r="X361" s="62"/>
      <c r="Y361" s="58"/>
      <c r="Z361" s="58"/>
      <c r="AA361" s="58"/>
    </row>
    <row r="362" spans="1:27" ht="15.75" customHeight="1" x14ac:dyDescent="0.2">
      <c r="A362" s="61" t="str">
        <f t="shared" si="10"/>
        <v/>
      </c>
      <c r="B362" s="62"/>
      <c r="C362" s="62"/>
      <c r="D362" s="62"/>
      <c r="E362" s="62"/>
      <c r="F362" s="63"/>
      <c r="G362" s="63"/>
      <c r="H362" s="63"/>
      <c r="I362" s="63"/>
      <c r="J362" s="63"/>
      <c r="K362" s="63"/>
      <c r="L362" s="64" t="str">
        <f>IF(OR($B362="", $H362="", $I362="", $J362="", $K362=""),"",ROUND((VLOOKUP($H362,Lists!$E$2:$F$5,2,FALSE())*VLOOKUP($I362,Lists!$H$2:$I$4,2,FALSE())*VLOOKUP($J362,Lists!$K$2:$L$4,2,FALSE()))/VLOOKUP($K362,Lists!$N$2:$O$6,2,FALSE()),2))</f>
        <v/>
      </c>
      <c r="M362" s="63"/>
      <c r="N362" s="63"/>
      <c r="O362" s="62"/>
      <c r="P362" s="63"/>
      <c r="Q362" s="65"/>
      <c r="R362" s="66" t="str">
        <f t="shared" ca="1" si="11"/>
        <v/>
      </c>
      <c r="S362" s="63"/>
      <c r="T362" s="65"/>
      <c r="U362" s="65"/>
      <c r="V362" s="62"/>
      <c r="W362" s="62"/>
      <c r="X362" s="62"/>
      <c r="Y362" s="58"/>
      <c r="Z362" s="58"/>
      <c r="AA362" s="58"/>
    </row>
    <row r="363" spans="1:27" ht="15.75" customHeight="1" x14ac:dyDescent="0.2">
      <c r="A363" s="61" t="str">
        <f t="shared" si="10"/>
        <v/>
      </c>
      <c r="B363" s="62"/>
      <c r="C363" s="62"/>
      <c r="D363" s="62"/>
      <c r="E363" s="62"/>
      <c r="F363" s="63"/>
      <c r="G363" s="63"/>
      <c r="H363" s="63"/>
      <c r="I363" s="63"/>
      <c r="J363" s="63"/>
      <c r="K363" s="63"/>
      <c r="L363" s="64" t="str">
        <f>IF(OR($B363="", $H363="", $I363="", $J363="", $K363=""),"",ROUND((VLOOKUP($H363,Lists!$E$2:$F$5,2,FALSE())*VLOOKUP($I363,Lists!$H$2:$I$4,2,FALSE())*VLOOKUP($J363,Lists!$K$2:$L$4,2,FALSE()))/VLOOKUP($K363,Lists!$N$2:$O$6,2,FALSE()),2))</f>
        <v/>
      </c>
      <c r="M363" s="63"/>
      <c r="N363" s="63"/>
      <c r="O363" s="62"/>
      <c r="P363" s="63"/>
      <c r="Q363" s="65"/>
      <c r="R363" s="66" t="str">
        <f t="shared" ca="1" si="11"/>
        <v/>
      </c>
      <c r="S363" s="63"/>
      <c r="T363" s="65"/>
      <c r="U363" s="65"/>
      <c r="V363" s="62"/>
      <c r="W363" s="62"/>
      <c r="X363" s="62"/>
      <c r="Y363" s="58"/>
      <c r="Z363" s="58"/>
      <c r="AA363" s="58"/>
    </row>
    <row r="364" spans="1:27" ht="15.75" customHeight="1" x14ac:dyDescent="0.2">
      <c r="A364" s="61" t="str">
        <f t="shared" si="10"/>
        <v/>
      </c>
      <c r="B364" s="62"/>
      <c r="C364" s="62"/>
      <c r="D364" s="62"/>
      <c r="E364" s="62"/>
      <c r="F364" s="63"/>
      <c r="G364" s="63"/>
      <c r="H364" s="63"/>
      <c r="I364" s="63"/>
      <c r="J364" s="63"/>
      <c r="K364" s="63"/>
      <c r="L364" s="64" t="str">
        <f>IF(OR($B364="", $H364="", $I364="", $J364="", $K364=""),"",ROUND((VLOOKUP($H364,Lists!$E$2:$F$5,2,FALSE())*VLOOKUP($I364,Lists!$H$2:$I$4,2,FALSE())*VLOOKUP($J364,Lists!$K$2:$L$4,2,FALSE()))/VLOOKUP($K364,Lists!$N$2:$O$6,2,FALSE()),2))</f>
        <v/>
      </c>
      <c r="M364" s="63"/>
      <c r="N364" s="63"/>
      <c r="O364" s="62"/>
      <c r="P364" s="63"/>
      <c r="Q364" s="65"/>
      <c r="R364" s="66" t="str">
        <f t="shared" ca="1" si="11"/>
        <v/>
      </c>
      <c r="S364" s="63"/>
      <c r="T364" s="65"/>
      <c r="U364" s="65"/>
      <c r="V364" s="62"/>
      <c r="W364" s="62"/>
      <c r="X364" s="62"/>
      <c r="Y364" s="58"/>
      <c r="Z364" s="58"/>
      <c r="AA364" s="58"/>
    </row>
    <row r="365" spans="1:27" ht="15.75" customHeight="1" x14ac:dyDescent="0.2">
      <c r="A365" s="61" t="str">
        <f t="shared" si="10"/>
        <v/>
      </c>
      <c r="B365" s="62"/>
      <c r="C365" s="62"/>
      <c r="D365" s="62"/>
      <c r="E365" s="62"/>
      <c r="F365" s="63"/>
      <c r="G365" s="63"/>
      <c r="H365" s="63"/>
      <c r="I365" s="63"/>
      <c r="J365" s="63"/>
      <c r="K365" s="63"/>
      <c r="L365" s="64" t="str">
        <f>IF(OR($B365="", $H365="", $I365="", $J365="", $K365=""),"",ROUND((VLOOKUP($H365,Lists!$E$2:$F$5,2,FALSE())*VLOOKUP($I365,Lists!$H$2:$I$4,2,FALSE())*VLOOKUP($J365,Lists!$K$2:$L$4,2,FALSE()))/VLOOKUP($K365,Lists!$N$2:$O$6,2,FALSE()),2))</f>
        <v/>
      </c>
      <c r="M365" s="63"/>
      <c r="N365" s="63"/>
      <c r="O365" s="62"/>
      <c r="P365" s="63"/>
      <c r="Q365" s="65"/>
      <c r="R365" s="66" t="str">
        <f t="shared" ca="1" si="11"/>
        <v/>
      </c>
      <c r="S365" s="63"/>
      <c r="T365" s="65"/>
      <c r="U365" s="65"/>
      <c r="V365" s="62"/>
      <c r="W365" s="62"/>
      <c r="X365" s="62"/>
      <c r="Y365" s="58"/>
      <c r="Z365" s="58"/>
      <c r="AA365" s="58"/>
    </row>
    <row r="366" spans="1:27" ht="15.75" customHeight="1" x14ac:dyDescent="0.2">
      <c r="A366" s="61" t="str">
        <f t="shared" si="10"/>
        <v/>
      </c>
      <c r="B366" s="62"/>
      <c r="C366" s="62"/>
      <c r="D366" s="62"/>
      <c r="E366" s="62"/>
      <c r="F366" s="63"/>
      <c r="G366" s="63"/>
      <c r="H366" s="63"/>
      <c r="I366" s="63"/>
      <c r="J366" s="63"/>
      <c r="K366" s="63"/>
      <c r="L366" s="64" t="str">
        <f>IF(OR($B366="", $H366="", $I366="", $J366="", $K366=""),"",ROUND((VLOOKUP($H366,Lists!$E$2:$F$5,2,FALSE())*VLOOKUP($I366,Lists!$H$2:$I$4,2,FALSE())*VLOOKUP($J366,Lists!$K$2:$L$4,2,FALSE()))/VLOOKUP($K366,Lists!$N$2:$O$6,2,FALSE()),2))</f>
        <v/>
      </c>
      <c r="M366" s="63"/>
      <c r="N366" s="63"/>
      <c r="O366" s="62"/>
      <c r="P366" s="63"/>
      <c r="Q366" s="65"/>
      <c r="R366" s="66" t="str">
        <f t="shared" ca="1" si="11"/>
        <v/>
      </c>
      <c r="S366" s="63"/>
      <c r="T366" s="65"/>
      <c r="U366" s="65"/>
      <c r="V366" s="62"/>
      <c r="W366" s="62"/>
      <c r="X366" s="62"/>
      <c r="Y366" s="58"/>
      <c r="Z366" s="58"/>
      <c r="AA366" s="58"/>
    </row>
    <row r="367" spans="1:27" ht="15.75" customHeight="1" x14ac:dyDescent="0.2">
      <c r="A367" s="61" t="str">
        <f t="shared" si="10"/>
        <v/>
      </c>
      <c r="B367" s="62"/>
      <c r="C367" s="62"/>
      <c r="D367" s="62"/>
      <c r="E367" s="62"/>
      <c r="F367" s="63"/>
      <c r="G367" s="63"/>
      <c r="H367" s="63"/>
      <c r="I367" s="63"/>
      <c r="J367" s="63"/>
      <c r="K367" s="63"/>
      <c r="L367" s="64" t="str">
        <f>IF(OR($B367="", $H367="", $I367="", $J367="", $K367=""),"",ROUND((VLOOKUP($H367,Lists!$E$2:$F$5,2,FALSE())*VLOOKUP($I367,Lists!$H$2:$I$4,2,FALSE())*VLOOKUP($J367,Lists!$K$2:$L$4,2,FALSE()))/VLOOKUP($K367,Lists!$N$2:$O$6,2,FALSE()),2))</f>
        <v/>
      </c>
      <c r="M367" s="63"/>
      <c r="N367" s="63"/>
      <c r="O367" s="62"/>
      <c r="P367" s="63"/>
      <c r="Q367" s="65"/>
      <c r="R367" s="66" t="str">
        <f t="shared" ca="1" si="11"/>
        <v/>
      </c>
      <c r="S367" s="63"/>
      <c r="T367" s="65"/>
      <c r="U367" s="65"/>
      <c r="V367" s="62"/>
      <c r="W367" s="62"/>
      <c r="X367" s="62"/>
      <c r="Y367" s="58"/>
      <c r="Z367" s="58"/>
      <c r="AA367" s="58"/>
    </row>
    <row r="368" spans="1:27" ht="15.75" customHeight="1" x14ac:dyDescent="0.2">
      <c r="A368" s="61" t="str">
        <f t="shared" si="10"/>
        <v/>
      </c>
      <c r="B368" s="62"/>
      <c r="C368" s="62"/>
      <c r="D368" s="62"/>
      <c r="E368" s="62"/>
      <c r="F368" s="63"/>
      <c r="G368" s="63"/>
      <c r="H368" s="63"/>
      <c r="I368" s="63"/>
      <c r="J368" s="63"/>
      <c r="K368" s="63"/>
      <c r="L368" s="64" t="str">
        <f>IF(OR($B368="", $H368="", $I368="", $J368="", $K368=""),"",ROUND((VLOOKUP($H368,Lists!$E$2:$F$5,2,FALSE())*VLOOKUP($I368,Lists!$H$2:$I$4,2,FALSE())*VLOOKUP($J368,Lists!$K$2:$L$4,2,FALSE()))/VLOOKUP($K368,Lists!$N$2:$O$6,2,FALSE()),2))</f>
        <v/>
      </c>
      <c r="M368" s="63"/>
      <c r="N368" s="63"/>
      <c r="O368" s="62"/>
      <c r="P368" s="63"/>
      <c r="Q368" s="65"/>
      <c r="R368" s="66" t="str">
        <f t="shared" ca="1" si="11"/>
        <v/>
      </c>
      <c r="S368" s="63"/>
      <c r="T368" s="65"/>
      <c r="U368" s="65"/>
      <c r="V368" s="62"/>
      <c r="W368" s="62"/>
      <c r="X368" s="62"/>
      <c r="Y368" s="58"/>
      <c r="Z368" s="58"/>
      <c r="AA368" s="58"/>
    </row>
    <row r="369" spans="1:27" ht="15.75" customHeight="1" x14ac:dyDescent="0.2">
      <c r="A369" s="61" t="str">
        <f t="shared" si="10"/>
        <v/>
      </c>
      <c r="B369" s="62"/>
      <c r="C369" s="62"/>
      <c r="D369" s="62"/>
      <c r="E369" s="62"/>
      <c r="F369" s="63"/>
      <c r="G369" s="63"/>
      <c r="H369" s="63"/>
      <c r="I369" s="63"/>
      <c r="J369" s="63"/>
      <c r="K369" s="63"/>
      <c r="L369" s="64" t="str">
        <f>IF(OR($B369="", $H369="", $I369="", $J369="", $K369=""),"",ROUND((VLOOKUP($H369,Lists!$E$2:$F$5,2,FALSE())*VLOOKUP($I369,Lists!$H$2:$I$4,2,FALSE())*VLOOKUP($J369,Lists!$K$2:$L$4,2,FALSE()))/VLOOKUP($K369,Lists!$N$2:$O$6,2,FALSE()),2))</f>
        <v/>
      </c>
      <c r="M369" s="63"/>
      <c r="N369" s="63"/>
      <c r="O369" s="62"/>
      <c r="P369" s="63"/>
      <c r="Q369" s="65"/>
      <c r="R369" s="66" t="str">
        <f t="shared" ca="1" si="11"/>
        <v/>
      </c>
      <c r="S369" s="63"/>
      <c r="T369" s="65"/>
      <c r="U369" s="65"/>
      <c r="V369" s="62"/>
      <c r="W369" s="62"/>
      <c r="X369" s="62"/>
      <c r="Y369" s="58"/>
      <c r="Z369" s="58"/>
      <c r="AA369" s="58"/>
    </row>
    <row r="370" spans="1:27" ht="15.75" customHeight="1" x14ac:dyDescent="0.2">
      <c r="A370" s="61" t="str">
        <f t="shared" si="10"/>
        <v/>
      </c>
      <c r="B370" s="62"/>
      <c r="C370" s="62"/>
      <c r="D370" s="62"/>
      <c r="E370" s="62"/>
      <c r="F370" s="63"/>
      <c r="G370" s="63"/>
      <c r="H370" s="63"/>
      <c r="I370" s="63"/>
      <c r="J370" s="63"/>
      <c r="K370" s="63"/>
      <c r="L370" s="64" t="str">
        <f>IF(OR($B370="", $H370="", $I370="", $J370="", $K370=""),"",ROUND((VLOOKUP($H370,Lists!$E$2:$F$5,2,FALSE())*VLOOKUP($I370,Lists!$H$2:$I$4,2,FALSE())*VLOOKUP($J370,Lists!$K$2:$L$4,2,FALSE()))/VLOOKUP($K370,Lists!$N$2:$O$6,2,FALSE()),2))</f>
        <v/>
      </c>
      <c r="M370" s="63"/>
      <c r="N370" s="63"/>
      <c r="O370" s="62"/>
      <c r="P370" s="63"/>
      <c r="Q370" s="65"/>
      <c r="R370" s="66" t="str">
        <f t="shared" ca="1" si="11"/>
        <v/>
      </c>
      <c r="S370" s="63"/>
      <c r="T370" s="65"/>
      <c r="U370" s="65"/>
      <c r="V370" s="62"/>
      <c r="W370" s="62"/>
      <c r="X370" s="62"/>
      <c r="Y370" s="58"/>
      <c r="Z370" s="58"/>
      <c r="AA370" s="58"/>
    </row>
    <row r="371" spans="1:27" ht="15.75" customHeight="1" x14ac:dyDescent="0.2">
      <c r="A371" s="61" t="str">
        <f t="shared" si="10"/>
        <v/>
      </c>
      <c r="B371" s="62"/>
      <c r="C371" s="62"/>
      <c r="D371" s="62"/>
      <c r="E371" s="62"/>
      <c r="F371" s="63"/>
      <c r="G371" s="63"/>
      <c r="H371" s="63"/>
      <c r="I371" s="63"/>
      <c r="J371" s="63"/>
      <c r="K371" s="63"/>
      <c r="L371" s="64" t="str">
        <f>IF(OR($B371="", $H371="", $I371="", $J371="", $K371=""),"",ROUND((VLOOKUP($H371,Lists!$E$2:$F$5,2,FALSE())*VLOOKUP($I371,Lists!$H$2:$I$4,2,FALSE())*VLOOKUP($J371,Lists!$K$2:$L$4,2,FALSE()))/VLOOKUP($K371,Lists!$N$2:$O$6,2,FALSE()),2))</f>
        <v/>
      </c>
      <c r="M371" s="63"/>
      <c r="N371" s="63"/>
      <c r="O371" s="62"/>
      <c r="P371" s="63"/>
      <c r="Q371" s="65"/>
      <c r="R371" s="66" t="str">
        <f t="shared" ca="1" si="11"/>
        <v/>
      </c>
      <c r="S371" s="63"/>
      <c r="T371" s="65"/>
      <c r="U371" s="65"/>
      <c r="V371" s="62"/>
      <c r="W371" s="62"/>
      <c r="X371" s="62"/>
      <c r="Y371" s="58"/>
      <c r="Z371" s="58"/>
      <c r="AA371" s="58"/>
    </row>
    <row r="372" spans="1:27" ht="15.75" customHeight="1" x14ac:dyDescent="0.2">
      <c r="A372" s="61" t="str">
        <f t="shared" si="10"/>
        <v/>
      </c>
      <c r="B372" s="62"/>
      <c r="C372" s="62"/>
      <c r="D372" s="62"/>
      <c r="E372" s="62"/>
      <c r="F372" s="63"/>
      <c r="G372" s="63"/>
      <c r="H372" s="63"/>
      <c r="I372" s="63"/>
      <c r="J372" s="63"/>
      <c r="K372" s="63"/>
      <c r="L372" s="64" t="str">
        <f>IF(OR($B372="", $H372="", $I372="", $J372="", $K372=""),"",ROUND((VLOOKUP($H372,Lists!$E$2:$F$5,2,FALSE())*VLOOKUP($I372,Lists!$H$2:$I$4,2,FALSE())*VLOOKUP($J372,Lists!$K$2:$L$4,2,FALSE()))/VLOOKUP($K372,Lists!$N$2:$O$6,2,FALSE()),2))</f>
        <v/>
      </c>
      <c r="M372" s="63"/>
      <c r="N372" s="63"/>
      <c r="O372" s="62"/>
      <c r="P372" s="63"/>
      <c r="Q372" s="65"/>
      <c r="R372" s="66" t="str">
        <f t="shared" ca="1" si="11"/>
        <v/>
      </c>
      <c r="S372" s="63"/>
      <c r="T372" s="65"/>
      <c r="U372" s="65"/>
      <c r="V372" s="62"/>
      <c r="W372" s="62"/>
      <c r="X372" s="62"/>
      <c r="Y372" s="58"/>
      <c r="Z372" s="58"/>
      <c r="AA372" s="58"/>
    </row>
    <row r="373" spans="1:27" ht="15.75" customHeight="1" x14ac:dyDescent="0.2">
      <c r="A373" s="61" t="str">
        <f t="shared" si="10"/>
        <v/>
      </c>
      <c r="B373" s="62"/>
      <c r="C373" s="62"/>
      <c r="D373" s="62"/>
      <c r="E373" s="62"/>
      <c r="F373" s="63"/>
      <c r="G373" s="63"/>
      <c r="H373" s="63"/>
      <c r="I373" s="63"/>
      <c r="J373" s="63"/>
      <c r="K373" s="63"/>
      <c r="L373" s="64" t="str">
        <f>IF(OR($B373="", $H373="", $I373="", $J373="", $K373=""),"",ROUND((VLOOKUP($H373,Lists!$E$2:$F$5,2,FALSE())*VLOOKUP($I373,Lists!$H$2:$I$4,2,FALSE())*VLOOKUP($J373,Lists!$K$2:$L$4,2,FALSE()))/VLOOKUP($K373,Lists!$N$2:$O$6,2,FALSE()),2))</f>
        <v/>
      </c>
      <c r="M373" s="63"/>
      <c r="N373" s="63"/>
      <c r="O373" s="62"/>
      <c r="P373" s="63"/>
      <c r="Q373" s="65"/>
      <c r="R373" s="66" t="str">
        <f t="shared" ca="1" si="11"/>
        <v/>
      </c>
      <c r="S373" s="63"/>
      <c r="T373" s="65"/>
      <c r="U373" s="65"/>
      <c r="V373" s="62"/>
      <c r="W373" s="62"/>
      <c r="X373" s="62"/>
      <c r="Y373" s="58"/>
      <c r="Z373" s="58"/>
      <c r="AA373" s="58"/>
    </row>
    <row r="374" spans="1:27" ht="15.75" customHeight="1" x14ac:dyDescent="0.2">
      <c r="A374" s="61" t="str">
        <f t="shared" si="10"/>
        <v/>
      </c>
      <c r="B374" s="62"/>
      <c r="C374" s="62"/>
      <c r="D374" s="62"/>
      <c r="E374" s="62"/>
      <c r="F374" s="63"/>
      <c r="G374" s="63"/>
      <c r="H374" s="63"/>
      <c r="I374" s="63"/>
      <c r="J374" s="63"/>
      <c r="K374" s="63"/>
      <c r="L374" s="64" t="str">
        <f>IF(OR($B374="", $H374="", $I374="", $J374="", $K374=""),"",ROUND((VLOOKUP($H374,Lists!$E$2:$F$5,2,FALSE())*VLOOKUP($I374,Lists!$H$2:$I$4,2,FALSE())*VLOOKUP($J374,Lists!$K$2:$L$4,2,FALSE()))/VLOOKUP($K374,Lists!$N$2:$O$6,2,FALSE()),2))</f>
        <v/>
      </c>
      <c r="M374" s="63"/>
      <c r="N374" s="63"/>
      <c r="O374" s="62"/>
      <c r="P374" s="63"/>
      <c r="Q374" s="65"/>
      <c r="R374" s="66" t="str">
        <f t="shared" ca="1" si="11"/>
        <v/>
      </c>
      <c r="S374" s="63"/>
      <c r="T374" s="65"/>
      <c r="U374" s="65"/>
      <c r="V374" s="62"/>
      <c r="W374" s="62"/>
      <c r="X374" s="62"/>
      <c r="Y374" s="58"/>
      <c r="Z374" s="58"/>
      <c r="AA374" s="58"/>
    </row>
    <row r="375" spans="1:27" ht="15.75" customHeight="1" x14ac:dyDescent="0.2">
      <c r="A375" s="61" t="str">
        <f t="shared" si="10"/>
        <v/>
      </c>
      <c r="B375" s="62"/>
      <c r="C375" s="62"/>
      <c r="D375" s="62"/>
      <c r="E375" s="62"/>
      <c r="F375" s="63"/>
      <c r="G375" s="63"/>
      <c r="H375" s="63"/>
      <c r="I375" s="63"/>
      <c r="J375" s="63"/>
      <c r="K375" s="63"/>
      <c r="L375" s="64" t="str">
        <f>IF(OR($B375="", $H375="", $I375="", $J375="", $K375=""),"",ROUND((VLOOKUP($H375,Lists!$E$2:$F$5,2,FALSE())*VLOOKUP($I375,Lists!$H$2:$I$4,2,FALSE())*VLOOKUP($J375,Lists!$K$2:$L$4,2,FALSE()))/VLOOKUP($K375,Lists!$N$2:$O$6,2,FALSE()),2))</f>
        <v/>
      </c>
      <c r="M375" s="63"/>
      <c r="N375" s="63"/>
      <c r="O375" s="62"/>
      <c r="P375" s="63"/>
      <c r="Q375" s="65"/>
      <c r="R375" s="66" t="str">
        <f t="shared" ca="1" si="11"/>
        <v/>
      </c>
      <c r="S375" s="63"/>
      <c r="T375" s="65"/>
      <c r="U375" s="65"/>
      <c r="V375" s="62"/>
      <c r="W375" s="62"/>
      <c r="X375" s="62"/>
      <c r="Y375" s="58"/>
      <c r="Z375" s="58"/>
      <c r="AA375" s="58"/>
    </row>
    <row r="376" spans="1:27" ht="15.75" customHeight="1" x14ac:dyDescent="0.2">
      <c r="A376" s="61" t="str">
        <f t="shared" si="10"/>
        <v/>
      </c>
      <c r="B376" s="62"/>
      <c r="C376" s="62"/>
      <c r="D376" s="62"/>
      <c r="E376" s="62"/>
      <c r="F376" s="63"/>
      <c r="G376" s="63"/>
      <c r="H376" s="63"/>
      <c r="I376" s="63"/>
      <c r="J376" s="63"/>
      <c r="K376" s="63"/>
      <c r="L376" s="64" t="str">
        <f>IF(OR($B376="", $H376="", $I376="", $J376="", $K376=""),"",ROUND((VLOOKUP($H376,Lists!$E$2:$F$5,2,FALSE())*VLOOKUP($I376,Lists!$H$2:$I$4,2,FALSE())*VLOOKUP($J376,Lists!$K$2:$L$4,2,FALSE()))/VLOOKUP($K376,Lists!$N$2:$O$6,2,FALSE()),2))</f>
        <v/>
      </c>
      <c r="M376" s="63"/>
      <c r="N376" s="63"/>
      <c r="O376" s="62"/>
      <c r="P376" s="63"/>
      <c r="Q376" s="65"/>
      <c r="R376" s="66" t="str">
        <f t="shared" ca="1" si="11"/>
        <v/>
      </c>
      <c r="S376" s="63"/>
      <c r="T376" s="65"/>
      <c r="U376" s="65"/>
      <c r="V376" s="62"/>
      <c r="W376" s="62"/>
      <c r="X376" s="62"/>
      <c r="Y376" s="58"/>
      <c r="Z376" s="58"/>
      <c r="AA376" s="58"/>
    </row>
    <row r="377" spans="1:27" ht="15.75" customHeight="1" x14ac:dyDescent="0.2">
      <c r="A377" s="61" t="str">
        <f t="shared" si="10"/>
        <v/>
      </c>
      <c r="B377" s="62"/>
      <c r="C377" s="62"/>
      <c r="D377" s="62"/>
      <c r="E377" s="62"/>
      <c r="F377" s="63"/>
      <c r="G377" s="63"/>
      <c r="H377" s="63"/>
      <c r="I377" s="63"/>
      <c r="J377" s="63"/>
      <c r="K377" s="63"/>
      <c r="L377" s="64" t="str">
        <f>IF(OR($B377="", $H377="", $I377="", $J377="", $K377=""),"",ROUND((VLOOKUP($H377,Lists!$E$2:$F$5,2,FALSE())*VLOOKUP($I377,Lists!$H$2:$I$4,2,FALSE())*VLOOKUP($J377,Lists!$K$2:$L$4,2,FALSE()))/VLOOKUP($K377,Lists!$N$2:$O$6,2,FALSE()),2))</f>
        <v/>
      </c>
      <c r="M377" s="63"/>
      <c r="N377" s="63"/>
      <c r="O377" s="62"/>
      <c r="P377" s="63"/>
      <c r="Q377" s="65"/>
      <c r="R377" s="66" t="str">
        <f t="shared" ca="1" si="11"/>
        <v/>
      </c>
      <c r="S377" s="63"/>
      <c r="T377" s="65"/>
      <c r="U377" s="65"/>
      <c r="V377" s="62"/>
      <c r="W377" s="62"/>
      <c r="X377" s="62"/>
      <c r="Y377" s="58"/>
      <c r="Z377" s="58"/>
      <c r="AA377" s="58"/>
    </row>
    <row r="378" spans="1:27" ht="15.75" customHeight="1" x14ac:dyDescent="0.2">
      <c r="A378" s="61" t="str">
        <f t="shared" si="10"/>
        <v/>
      </c>
      <c r="B378" s="62"/>
      <c r="C378" s="62"/>
      <c r="D378" s="62"/>
      <c r="E378" s="62"/>
      <c r="F378" s="63"/>
      <c r="G378" s="63"/>
      <c r="H378" s="63"/>
      <c r="I378" s="63"/>
      <c r="J378" s="63"/>
      <c r="K378" s="63"/>
      <c r="L378" s="64" t="str">
        <f>IF(OR($B378="", $H378="", $I378="", $J378="", $K378=""),"",ROUND((VLOOKUP($H378,Lists!$E$2:$F$5,2,FALSE())*VLOOKUP($I378,Lists!$H$2:$I$4,2,FALSE())*VLOOKUP($J378,Lists!$K$2:$L$4,2,FALSE()))/VLOOKUP($K378,Lists!$N$2:$O$6,2,FALSE()),2))</f>
        <v/>
      </c>
      <c r="M378" s="63"/>
      <c r="N378" s="63"/>
      <c r="O378" s="62"/>
      <c r="P378" s="63"/>
      <c r="Q378" s="65"/>
      <c r="R378" s="66" t="str">
        <f t="shared" ca="1" si="11"/>
        <v/>
      </c>
      <c r="S378" s="63"/>
      <c r="T378" s="65"/>
      <c r="U378" s="65"/>
      <c r="V378" s="62"/>
      <c r="W378" s="62"/>
      <c r="X378" s="62"/>
      <c r="Y378" s="58"/>
      <c r="Z378" s="58"/>
      <c r="AA378" s="58"/>
    </row>
    <row r="379" spans="1:27" ht="15.75" customHeight="1" x14ac:dyDescent="0.2">
      <c r="A379" s="61" t="str">
        <f t="shared" si="10"/>
        <v/>
      </c>
      <c r="B379" s="62"/>
      <c r="C379" s="62"/>
      <c r="D379" s="62"/>
      <c r="E379" s="62"/>
      <c r="F379" s="63"/>
      <c r="G379" s="63"/>
      <c r="H379" s="63"/>
      <c r="I379" s="63"/>
      <c r="J379" s="63"/>
      <c r="K379" s="63"/>
      <c r="L379" s="64" t="str">
        <f>IF(OR($B379="", $H379="", $I379="", $J379="", $K379=""),"",ROUND((VLOOKUP($H379,Lists!$E$2:$F$5,2,FALSE())*VLOOKUP($I379,Lists!$H$2:$I$4,2,FALSE())*VLOOKUP($J379,Lists!$K$2:$L$4,2,FALSE()))/VLOOKUP($K379,Lists!$N$2:$O$6,2,FALSE()),2))</f>
        <v/>
      </c>
      <c r="M379" s="63"/>
      <c r="N379" s="63"/>
      <c r="O379" s="62"/>
      <c r="P379" s="63"/>
      <c r="Q379" s="65"/>
      <c r="R379" s="66" t="str">
        <f t="shared" ca="1" si="11"/>
        <v/>
      </c>
      <c r="S379" s="63"/>
      <c r="T379" s="65"/>
      <c r="U379" s="65"/>
      <c r="V379" s="62"/>
      <c r="W379" s="62"/>
      <c r="X379" s="62"/>
      <c r="Y379" s="58"/>
      <c r="Z379" s="58"/>
      <c r="AA379" s="58"/>
    </row>
    <row r="380" spans="1:27" ht="15.75" customHeight="1" x14ac:dyDescent="0.2">
      <c r="A380" s="61" t="str">
        <f t="shared" si="10"/>
        <v/>
      </c>
      <c r="B380" s="62"/>
      <c r="C380" s="62"/>
      <c r="D380" s="62"/>
      <c r="E380" s="62"/>
      <c r="F380" s="63"/>
      <c r="G380" s="63"/>
      <c r="H380" s="63"/>
      <c r="I380" s="63"/>
      <c r="J380" s="63"/>
      <c r="K380" s="63"/>
      <c r="L380" s="64" t="str">
        <f>IF(OR($B380="", $H380="", $I380="", $J380="", $K380=""),"",ROUND((VLOOKUP($H380,Lists!$E$2:$F$5,2,FALSE())*VLOOKUP($I380,Lists!$H$2:$I$4,2,FALSE())*VLOOKUP($J380,Lists!$K$2:$L$4,2,FALSE()))/VLOOKUP($K380,Lists!$N$2:$O$6,2,FALSE()),2))</f>
        <v/>
      </c>
      <c r="M380" s="63"/>
      <c r="N380" s="63"/>
      <c r="O380" s="62"/>
      <c r="P380" s="63"/>
      <c r="Q380" s="65"/>
      <c r="R380" s="66" t="str">
        <f t="shared" ca="1" si="11"/>
        <v/>
      </c>
      <c r="S380" s="63"/>
      <c r="T380" s="65"/>
      <c r="U380" s="65"/>
      <c r="V380" s="62"/>
      <c r="W380" s="62"/>
      <c r="X380" s="62"/>
      <c r="Y380" s="58"/>
      <c r="Z380" s="58"/>
      <c r="AA380" s="58"/>
    </row>
    <row r="381" spans="1:27" ht="15.75" customHeight="1" x14ac:dyDescent="0.2">
      <c r="A381" s="61" t="str">
        <f t="shared" si="10"/>
        <v/>
      </c>
      <c r="B381" s="62"/>
      <c r="C381" s="62"/>
      <c r="D381" s="62"/>
      <c r="E381" s="62"/>
      <c r="F381" s="63"/>
      <c r="G381" s="63"/>
      <c r="H381" s="63"/>
      <c r="I381" s="63"/>
      <c r="J381" s="63"/>
      <c r="K381" s="63"/>
      <c r="L381" s="64" t="str">
        <f>IF(OR($B381="", $H381="", $I381="", $J381="", $K381=""),"",ROUND((VLOOKUP($H381,Lists!$E$2:$F$5,2,FALSE())*VLOOKUP($I381,Lists!$H$2:$I$4,2,FALSE())*VLOOKUP($J381,Lists!$K$2:$L$4,2,FALSE()))/VLOOKUP($K381,Lists!$N$2:$O$6,2,FALSE()),2))</f>
        <v/>
      </c>
      <c r="M381" s="63"/>
      <c r="N381" s="63"/>
      <c r="O381" s="62"/>
      <c r="P381" s="63"/>
      <c r="Q381" s="65"/>
      <c r="R381" s="66" t="str">
        <f t="shared" ca="1" si="11"/>
        <v/>
      </c>
      <c r="S381" s="63"/>
      <c r="T381" s="65"/>
      <c r="U381" s="65"/>
      <c r="V381" s="62"/>
      <c r="W381" s="62"/>
      <c r="X381" s="62"/>
      <c r="Y381" s="58"/>
      <c r="Z381" s="58"/>
      <c r="AA381" s="58"/>
    </row>
    <row r="382" spans="1:27" ht="15.75" customHeight="1" x14ac:dyDescent="0.2">
      <c r="A382" s="61" t="str">
        <f t="shared" si="10"/>
        <v/>
      </c>
      <c r="B382" s="62"/>
      <c r="C382" s="62"/>
      <c r="D382" s="62"/>
      <c r="E382" s="62"/>
      <c r="F382" s="63"/>
      <c r="G382" s="63"/>
      <c r="H382" s="63"/>
      <c r="I382" s="63"/>
      <c r="J382" s="63"/>
      <c r="K382" s="63"/>
      <c r="L382" s="64" t="str">
        <f>IF(OR($B382="", $H382="", $I382="", $J382="", $K382=""),"",ROUND((VLOOKUP($H382,Lists!$E$2:$F$5,2,FALSE())*VLOOKUP($I382,Lists!$H$2:$I$4,2,FALSE())*VLOOKUP($J382,Lists!$K$2:$L$4,2,FALSE()))/VLOOKUP($K382,Lists!$N$2:$O$6,2,FALSE()),2))</f>
        <v/>
      </c>
      <c r="M382" s="63"/>
      <c r="N382" s="63"/>
      <c r="O382" s="62"/>
      <c r="P382" s="63"/>
      <c r="Q382" s="65"/>
      <c r="R382" s="66" t="str">
        <f t="shared" ca="1" si="11"/>
        <v/>
      </c>
      <c r="S382" s="63"/>
      <c r="T382" s="65"/>
      <c r="U382" s="65"/>
      <c r="V382" s="62"/>
      <c r="W382" s="62"/>
      <c r="X382" s="62"/>
      <c r="Y382" s="58"/>
      <c r="Z382" s="58"/>
      <c r="AA382" s="58"/>
    </row>
    <row r="383" spans="1:27" ht="15.75" customHeight="1" x14ac:dyDescent="0.2">
      <c r="A383" s="61" t="str">
        <f t="shared" si="10"/>
        <v/>
      </c>
      <c r="B383" s="62"/>
      <c r="C383" s="62"/>
      <c r="D383" s="62"/>
      <c r="E383" s="62"/>
      <c r="F383" s="63"/>
      <c r="G383" s="63"/>
      <c r="H383" s="63"/>
      <c r="I383" s="63"/>
      <c r="J383" s="63"/>
      <c r="K383" s="63"/>
      <c r="L383" s="64" t="str">
        <f>IF(OR($B383="", $H383="", $I383="", $J383="", $K383=""),"",ROUND((VLOOKUP($H383,Lists!$E$2:$F$5,2,FALSE())*VLOOKUP($I383,Lists!$H$2:$I$4,2,FALSE())*VLOOKUP($J383,Lists!$K$2:$L$4,2,FALSE()))/VLOOKUP($K383,Lists!$N$2:$O$6,2,FALSE()),2))</f>
        <v/>
      </c>
      <c r="M383" s="63"/>
      <c r="N383" s="63"/>
      <c r="O383" s="62"/>
      <c r="P383" s="63"/>
      <c r="Q383" s="65"/>
      <c r="R383" s="66" t="str">
        <f t="shared" ca="1" si="11"/>
        <v/>
      </c>
      <c r="S383" s="63"/>
      <c r="T383" s="65"/>
      <c r="U383" s="65"/>
      <c r="V383" s="62"/>
      <c r="W383" s="62"/>
      <c r="X383" s="62"/>
      <c r="Y383" s="58"/>
      <c r="Z383" s="58"/>
      <c r="AA383" s="58"/>
    </row>
    <row r="384" spans="1:27" ht="15.75" customHeight="1" x14ac:dyDescent="0.2">
      <c r="A384" s="61" t="str">
        <f t="shared" si="10"/>
        <v/>
      </c>
      <c r="B384" s="62"/>
      <c r="C384" s="62"/>
      <c r="D384" s="62"/>
      <c r="E384" s="62"/>
      <c r="F384" s="63"/>
      <c r="G384" s="63"/>
      <c r="H384" s="63"/>
      <c r="I384" s="63"/>
      <c r="J384" s="63"/>
      <c r="K384" s="63"/>
      <c r="L384" s="64" t="str">
        <f>IF(OR($B384="", $H384="", $I384="", $J384="", $K384=""),"",ROUND((VLOOKUP($H384,Lists!$E$2:$F$5,2,FALSE())*VLOOKUP($I384,Lists!$H$2:$I$4,2,FALSE())*VLOOKUP($J384,Lists!$K$2:$L$4,2,FALSE()))/VLOOKUP($K384,Lists!$N$2:$O$6,2,FALSE()),2))</f>
        <v/>
      </c>
      <c r="M384" s="63"/>
      <c r="N384" s="63"/>
      <c r="O384" s="62"/>
      <c r="P384" s="63"/>
      <c r="Q384" s="65"/>
      <c r="R384" s="66" t="str">
        <f t="shared" ca="1" si="11"/>
        <v/>
      </c>
      <c r="S384" s="63"/>
      <c r="T384" s="65"/>
      <c r="U384" s="65"/>
      <c r="V384" s="62"/>
      <c r="W384" s="62"/>
      <c r="X384" s="62"/>
      <c r="Y384" s="58"/>
      <c r="Z384" s="58"/>
      <c r="AA384" s="58"/>
    </row>
    <row r="385" spans="1:27" ht="15.75" customHeight="1" x14ac:dyDescent="0.2">
      <c r="A385" s="61" t="str">
        <f t="shared" si="10"/>
        <v/>
      </c>
      <c r="B385" s="62"/>
      <c r="C385" s="62"/>
      <c r="D385" s="62"/>
      <c r="E385" s="62"/>
      <c r="F385" s="63"/>
      <c r="G385" s="63"/>
      <c r="H385" s="63"/>
      <c r="I385" s="63"/>
      <c r="J385" s="63"/>
      <c r="K385" s="63"/>
      <c r="L385" s="64" t="str">
        <f>IF(OR($B385="", $H385="", $I385="", $J385="", $K385=""),"",ROUND((VLOOKUP($H385,Lists!$E$2:$F$5,2,FALSE())*VLOOKUP($I385,Lists!$H$2:$I$4,2,FALSE())*VLOOKUP($J385,Lists!$K$2:$L$4,2,FALSE()))/VLOOKUP($K385,Lists!$N$2:$O$6,2,FALSE()),2))</f>
        <v/>
      </c>
      <c r="M385" s="63"/>
      <c r="N385" s="63"/>
      <c r="O385" s="62"/>
      <c r="P385" s="63"/>
      <c r="Q385" s="65"/>
      <c r="R385" s="66" t="str">
        <f t="shared" ca="1" si="11"/>
        <v/>
      </c>
      <c r="S385" s="63"/>
      <c r="T385" s="65"/>
      <c r="U385" s="65"/>
      <c r="V385" s="62"/>
      <c r="W385" s="62"/>
      <c r="X385" s="62"/>
      <c r="Y385" s="58"/>
      <c r="Z385" s="58"/>
      <c r="AA385" s="58"/>
    </row>
    <row r="386" spans="1:27" ht="15.75" customHeight="1" x14ac:dyDescent="0.2">
      <c r="A386" s="61" t="str">
        <f t="shared" ref="A386:A449" si="12">IF($B386="","", "TD-" &amp; RIGHT("0000"&amp;ROW()-1,4))</f>
        <v/>
      </c>
      <c r="B386" s="62"/>
      <c r="C386" s="62"/>
      <c r="D386" s="62"/>
      <c r="E386" s="62"/>
      <c r="F386" s="63"/>
      <c r="G386" s="63"/>
      <c r="H386" s="63"/>
      <c r="I386" s="63"/>
      <c r="J386" s="63"/>
      <c r="K386" s="63"/>
      <c r="L386" s="64" t="str">
        <f>IF(OR($B386="", $H386="", $I386="", $J386="", $K386=""),"",ROUND((VLOOKUP($H386,Lists!$E$2:$F$5,2,FALSE())*VLOOKUP($I386,Lists!$H$2:$I$4,2,FALSE())*VLOOKUP($J386,Lists!$K$2:$L$4,2,FALSE()))/VLOOKUP($K386,Lists!$N$2:$O$6,2,FALSE()),2))</f>
        <v/>
      </c>
      <c r="M386" s="63"/>
      <c r="N386" s="63"/>
      <c r="O386" s="62"/>
      <c r="P386" s="63"/>
      <c r="Q386" s="65"/>
      <c r="R386" s="66" t="str">
        <f t="shared" ref="R386:R449" ca="1" si="13">IF($Q386="","", TODAY()-$Q386)</f>
        <v/>
      </c>
      <c r="S386" s="63"/>
      <c r="T386" s="65"/>
      <c r="U386" s="65"/>
      <c r="V386" s="62"/>
      <c r="W386" s="62"/>
      <c r="X386" s="62"/>
      <c r="Y386" s="58"/>
      <c r="Z386" s="58"/>
      <c r="AA386" s="58"/>
    </row>
    <row r="387" spans="1:27" ht="15.75" customHeight="1" x14ac:dyDescent="0.2">
      <c r="A387" s="61" t="str">
        <f t="shared" si="12"/>
        <v/>
      </c>
      <c r="B387" s="62"/>
      <c r="C387" s="62"/>
      <c r="D387" s="62"/>
      <c r="E387" s="62"/>
      <c r="F387" s="63"/>
      <c r="G387" s="63"/>
      <c r="H387" s="63"/>
      <c r="I387" s="63"/>
      <c r="J387" s="63"/>
      <c r="K387" s="63"/>
      <c r="L387" s="64" t="str">
        <f>IF(OR($B387="", $H387="", $I387="", $J387="", $K387=""),"",ROUND((VLOOKUP($H387,Lists!$E$2:$F$5,2,FALSE())*VLOOKUP($I387,Lists!$H$2:$I$4,2,FALSE())*VLOOKUP($J387,Lists!$K$2:$L$4,2,FALSE()))/VLOOKUP($K387,Lists!$N$2:$O$6,2,FALSE()),2))</f>
        <v/>
      </c>
      <c r="M387" s="63"/>
      <c r="N387" s="63"/>
      <c r="O387" s="62"/>
      <c r="P387" s="63"/>
      <c r="Q387" s="65"/>
      <c r="R387" s="66" t="str">
        <f t="shared" ca="1" si="13"/>
        <v/>
      </c>
      <c r="S387" s="63"/>
      <c r="T387" s="65"/>
      <c r="U387" s="65"/>
      <c r="V387" s="62"/>
      <c r="W387" s="62"/>
      <c r="X387" s="62"/>
      <c r="Y387" s="58"/>
      <c r="Z387" s="58"/>
      <c r="AA387" s="58"/>
    </row>
    <row r="388" spans="1:27" ht="15.75" customHeight="1" x14ac:dyDescent="0.2">
      <c r="A388" s="61" t="str">
        <f t="shared" si="12"/>
        <v/>
      </c>
      <c r="B388" s="62"/>
      <c r="C388" s="62"/>
      <c r="D388" s="62"/>
      <c r="E388" s="62"/>
      <c r="F388" s="63"/>
      <c r="G388" s="63"/>
      <c r="H388" s="63"/>
      <c r="I388" s="63"/>
      <c r="J388" s="63"/>
      <c r="K388" s="63"/>
      <c r="L388" s="64" t="str">
        <f>IF(OR($B388="", $H388="", $I388="", $J388="", $K388=""),"",ROUND((VLOOKUP($H388,Lists!$E$2:$F$5,2,FALSE())*VLOOKUP($I388,Lists!$H$2:$I$4,2,FALSE())*VLOOKUP($J388,Lists!$K$2:$L$4,2,FALSE()))/VLOOKUP($K388,Lists!$N$2:$O$6,2,FALSE()),2))</f>
        <v/>
      </c>
      <c r="M388" s="63"/>
      <c r="N388" s="63"/>
      <c r="O388" s="62"/>
      <c r="P388" s="63"/>
      <c r="Q388" s="65"/>
      <c r="R388" s="66" t="str">
        <f t="shared" ca="1" si="13"/>
        <v/>
      </c>
      <c r="S388" s="63"/>
      <c r="T388" s="65"/>
      <c r="U388" s="65"/>
      <c r="V388" s="62"/>
      <c r="W388" s="62"/>
      <c r="X388" s="62"/>
      <c r="Y388" s="58"/>
      <c r="Z388" s="58"/>
      <c r="AA388" s="58"/>
    </row>
    <row r="389" spans="1:27" ht="15.75" customHeight="1" x14ac:dyDescent="0.2">
      <c r="A389" s="61" t="str">
        <f t="shared" si="12"/>
        <v/>
      </c>
      <c r="B389" s="62"/>
      <c r="C389" s="62"/>
      <c r="D389" s="62"/>
      <c r="E389" s="62"/>
      <c r="F389" s="63"/>
      <c r="G389" s="63"/>
      <c r="H389" s="63"/>
      <c r="I389" s="63"/>
      <c r="J389" s="63"/>
      <c r="K389" s="63"/>
      <c r="L389" s="64" t="str">
        <f>IF(OR($B389="", $H389="", $I389="", $J389="", $K389=""),"",ROUND((VLOOKUP($H389,Lists!$E$2:$F$5,2,FALSE())*VLOOKUP($I389,Lists!$H$2:$I$4,2,FALSE())*VLOOKUP($J389,Lists!$K$2:$L$4,2,FALSE()))/VLOOKUP($K389,Lists!$N$2:$O$6,2,FALSE()),2))</f>
        <v/>
      </c>
      <c r="M389" s="63"/>
      <c r="N389" s="63"/>
      <c r="O389" s="62"/>
      <c r="P389" s="63"/>
      <c r="Q389" s="65"/>
      <c r="R389" s="66" t="str">
        <f t="shared" ca="1" si="13"/>
        <v/>
      </c>
      <c r="S389" s="63"/>
      <c r="T389" s="65"/>
      <c r="U389" s="65"/>
      <c r="V389" s="62"/>
      <c r="W389" s="62"/>
      <c r="X389" s="62"/>
      <c r="Y389" s="58"/>
      <c r="Z389" s="58"/>
      <c r="AA389" s="58"/>
    </row>
    <row r="390" spans="1:27" ht="15.75" customHeight="1" x14ac:dyDescent="0.2">
      <c r="A390" s="61" t="str">
        <f t="shared" si="12"/>
        <v/>
      </c>
      <c r="B390" s="62"/>
      <c r="C390" s="62"/>
      <c r="D390" s="62"/>
      <c r="E390" s="62"/>
      <c r="F390" s="63"/>
      <c r="G390" s="63"/>
      <c r="H390" s="63"/>
      <c r="I390" s="63"/>
      <c r="J390" s="63"/>
      <c r="K390" s="63"/>
      <c r="L390" s="64" t="str">
        <f>IF(OR($B390="", $H390="", $I390="", $J390="", $K390=""),"",ROUND((VLOOKUP($H390,Lists!$E$2:$F$5,2,FALSE())*VLOOKUP($I390,Lists!$H$2:$I$4,2,FALSE())*VLOOKUP($J390,Lists!$K$2:$L$4,2,FALSE()))/VLOOKUP($K390,Lists!$N$2:$O$6,2,FALSE()),2))</f>
        <v/>
      </c>
      <c r="M390" s="63"/>
      <c r="N390" s="63"/>
      <c r="O390" s="62"/>
      <c r="P390" s="63"/>
      <c r="Q390" s="65"/>
      <c r="R390" s="66" t="str">
        <f t="shared" ca="1" si="13"/>
        <v/>
      </c>
      <c r="S390" s="63"/>
      <c r="T390" s="65"/>
      <c r="U390" s="65"/>
      <c r="V390" s="62"/>
      <c r="W390" s="62"/>
      <c r="X390" s="62"/>
      <c r="Y390" s="58"/>
      <c r="Z390" s="58"/>
      <c r="AA390" s="58"/>
    </row>
    <row r="391" spans="1:27" ht="15.75" customHeight="1" x14ac:dyDescent="0.2">
      <c r="A391" s="61" t="str">
        <f t="shared" si="12"/>
        <v/>
      </c>
      <c r="B391" s="62"/>
      <c r="C391" s="62"/>
      <c r="D391" s="62"/>
      <c r="E391" s="62"/>
      <c r="F391" s="63"/>
      <c r="G391" s="63"/>
      <c r="H391" s="63"/>
      <c r="I391" s="63"/>
      <c r="J391" s="63"/>
      <c r="K391" s="63"/>
      <c r="L391" s="64" t="str">
        <f>IF(OR($B391="", $H391="", $I391="", $J391="", $K391=""),"",ROUND((VLOOKUP($H391,Lists!$E$2:$F$5,2,FALSE())*VLOOKUP($I391,Lists!$H$2:$I$4,2,FALSE())*VLOOKUP($J391,Lists!$K$2:$L$4,2,FALSE()))/VLOOKUP($K391,Lists!$N$2:$O$6,2,FALSE()),2))</f>
        <v/>
      </c>
      <c r="M391" s="63"/>
      <c r="N391" s="63"/>
      <c r="O391" s="62"/>
      <c r="P391" s="63"/>
      <c r="Q391" s="65"/>
      <c r="R391" s="66" t="str">
        <f t="shared" ca="1" si="13"/>
        <v/>
      </c>
      <c r="S391" s="63"/>
      <c r="T391" s="65"/>
      <c r="U391" s="65"/>
      <c r="V391" s="62"/>
      <c r="W391" s="62"/>
      <c r="X391" s="62"/>
      <c r="Y391" s="58"/>
      <c r="Z391" s="58"/>
      <c r="AA391" s="58"/>
    </row>
    <row r="392" spans="1:27" ht="15.75" customHeight="1" x14ac:dyDescent="0.2">
      <c r="A392" s="61" t="str">
        <f t="shared" si="12"/>
        <v/>
      </c>
      <c r="B392" s="62"/>
      <c r="C392" s="62"/>
      <c r="D392" s="62"/>
      <c r="E392" s="62"/>
      <c r="F392" s="63"/>
      <c r="G392" s="63"/>
      <c r="H392" s="63"/>
      <c r="I392" s="63"/>
      <c r="J392" s="63"/>
      <c r="K392" s="63"/>
      <c r="L392" s="64" t="str">
        <f>IF(OR($B392="", $H392="", $I392="", $J392="", $K392=""),"",ROUND((VLOOKUP($H392,Lists!$E$2:$F$5,2,FALSE())*VLOOKUP($I392,Lists!$H$2:$I$4,2,FALSE())*VLOOKUP($J392,Lists!$K$2:$L$4,2,FALSE()))/VLOOKUP($K392,Lists!$N$2:$O$6,2,FALSE()),2))</f>
        <v/>
      </c>
      <c r="M392" s="63"/>
      <c r="N392" s="63"/>
      <c r="O392" s="62"/>
      <c r="P392" s="63"/>
      <c r="Q392" s="65"/>
      <c r="R392" s="66" t="str">
        <f t="shared" ca="1" si="13"/>
        <v/>
      </c>
      <c r="S392" s="63"/>
      <c r="T392" s="65"/>
      <c r="U392" s="65"/>
      <c r="V392" s="62"/>
      <c r="W392" s="62"/>
      <c r="X392" s="62"/>
      <c r="Y392" s="58"/>
      <c r="Z392" s="58"/>
      <c r="AA392" s="58"/>
    </row>
    <row r="393" spans="1:27" ht="15.75" customHeight="1" x14ac:dyDescent="0.2">
      <c r="A393" s="61" t="str">
        <f t="shared" si="12"/>
        <v/>
      </c>
      <c r="B393" s="62"/>
      <c r="C393" s="62"/>
      <c r="D393" s="62"/>
      <c r="E393" s="62"/>
      <c r="F393" s="63"/>
      <c r="G393" s="63"/>
      <c r="H393" s="63"/>
      <c r="I393" s="63"/>
      <c r="J393" s="63"/>
      <c r="K393" s="63"/>
      <c r="L393" s="64" t="str">
        <f>IF(OR($B393="", $H393="", $I393="", $J393="", $K393=""),"",ROUND((VLOOKUP($H393,Lists!$E$2:$F$5,2,FALSE())*VLOOKUP($I393,Lists!$H$2:$I$4,2,FALSE())*VLOOKUP($J393,Lists!$K$2:$L$4,2,FALSE()))/VLOOKUP($K393,Lists!$N$2:$O$6,2,FALSE()),2))</f>
        <v/>
      </c>
      <c r="M393" s="63"/>
      <c r="N393" s="63"/>
      <c r="O393" s="62"/>
      <c r="P393" s="63"/>
      <c r="Q393" s="65"/>
      <c r="R393" s="66" t="str">
        <f t="shared" ca="1" si="13"/>
        <v/>
      </c>
      <c r="S393" s="63"/>
      <c r="T393" s="65"/>
      <c r="U393" s="65"/>
      <c r="V393" s="62"/>
      <c r="W393" s="62"/>
      <c r="X393" s="62"/>
      <c r="Y393" s="58"/>
      <c r="Z393" s="58"/>
      <c r="AA393" s="58"/>
    </row>
    <row r="394" spans="1:27" ht="15.75" customHeight="1" x14ac:dyDescent="0.2">
      <c r="A394" s="61" t="str">
        <f t="shared" si="12"/>
        <v/>
      </c>
      <c r="B394" s="62"/>
      <c r="C394" s="62"/>
      <c r="D394" s="62"/>
      <c r="E394" s="62"/>
      <c r="F394" s="63"/>
      <c r="G394" s="63"/>
      <c r="H394" s="63"/>
      <c r="I394" s="63"/>
      <c r="J394" s="63"/>
      <c r="K394" s="63"/>
      <c r="L394" s="64" t="str">
        <f>IF(OR($B394="", $H394="", $I394="", $J394="", $K394=""),"",ROUND((VLOOKUP($H394,Lists!$E$2:$F$5,2,FALSE())*VLOOKUP($I394,Lists!$H$2:$I$4,2,FALSE())*VLOOKUP($J394,Lists!$K$2:$L$4,2,FALSE()))/VLOOKUP($K394,Lists!$N$2:$O$6,2,FALSE()),2))</f>
        <v/>
      </c>
      <c r="M394" s="63"/>
      <c r="N394" s="63"/>
      <c r="O394" s="62"/>
      <c r="P394" s="63"/>
      <c r="Q394" s="65"/>
      <c r="R394" s="66" t="str">
        <f t="shared" ca="1" si="13"/>
        <v/>
      </c>
      <c r="S394" s="63"/>
      <c r="T394" s="65"/>
      <c r="U394" s="65"/>
      <c r="V394" s="62"/>
      <c r="W394" s="62"/>
      <c r="X394" s="62"/>
      <c r="Y394" s="58"/>
      <c r="Z394" s="58"/>
      <c r="AA394" s="58"/>
    </row>
    <row r="395" spans="1:27" ht="15.75" customHeight="1" x14ac:dyDescent="0.2">
      <c r="A395" s="61" t="str">
        <f t="shared" si="12"/>
        <v/>
      </c>
      <c r="B395" s="62"/>
      <c r="C395" s="62"/>
      <c r="D395" s="62"/>
      <c r="E395" s="62"/>
      <c r="F395" s="63"/>
      <c r="G395" s="63"/>
      <c r="H395" s="63"/>
      <c r="I395" s="63"/>
      <c r="J395" s="63"/>
      <c r="K395" s="63"/>
      <c r="L395" s="64" t="str">
        <f>IF(OR($B395="", $H395="", $I395="", $J395="", $K395=""),"",ROUND((VLOOKUP($H395,Lists!$E$2:$F$5,2,FALSE())*VLOOKUP($I395,Lists!$H$2:$I$4,2,FALSE())*VLOOKUP($J395,Lists!$K$2:$L$4,2,FALSE()))/VLOOKUP($K395,Lists!$N$2:$O$6,2,FALSE()),2))</f>
        <v/>
      </c>
      <c r="M395" s="63"/>
      <c r="N395" s="63"/>
      <c r="O395" s="62"/>
      <c r="P395" s="63"/>
      <c r="Q395" s="65"/>
      <c r="R395" s="66" t="str">
        <f t="shared" ca="1" si="13"/>
        <v/>
      </c>
      <c r="S395" s="63"/>
      <c r="T395" s="65"/>
      <c r="U395" s="65"/>
      <c r="V395" s="62"/>
      <c r="W395" s="62"/>
      <c r="X395" s="62"/>
      <c r="Y395" s="58"/>
      <c r="Z395" s="58"/>
      <c r="AA395" s="58"/>
    </row>
    <row r="396" spans="1:27" ht="15.75" customHeight="1" x14ac:dyDescent="0.2">
      <c r="A396" s="61" t="str">
        <f t="shared" si="12"/>
        <v/>
      </c>
      <c r="B396" s="62"/>
      <c r="C396" s="62"/>
      <c r="D396" s="62"/>
      <c r="E396" s="62"/>
      <c r="F396" s="63"/>
      <c r="G396" s="63"/>
      <c r="H396" s="63"/>
      <c r="I396" s="63"/>
      <c r="J396" s="63"/>
      <c r="K396" s="63"/>
      <c r="L396" s="64" t="str">
        <f>IF(OR($B396="", $H396="", $I396="", $J396="", $K396=""),"",ROUND((VLOOKUP($H396,Lists!$E$2:$F$5,2,FALSE())*VLOOKUP($I396,Lists!$H$2:$I$4,2,FALSE())*VLOOKUP($J396,Lists!$K$2:$L$4,2,FALSE()))/VLOOKUP($K396,Lists!$N$2:$O$6,2,FALSE()),2))</f>
        <v/>
      </c>
      <c r="M396" s="63"/>
      <c r="N396" s="63"/>
      <c r="O396" s="62"/>
      <c r="P396" s="63"/>
      <c r="Q396" s="65"/>
      <c r="R396" s="66" t="str">
        <f t="shared" ca="1" si="13"/>
        <v/>
      </c>
      <c r="S396" s="63"/>
      <c r="T396" s="65"/>
      <c r="U396" s="65"/>
      <c r="V396" s="62"/>
      <c r="W396" s="62"/>
      <c r="X396" s="62"/>
      <c r="Y396" s="58"/>
      <c r="Z396" s="58"/>
      <c r="AA396" s="58"/>
    </row>
    <row r="397" spans="1:27" ht="15.75" customHeight="1" x14ac:dyDescent="0.2">
      <c r="A397" s="61" t="str">
        <f t="shared" si="12"/>
        <v/>
      </c>
      <c r="B397" s="62"/>
      <c r="C397" s="62"/>
      <c r="D397" s="62"/>
      <c r="E397" s="62"/>
      <c r="F397" s="63"/>
      <c r="G397" s="63"/>
      <c r="H397" s="63"/>
      <c r="I397" s="63"/>
      <c r="J397" s="63"/>
      <c r="K397" s="63"/>
      <c r="L397" s="64" t="str">
        <f>IF(OR($B397="", $H397="", $I397="", $J397="", $K397=""),"",ROUND((VLOOKUP($H397,Lists!$E$2:$F$5,2,FALSE())*VLOOKUP($I397,Lists!$H$2:$I$4,2,FALSE())*VLOOKUP($J397,Lists!$K$2:$L$4,2,FALSE()))/VLOOKUP($K397,Lists!$N$2:$O$6,2,FALSE()),2))</f>
        <v/>
      </c>
      <c r="M397" s="63"/>
      <c r="N397" s="63"/>
      <c r="O397" s="62"/>
      <c r="P397" s="63"/>
      <c r="Q397" s="65"/>
      <c r="R397" s="66" t="str">
        <f t="shared" ca="1" si="13"/>
        <v/>
      </c>
      <c r="S397" s="63"/>
      <c r="T397" s="65"/>
      <c r="U397" s="65"/>
      <c r="V397" s="62"/>
      <c r="W397" s="62"/>
      <c r="X397" s="62"/>
      <c r="Y397" s="58"/>
      <c r="Z397" s="58"/>
      <c r="AA397" s="58"/>
    </row>
    <row r="398" spans="1:27" ht="15.75" customHeight="1" x14ac:dyDescent="0.2">
      <c r="A398" s="61" t="str">
        <f t="shared" si="12"/>
        <v/>
      </c>
      <c r="B398" s="62"/>
      <c r="C398" s="62"/>
      <c r="D398" s="62"/>
      <c r="E398" s="62"/>
      <c r="F398" s="63"/>
      <c r="G398" s="63"/>
      <c r="H398" s="63"/>
      <c r="I398" s="63"/>
      <c r="J398" s="63"/>
      <c r="K398" s="63"/>
      <c r="L398" s="64" t="str">
        <f>IF(OR($B398="", $H398="", $I398="", $J398="", $K398=""),"",ROUND((VLOOKUP($H398,Lists!$E$2:$F$5,2,FALSE())*VLOOKUP($I398,Lists!$H$2:$I$4,2,FALSE())*VLOOKUP($J398,Lists!$K$2:$L$4,2,FALSE()))/VLOOKUP($K398,Lists!$N$2:$O$6,2,FALSE()),2))</f>
        <v/>
      </c>
      <c r="M398" s="63"/>
      <c r="N398" s="63"/>
      <c r="O398" s="62"/>
      <c r="P398" s="63"/>
      <c r="Q398" s="65"/>
      <c r="R398" s="66" t="str">
        <f t="shared" ca="1" si="13"/>
        <v/>
      </c>
      <c r="S398" s="63"/>
      <c r="T398" s="65"/>
      <c r="U398" s="65"/>
      <c r="V398" s="62"/>
      <c r="W398" s="62"/>
      <c r="X398" s="62"/>
      <c r="Y398" s="58"/>
      <c r="Z398" s="58"/>
      <c r="AA398" s="58"/>
    </row>
    <row r="399" spans="1:27" ht="15.75" customHeight="1" x14ac:dyDescent="0.2">
      <c r="A399" s="61" t="str">
        <f t="shared" si="12"/>
        <v/>
      </c>
      <c r="B399" s="62"/>
      <c r="C399" s="62"/>
      <c r="D399" s="62"/>
      <c r="E399" s="62"/>
      <c r="F399" s="63"/>
      <c r="G399" s="63"/>
      <c r="H399" s="63"/>
      <c r="I399" s="63"/>
      <c r="J399" s="63"/>
      <c r="K399" s="63"/>
      <c r="L399" s="64" t="str">
        <f>IF(OR($B399="", $H399="", $I399="", $J399="", $K399=""),"",ROUND((VLOOKUP($H399,Lists!$E$2:$F$5,2,FALSE())*VLOOKUP($I399,Lists!$H$2:$I$4,2,FALSE())*VLOOKUP($J399,Lists!$K$2:$L$4,2,FALSE()))/VLOOKUP($K399,Lists!$N$2:$O$6,2,FALSE()),2))</f>
        <v/>
      </c>
      <c r="M399" s="63"/>
      <c r="N399" s="63"/>
      <c r="O399" s="62"/>
      <c r="P399" s="63"/>
      <c r="Q399" s="65"/>
      <c r="R399" s="66" t="str">
        <f t="shared" ca="1" si="13"/>
        <v/>
      </c>
      <c r="S399" s="63"/>
      <c r="T399" s="65"/>
      <c r="U399" s="65"/>
      <c r="V399" s="62"/>
      <c r="W399" s="62"/>
      <c r="X399" s="62"/>
      <c r="Y399" s="58"/>
      <c r="Z399" s="58"/>
      <c r="AA399" s="58"/>
    </row>
    <row r="400" spans="1:27" ht="15.75" customHeight="1" x14ac:dyDescent="0.2">
      <c r="A400" s="61" t="str">
        <f t="shared" si="12"/>
        <v/>
      </c>
      <c r="B400" s="62"/>
      <c r="C400" s="62"/>
      <c r="D400" s="62"/>
      <c r="E400" s="62"/>
      <c r="F400" s="63"/>
      <c r="G400" s="63"/>
      <c r="H400" s="63"/>
      <c r="I400" s="63"/>
      <c r="J400" s="63"/>
      <c r="K400" s="63"/>
      <c r="L400" s="64" t="str">
        <f>IF(OR($B400="", $H400="", $I400="", $J400="", $K400=""),"",ROUND((VLOOKUP($H400,Lists!$E$2:$F$5,2,FALSE())*VLOOKUP($I400,Lists!$H$2:$I$4,2,FALSE())*VLOOKUP($J400,Lists!$K$2:$L$4,2,FALSE()))/VLOOKUP($K400,Lists!$N$2:$O$6,2,FALSE()),2))</f>
        <v/>
      </c>
      <c r="M400" s="63"/>
      <c r="N400" s="63"/>
      <c r="O400" s="62"/>
      <c r="P400" s="63"/>
      <c r="Q400" s="65"/>
      <c r="R400" s="66" t="str">
        <f t="shared" ca="1" si="13"/>
        <v/>
      </c>
      <c r="S400" s="63"/>
      <c r="T400" s="65"/>
      <c r="U400" s="65"/>
      <c r="V400" s="62"/>
      <c r="W400" s="62"/>
      <c r="X400" s="62"/>
      <c r="Y400" s="58"/>
      <c r="Z400" s="58"/>
      <c r="AA400" s="58"/>
    </row>
    <row r="401" spans="1:27" ht="15.75" customHeight="1" x14ac:dyDescent="0.2">
      <c r="A401" s="61" t="str">
        <f t="shared" si="12"/>
        <v/>
      </c>
      <c r="B401" s="62"/>
      <c r="C401" s="62"/>
      <c r="D401" s="62"/>
      <c r="E401" s="62"/>
      <c r="F401" s="63"/>
      <c r="G401" s="63"/>
      <c r="H401" s="63"/>
      <c r="I401" s="63"/>
      <c r="J401" s="63"/>
      <c r="K401" s="63"/>
      <c r="L401" s="64" t="str">
        <f>IF(OR($B401="", $H401="", $I401="", $J401="", $K401=""),"",ROUND((VLOOKUP($H401,Lists!$E$2:$F$5,2,FALSE())*VLOOKUP($I401,Lists!$H$2:$I$4,2,FALSE())*VLOOKUP($J401,Lists!$K$2:$L$4,2,FALSE()))/VLOOKUP($K401,Lists!$N$2:$O$6,2,FALSE()),2))</f>
        <v/>
      </c>
      <c r="M401" s="63"/>
      <c r="N401" s="63"/>
      <c r="O401" s="62"/>
      <c r="P401" s="63"/>
      <c r="Q401" s="65"/>
      <c r="R401" s="66" t="str">
        <f t="shared" ca="1" si="13"/>
        <v/>
      </c>
      <c r="S401" s="63"/>
      <c r="T401" s="65"/>
      <c r="U401" s="65"/>
      <c r="V401" s="62"/>
      <c r="W401" s="62"/>
      <c r="X401" s="62"/>
      <c r="Y401" s="58"/>
      <c r="Z401" s="58"/>
      <c r="AA401" s="58"/>
    </row>
    <row r="402" spans="1:27" ht="15.75" customHeight="1" x14ac:dyDescent="0.2">
      <c r="A402" s="61" t="str">
        <f t="shared" si="12"/>
        <v/>
      </c>
      <c r="B402" s="62"/>
      <c r="C402" s="62"/>
      <c r="D402" s="62"/>
      <c r="E402" s="62"/>
      <c r="F402" s="63"/>
      <c r="G402" s="63"/>
      <c r="H402" s="63"/>
      <c r="I402" s="63"/>
      <c r="J402" s="63"/>
      <c r="K402" s="63"/>
      <c r="L402" s="64" t="str">
        <f>IF(OR($B402="", $H402="", $I402="", $J402="", $K402=""),"",ROUND((VLOOKUP($H402,Lists!$E$2:$F$5,2,FALSE())*VLOOKUP($I402,Lists!$H$2:$I$4,2,FALSE())*VLOOKUP($J402,Lists!$K$2:$L$4,2,FALSE()))/VLOOKUP($K402,Lists!$N$2:$O$6,2,FALSE()),2))</f>
        <v/>
      </c>
      <c r="M402" s="63"/>
      <c r="N402" s="63"/>
      <c r="O402" s="62"/>
      <c r="P402" s="63"/>
      <c r="Q402" s="65"/>
      <c r="R402" s="66" t="str">
        <f t="shared" ca="1" si="13"/>
        <v/>
      </c>
      <c r="S402" s="63"/>
      <c r="T402" s="65"/>
      <c r="U402" s="65"/>
      <c r="V402" s="62"/>
      <c r="W402" s="62"/>
      <c r="X402" s="62"/>
      <c r="Y402" s="58"/>
      <c r="Z402" s="58"/>
      <c r="AA402" s="58"/>
    </row>
    <row r="403" spans="1:27" ht="15.75" customHeight="1" x14ac:dyDescent="0.2">
      <c r="A403" s="61" t="str">
        <f t="shared" si="12"/>
        <v/>
      </c>
      <c r="B403" s="62"/>
      <c r="C403" s="62"/>
      <c r="D403" s="62"/>
      <c r="E403" s="62"/>
      <c r="F403" s="63"/>
      <c r="G403" s="63"/>
      <c r="H403" s="63"/>
      <c r="I403" s="63"/>
      <c r="J403" s="63"/>
      <c r="K403" s="63"/>
      <c r="L403" s="64" t="str">
        <f>IF(OR($B403="", $H403="", $I403="", $J403="", $K403=""),"",ROUND((VLOOKUP($H403,Lists!$E$2:$F$5,2,FALSE())*VLOOKUP($I403,Lists!$H$2:$I$4,2,FALSE())*VLOOKUP($J403,Lists!$K$2:$L$4,2,FALSE()))/VLOOKUP($K403,Lists!$N$2:$O$6,2,FALSE()),2))</f>
        <v/>
      </c>
      <c r="M403" s="63"/>
      <c r="N403" s="63"/>
      <c r="O403" s="62"/>
      <c r="P403" s="63"/>
      <c r="Q403" s="65"/>
      <c r="R403" s="66" t="str">
        <f t="shared" ca="1" si="13"/>
        <v/>
      </c>
      <c r="S403" s="63"/>
      <c r="T403" s="65"/>
      <c r="U403" s="65"/>
      <c r="V403" s="62"/>
      <c r="W403" s="62"/>
      <c r="X403" s="62"/>
      <c r="Y403" s="58"/>
      <c r="Z403" s="58"/>
      <c r="AA403" s="58"/>
    </row>
    <row r="404" spans="1:27" ht="15.75" customHeight="1" x14ac:dyDescent="0.2">
      <c r="A404" s="61" t="str">
        <f t="shared" si="12"/>
        <v/>
      </c>
      <c r="B404" s="62"/>
      <c r="C404" s="62"/>
      <c r="D404" s="62"/>
      <c r="E404" s="62"/>
      <c r="F404" s="63"/>
      <c r="G404" s="63"/>
      <c r="H404" s="63"/>
      <c r="I404" s="63"/>
      <c r="J404" s="63"/>
      <c r="K404" s="63"/>
      <c r="L404" s="64" t="str">
        <f>IF(OR($B404="", $H404="", $I404="", $J404="", $K404=""),"",ROUND((VLOOKUP($H404,Lists!$E$2:$F$5,2,FALSE())*VLOOKUP($I404,Lists!$H$2:$I$4,2,FALSE())*VLOOKUP($J404,Lists!$K$2:$L$4,2,FALSE()))/VLOOKUP($K404,Lists!$N$2:$O$6,2,FALSE()),2))</f>
        <v/>
      </c>
      <c r="M404" s="63"/>
      <c r="N404" s="63"/>
      <c r="O404" s="62"/>
      <c r="P404" s="63"/>
      <c r="Q404" s="65"/>
      <c r="R404" s="66" t="str">
        <f t="shared" ca="1" si="13"/>
        <v/>
      </c>
      <c r="S404" s="63"/>
      <c r="T404" s="65"/>
      <c r="U404" s="65"/>
      <c r="V404" s="62"/>
      <c r="W404" s="62"/>
      <c r="X404" s="62"/>
      <c r="Y404" s="58"/>
      <c r="Z404" s="58"/>
      <c r="AA404" s="58"/>
    </row>
    <row r="405" spans="1:27" ht="15.75" customHeight="1" x14ac:dyDescent="0.2">
      <c r="A405" s="61" t="str">
        <f t="shared" si="12"/>
        <v/>
      </c>
      <c r="B405" s="62"/>
      <c r="C405" s="62"/>
      <c r="D405" s="62"/>
      <c r="E405" s="62"/>
      <c r="F405" s="63"/>
      <c r="G405" s="63"/>
      <c r="H405" s="63"/>
      <c r="I405" s="63"/>
      <c r="J405" s="63"/>
      <c r="K405" s="63"/>
      <c r="L405" s="64" t="str">
        <f>IF(OR($B405="", $H405="", $I405="", $J405="", $K405=""),"",ROUND((VLOOKUP($H405,Lists!$E$2:$F$5,2,FALSE())*VLOOKUP($I405,Lists!$H$2:$I$4,2,FALSE())*VLOOKUP($J405,Lists!$K$2:$L$4,2,FALSE()))/VLOOKUP($K405,Lists!$N$2:$O$6,2,FALSE()),2))</f>
        <v/>
      </c>
      <c r="M405" s="63"/>
      <c r="N405" s="63"/>
      <c r="O405" s="62"/>
      <c r="P405" s="63"/>
      <c r="Q405" s="65"/>
      <c r="R405" s="66" t="str">
        <f t="shared" ca="1" si="13"/>
        <v/>
      </c>
      <c r="S405" s="63"/>
      <c r="T405" s="65"/>
      <c r="U405" s="65"/>
      <c r="V405" s="62"/>
      <c r="W405" s="62"/>
      <c r="X405" s="62"/>
      <c r="Y405" s="58"/>
      <c r="Z405" s="58"/>
      <c r="AA405" s="58"/>
    </row>
    <row r="406" spans="1:27" ht="15.75" customHeight="1" x14ac:dyDescent="0.2">
      <c r="A406" s="61" t="str">
        <f t="shared" si="12"/>
        <v/>
      </c>
      <c r="B406" s="62"/>
      <c r="C406" s="62"/>
      <c r="D406" s="62"/>
      <c r="E406" s="62"/>
      <c r="F406" s="63"/>
      <c r="G406" s="63"/>
      <c r="H406" s="63"/>
      <c r="I406" s="63"/>
      <c r="J406" s="63"/>
      <c r="K406" s="63"/>
      <c r="L406" s="64" t="str">
        <f>IF(OR($B406="", $H406="", $I406="", $J406="", $K406=""),"",ROUND((VLOOKUP($H406,Lists!$E$2:$F$5,2,FALSE())*VLOOKUP($I406,Lists!$H$2:$I$4,2,FALSE())*VLOOKUP($J406,Lists!$K$2:$L$4,2,FALSE()))/VLOOKUP($K406,Lists!$N$2:$O$6,2,FALSE()),2))</f>
        <v/>
      </c>
      <c r="M406" s="63"/>
      <c r="N406" s="63"/>
      <c r="O406" s="62"/>
      <c r="P406" s="63"/>
      <c r="Q406" s="65"/>
      <c r="R406" s="66" t="str">
        <f t="shared" ca="1" si="13"/>
        <v/>
      </c>
      <c r="S406" s="63"/>
      <c r="T406" s="65"/>
      <c r="U406" s="65"/>
      <c r="V406" s="62"/>
      <c r="W406" s="62"/>
      <c r="X406" s="62"/>
      <c r="Y406" s="58"/>
      <c r="Z406" s="58"/>
      <c r="AA406" s="58"/>
    </row>
    <row r="407" spans="1:27" ht="15.75" customHeight="1" x14ac:dyDescent="0.2">
      <c r="A407" s="61" t="str">
        <f t="shared" si="12"/>
        <v/>
      </c>
      <c r="B407" s="62"/>
      <c r="C407" s="62"/>
      <c r="D407" s="62"/>
      <c r="E407" s="62"/>
      <c r="F407" s="63"/>
      <c r="G407" s="63"/>
      <c r="H407" s="63"/>
      <c r="I407" s="63"/>
      <c r="J407" s="63"/>
      <c r="K407" s="63"/>
      <c r="L407" s="64" t="str">
        <f>IF(OR($B407="", $H407="", $I407="", $J407="", $K407=""),"",ROUND((VLOOKUP($H407,Lists!$E$2:$F$5,2,FALSE())*VLOOKUP($I407,Lists!$H$2:$I$4,2,FALSE())*VLOOKUP($J407,Lists!$K$2:$L$4,2,FALSE()))/VLOOKUP($K407,Lists!$N$2:$O$6,2,FALSE()),2))</f>
        <v/>
      </c>
      <c r="M407" s="63"/>
      <c r="N407" s="63"/>
      <c r="O407" s="62"/>
      <c r="P407" s="63"/>
      <c r="Q407" s="65"/>
      <c r="R407" s="66" t="str">
        <f t="shared" ca="1" si="13"/>
        <v/>
      </c>
      <c r="S407" s="63"/>
      <c r="T407" s="65"/>
      <c r="U407" s="65"/>
      <c r="V407" s="62"/>
      <c r="W407" s="62"/>
      <c r="X407" s="62"/>
      <c r="Y407" s="58"/>
      <c r="Z407" s="58"/>
      <c r="AA407" s="58"/>
    </row>
    <row r="408" spans="1:27" ht="15.75" customHeight="1" x14ac:dyDescent="0.2">
      <c r="A408" s="61" t="str">
        <f t="shared" si="12"/>
        <v/>
      </c>
      <c r="B408" s="62"/>
      <c r="C408" s="62"/>
      <c r="D408" s="62"/>
      <c r="E408" s="62"/>
      <c r="F408" s="63"/>
      <c r="G408" s="63"/>
      <c r="H408" s="63"/>
      <c r="I408" s="63"/>
      <c r="J408" s="63"/>
      <c r="K408" s="63"/>
      <c r="L408" s="64" t="str">
        <f>IF(OR($B408="", $H408="", $I408="", $J408="", $K408=""),"",ROUND((VLOOKUP($H408,Lists!$E$2:$F$5,2,FALSE())*VLOOKUP($I408,Lists!$H$2:$I$4,2,FALSE())*VLOOKUP($J408,Lists!$K$2:$L$4,2,FALSE()))/VLOOKUP($K408,Lists!$N$2:$O$6,2,FALSE()),2))</f>
        <v/>
      </c>
      <c r="M408" s="63"/>
      <c r="N408" s="63"/>
      <c r="O408" s="62"/>
      <c r="P408" s="63"/>
      <c r="Q408" s="65"/>
      <c r="R408" s="66" t="str">
        <f t="shared" ca="1" si="13"/>
        <v/>
      </c>
      <c r="S408" s="63"/>
      <c r="T408" s="65"/>
      <c r="U408" s="65"/>
      <c r="V408" s="62"/>
      <c r="W408" s="62"/>
      <c r="X408" s="62"/>
      <c r="Y408" s="58"/>
      <c r="Z408" s="58"/>
      <c r="AA408" s="58"/>
    </row>
    <row r="409" spans="1:27" ht="15.75" customHeight="1" x14ac:dyDescent="0.2">
      <c r="A409" s="61" t="str">
        <f t="shared" si="12"/>
        <v/>
      </c>
      <c r="B409" s="62"/>
      <c r="C409" s="62"/>
      <c r="D409" s="62"/>
      <c r="E409" s="62"/>
      <c r="F409" s="63"/>
      <c r="G409" s="63"/>
      <c r="H409" s="63"/>
      <c r="I409" s="63"/>
      <c r="J409" s="63"/>
      <c r="K409" s="63"/>
      <c r="L409" s="64" t="str">
        <f>IF(OR($B409="", $H409="", $I409="", $J409="", $K409=""),"",ROUND((VLOOKUP($H409,Lists!$E$2:$F$5,2,FALSE())*VLOOKUP($I409,Lists!$H$2:$I$4,2,FALSE())*VLOOKUP($J409,Lists!$K$2:$L$4,2,FALSE()))/VLOOKUP($K409,Lists!$N$2:$O$6,2,FALSE()),2))</f>
        <v/>
      </c>
      <c r="M409" s="63"/>
      <c r="N409" s="63"/>
      <c r="O409" s="62"/>
      <c r="P409" s="63"/>
      <c r="Q409" s="65"/>
      <c r="R409" s="66" t="str">
        <f t="shared" ca="1" si="13"/>
        <v/>
      </c>
      <c r="S409" s="63"/>
      <c r="T409" s="65"/>
      <c r="U409" s="65"/>
      <c r="V409" s="62"/>
      <c r="W409" s="62"/>
      <c r="X409" s="62"/>
      <c r="Y409" s="58"/>
      <c r="Z409" s="58"/>
      <c r="AA409" s="58"/>
    </row>
    <row r="410" spans="1:27" ht="15.75" customHeight="1" x14ac:dyDescent="0.2">
      <c r="A410" s="61" t="str">
        <f t="shared" si="12"/>
        <v/>
      </c>
      <c r="B410" s="62"/>
      <c r="C410" s="62"/>
      <c r="D410" s="62"/>
      <c r="E410" s="62"/>
      <c r="F410" s="63"/>
      <c r="G410" s="63"/>
      <c r="H410" s="63"/>
      <c r="I410" s="63"/>
      <c r="J410" s="63"/>
      <c r="K410" s="63"/>
      <c r="L410" s="64" t="str">
        <f>IF(OR($B410="", $H410="", $I410="", $J410="", $K410=""),"",ROUND((VLOOKUP($H410,Lists!$E$2:$F$5,2,FALSE())*VLOOKUP($I410,Lists!$H$2:$I$4,2,FALSE())*VLOOKUP($J410,Lists!$K$2:$L$4,2,FALSE()))/VLOOKUP($K410,Lists!$N$2:$O$6,2,FALSE()),2))</f>
        <v/>
      </c>
      <c r="M410" s="63"/>
      <c r="N410" s="63"/>
      <c r="O410" s="62"/>
      <c r="P410" s="63"/>
      <c r="Q410" s="65"/>
      <c r="R410" s="66" t="str">
        <f t="shared" ca="1" si="13"/>
        <v/>
      </c>
      <c r="S410" s="63"/>
      <c r="T410" s="65"/>
      <c r="U410" s="65"/>
      <c r="V410" s="62"/>
      <c r="W410" s="62"/>
      <c r="X410" s="62"/>
      <c r="Y410" s="58"/>
      <c r="Z410" s="58"/>
      <c r="AA410" s="58"/>
    </row>
    <row r="411" spans="1:27" ht="15.75" customHeight="1" x14ac:dyDescent="0.2">
      <c r="A411" s="61" t="str">
        <f t="shared" si="12"/>
        <v/>
      </c>
      <c r="B411" s="62"/>
      <c r="C411" s="62"/>
      <c r="D411" s="62"/>
      <c r="E411" s="62"/>
      <c r="F411" s="63"/>
      <c r="G411" s="63"/>
      <c r="H411" s="63"/>
      <c r="I411" s="63"/>
      <c r="J411" s="63"/>
      <c r="K411" s="63"/>
      <c r="L411" s="64" t="str">
        <f>IF(OR($B411="", $H411="", $I411="", $J411="", $K411=""),"",ROUND((VLOOKUP($H411,Lists!$E$2:$F$5,2,FALSE())*VLOOKUP($I411,Lists!$H$2:$I$4,2,FALSE())*VLOOKUP($J411,Lists!$K$2:$L$4,2,FALSE()))/VLOOKUP($K411,Lists!$N$2:$O$6,2,FALSE()),2))</f>
        <v/>
      </c>
      <c r="M411" s="63"/>
      <c r="N411" s="63"/>
      <c r="O411" s="62"/>
      <c r="P411" s="63"/>
      <c r="Q411" s="65"/>
      <c r="R411" s="66" t="str">
        <f t="shared" ca="1" si="13"/>
        <v/>
      </c>
      <c r="S411" s="63"/>
      <c r="T411" s="65"/>
      <c r="U411" s="65"/>
      <c r="V411" s="62"/>
      <c r="W411" s="62"/>
      <c r="X411" s="62"/>
      <c r="Y411" s="58"/>
      <c r="Z411" s="58"/>
      <c r="AA411" s="58"/>
    </row>
    <row r="412" spans="1:27" ht="15.75" customHeight="1" x14ac:dyDescent="0.2">
      <c r="A412" s="61" t="str">
        <f t="shared" si="12"/>
        <v/>
      </c>
      <c r="B412" s="62"/>
      <c r="C412" s="62"/>
      <c r="D412" s="62"/>
      <c r="E412" s="62"/>
      <c r="F412" s="63"/>
      <c r="G412" s="63"/>
      <c r="H412" s="63"/>
      <c r="I412" s="63"/>
      <c r="J412" s="63"/>
      <c r="K412" s="63"/>
      <c r="L412" s="64" t="str">
        <f>IF(OR($B412="", $H412="", $I412="", $J412="", $K412=""),"",ROUND((VLOOKUP($H412,Lists!$E$2:$F$5,2,FALSE())*VLOOKUP($I412,Lists!$H$2:$I$4,2,FALSE())*VLOOKUP($J412,Lists!$K$2:$L$4,2,FALSE()))/VLOOKUP($K412,Lists!$N$2:$O$6,2,FALSE()),2))</f>
        <v/>
      </c>
      <c r="M412" s="63"/>
      <c r="N412" s="63"/>
      <c r="O412" s="62"/>
      <c r="P412" s="63"/>
      <c r="Q412" s="65"/>
      <c r="R412" s="66" t="str">
        <f t="shared" ca="1" si="13"/>
        <v/>
      </c>
      <c r="S412" s="63"/>
      <c r="T412" s="65"/>
      <c r="U412" s="65"/>
      <c r="V412" s="62"/>
      <c r="W412" s="62"/>
      <c r="X412" s="62"/>
      <c r="Y412" s="58"/>
      <c r="Z412" s="58"/>
      <c r="AA412" s="58"/>
    </row>
    <row r="413" spans="1:27" ht="15.75" customHeight="1" x14ac:dyDescent="0.2">
      <c r="A413" s="61" t="str">
        <f t="shared" si="12"/>
        <v/>
      </c>
      <c r="B413" s="62"/>
      <c r="C413" s="62"/>
      <c r="D413" s="62"/>
      <c r="E413" s="62"/>
      <c r="F413" s="63"/>
      <c r="G413" s="63"/>
      <c r="H413" s="63"/>
      <c r="I413" s="63"/>
      <c r="J413" s="63"/>
      <c r="K413" s="63"/>
      <c r="L413" s="64" t="str">
        <f>IF(OR($B413="", $H413="", $I413="", $J413="", $K413=""),"",ROUND((VLOOKUP($H413,Lists!$E$2:$F$5,2,FALSE())*VLOOKUP($I413,Lists!$H$2:$I$4,2,FALSE())*VLOOKUP($J413,Lists!$K$2:$L$4,2,FALSE()))/VLOOKUP($K413,Lists!$N$2:$O$6,2,FALSE()),2))</f>
        <v/>
      </c>
      <c r="M413" s="63"/>
      <c r="N413" s="63"/>
      <c r="O413" s="62"/>
      <c r="P413" s="63"/>
      <c r="Q413" s="65"/>
      <c r="R413" s="66" t="str">
        <f t="shared" ca="1" si="13"/>
        <v/>
      </c>
      <c r="S413" s="63"/>
      <c r="T413" s="65"/>
      <c r="U413" s="65"/>
      <c r="V413" s="62"/>
      <c r="W413" s="62"/>
      <c r="X413" s="62"/>
      <c r="Y413" s="58"/>
      <c r="Z413" s="58"/>
      <c r="AA413" s="58"/>
    </row>
    <row r="414" spans="1:27" ht="15.75" customHeight="1" x14ac:dyDescent="0.2">
      <c r="A414" s="61" t="str">
        <f t="shared" si="12"/>
        <v/>
      </c>
      <c r="B414" s="62"/>
      <c r="C414" s="62"/>
      <c r="D414" s="62"/>
      <c r="E414" s="62"/>
      <c r="F414" s="63"/>
      <c r="G414" s="63"/>
      <c r="H414" s="63"/>
      <c r="I414" s="63"/>
      <c r="J414" s="63"/>
      <c r="K414" s="63"/>
      <c r="L414" s="64" t="str">
        <f>IF(OR($B414="", $H414="", $I414="", $J414="", $K414=""),"",ROUND((VLOOKUP($H414,Lists!$E$2:$F$5,2,FALSE())*VLOOKUP($I414,Lists!$H$2:$I$4,2,FALSE())*VLOOKUP($J414,Lists!$K$2:$L$4,2,FALSE()))/VLOOKUP($K414,Lists!$N$2:$O$6,2,FALSE()),2))</f>
        <v/>
      </c>
      <c r="M414" s="63"/>
      <c r="N414" s="63"/>
      <c r="O414" s="62"/>
      <c r="P414" s="63"/>
      <c r="Q414" s="65"/>
      <c r="R414" s="66" t="str">
        <f t="shared" ca="1" si="13"/>
        <v/>
      </c>
      <c r="S414" s="63"/>
      <c r="T414" s="65"/>
      <c r="U414" s="65"/>
      <c r="V414" s="62"/>
      <c r="W414" s="62"/>
      <c r="X414" s="62"/>
      <c r="Y414" s="58"/>
      <c r="Z414" s="58"/>
      <c r="AA414" s="58"/>
    </row>
    <row r="415" spans="1:27" ht="15.75" customHeight="1" x14ac:dyDescent="0.2">
      <c r="A415" s="61" t="str">
        <f t="shared" si="12"/>
        <v/>
      </c>
      <c r="B415" s="62"/>
      <c r="C415" s="62"/>
      <c r="D415" s="62"/>
      <c r="E415" s="62"/>
      <c r="F415" s="63"/>
      <c r="G415" s="63"/>
      <c r="H415" s="63"/>
      <c r="I415" s="63"/>
      <c r="J415" s="63"/>
      <c r="K415" s="63"/>
      <c r="L415" s="64" t="str">
        <f>IF(OR($B415="", $H415="", $I415="", $J415="", $K415=""),"",ROUND((VLOOKUP($H415,Lists!$E$2:$F$5,2,FALSE())*VLOOKUP($I415,Lists!$H$2:$I$4,2,FALSE())*VLOOKUP($J415,Lists!$K$2:$L$4,2,FALSE()))/VLOOKUP($K415,Lists!$N$2:$O$6,2,FALSE()),2))</f>
        <v/>
      </c>
      <c r="M415" s="63"/>
      <c r="N415" s="63"/>
      <c r="O415" s="62"/>
      <c r="P415" s="63"/>
      <c r="Q415" s="65"/>
      <c r="R415" s="66" t="str">
        <f t="shared" ca="1" si="13"/>
        <v/>
      </c>
      <c r="S415" s="63"/>
      <c r="T415" s="65"/>
      <c r="U415" s="65"/>
      <c r="V415" s="62"/>
      <c r="W415" s="62"/>
      <c r="X415" s="62"/>
      <c r="Y415" s="58"/>
      <c r="Z415" s="58"/>
      <c r="AA415" s="58"/>
    </row>
    <row r="416" spans="1:27" ht="15.75" customHeight="1" x14ac:dyDescent="0.2">
      <c r="A416" s="61" t="str">
        <f t="shared" si="12"/>
        <v/>
      </c>
      <c r="B416" s="62"/>
      <c r="C416" s="62"/>
      <c r="D416" s="62"/>
      <c r="E416" s="62"/>
      <c r="F416" s="63"/>
      <c r="G416" s="63"/>
      <c r="H416" s="63"/>
      <c r="I416" s="63"/>
      <c r="J416" s="63"/>
      <c r="K416" s="63"/>
      <c r="L416" s="64" t="str">
        <f>IF(OR($B416="", $H416="", $I416="", $J416="", $K416=""),"",ROUND((VLOOKUP($H416,Lists!$E$2:$F$5,2,FALSE())*VLOOKUP($I416,Lists!$H$2:$I$4,2,FALSE())*VLOOKUP($J416,Lists!$K$2:$L$4,2,FALSE()))/VLOOKUP($K416,Lists!$N$2:$O$6,2,FALSE()),2))</f>
        <v/>
      </c>
      <c r="M416" s="63"/>
      <c r="N416" s="63"/>
      <c r="O416" s="62"/>
      <c r="P416" s="63"/>
      <c r="Q416" s="65"/>
      <c r="R416" s="66" t="str">
        <f t="shared" ca="1" si="13"/>
        <v/>
      </c>
      <c r="S416" s="63"/>
      <c r="T416" s="65"/>
      <c r="U416" s="65"/>
      <c r="V416" s="62"/>
      <c r="W416" s="62"/>
      <c r="X416" s="62"/>
      <c r="Y416" s="58"/>
      <c r="Z416" s="58"/>
      <c r="AA416" s="58"/>
    </row>
    <row r="417" spans="1:27" ht="15.75" customHeight="1" x14ac:dyDescent="0.2">
      <c r="A417" s="61" t="str">
        <f t="shared" si="12"/>
        <v/>
      </c>
      <c r="B417" s="62"/>
      <c r="C417" s="62"/>
      <c r="D417" s="62"/>
      <c r="E417" s="62"/>
      <c r="F417" s="63"/>
      <c r="G417" s="63"/>
      <c r="H417" s="63"/>
      <c r="I417" s="63"/>
      <c r="J417" s="63"/>
      <c r="K417" s="63"/>
      <c r="L417" s="64" t="str">
        <f>IF(OR($B417="", $H417="", $I417="", $J417="", $K417=""),"",ROUND((VLOOKUP($H417,Lists!$E$2:$F$5,2,FALSE())*VLOOKUP($I417,Lists!$H$2:$I$4,2,FALSE())*VLOOKUP($J417,Lists!$K$2:$L$4,2,FALSE()))/VLOOKUP($K417,Lists!$N$2:$O$6,2,FALSE()),2))</f>
        <v/>
      </c>
      <c r="M417" s="63"/>
      <c r="N417" s="63"/>
      <c r="O417" s="62"/>
      <c r="P417" s="63"/>
      <c r="Q417" s="65"/>
      <c r="R417" s="66" t="str">
        <f t="shared" ca="1" si="13"/>
        <v/>
      </c>
      <c r="S417" s="63"/>
      <c r="T417" s="65"/>
      <c r="U417" s="65"/>
      <c r="V417" s="62"/>
      <c r="W417" s="62"/>
      <c r="X417" s="62"/>
      <c r="Y417" s="58"/>
      <c r="Z417" s="58"/>
      <c r="AA417" s="58"/>
    </row>
    <row r="418" spans="1:27" ht="15.75" customHeight="1" x14ac:dyDescent="0.2">
      <c r="A418" s="61" t="str">
        <f t="shared" si="12"/>
        <v/>
      </c>
      <c r="B418" s="62"/>
      <c r="C418" s="62"/>
      <c r="D418" s="62"/>
      <c r="E418" s="62"/>
      <c r="F418" s="63"/>
      <c r="G418" s="63"/>
      <c r="H418" s="63"/>
      <c r="I418" s="63"/>
      <c r="J418" s="63"/>
      <c r="K418" s="63"/>
      <c r="L418" s="64" t="str">
        <f>IF(OR($B418="", $H418="", $I418="", $J418="", $K418=""),"",ROUND((VLOOKUP($H418,Lists!$E$2:$F$5,2,FALSE())*VLOOKUP($I418,Lists!$H$2:$I$4,2,FALSE())*VLOOKUP($J418,Lists!$K$2:$L$4,2,FALSE()))/VLOOKUP($K418,Lists!$N$2:$O$6,2,FALSE()),2))</f>
        <v/>
      </c>
      <c r="M418" s="63"/>
      <c r="N418" s="63"/>
      <c r="O418" s="62"/>
      <c r="P418" s="63"/>
      <c r="Q418" s="65"/>
      <c r="R418" s="66" t="str">
        <f t="shared" ca="1" si="13"/>
        <v/>
      </c>
      <c r="S418" s="63"/>
      <c r="T418" s="65"/>
      <c r="U418" s="65"/>
      <c r="V418" s="62"/>
      <c r="W418" s="62"/>
      <c r="X418" s="62"/>
      <c r="Y418" s="58"/>
      <c r="Z418" s="58"/>
      <c r="AA418" s="58"/>
    </row>
    <row r="419" spans="1:27" ht="15.75" customHeight="1" x14ac:dyDescent="0.2">
      <c r="A419" s="61" t="str">
        <f t="shared" si="12"/>
        <v/>
      </c>
      <c r="B419" s="62"/>
      <c r="C419" s="62"/>
      <c r="D419" s="62"/>
      <c r="E419" s="62"/>
      <c r="F419" s="63"/>
      <c r="G419" s="63"/>
      <c r="H419" s="63"/>
      <c r="I419" s="63"/>
      <c r="J419" s="63"/>
      <c r="K419" s="63"/>
      <c r="L419" s="64" t="str">
        <f>IF(OR($B419="", $H419="", $I419="", $J419="", $K419=""),"",ROUND((VLOOKUP($H419,Lists!$E$2:$F$5,2,FALSE())*VLOOKUP($I419,Lists!$H$2:$I$4,2,FALSE())*VLOOKUP($J419,Lists!$K$2:$L$4,2,FALSE()))/VLOOKUP($K419,Lists!$N$2:$O$6,2,FALSE()),2))</f>
        <v/>
      </c>
      <c r="M419" s="63"/>
      <c r="N419" s="63"/>
      <c r="O419" s="62"/>
      <c r="P419" s="63"/>
      <c r="Q419" s="65"/>
      <c r="R419" s="66" t="str">
        <f t="shared" ca="1" si="13"/>
        <v/>
      </c>
      <c r="S419" s="63"/>
      <c r="T419" s="65"/>
      <c r="U419" s="65"/>
      <c r="V419" s="62"/>
      <c r="W419" s="62"/>
      <c r="X419" s="62"/>
      <c r="Y419" s="58"/>
      <c r="Z419" s="58"/>
      <c r="AA419" s="58"/>
    </row>
    <row r="420" spans="1:27" ht="15.75" customHeight="1" x14ac:dyDescent="0.2">
      <c r="A420" s="61" t="str">
        <f t="shared" si="12"/>
        <v/>
      </c>
      <c r="B420" s="62"/>
      <c r="C420" s="62"/>
      <c r="D420" s="62"/>
      <c r="E420" s="62"/>
      <c r="F420" s="63"/>
      <c r="G420" s="63"/>
      <c r="H420" s="63"/>
      <c r="I420" s="63"/>
      <c r="J420" s="63"/>
      <c r="K420" s="63"/>
      <c r="L420" s="64" t="str">
        <f>IF(OR($B420="", $H420="", $I420="", $J420="", $K420=""),"",ROUND((VLOOKUP($H420,Lists!$E$2:$F$5,2,FALSE())*VLOOKUP($I420,Lists!$H$2:$I$4,2,FALSE())*VLOOKUP($J420,Lists!$K$2:$L$4,2,FALSE()))/VLOOKUP($K420,Lists!$N$2:$O$6,2,FALSE()),2))</f>
        <v/>
      </c>
      <c r="M420" s="63"/>
      <c r="N420" s="63"/>
      <c r="O420" s="62"/>
      <c r="P420" s="63"/>
      <c r="Q420" s="65"/>
      <c r="R420" s="66" t="str">
        <f t="shared" ca="1" si="13"/>
        <v/>
      </c>
      <c r="S420" s="63"/>
      <c r="T420" s="65"/>
      <c r="U420" s="65"/>
      <c r="V420" s="62"/>
      <c r="W420" s="62"/>
      <c r="X420" s="62"/>
      <c r="Y420" s="58"/>
      <c r="Z420" s="58"/>
      <c r="AA420" s="58"/>
    </row>
    <row r="421" spans="1:27" ht="15.75" customHeight="1" x14ac:dyDescent="0.2">
      <c r="A421" s="61" t="str">
        <f t="shared" si="12"/>
        <v/>
      </c>
      <c r="B421" s="62"/>
      <c r="C421" s="62"/>
      <c r="D421" s="62"/>
      <c r="E421" s="62"/>
      <c r="F421" s="63"/>
      <c r="G421" s="63"/>
      <c r="H421" s="63"/>
      <c r="I421" s="63"/>
      <c r="J421" s="63"/>
      <c r="K421" s="63"/>
      <c r="L421" s="64" t="str">
        <f>IF(OR($B421="", $H421="", $I421="", $J421="", $K421=""),"",ROUND((VLOOKUP($H421,Lists!$E$2:$F$5,2,FALSE())*VLOOKUP($I421,Lists!$H$2:$I$4,2,FALSE())*VLOOKUP($J421,Lists!$K$2:$L$4,2,FALSE()))/VLOOKUP($K421,Lists!$N$2:$O$6,2,FALSE()),2))</f>
        <v/>
      </c>
      <c r="M421" s="63"/>
      <c r="N421" s="63"/>
      <c r="O421" s="62"/>
      <c r="P421" s="63"/>
      <c r="Q421" s="65"/>
      <c r="R421" s="66" t="str">
        <f t="shared" ca="1" si="13"/>
        <v/>
      </c>
      <c r="S421" s="63"/>
      <c r="T421" s="65"/>
      <c r="U421" s="65"/>
      <c r="V421" s="62"/>
      <c r="W421" s="62"/>
      <c r="X421" s="62"/>
      <c r="Y421" s="58"/>
      <c r="Z421" s="58"/>
      <c r="AA421" s="58"/>
    </row>
    <row r="422" spans="1:27" ht="15.75" customHeight="1" x14ac:dyDescent="0.2">
      <c r="A422" s="61" t="str">
        <f t="shared" si="12"/>
        <v/>
      </c>
      <c r="B422" s="62"/>
      <c r="C422" s="62"/>
      <c r="D422" s="62"/>
      <c r="E422" s="62"/>
      <c r="F422" s="63"/>
      <c r="G422" s="63"/>
      <c r="H422" s="63"/>
      <c r="I422" s="63"/>
      <c r="J422" s="63"/>
      <c r="K422" s="63"/>
      <c r="L422" s="64" t="str">
        <f>IF(OR($B422="", $H422="", $I422="", $J422="", $K422=""),"",ROUND((VLOOKUP($H422,Lists!$E$2:$F$5,2,FALSE())*VLOOKUP($I422,Lists!$H$2:$I$4,2,FALSE())*VLOOKUP($J422,Lists!$K$2:$L$4,2,FALSE()))/VLOOKUP($K422,Lists!$N$2:$O$6,2,FALSE()),2))</f>
        <v/>
      </c>
      <c r="M422" s="63"/>
      <c r="N422" s="63"/>
      <c r="O422" s="62"/>
      <c r="P422" s="63"/>
      <c r="Q422" s="65"/>
      <c r="R422" s="66" t="str">
        <f t="shared" ca="1" si="13"/>
        <v/>
      </c>
      <c r="S422" s="63"/>
      <c r="T422" s="65"/>
      <c r="U422" s="65"/>
      <c r="V422" s="62"/>
      <c r="W422" s="62"/>
      <c r="X422" s="62"/>
      <c r="Y422" s="58"/>
      <c r="Z422" s="58"/>
      <c r="AA422" s="58"/>
    </row>
    <row r="423" spans="1:27" ht="15.75" customHeight="1" x14ac:dyDescent="0.2">
      <c r="A423" s="61" t="str">
        <f t="shared" si="12"/>
        <v/>
      </c>
      <c r="B423" s="62"/>
      <c r="C423" s="62"/>
      <c r="D423" s="62"/>
      <c r="E423" s="62"/>
      <c r="F423" s="63"/>
      <c r="G423" s="63"/>
      <c r="H423" s="63"/>
      <c r="I423" s="63"/>
      <c r="J423" s="63"/>
      <c r="K423" s="63"/>
      <c r="L423" s="64" t="str">
        <f>IF(OR($B423="", $H423="", $I423="", $J423="", $K423=""),"",ROUND((VLOOKUP($H423,Lists!$E$2:$F$5,2,FALSE())*VLOOKUP($I423,Lists!$H$2:$I$4,2,FALSE())*VLOOKUP($J423,Lists!$K$2:$L$4,2,FALSE()))/VLOOKUP($K423,Lists!$N$2:$O$6,2,FALSE()),2))</f>
        <v/>
      </c>
      <c r="M423" s="63"/>
      <c r="N423" s="63"/>
      <c r="O423" s="62"/>
      <c r="P423" s="63"/>
      <c r="Q423" s="65"/>
      <c r="R423" s="66" t="str">
        <f t="shared" ca="1" si="13"/>
        <v/>
      </c>
      <c r="S423" s="63"/>
      <c r="T423" s="65"/>
      <c r="U423" s="65"/>
      <c r="V423" s="62"/>
      <c r="W423" s="62"/>
      <c r="X423" s="62"/>
      <c r="Y423" s="58"/>
      <c r="Z423" s="58"/>
      <c r="AA423" s="58"/>
    </row>
    <row r="424" spans="1:27" ht="15.75" customHeight="1" x14ac:dyDescent="0.2">
      <c r="A424" s="61" t="str">
        <f t="shared" si="12"/>
        <v/>
      </c>
      <c r="B424" s="62"/>
      <c r="C424" s="62"/>
      <c r="D424" s="62"/>
      <c r="E424" s="62"/>
      <c r="F424" s="63"/>
      <c r="G424" s="63"/>
      <c r="H424" s="63"/>
      <c r="I424" s="63"/>
      <c r="J424" s="63"/>
      <c r="K424" s="63"/>
      <c r="L424" s="64" t="str">
        <f>IF(OR($B424="", $H424="", $I424="", $J424="", $K424=""),"",ROUND((VLOOKUP($H424,Lists!$E$2:$F$5,2,FALSE())*VLOOKUP($I424,Lists!$H$2:$I$4,2,FALSE())*VLOOKUP($J424,Lists!$K$2:$L$4,2,FALSE()))/VLOOKUP($K424,Lists!$N$2:$O$6,2,FALSE()),2))</f>
        <v/>
      </c>
      <c r="M424" s="63"/>
      <c r="N424" s="63"/>
      <c r="O424" s="62"/>
      <c r="P424" s="63"/>
      <c r="Q424" s="65"/>
      <c r="R424" s="66" t="str">
        <f t="shared" ca="1" si="13"/>
        <v/>
      </c>
      <c r="S424" s="63"/>
      <c r="T424" s="65"/>
      <c r="U424" s="65"/>
      <c r="V424" s="62"/>
      <c r="W424" s="62"/>
      <c r="X424" s="62"/>
      <c r="Y424" s="58"/>
      <c r="Z424" s="58"/>
      <c r="AA424" s="58"/>
    </row>
    <row r="425" spans="1:27" ht="15.75" customHeight="1" x14ac:dyDescent="0.2">
      <c r="A425" s="61" t="str">
        <f t="shared" si="12"/>
        <v/>
      </c>
      <c r="B425" s="62"/>
      <c r="C425" s="62"/>
      <c r="D425" s="62"/>
      <c r="E425" s="62"/>
      <c r="F425" s="63"/>
      <c r="G425" s="63"/>
      <c r="H425" s="63"/>
      <c r="I425" s="63"/>
      <c r="J425" s="63"/>
      <c r="K425" s="63"/>
      <c r="L425" s="64" t="str">
        <f>IF(OR($B425="", $H425="", $I425="", $J425="", $K425=""),"",ROUND((VLOOKUP($H425,Lists!$E$2:$F$5,2,FALSE())*VLOOKUP($I425,Lists!$H$2:$I$4,2,FALSE())*VLOOKUP($J425,Lists!$K$2:$L$4,2,FALSE()))/VLOOKUP($K425,Lists!$N$2:$O$6,2,FALSE()),2))</f>
        <v/>
      </c>
      <c r="M425" s="63"/>
      <c r="N425" s="63"/>
      <c r="O425" s="62"/>
      <c r="P425" s="63"/>
      <c r="Q425" s="65"/>
      <c r="R425" s="66" t="str">
        <f t="shared" ca="1" si="13"/>
        <v/>
      </c>
      <c r="S425" s="63"/>
      <c r="T425" s="65"/>
      <c r="U425" s="65"/>
      <c r="V425" s="62"/>
      <c r="W425" s="62"/>
      <c r="X425" s="62"/>
      <c r="Y425" s="58"/>
      <c r="Z425" s="58"/>
      <c r="AA425" s="58"/>
    </row>
    <row r="426" spans="1:27" ht="15.75" customHeight="1" x14ac:dyDescent="0.2">
      <c r="A426" s="61" t="str">
        <f t="shared" si="12"/>
        <v/>
      </c>
      <c r="B426" s="62"/>
      <c r="C426" s="62"/>
      <c r="D426" s="62"/>
      <c r="E426" s="62"/>
      <c r="F426" s="63"/>
      <c r="G426" s="63"/>
      <c r="H426" s="63"/>
      <c r="I426" s="63"/>
      <c r="J426" s="63"/>
      <c r="K426" s="63"/>
      <c r="L426" s="64" t="str">
        <f>IF(OR($B426="", $H426="", $I426="", $J426="", $K426=""),"",ROUND((VLOOKUP($H426,Lists!$E$2:$F$5,2,FALSE())*VLOOKUP($I426,Lists!$H$2:$I$4,2,FALSE())*VLOOKUP($J426,Lists!$K$2:$L$4,2,FALSE()))/VLOOKUP($K426,Lists!$N$2:$O$6,2,FALSE()),2))</f>
        <v/>
      </c>
      <c r="M426" s="63"/>
      <c r="N426" s="63"/>
      <c r="O426" s="62"/>
      <c r="P426" s="63"/>
      <c r="Q426" s="65"/>
      <c r="R426" s="66" t="str">
        <f t="shared" ca="1" si="13"/>
        <v/>
      </c>
      <c r="S426" s="63"/>
      <c r="T426" s="65"/>
      <c r="U426" s="65"/>
      <c r="V426" s="62"/>
      <c r="W426" s="62"/>
      <c r="X426" s="62"/>
      <c r="Y426" s="58"/>
      <c r="Z426" s="58"/>
      <c r="AA426" s="58"/>
    </row>
    <row r="427" spans="1:27" ht="15.75" customHeight="1" x14ac:dyDescent="0.2">
      <c r="A427" s="61" t="str">
        <f t="shared" si="12"/>
        <v/>
      </c>
      <c r="B427" s="62"/>
      <c r="C427" s="62"/>
      <c r="D427" s="62"/>
      <c r="E427" s="62"/>
      <c r="F427" s="63"/>
      <c r="G427" s="63"/>
      <c r="H427" s="63"/>
      <c r="I427" s="63"/>
      <c r="J427" s="63"/>
      <c r="K427" s="63"/>
      <c r="L427" s="64" t="str">
        <f>IF(OR($B427="", $H427="", $I427="", $J427="", $K427=""),"",ROUND((VLOOKUP($H427,Lists!$E$2:$F$5,2,FALSE())*VLOOKUP($I427,Lists!$H$2:$I$4,2,FALSE())*VLOOKUP($J427,Lists!$K$2:$L$4,2,FALSE()))/VLOOKUP($K427,Lists!$N$2:$O$6,2,FALSE()),2))</f>
        <v/>
      </c>
      <c r="M427" s="63"/>
      <c r="N427" s="63"/>
      <c r="O427" s="62"/>
      <c r="P427" s="63"/>
      <c r="Q427" s="65"/>
      <c r="R427" s="66" t="str">
        <f t="shared" ca="1" si="13"/>
        <v/>
      </c>
      <c r="S427" s="63"/>
      <c r="T427" s="65"/>
      <c r="U427" s="65"/>
      <c r="V427" s="62"/>
      <c r="W427" s="62"/>
      <c r="X427" s="62"/>
      <c r="Y427" s="58"/>
      <c r="Z427" s="58"/>
      <c r="AA427" s="58"/>
    </row>
    <row r="428" spans="1:27" ht="15.75" customHeight="1" x14ac:dyDescent="0.2">
      <c r="A428" s="61" t="str">
        <f t="shared" si="12"/>
        <v/>
      </c>
      <c r="B428" s="62"/>
      <c r="C428" s="62"/>
      <c r="D428" s="62"/>
      <c r="E428" s="62"/>
      <c r="F428" s="63"/>
      <c r="G428" s="63"/>
      <c r="H428" s="63"/>
      <c r="I428" s="63"/>
      <c r="J428" s="63"/>
      <c r="K428" s="63"/>
      <c r="L428" s="64" t="str">
        <f>IF(OR($B428="", $H428="", $I428="", $J428="", $K428=""),"",ROUND((VLOOKUP($H428,Lists!$E$2:$F$5,2,FALSE())*VLOOKUP($I428,Lists!$H$2:$I$4,2,FALSE())*VLOOKUP($J428,Lists!$K$2:$L$4,2,FALSE()))/VLOOKUP($K428,Lists!$N$2:$O$6,2,FALSE()),2))</f>
        <v/>
      </c>
      <c r="M428" s="63"/>
      <c r="N428" s="63"/>
      <c r="O428" s="62"/>
      <c r="P428" s="63"/>
      <c r="Q428" s="65"/>
      <c r="R428" s="66" t="str">
        <f t="shared" ca="1" si="13"/>
        <v/>
      </c>
      <c r="S428" s="63"/>
      <c r="T428" s="65"/>
      <c r="U428" s="65"/>
      <c r="V428" s="62"/>
      <c r="W428" s="62"/>
      <c r="X428" s="62"/>
      <c r="Y428" s="58"/>
      <c r="Z428" s="58"/>
      <c r="AA428" s="58"/>
    </row>
    <row r="429" spans="1:27" ht="15.75" customHeight="1" x14ac:dyDescent="0.2">
      <c r="A429" s="61" t="str">
        <f t="shared" si="12"/>
        <v/>
      </c>
      <c r="B429" s="62"/>
      <c r="C429" s="62"/>
      <c r="D429" s="62"/>
      <c r="E429" s="62"/>
      <c r="F429" s="63"/>
      <c r="G429" s="63"/>
      <c r="H429" s="63"/>
      <c r="I429" s="63"/>
      <c r="J429" s="63"/>
      <c r="K429" s="63"/>
      <c r="L429" s="64" t="str">
        <f>IF(OR($B429="", $H429="", $I429="", $J429="", $K429=""),"",ROUND((VLOOKUP($H429,Lists!$E$2:$F$5,2,FALSE())*VLOOKUP($I429,Lists!$H$2:$I$4,2,FALSE())*VLOOKUP($J429,Lists!$K$2:$L$4,2,FALSE()))/VLOOKUP($K429,Lists!$N$2:$O$6,2,FALSE()),2))</f>
        <v/>
      </c>
      <c r="M429" s="63"/>
      <c r="N429" s="63"/>
      <c r="O429" s="62"/>
      <c r="P429" s="63"/>
      <c r="Q429" s="65"/>
      <c r="R429" s="66" t="str">
        <f t="shared" ca="1" si="13"/>
        <v/>
      </c>
      <c r="S429" s="63"/>
      <c r="T429" s="65"/>
      <c r="U429" s="65"/>
      <c r="V429" s="62"/>
      <c r="W429" s="62"/>
      <c r="X429" s="62"/>
      <c r="Y429" s="58"/>
      <c r="Z429" s="58"/>
      <c r="AA429" s="58"/>
    </row>
    <row r="430" spans="1:27" ht="15.75" customHeight="1" x14ac:dyDescent="0.2">
      <c r="A430" s="61" t="str">
        <f t="shared" si="12"/>
        <v/>
      </c>
      <c r="B430" s="62"/>
      <c r="C430" s="62"/>
      <c r="D430" s="62"/>
      <c r="E430" s="62"/>
      <c r="F430" s="63"/>
      <c r="G430" s="63"/>
      <c r="H430" s="63"/>
      <c r="I430" s="63"/>
      <c r="J430" s="63"/>
      <c r="K430" s="63"/>
      <c r="L430" s="64" t="str">
        <f>IF(OR($B430="", $H430="", $I430="", $J430="", $K430=""),"",ROUND((VLOOKUP($H430,Lists!$E$2:$F$5,2,FALSE())*VLOOKUP($I430,Lists!$H$2:$I$4,2,FALSE())*VLOOKUP($J430,Lists!$K$2:$L$4,2,FALSE()))/VLOOKUP($K430,Lists!$N$2:$O$6,2,FALSE()),2))</f>
        <v/>
      </c>
      <c r="M430" s="63"/>
      <c r="N430" s="63"/>
      <c r="O430" s="62"/>
      <c r="P430" s="63"/>
      <c r="Q430" s="65"/>
      <c r="R430" s="66" t="str">
        <f t="shared" ca="1" si="13"/>
        <v/>
      </c>
      <c r="S430" s="63"/>
      <c r="T430" s="65"/>
      <c r="U430" s="65"/>
      <c r="V430" s="62"/>
      <c r="W430" s="62"/>
      <c r="X430" s="62"/>
      <c r="Y430" s="58"/>
      <c r="Z430" s="58"/>
      <c r="AA430" s="58"/>
    </row>
    <row r="431" spans="1:27" ht="15.75" customHeight="1" x14ac:dyDescent="0.2">
      <c r="A431" s="61" t="str">
        <f t="shared" si="12"/>
        <v/>
      </c>
      <c r="B431" s="62"/>
      <c r="C431" s="62"/>
      <c r="D431" s="62"/>
      <c r="E431" s="62"/>
      <c r="F431" s="63"/>
      <c r="G431" s="63"/>
      <c r="H431" s="63"/>
      <c r="I431" s="63"/>
      <c r="J431" s="63"/>
      <c r="K431" s="63"/>
      <c r="L431" s="64" t="str">
        <f>IF(OR($B431="", $H431="", $I431="", $J431="", $K431=""),"",ROUND((VLOOKUP($H431,Lists!$E$2:$F$5,2,FALSE())*VLOOKUP($I431,Lists!$H$2:$I$4,2,FALSE())*VLOOKUP($J431,Lists!$K$2:$L$4,2,FALSE()))/VLOOKUP($K431,Lists!$N$2:$O$6,2,FALSE()),2))</f>
        <v/>
      </c>
      <c r="M431" s="63"/>
      <c r="N431" s="63"/>
      <c r="O431" s="62"/>
      <c r="P431" s="63"/>
      <c r="Q431" s="65"/>
      <c r="R431" s="66" t="str">
        <f t="shared" ca="1" si="13"/>
        <v/>
      </c>
      <c r="S431" s="63"/>
      <c r="T431" s="65"/>
      <c r="U431" s="65"/>
      <c r="V431" s="62"/>
      <c r="W431" s="62"/>
      <c r="X431" s="62"/>
      <c r="Y431" s="58"/>
      <c r="Z431" s="58"/>
      <c r="AA431" s="58"/>
    </row>
    <row r="432" spans="1:27" ht="15.75" customHeight="1" x14ac:dyDescent="0.2">
      <c r="A432" s="61" t="str">
        <f t="shared" si="12"/>
        <v/>
      </c>
      <c r="B432" s="62"/>
      <c r="C432" s="62"/>
      <c r="D432" s="62"/>
      <c r="E432" s="62"/>
      <c r="F432" s="63"/>
      <c r="G432" s="63"/>
      <c r="H432" s="63"/>
      <c r="I432" s="63"/>
      <c r="J432" s="63"/>
      <c r="K432" s="63"/>
      <c r="L432" s="64" t="str">
        <f>IF(OR($B432="", $H432="", $I432="", $J432="", $K432=""),"",ROUND((VLOOKUP($H432,Lists!$E$2:$F$5,2,FALSE())*VLOOKUP($I432,Lists!$H$2:$I$4,2,FALSE())*VLOOKUP($J432,Lists!$K$2:$L$4,2,FALSE()))/VLOOKUP($K432,Lists!$N$2:$O$6,2,FALSE()),2))</f>
        <v/>
      </c>
      <c r="M432" s="63"/>
      <c r="N432" s="63"/>
      <c r="O432" s="62"/>
      <c r="P432" s="63"/>
      <c r="Q432" s="65"/>
      <c r="R432" s="66" t="str">
        <f t="shared" ca="1" si="13"/>
        <v/>
      </c>
      <c r="S432" s="63"/>
      <c r="T432" s="65"/>
      <c r="U432" s="65"/>
      <c r="V432" s="62"/>
      <c r="W432" s="62"/>
      <c r="X432" s="62"/>
      <c r="Y432" s="58"/>
      <c r="Z432" s="58"/>
      <c r="AA432" s="58"/>
    </row>
    <row r="433" spans="1:27" ht="15.75" customHeight="1" x14ac:dyDescent="0.2">
      <c r="A433" s="61" t="str">
        <f t="shared" si="12"/>
        <v/>
      </c>
      <c r="B433" s="62"/>
      <c r="C433" s="62"/>
      <c r="D433" s="62"/>
      <c r="E433" s="62"/>
      <c r="F433" s="63"/>
      <c r="G433" s="63"/>
      <c r="H433" s="63"/>
      <c r="I433" s="63"/>
      <c r="J433" s="63"/>
      <c r="K433" s="63"/>
      <c r="L433" s="64" t="str">
        <f>IF(OR($B433="", $H433="", $I433="", $J433="", $K433=""),"",ROUND((VLOOKUP($H433,Lists!$E$2:$F$5,2,FALSE())*VLOOKUP($I433,Lists!$H$2:$I$4,2,FALSE())*VLOOKUP($J433,Lists!$K$2:$L$4,2,FALSE()))/VLOOKUP($K433,Lists!$N$2:$O$6,2,FALSE()),2))</f>
        <v/>
      </c>
      <c r="M433" s="63"/>
      <c r="N433" s="63"/>
      <c r="O433" s="62"/>
      <c r="P433" s="63"/>
      <c r="Q433" s="65"/>
      <c r="R433" s="66" t="str">
        <f t="shared" ca="1" si="13"/>
        <v/>
      </c>
      <c r="S433" s="63"/>
      <c r="T433" s="65"/>
      <c r="U433" s="65"/>
      <c r="V433" s="62"/>
      <c r="W433" s="62"/>
      <c r="X433" s="62"/>
      <c r="Y433" s="58"/>
      <c r="Z433" s="58"/>
      <c r="AA433" s="58"/>
    </row>
    <row r="434" spans="1:27" ht="15.75" customHeight="1" x14ac:dyDescent="0.2">
      <c r="A434" s="61" t="str">
        <f t="shared" si="12"/>
        <v/>
      </c>
      <c r="B434" s="62"/>
      <c r="C434" s="62"/>
      <c r="D434" s="62"/>
      <c r="E434" s="62"/>
      <c r="F434" s="63"/>
      <c r="G434" s="63"/>
      <c r="H434" s="63"/>
      <c r="I434" s="63"/>
      <c r="J434" s="63"/>
      <c r="K434" s="63"/>
      <c r="L434" s="64" t="str">
        <f>IF(OR($B434="", $H434="", $I434="", $J434="", $K434=""),"",ROUND((VLOOKUP($H434,Lists!$E$2:$F$5,2,FALSE())*VLOOKUP($I434,Lists!$H$2:$I$4,2,FALSE())*VLOOKUP($J434,Lists!$K$2:$L$4,2,FALSE()))/VLOOKUP($K434,Lists!$N$2:$O$6,2,FALSE()),2))</f>
        <v/>
      </c>
      <c r="M434" s="63"/>
      <c r="N434" s="63"/>
      <c r="O434" s="62"/>
      <c r="P434" s="63"/>
      <c r="Q434" s="65"/>
      <c r="R434" s="66" t="str">
        <f t="shared" ca="1" si="13"/>
        <v/>
      </c>
      <c r="S434" s="63"/>
      <c r="T434" s="65"/>
      <c r="U434" s="65"/>
      <c r="V434" s="62"/>
      <c r="W434" s="62"/>
      <c r="X434" s="62"/>
      <c r="Y434" s="58"/>
      <c r="Z434" s="58"/>
      <c r="AA434" s="58"/>
    </row>
    <row r="435" spans="1:27" ht="15.75" customHeight="1" x14ac:dyDescent="0.2">
      <c r="A435" s="61" t="str">
        <f t="shared" si="12"/>
        <v/>
      </c>
      <c r="B435" s="62"/>
      <c r="C435" s="62"/>
      <c r="D435" s="62"/>
      <c r="E435" s="62"/>
      <c r="F435" s="63"/>
      <c r="G435" s="63"/>
      <c r="H435" s="63"/>
      <c r="I435" s="63"/>
      <c r="J435" s="63"/>
      <c r="K435" s="63"/>
      <c r="L435" s="64" t="str">
        <f>IF(OR($B435="", $H435="", $I435="", $J435="", $K435=""),"",ROUND((VLOOKUP($H435,Lists!$E$2:$F$5,2,FALSE())*VLOOKUP($I435,Lists!$H$2:$I$4,2,FALSE())*VLOOKUP($J435,Lists!$K$2:$L$4,2,FALSE()))/VLOOKUP($K435,Lists!$N$2:$O$6,2,FALSE()),2))</f>
        <v/>
      </c>
      <c r="M435" s="63"/>
      <c r="N435" s="63"/>
      <c r="O435" s="62"/>
      <c r="P435" s="63"/>
      <c r="Q435" s="65"/>
      <c r="R435" s="66" t="str">
        <f t="shared" ca="1" si="13"/>
        <v/>
      </c>
      <c r="S435" s="63"/>
      <c r="T435" s="65"/>
      <c r="U435" s="65"/>
      <c r="V435" s="62"/>
      <c r="W435" s="62"/>
      <c r="X435" s="62"/>
      <c r="Y435" s="58"/>
      <c r="Z435" s="58"/>
      <c r="AA435" s="58"/>
    </row>
    <row r="436" spans="1:27" ht="15.75" customHeight="1" x14ac:dyDescent="0.2">
      <c r="A436" s="61" t="str">
        <f t="shared" si="12"/>
        <v/>
      </c>
      <c r="B436" s="62"/>
      <c r="C436" s="62"/>
      <c r="D436" s="62"/>
      <c r="E436" s="62"/>
      <c r="F436" s="63"/>
      <c r="G436" s="63"/>
      <c r="H436" s="63"/>
      <c r="I436" s="63"/>
      <c r="J436" s="63"/>
      <c r="K436" s="63"/>
      <c r="L436" s="64" t="str">
        <f>IF(OR($B436="", $H436="", $I436="", $J436="", $K436=""),"",ROUND((VLOOKUP($H436,Lists!$E$2:$F$5,2,FALSE())*VLOOKUP($I436,Lists!$H$2:$I$4,2,FALSE())*VLOOKUP($J436,Lists!$K$2:$L$4,2,FALSE()))/VLOOKUP($K436,Lists!$N$2:$O$6,2,FALSE()),2))</f>
        <v/>
      </c>
      <c r="M436" s="63"/>
      <c r="N436" s="63"/>
      <c r="O436" s="62"/>
      <c r="P436" s="63"/>
      <c r="Q436" s="65"/>
      <c r="R436" s="66" t="str">
        <f t="shared" ca="1" si="13"/>
        <v/>
      </c>
      <c r="S436" s="63"/>
      <c r="T436" s="65"/>
      <c r="U436" s="65"/>
      <c r="V436" s="62"/>
      <c r="W436" s="62"/>
      <c r="X436" s="62"/>
      <c r="Y436" s="58"/>
      <c r="Z436" s="58"/>
      <c r="AA436" s="58"/>
    </row>
    <row r="437" spans="1:27" ht="15.75" customHeight="1" x14ac:dyDescent="0.2">
      <c r="A437" s="61" t="str">
        <f t="shared" si="12"/>
        <v/>
      </c>
      <c r="B437" s="62"/>
      <c r="C437" s="62"/>
      <c r="D437" s="62"/>
      <c r="E437" s="62"/>
      <c r="F437" s="63"/>
      <c r="G437" s="63"/>
      <c r="H437" s="63"/>
      <c r="I437" s="63"/>
      <c r="J437" s="63"/>
      <c r="K437" s="63"/>
      <c r="L437" s="64" t="str">
        <f>IF(OR($B437="", $H437="", $I437="", $J437="", $K437=""),"",ROUND((VLOOKUP($H437,Lists!$E$2:$F$5,2,FALSE())*VLOOKUP($I437,Lists!$H$2:$I$4,2,FALSE())*VLOOKUP($J437,Lists!$K$2:$L$4,2,FALSE()))/VLOOKUP($K437,Lists!$N$2:$O$6,2,FALSE()),2))</f>
        <v/>
      </c>
      <c r="M437" s="63"/>
      <c r="N437" s="63"/>
      <c r="O437" s="62"/>
      <c r="P437" s="63"/>
      <c r="Q437" s="65"/>
      <c r="R437" s="66" t="str">
        <f t="shared" ca="1" si="13"/>
        <v/>
      </c>
      <c r="S437" s="63"/>
      <c r="T437" s="65"/>
      <c r="U437" s="65"/>
      <c r="V437" s="62"/>
      <c r="W437" s="62"/>
      <c r="X437" s="62"/>
      <c r="Y437" s="58"/>
      <c r="Z437" s="58"/>
      <c r="AA437" s="58"/>
    </row>
    <row r="438" spans="1:27" ht="15.75" customHeight="1" x14ac:dyDescent="0.2">
      <c r="A438" s="61" t="str">
        <f t="shared" si="12"/>
        <v/>
      </c>
      <c r="B438" s="62"/>
      <c r="C438" s="62"/>
      <c r="D438" s="62"/>
      <c r="E438" s="62"/>
      <c r="F438" s="63"/>
      <c r="G438" s="63"/>
      <c r="H438" s="63"/>
      <c r="I438" s="63"/>
      <c r="J438" s="63"/>
      <c r="K438" s="63"/>
      <c r="L438" s="64" t="str">
        <f>IF(OR($B438="", $H438="", $I438="", $J438="", $K438=""),"",ROUND((VLOOKUP($H438,Lists!$E$2:$F$5,2,FALSE())*VLOOKUP($I438,Lists!$H$2:$I$4,2,FALSE())*VLOOKUP($J438,Lists!$K$2:$L$4,2,FALSE()))/VLOOKUP($K438,Lists!$N$2:$O$6,2,FALSE()),2))</f>
        <v/>
      </c>
      <c r="M438" s="63"/>
      <c r="N438" s="63"/>
      <c r="O438" s="62"/>
      <c r="P438" s="63"/>
      <c r="Q438" s="65"/>
      <c r="R438" s="66" t="str">
        <f t="shared" ca="1" si="13"/>
        <v/>
      </c>
      <c r="S438" s="63"/>
      <c r="T438" s="65"/>
      <c r="U438" s="65"/>
      <c r="V438" s="62"/>
      <c r="W438" s="62"/>
      <c r="X438" s="62"/>
      <c r="Y438" s="58"/>
      <c r="Z438" s="58"/>
      <c r="AA438" s="58"/>
    </row>
    <row r="439" spans="1:27" ht="15.75" customHeight="1" x14ac:dyDescent="0.2">
      <c r="A439" s="61" t="str">
        <f t="shared" si="12"/>
        <v/>
      </c>
      <c r="B439" s="62"/>
      <c r="C439" s="62"/>
      <c r="D439" s="62"/>
      <c r="E439" s="62"/>
      <c r="F439" s="63"/>
      <c r="G439" s="63"/>
      <c r="H439" s="63"/>
      <c r="I439" s="63"/>
      <c r="J439" s="63"/>
      <c r="K439" s="63"/>
      <c r="L439" s="64" t="str">
        <f>IF(OR($B439="", $H439="", $I439="", $J439="", $K439=""),"",ROUND((VLOOKUP($H439,Lists!$E$2:$F$5,2,FALSE())*VLOOKUP($I439,Lists!$H$2:$I$4,2,FALSE())*VLOOKUP($J439,Lists!$K$2:$L$4,2,FALSE()))/VLOOKUP($K439,Lists!$N$2:$O$6,2,FALSE()),2))</f>
        <v/>
      </c>
      <c r="M439" s="63"/>
      <c r="N439" s="63"/>
      <c r="O439" s="62"/>
      <c r="P439" s="63"/>
      <c r="Q439" s="65"/>
      <c r="R439" s="66" t="str">
        <f t="shared" ca="1" si="13"/>
        <v/>
      </c>
      <c r="S439" s="63"/>
      <c r="T439" s="65"/>
      <c r="U439" s="65"/>
      <c r="V439" s="62"/>
      <c r="W439" s="62"/>
      <c r="X439" s="62"/>
      <c r="Y439" s="58"/>
      <c r="Z439" s="58"/>
      <c r="AA439" s="58"/>
    </row>
    <row r="440" spans="1:27" ht="15.75" customHeight="1" x14ac:dyDescent="0.2">
      <c r="A440" s="61" t="str">
        <f t="shared" si="12"/>
        <v/>
      </c>
      <c r="B440" s="62"/>
      <c r="C440" s="62"/>
      <c r="D440" s="62"/>
      <c r="E440" s="62"/>
      <c r="F440" s="63"/>
      <c r="G440" s="63"/>
      <c r="H440" s="63"/>
      <c r="I440" s="63"/>
      <c r="J440" s="63"/>
      <c r="K440" s="63"/>
      <c r="L440" s="64" t="str">
        <f>IF(OR($B440="", $H440="", $I440="", $J440="", $K440=""),"",ROUND((VLOOKUP($H440,Lists!$E$2:$F$5,2,FALSE())*VLOOKUP($I440,Lists!$H$2:$I$4,2,FALSE())*VLOOKUP($J440,Lists!$K$2:$L$4,2,FALSE()))/VLOOKUP($K440,Lists!$N$2:$O$6,2,FALSE()),2))</f>
        <v/>
      </c>
      <c r="M440" s="63"/>
      <c r="N440" s="63"/>
      <c r="O440" s="62"/>
      <c r="P440" s="63"/>
      <c r="Q440" s="65"/>
      <c r="R440" s="66" t="str">
        <f t="shared" ca="1" si="13"/>
        <v/>
      </c>
      <c r="S440" s="63"/>
      <c r="T440" s="65"/>
      <c r="U440" s="65"/>
      <c r="V440" s="62"/>
      <c r="W440" s="62"/>
      <c r="X440" s="62"/>
      <c r="Y440" s="58"/>
      <c r="Z440" s="58"/>
      <c r="AA440" s="58"/>
    </row>
    <row r="441" spans="1:27" ht="15.75" customHeight="1" x14ac:dyDescent="0.2">
      <c r="A441" s="61" t="str">
        <f t="shared" si="12"/>
        <v/>
      </c>
      <c r="B441" s="62"/>
      <c r="C441" s="62"/>
      <c r="D441" s="62"/>
      <c r="E441" s="62"/>
      <c r="F441" s="63"/>
      <c r="G441" s="63"/>
      <c r="H441" s="63"/>
      <c r="I441" s="63"/>
      <c r="J441" s="63"/>
      <c r="K441" s="63"/>
      <c r="L441" s="64" t="str">
        <f>IF(OR($B441="", $H441="", $I441="", $J441="", $K441=""),"",ROUND((VLOOKUP($H441,Lists!$E$2:$F$5,2,FALSE())*VLOOKUP($I441,Lists!$H$2:$I$4,2,FALSE())*VLOOKUP($J441,Lists!$K$2:$L$4,2,FALSE()))/VLOOKUP($K441,Lists!$N$2:$O$6,2,FALSE()),2))</f>
        <v/>
      </c>
      <c r="M441" s="63"/>
      <c r="N441" s="63"/>
      <c r="O441" s="62"/>
      <c r="P441" s="63"/>
      <c r="Q441" s="65"/>
      <c r="R441" s="66" t="str">
        <f t="shared" ca="1" si="13"/>
        <v/>
      </c>
      <c r="S441" s="63"/>
      <c r="T441" s="65"/>
      <c r="U441" s="65"/>
      <c r="V441" s="62"/>
      <c r="W441" s="62"/>
      <c r="X441" s="62"/>
      <c r="Y441" s="58"/>
      <c r="Z441" s="58"/>
      <c r="AA441" s="58"/>
    </row>
    <row r="442" spans="1:27" ht="15.75" customHeight="1" x14ac:dyDescent="0.2">
      <c r="A442" s="61" t="str">
        <f t="shared" si="12"/>
        <v/>
      </c>
      <c r="B442" s="62"/>
      <c r="C442" s="62"/>
      <c r="D442" s="62"/>
      <c r="E442" s="62"/>
      <c r="F442" s="63"/>
      <c r="G442" s="63"/>
      <c r="H442" s="63"/>
      <c r="I442" s="63"/>
      <c r="J442" s="63"/>
      <c r="K442" s="63"/>
      <c r="L442" s="64" t="str">
        <f>IF(OR($B442="", $H442="", $I442="", $J442="", $K442=""),"",ROUND((VLOOKUP($H442,Lists!$E$2:$F$5,2,FALSE())*VLOOKUP($I442,Lists!$H$2:$I$4,2,FALSE())*VLOOKUP($J442,Lists!$K$2:$L$4,2,FALSE()))/VLOOKUP($K442,Lists!$N$2:$O$6,2,FALSE()),2))</f>
        <v/>
      </c>
      <c r="M442" s="63"/>
      <c r="N442" s="63"/>
      <c r="O442" s="62"/>
      <c r="P442" s="63"/>
      <c r="Q442" s="65"/>
      <c r="R442" s="66" t="str">
        <f t="shared" ca="1" si="13"/>
        <v/>
      </c>
      <c r="S442" s="63"/>
      <c r="T442" s="65"/>
      <c r="U442" s="65"/>
      <c r="V442" s="62"/>
      <c r="W442" s="62"/>
      <c r="X442" s="62"/>
      <c r="Y442" s="58"/>
      <c r="Z442" s="58"/>
      <c r="AA442" s="58"/>
    </row>
    <row r="443" spans="1:27" ht="15.75" customHeight="1" x14ac:dyDescent="0.2">
      <c r="A443" s="61" t="str">
        <f t="shared" si="12"/>
        <v/>
      </c>
      <c r="B443" s="62"/>
      <c r="C443" s="62"/>
      <c r="D443" s="62"/>
      <c r="E443" s="62"/>
      <c r="F443" s="63"/>
      <c r="G443" s="63"/>
      <c r="H443" s="63"/>
      <c r="I443" s="63"/>
      <c r="J443" s="63"/>
      <c r="K443" s="63"/>
      <c r="L443" s="64" t="str">
        <f>IF(OR($B443="", $H443="", $I443="", $J443="", $K443=""),"",ROUND((VLOOKUP($H443,Lists!$E$2:$F$5,2,FALSE())*VLOOKUP($I443,Lists!$H$2:$I$4,2,FALSE())*VLOOKUP($J443,Lists!$K$2:$L$4,2,FALSE()))/VLOOKUP($K443,Lists!$N$2:$O$6,2,FALSE()),2))</f>
        <v/>
      </c>
      <c r="M443" s="63"/>
      <c r="N443" s="63"/>
      <c r="O443" s="62"/>
      <c r="P443" s="63"/>
      <c r="Q443" s="65"/>
      <c r="R443" s="66" t="str">
        <f t="shared" ca="1" si="13"/>
        <v/>
      </c>
      <c r="S443" s="63"/>
      <c r="T443" s="65"/>
      <c r="U443" s="65"/>
      <c r="V443" s="62"/>
      <c r="W443" s="62"/>
      <c r="X443" s="62"/>
      <c r="Y443" s="58"/>
      <c r="Z443" s="58"/>
      <c r="AA443" s="58"/>
    </row>
    <row r="444" spans="1:27" ht="15.75" customHeight="1" x14ac:dyDescent="0.2">
      <c r="A444" s="61" t="str">
        <f t="shared" si="12"/>
        <v/>
      </c>
      <c r="B444" s="62"/>
      <c r="C444" s="62"/>
      <c r="D444" s="62"/>
      <c r="E444" s="62"/>
      <c r="F444" s="63"/>
      <c r="G444" s="63"/>
      <c r="H444" s="63"/>
      <c r="I444" s="63"/>
      <c r="J444" s="63"/>
      <c r="K444" s="63"/>
      <c r="L444" s="64" t="str">
        <f>IF(OR($B444="", $H444="", $I444="", $J444="", $K444=""),"",ROUND((VLOOKUP($H444,Lists!$E$2:$F$5,2,FALSE())*VLOOKUP($I444,Lists!$H$2:$I$4,2,FALSE())*VLOOKUP($J444,Lists!$K$2:$L$4,2,FALSE()))/VLOOKUP($K444,Lists!$N$2:$O$6,2,FALSE()),2))</f>
        <v/>
      </c>
      <c r="M444" s="63"/>
      <c r="N444" s="63"/>
      <c r="O444" s="62"/>
      <c r="P444" s="63"/>
      <c r="Q444" s="65"/>
      <c r="R444" s="66" t="str">
        <f t="shared" ca="1" si="13"/>
        <v/>
      </c>
      <c r="S444" s="63"/>
      <c r="T444" s="65"/>
      <c r="U444" s="65"/>
      <c r="V444" s="62"/>
      <c r="W444" s="62"/>
      <c r="X444" s="62"/>
      <c r="Y444" s="58"/>
      <c r="Z444" s="58"/>
      <c r="AA444" s="58"/>
    </row>
    <row r="445" spans="1:27" ht="15.75" customHeight="1" x14ac:dyDescent="0.2">
      <c r="A445" s="61" t="str">
        <f t="shared" si="12"/>
        <v/>
      </c>
      <c r="B445" s="62"/>
      <c r="C445" s="62"/>
      <c r="D445" s="62"/>
      <c r="E445" s="62"/>
      <c r="F445" s="63"/>
      <c r="G445" s="63"/>
      <c r="H445" s="63"/>
      <c r="I445" s="63"/>
      <c r="J445" s="63"/>
      <c r="K445" s="63"/>
      <c r="L445" s="64" t="str">
        <f>IF(OR($B445="", $H445="", $I445="", $J445="", $K445=""),"",ROUND((VLOOKUP($H445,Lists!$E$2:$F$5,2,FALSE())*VLOOKUP($I445,Lists!$H$2:$I$4,2,FALSE())*VLOOKUP($J445,Lists!$K$2:$L$4,2,FALSE()))/VLOOKUP($K445,Lists!$N$2:$O$6,2,FALSE()),2))</f>
        <v/>
      </c>
      <c r="M445" s="63"/>
      <c r="N445" s="63"/>
      <c r="O445" s="62"/>
      <c r="P445" s="63"/>
      <c r="Q445" s="65"/>
      <c r="R445" s="66" t="str">
        <f t="shared" ca="1" si="13"/>
        <v/>
      </c>
      <c r="S445" s="63"/>
      <c r="T445" s="65"/>
      <c r="U445" s="65"/>
      <c r="V445" s="62"/>
      <c r="W445" s="62"/>
      <c r="X445" s="62"/>
      <c r="Y445" s="58"/>
      <c r="Z445" s="58"/>
      <c r="AA445" s="58"/>
    </row>
    <row r="446" spans="1:27" ht="15.75" customHeight="1" x14ac:dyDescent="0.2">
      <c r="A446" s="61" t="str">
        <f t="shared" si="12"/>
        <v/>
      </c>
      <c r="B446" s="62"/>
      <c r="C446" s="62"/>
      <c r="D446" s="62"/>
      <c r="E446" s="62"/>
      <c r="F446" s="63"/>
      <c r="G446" s="63"/>
      <c r="H446" s="63"/>
      <c r="I446" s="63"/>
      <c r="J446" s="63"/>
      <c r="K446" s="63"/>
      <c r="L446" s="64" t="str">
        <f>IF(OR($B446="", $H446="", $I446="", $J446="", $K446=""),"",ROUND((VLOOKUP($H446,Lists!$E$2:$F$5,2,FALSE())*VLOOKUP($I446,Lists!$H$2:$I$4,2,FALSE())*VLOOKUP($J446,Lists!$K$2:$L$4,2,FALSE()))/VLOOKUP($K446,Lists!$N$2:$O$6,2,FALSE()),2))</f>
        <v/>
      </c>
      <c r="M446" s="63"/>
      <c r="N446" s="63"/>
      <c r="O446" s="62"/>
      <c r="P446" s="63"/>
      <c r="Q446" s="65"/>
      <c r="R446" s="66" t="str">
        <f t="shared" ca="1" si="13"/>
        <v/>
      </c>
      <c r="S446" s="63"/>
      <c r="T446" s="65"/>
      <c r="U446" s="65"/>
      <c r="V446" s="62"/>
      <c r="W446" s="62"/>
      <c r="X446" s="62"/>
      <c r="Y446" s="58"/>
      <c r="Z446" s="58"/>
      <c r="AA446" s="58"/>
    </row>
    <row r="447" spans="1:27" ht="15.75" customHeight="1" x14ac:dyDescent="0.2">
      <c r="A447" s="61" t="str">
        <f t="shared" si="12"/>
        <v/>
      </c>
      <c r="B447" s="62"/>
      <c r="C447" s="62"/>
      <c r="D447" s="62"/>
      <c r="E447" s="62"/>
      <c r="F447" s="63"/>
      <c r="G447" s="63"/>
      <c r="H447" s="63"/>
      <c r="I447" s="63"/>
      <c r="J447" s="63"/>
      <c r="K447" s="63"/>
      <c r="L447" s="64" t="str">
        <f>IF(OR($B447="", $H447="", $I447="", $J447="", $K447=""),"",ROUND((VLOOKUP($H447,Lists!$E$2:$F$5,2,FALSE())*VLOOKUP($I447,Lists!$H$2:$I$4,2,FALSE())*VLOOKUP($J447,Lists!$K$2:$L$4,2,FALSE()))/VLOOKUP($K447,Lists!$N$2:$O$6,2,FALSE()),2))</f>
        <v/>
      </c>
      <c r="M447" s="63"/>
      <c r="N447" s="63"/>
      <c r="O447" s="62"/>
      <c r="P447" s="63"/>
      <c r="Q447" s="65"/>
      <c r="R447" s="66" t="str">
        <f t="shared" ca="1" si="13"/>
        <v/>
      </c>
      <c r="S447" s="63"/>
      <c r="T447" s="65"/>
      <c r="U447" s="65"/>
      <c r="V447" s="62"/>
      <c r="W447" s="62"/>
      <c r="X447" s="62"/>
      <c r="Y447" s="58"/>
      <c r="Z447" s="58"/>
      <c r="AA447" s="58"/>
    </row>
    <row r="448" spans="1:27" ht="15.75" customHeight="1" x14ac:dyDescent="0.2">
      <c r="A448" s="61" t="str">
        <f t="shared" si="12"/>
        <v/>
      </c>
      <c r="B448" s="62"/>
      <c r="C448" s="62"/>
      <c r="D448" s="62"/>
      <c r="E448" s="62"/>
      <c r="F448" s="63"/>
      <c r="G448" s="63"/>
      <c r="H448" s="63"/>
      <c r="I448" s="63"/>
      <c r="J448" s="63"/>
      <c r="K448" s="63"/>
      <c r="L448" s="64" t="str">
        <f>IF(OR($B448="", $H448="", $I448="", $J448="", $K448=""),"",ROUND((VLOOKUP($H448,Lists!$E$2:$F$5,2,FALSE())*VLOOKUP($I448,Lists!$H$2:$I$4,2,FALSE())*VLOOKUP($J448,Lists!$K$2:$L$4,2,FALSE()))/VLOOKUP($K448,Lists!$N$2:$O$6,2,FALSE()),2))</f>
        <v/>
      </c>
      <c r="M448" s="63"/>
      <c r="N448" s="63"/>
      <c r="O448" s="62"/>
      <c r="P448" s="63"/>
      <c r="Q448" s="65"/>
      <c r="R448" s="66" t="str">
        <f t="shared" ca="1" si="13"/>
        <v/>
      </c>
      <c r="S448" s="63"/>
      <c r="T448" s="65"/>
      <c r="U448" s="65"/>
      <c r="V448" s="62"/>
      <c r="W448" s="62"/>
      <c r="X448" s="62"/>
      <c r="Y448" s="58"/>
      <c r="Z448" s="58"/>
      <c r="AA448" s="58"/>
    </row>
    <row r="449" spans="1:27" ht="15.75" customHeight="1" x14ac:dyDescent="0.2">
      <c r="A449" s="61" t="str">
        <f t="shared" si="12"/>
        <v/>
      </c>
      <c r="B449" s="62"/>
      <c r="C449" s="62"/>
      <c r="D449" s="62"/>
      <c r="E449" s="62"/>
      <c r="F449" s="63"/>
      <c r="G449" s="63"/>
      <c r="H449" s="63"/>
      <c r="I449" s="63"/>
      <c r="J449" s="63"/>
      <c r="K449" s="63"/>
      <c r="L449" s="64" t="str">
        <f>IF(OR($B449="", $H449="", $I449="", $J449="", $K449=""),"",ROUND((VLOOKUP($H449,Lists!$E$2:$F$5,2,FALSE())*VLOOKUP($I449,Lists!$H$2:$I$4,2,FALSE())*VLOOKUP($J449,Lists!$K$2:$L$4,2,FALSE()))/VLOOKUP($K449,Lists!$N$2:$O$6,2,FALSE()),2))</f>
        <v/>
      </c>
      <c r="M449" s="63"/>
      <c r="N449" s="63"/>
      <c r="O449" s="62"/>
      <c r="P449" s="63"/>
      <c r="Q449" s="65"/>
      <c r="R449" s="66" t="str">
        <f t="shared" ca="1" si="13"/>
        <v/>
      </c>
      <c r="S449" s="63"/>
      <c r="T449" s="65"/>
      <c r="U449" s="65"/>
      <c r="V449" s="62"/>
      <c r="W449" s="62"/>
      <c r="X449" s="62"/>
      <c r="Y449" s="58"/>
      <c r="Z449" s="58"/>
      <c r="AA449" s="58"/>
    </row>
    <row r="450" spans="1:27" ht="15.75" customHeight="1" x14ac:dyDescent="0.2">
      <c r="A450" s="61" t="str">
        <f t="shared" ref="A450:A513" si="14">IF($B450="","", "TD-" &amp; RIGHT("0000"&amp;ROW()-1,4))</f>
        <v/>
      </c>
      <c r="B450" s="62"/>
      <c r="C450" s="62"/>
      <c r="D450" s="62"/>
      <c r="E450" s="62"/>
      <c r="F450" s="63"/>
      <c r="G450" s="63"/>
      <c r="H450" s="63"/>
      <c r="I450" s="63"/>
      <c r="J450" s="63"/>
      <c r="K450" s="63"/>
      <c r="L450" s="64" t="str">
        <f>IF(OR($B450="", $H450="", $I450="", $J450="", $K450=""),"",ROUND((VLOOKUP($H450,Lists!$E$2:$F$5,2,FALSE())*VLOOKUP($I450,Lists!$H$2:$I$4,2,FALSE())*VLOOKUP($J450,Lists!$K$2:$L$4,2,FALSE()))/VLOOKUP($K450,Lists!$N$2:$O$6,2,FALSE()),2))</f>
        <v/>
      </c>
      <c r="M450" s="63"/>
      <c r="N450" s="63"/>
      <c r="O450" s="62"/>
      <c r="P450" s="63"/>
      <c r="Q450" s="65"/>
      <c r="R450" s="66" t="str">
        <f t="shared" ref="R450:R513" ca="1" si="15">IF($Q450="","", TODAY()-$Q450)</f>
        <v/>
      </c>
      <c r="S450" s="63"/>
      <c r="T450" s="65"/>
      <c r="U450" s="65"/>
      <c r="V450" s="62"/>
      <c r="W450" s="62"/>
      <c r="X450" s="62"/>
      <c r="Y450" s="58"/>
      <c r="Z450" s="58"/>
      <c r="AA450" s="58"/>
    </row>
    <row r="451" spans="1:27" ht="15.75" customHeight="1" x14ac:dyDescent="0.2">
      <c r="A451" s="61" t="str">
        <f t="shared" si="14"/>
        <v/>
      </c>
      <c r="B451" s="62"/>
      <c r="C451" s="62"/>
      <c r="D451" s="62"/>
      <c r="E451" s="62"/>
      <c r="F451" s="63"/>
      <c r="G451" s="63"/>
      <c r="H451" s="63"/>
      <c r="I451" s="63"/>
      <c r="J451" s="63"/>
      <c r="K451" s="63"/>
      <c r="L451" s="64" t="str">
        <f>IF(OR($B451="", $H451="", $I451="", $J451="", $K451=""),"",ROUND((VLOOKUP($H451,Lists!$E$2:$F$5,2,FALSE())*VLOOKUP($I451,Lists!$H$2:$I$4,2,FALSE())*VLOOKUP($J451,Lists!$K$2:$L$4,2,FALSE()))/VLOOKUP($K451,Lists!$N$2:$O$6,2,FALSE()),2))</f>
        <v/>
      </c>
      <c r="M451" s="63"/>
      <c r="N451" s="63"/>
      <c r="O451" s="62"/>
      <c r="P451" s="63"/>
      <c r="Q451" s="65"/>
      <c r="R451" s="66" t="str">
        <f t="shared" ca="1" si="15"/>
        <v/>
      </c>
      <c r="S451" s="63"/>
      <c r="T451" s="65"/>
      <c r="U451" s="65"/>
      <c r="V451" s="62"/>
      <c r="W451" s="62"/>
      <c r="X451" s="62"/>
      <c r="Y451" s="58"/>
      <c r="Z451" s="58"/>
      <c r="AA451" s="58"/>
    </row>
    <row r="452" spans="1:27" ht="15.75" customHeight="1" x14ac:dyDescent="0.2">
      <c r="A452" s="61" t="str">
        <f t="shared" si="14"/>
        <v/>
      </c>
      <c r="B452" s="62"/>
      <c r="C452" s="62"/>
      <c r="D452" s="62"/>
      <c r="E452" s="62"/>
      <c r="F452" s="63"/>
      <c r="G452" s="63"/>
      <c r="H452" s="63"/>
      <c r="I452" s="63"/>
      <c r="J452" s="63"/>
      <c r="K452" s="63"/>
      <c r="L452" s="64" t="str">
        <f>IF(OR($B452="", $H452="", $I452="", $J452="", $K452=""),"",ROUND((VLOOKUP($H452,Lists!$E$2:$F$5,2,FALSE())*VLOOKUP($I452,Lists!$H$2:$I$4,2,FALSE())*VLOOKUP($J452,Lists!$K$2:$L$4,2,FALSE()))/VLOOKUP($K452,Lists!$N$2:$O$6,2,FALSE()),2))</f>
        <v/>
      </c>
      <c r="M452" s="63"/>
      <c r="N452" s="63"/>
      <c r="O452" s="62"/>
      <c r="P452" s="63"/>
      <c r="Q452" s="65"/>
      <c r="R452" s="66" t="str">
        <f t="shared" ca="1" si="15"/>
        <v/>
      </c>
      <c r="S452" s="63"/>
      <c r="T452" s="65"/>
      <c r="U452" s="65"/>
      <c r="V452" s="62"/>
      <c r="W452" s="62"/>
      <c r="X452" s="62"/>
      <c r="Y452" s="58"/>
      <c r="Z452" s="58"/>
      <c r="AA452" s="58"/>
    </row>
    <row r="453" spans="1:27" ht="15.75" customHeight="1" x14ac:dyDescent="0.2">
      <c r="A453" s="61" t="str">
        <f t="shared" si="14"/>
        <v/>
      </c>
      <c r="B453" s="62"/>
      <c r="C453" s="62"/>
      <c r="D453" s="62"/>
      <c r="E453" s="62"/>
      <c r="F453" s="63"/>
      <c r="G453" s="63"/>
      <c r="H453" s="63"/>
      <c r="I453" s="63"/>
      <c r="J453" s="63"/>
      <c r="K453" s="63"/>
      <c r="L453" s="64" t="str">
        <f>IF(OR($B453="", $H453="", $I453="", $J453="", $K453=""),"",ROUND((VLOOKUP($H453,Lists!$E$2:$F$5,2,FALSE())*VLOOKUP($I453,Lists!$H$2:$I$4,2,FALSE())*VLOOKUP($J453,Lists!$K$2:$L$4,2,FALSE()))/VLOOKUP($K453,Lists!$N$2:$O$6,2,FALSE()),2))</f>
        <v/>
      </c>
      <c r="M453" s="63"/>
      <c r="N453" s="63"/>
      <c r="O453" s="62"/>
      <c r="P453" s="63"/>
      <c r="Q453" s="65"/>
      <c r="R453" s="66" t="str">
        <f t="shared" ca="1" si="15"/>
        <v/>
      </c>
      <c r="S453" s="63"/>
      <c r="T453" s="65"/>
      <c r="U453" s="65"/>
      <c r="V453" s="62"/>
      <c r="W453" s="62"/>
      <c r="X453" s="62"/>
      <c r="Y453" s="58"/>
      <c r="Z453" s="58"/>
      <c r="AA453" s="58"/>
    </row>
    <row r="454" spans="1:27" ht="15.75" customHeight="1" x14ac:dyDescent="0.2">
      <c r="A454" s="61" t="str">
        <f t="shared" si="14"/>
        <v/>
      </c>
      <c r="B454" s="62"/>
      <c r="C454" s="62"/>
      <c r="D454" s="62"/>
      <c r="E454" s="62"/>
      <c r="F454" s="63"/>
      <c r="G454" s="63"/>
      <c r="H454" s="63"/>
      <c r="I454" s="63"/>
      <c r="J454" s="63"/>
      <c r="K454" s="63"/>
      <c r="L454" s="64" t="str">
        <f>IF(OR($B454="", $H454="", $I454="", $J454="", $K454=""),"",ROUND((VLOOKUP($H454,Lists!$E$2:$F$5,2,FALSE())*VLOOKUP($I454,Lists!$H$2:$I$4,2,FALSE())*VLOOKUP($J454,Lists!$K$2:$L$4,2,FALSE()))/VLOOKUP($K454,Lists!$N$2:$O$6,2,FALSE()),2))</f>
        <v/>
      </c>
      <c r="M454" s="63"/>
      <c r="N454" s="63"/>
      <c r="O454" s="62"/>
      <c r="P454" s="63"/>
      <c r="Q454" s="65"/>
      <c r="R454" s="66" t="str">
        <f t="shared" ca="1" si="15"/>
        <v/>
      </c>
      <c r="S454" s="63"/>
      <c r="T454" s="65"/>
      <c r="U454" s="65"/>
      <c r="V454" s="62"/>
      <c r="W454" s="62"/>
      <c r="X454" s="62"/>
      <c r="Y454" s="58"/>
      <c r="Z454" s="58"/>
      <c r="AA454" s="58"/>
    </row>
    <row r="455" spans="1:27" ht="15.75" customHeight="1" x14ac:dyDescent="0.2">
      <c r="A455" s="61" t="str">
        <f t="shared" si="14"/>
        <v/>
      </c>
      <c r="B455" s="62"/>
      <c r="C455" s="62"/>
      <c r="D455" s="62"/>
      <c r="E455" s="62"/>
      <c r="F455" s="63"/>
      <c r="G455" s="63"/>
      <c r="H455" s="63"/>
      <c r="I455" s="63"/>
      <c r="J455" s="63"/>
      <c r="K455" s="63"/>
      <c r="L455" s="64" t="str">
        <f>IF(OR($B455="", $H455="", $I455="", $J455="", $K455=""),"",ROUND((VLOOKUP($H455,Lists!$E$2:$F$5,2,FALSE())*VLOOKUP($I455,Lists!$H$2:$I$4,2,FALSE())*VLOOKUP($J455,Lists!$K$2:$L$4,2,FALSE()))/VLOOKUP($K455,Lists!$N$2:$O$6,2,FALSE()),2))</f>
        <v/>
      </c>
      <c r="M455" s="63"/>
      <c r="N455" s="63"/>
      <c r="O455" s="62"/>
      <c r="P455" s="63"/>
      <c r="Q455" s="65"/>
      <c r="R455" s="66" t="str">
        <f t="shared" ca="1" si="15"/>
        <v/>
      </c>
      <c r="S455" s="63"/>
      <c r="T455" s="65"/>
      <c r="U455" s="65"/>
      <c r="V455" s="62"/>
      <c r="W455" s="62"/>
      <c r="X455" s="62"/>
      <c r="Y455" s="58"/>
      <c r="Z455" s="58"/>
      <c r="AA455" s="58"/>
    </row>
    <row r="456" spans="1:27" ht="15.75" customHeight="1" x14ac:dyDescent="0.2">
      <c r="A456" s="61" t="str">
        <f t="shared" si="14"/>
        <v/>
      </c>
      <c r="B456" s="62"/>
      <c r="C456" s="62"/>
      <c r="D456" s="62"/>
      <c r="E456" s="62"/>
      <c r="F456" s="63"/>
      <c r="G456" s="63"/>
      <c r="H456" s="63"/>
      <c r="I456" s="63"/>
      <c r="J456" s="63"/>
      <c r="K456" s="63"/>
      <c r="L456" s="64" t="str">
        <f>IF(OR($B456="", $H456="", $I456="", $J456="", $K456=""),"",ROUND((VLOOKUP($H456,Lists!$E$2:$F$5,2,FALSE())*VLOOKUP($I456,Lists!$H$2:$I$4,2,FALSE())*VLOOKUP($J456,Lists!$K$2:$L$4,2,FALSE()))/VLOOKUP($K456,Lists!$N$2:$O$6,2,FALSE()),2))</f>
        <v/>
      </c>
      <c r="M456" s="63"/>
      <c r="N456" s="63"/>
      <c r="O456" s="62"/>
      <c r="P456" s="63"/>
      <c r="Q456" s="65"/>
      <c r="R456" s="66" t="str">
        <f t="shared" ca="1" si="15"/>
        <v/>
      </c>
      <c r="S456" s="63"/>
      <c r="T456" s="65"/>
      <c r="U456" s="65"/>
      <c r="V456" s="62"/>
      <c r="W456" s="62"/>
      <c r="X456" s="62"/>
      <c r="Y456" s="58"/>
      <c r="Z456" s="58"/>
      <c r="AA456" s="58"/>
    </row>
    <row r="457" spans="1:27" ht="15.75" customHeight="1" x14ac:dyDescent="0.2">
      <c r="A457" s="61" t="str">
        <f t="shared" si="14"/>
        <v/>
      </c>
      <c r="B457" s="62"/>
      <c r="C457" s="62"/>
      <c r="D457" s="62"/>
      <c r="E457" s="62"/>
      <c r="F457" s="63"/>
      <c r="G457" s="63"/>
      <c r="H457" s="63"/>
      <c r="I457" s="63"/>
      <c r="J457" s="63"/>
      <c r="K457" s="63"/>
      <c r="L457" s="64" t="str">
        <f>IF(OR($B457="", $H457="", $I457="", $J457="", $K457=""),"",ROUND((VLOOKUP($H457,Lists!$E$2:$F$5,2,FALSE())*VLOOKUP($I457,Lists!$H$2:$I$4,2,FALSE())*VLOOKUP($J457,Lists!$K$2:$L$4,2,FALSE()))/VLOOKUP($K457,Lists!$N$2:$O$6,2,FALSE()),2))</f>
        <v/>
      </c>
      <c r="M457" s="63"/>
      <c r="N457" s="63"/>
      <c r="O457" s="62"/>
      <c r="P457" s="63"/>
      <c r="Q457" s="65"/>
      <c r="R457" s="66" t="str">
        <f t="shared" ca="1" si="15"/>
        <v/>
      </c>
      <c r="S457" s="63"/>
      <c r="T457" s="65"/>
      <c r="U457" s="65"/>
      <c r="V457" s="62"/>
      <c r="W457" s="62"/>
      <c r="X457" s="62"/>
      <c r="Y457" s="58"/>
      <c r="Z457" s="58"/>
      <c r="AA457" s="58"/>
    </row>
    <row r="458" spans="1:27" ht="15.75" customHeight="1" x14ac:dyDescent="0.2">
      <c r="A458" s="61" t="str">
        <f t="shared" si="14"/>
        <v/>
      </c>
      <c r="B458" s="62"/>
      <c r="C458" s="62"/>
      <c r="D458" s="62"/>
      <c r="E458" s="62"/>
      <c r="F458" s="63"/>
      <c r="G458" s="63"/>
      <c r="H458" s="63"/>
      <c r="I458" s="63"/>
      <c r="J458" s="63"/>
      <c r="K458" s="63"/>
      <c r="L458" s="64" t="str">
        <f>IF(OR($B458="", $H458="", $I458="", $J458="", $K458=""),"",ROUND((VLOOKUP($H458,Lists!$E$2:$F$5,2,FALSE())*VLOOKUP($I458,Lists!$H$2:$I$4,2,FALSE())*VLOOKUP($J458,Lists!$K$2:$L$4,2,FALSE()))/VLOOKUP($K458,Lists!$N$2:$O$6,2,FALSE()),2))</f>
        <v/>
      </c>
      <c r="M458" s="63"/>
      <c r="N458" s="63"/>
      <c r="O458" s="62"/>
      <c r="P458" s="63"/>
      <c r="Q458" s="65"/>
      <c r="R458" s="66" t="str">
        <f t="shared" ca="1" si="15"/>
        <v/>
      </c>
      <c r="S458" s="63"/>
      <c r="T458" s="65"/>
      <c r="U458" s="65"/>
      <c r="V458" s="62"/>
      <c r="W458" s="62"/>
      <c r="X458" s="62"/>
      <c r="Y458" s="58"/>
      <c r="Z458" s="58"/>
      <c r="AA458" s="58"/>
    </row>
    <row r="459" spans="1:27" ht="15.75" customHeight="1" x14ac:dyDescent="0.2">
      <c r="A459" s="61" t="str">
        <f t="shared" si="14"/>
        <v/>
      </c>
      <c r="B459" s="62"/>
      <c r="C459" s="62"/>
      <c r="D459" s="62"/>
      <c r="E459" s="62"/>
      <c r="F459" s="63"/>
      <c r="G459" s="63"/>
      <c r="H459" s="63"/>
      <c r="I459" s="63"/>
      <c r="J459" s="63"/>
      <c r="K459" s="63"/>
      <c r="L459" s="64" t="str">
        <f>IF(OR($B459="", $H459="", $I459="", $J459="", $K459=""),"",ROUND((VLOOKUP($H459,Lists!$E$2:$F$5,2,FALSE())*VLOOKUP($I459,Lists!$H$2:$I$4,2,FALSE())*VLOOKUP($J459,Lists!$K$2:$L$4,2,FALSE()))/VLOOKUP($K459,Lists!$N$2:$O$6,2,FALSE()),2))</f>
        <v/>
      </c>
      <c r="M459" s="63"/>
      <c r="N459" s="63"/>
      <c r="O459" s="62"/>
      <c r="P459" s="63"/>
      <c r="Q459" s="65"/>
      <c r="R459" s="66" t="str">
        <f t="shared" ca="1" si="15"/>
        <v/>
      </c>
      <c r="S459" s="63"/>
      <c r="T459" s="65"/>
      <c r="U459" s="65"/>
      <c r="V459" s="62"/>
      <c r="W459" s="62"/>
      <c r="X459" s="62"/>
      <c r="Y459" s="58"/>
      <c r="Z459" s="58"/>
      <c r="AA459" s="58"/>
    </row>
    <row r="460" spans="1:27" ht="15.75" customHeight="1" x14ac:dyDescent="0.2">
      <c r="A460" s="61" t="str">
        <f t="shared" si="14"/>
        <v/>
      </c>
      <c r="B460" s="62"/>
      <c r="C460" s="62"/>
      <c r="D460" s="62"/>
      <c r="E460" s="62"/>
      <c r="F460" s="63"/>
      <c r="G460" s="63"/>
      <c r="H460" s="63"/>
      <c r="I460" s="63"/>
      <c r="J460" s="63"/>
      <c r="K460" s="63"/>
      <c r="L460" s="64" t="str">
        <f>IF(OR($B460="", $H460="", $I460="", $J460="", $K460=""),"",ROUND((VLOOKUP($H460,Lists!$E$2:$F$5,2,FALSE())*VLOOKUP($I460,Lists!$H$2:$I$4,2,FALSE())*VLOOKUP($J460,Lists!$K$2:$L$4,2,FALSE()))/VLOOKUP($K460,Lists!$N$2:$O$6,2,FALSE()),2))</f>
        <v/>
      </c>
      <c r="M460" s="63"/>
      <c r="N460" s="63"/>
      <c r="O460" s="62"/>
      <c r="P460" s="63"/>
      <c r="Q460" s="65"/>
      <c r="R460" s="66" t="str">
        <f t="shared" ca="1" si="15"/>
        <v/>
      </c>
      <c r="S460" s="63"/>
      <c r="T460" s="65"/>
      <c r="U460" s="65"/>
      <c r="V460" s="62"/>
      <c r="W460" s="62"/>
      <c r="X460" s="62"/>
      <c r="Y460" s="58"/>
      <c r="Z460" s="58"/>
      <c r="AA460" s="58"/>
    </row>
    <row r="461" spans="1:27" ht="15.75" customHeight="1" x14ac:dyDescent="0.2">
      <c r="A461" s="61" t="str">
        <f t="shared" si="14"/>
        <v/>
      </c>
      <c r="B461" s="62"/>
      <c r="C461" s="62"/>
      <c r="D461" s="62"/>
      <c r="E461" s="62"/>
      <c r="F461" s="63"/>
      <c r="G461" s="63"/>
      <c r="H461" s="63"/>
      <c r="I461" s="63"/>
      <c r="J461" s="63"/>
      <c r="K461" s="63"/>
      <c r="L461" s="64" t="str">
        <f>IF(OR($B461="", $H461="", $I461="", $J461="", $K461=""),"",ROUND((VLOOKUP($H461,Lists!$E$2:$F$5,2,FALSE())*VLOOKUP($I461,Lists!$H$2:$I$4,2,FALSE())*VLOOKUP($J461,Lists!$K$2:$L$4,2,FALSE()))/VLOOKUP($K461,Lists!$N$2:$O$6,2,FALSE()),2))</f>
        <v/>
      </c>
      <c r="M461" s="63"/>
      <c r="N461" s="63"/>
      <c r="O461" s="62"/>
      <c r="P461" s="63"/>
      <c r="Q461" s="65"/>
      <c r="R461" s="66" t="str">
        <f t="shared" ca="1" si="15"/>
        <v/>
      </c>
      <c r="S461" s="63"/>
      <c r="T461" s="65"/>
      <c r="U461" s="65"/>
      <c r="V461" s="62"/>
      <c r="W461" s="62"/>
      <c r="X461" s="62"/>
      <c r="Y461" s="58"/>
      <c r="Z461" s="58"/>
      <c r="AA461" s="58"/>
    </row>
    <row r="462" spans="1:27" ht="15.75" customHeight="1" x14ac:dyDescent="0.2">
      <c r="A462" s="61" t="str">
        <f t="shared" si="14"/>
        <v/>
      </c>
      <c r="B462" s="62"/>
      <c r="C462" s="62"/>
      <c r="D462" s="62"/>
      <c r="E462" s="62"/>
      <c r="F462" s="63"/>
      <c r="G462" s="63"/>
      <c r="H462" s="63"/>
      <c r="I462" s="63"/>
      <c r="J462" s="63"/>
      <c r="K462" s="63"/>
      <c r="L462" s="64" t="str">
        <f>IF(OR($B462="", $H462="", $I462="", $J462="", $K462=""),"",ROUND((VLOOKUP($H462,Lists!$E$2:$F$5,2,FALSE())*VLOOKUP($I462,Lists!$H$2:$I$4,2,FALSE())*VLOOKUP($J462,Lists!$K$2:$L$4,2,FALSE()))/VLOOKUP($K462,Lists!$N$2:$O$6,2,FALSE()),2))</f>
        <v/>
      </c>
      <c r="M462" s="63"/>
      <c r="N462" s="63"/>
      <c r="O462" s="62"/>
      <c r="P462" s="63"/>
      <c r="Q462" s="65"/>
      <c r="R462" s="66" t="str">
        <f t="shared" ca="1" si="15"/>
        <v/>
      </c>
      <c r="S462" s="63"/>
      <c r="T462" s="65"/>
      <c r="U462" s="65"/>
      <c r="V462" s="62"/>
      <c r="W462" s="62"/>
      <c r="X462" s="62"/>
      <c r="Y462" s="58"/>
      <c r="Z462" s="58"/>
      <c r="AA462" s="58"/>
    </row>
    <row r="463" spans="1:27" ht="15.75" customHeight="1" x14ac:dyDescent="0.2">
      <c r="A463" s="61" t="str">
        <f t="shared" si="14"/>
        <v/>
      </c>
      <c r="B463" s="62"/>
      <c r="C463" s="62"/>
      <c r="D463" s="62"/>
      <c r="E463" s="62"/>
      <c r="F463" s="63"/>
      <c r="G463" s="63"/>
      <c r="H463" s="63"/>
      <c r="I463" s="63"/>
      <c r="J463" s="63"/>
      <c r="K463" s="63"/>
      <c r="L463" s="64" t="str">
        <f>IF(OR($B463="", $H463="", $I463="", $J463="", $K463=""),"",ROUND((VLOOKUP($H463,Lists!$E$2:$F$5,2,FALSE())*VLOOKUP($I463,Lists!$H$2:$I$4,2,FALSE())*VLOOKUP($J463,Lists!$K$2:$L$4,2,FALSE()))/VLOOKUP($K463,Lists!$N$2:$O$6,2,FALSE()),2))</f>
        <v/>
      </c>
      <c r="M463" s="63"/>
      <c r="N463" s="63"/>
      <c r="O463" s="62"/>
      <c r="P463" s="63"/>
      <c r="Q463" s="65"/>
      <c r="R463" s="66" t="str">
        <f t="shared" ca="1" si="15"/>
        <v/>
      </c>
      <c r="S463" s="63"/>
      <c r="T463" s="65"/>
      <c r="U463" s="65"/>
      <c r="V463" s="62"/>
      <c r="W463" s="62"/>
      <c r="X463" s="62"/>
      <c r="Y463" s="58"/>
      <c r="Z463" s="58"/>
      <c r="AA463" s="58"/>
    </row>
    <row r="464" spans="1:27" ht="15.75" customHeight="1" x14ac:dyDescent="0.2">
      <c r="A464" s="61" t="str">
        <f t="shared" si="14"/>
        <v/>
      </c>
      <c r="B464" s="62"/>
      <c r="C464" s="62"/>
      <c r="D464" s="62"/>
      <c r="E464" s="62"/>
      <c r="F464" s="63"/>
      <c r="G464" s="63"/>
      <c r="H464" s="63"/>
      <c r="I464" s="63"/>
      <c r="J464" s="63"/>
      <c r="K464" s="63"/>
      <c r="L464" s="64" t="str">
        <f>IF(OR($B464="", $H464="", $I464="", $J464="", $K464=""),"",ROUND((VLOOKUP($H464,Lists!$E$2:$F$5,2,FALSE())*VLOOKUP($I464,Lists!$H$2:$I$4,2,FALSE())*VLOOKUP($J464,Lists!$K$2:$L$4,2,FALSE()))/VLOOKUP($K464,Lists!$N$2:$O$6,2,FALSE()),2))</f>
        <v/>
      </c>
      <c r="M464" s="63"/>
      <c r="N464" s="63"/>
      <c r="O464" s="62"/>
      <c r="P464" s="63"/>
      <c r="Q464" s="65"/>
      <c r="R464" s="66" t="str">
        <f t="shared" ca="1" si="15"/>
        <v/>
      </c>
      <c r="S464" s="63"/>
      <c r="T464" s="65"/>
      <c r="U464" s="65"/>
      <c r="V464" s="62"/>
      <c r="W464" s="62"/>
      <c r="X464" s="62"/>
      <c r="Y464" s="58"/>
      <c r="Z464" s="58"/>
      <c r="AA464" s="58"/>
    </row>
    <row r="465" spans="1:27" ht="15.75" customHeight="1" x14ac:dyDescent="0.2">
      <c r="A465" s="61" t="str">
        <f t="shared" si="14"/>
        <v/>
      </c>
      <c r="B465" s="62"/>
      <c r="C465" s="62"/>
      <c r="D465" s="62"/>
      <c r="E465" s="62"/>
      <c r="F465" s="63"/>
      <c r="G465" s="63"/>
      <c r="H465" s="63"/>
      <c r="I465" s="63"/>
      <c r="J465" s="63"/>
      <c r="K465" s="63"/>
      <c r="L465" s="64" t="str">
        <f>IF(OR($B465="", $H465="", $I465="", $J465="", $K465=""),"",ROUND((VLOOKUP($H465,Lists!$E$2:$F$5,2,FALSE())*VLOOKUP($I465,Lists!$H$2:$I$4,2,FALSE())*VLOOKUP($J465,Lists!$K$2:$L$4,2,FALSE()))/VLOOKUP($K465,Lists!$N$2:$O$6,2,FALSE()),2))</f>
        <v/>
      </c>
      <c r="M465" s="63"/>
      <c r="N465" s="63"/>
      <c r="O465" s="62"/>
      <c r="P465" s="63"/>
      <c r="Q465" s="65"/>
      <c r="R465" s="66" t="str">
        <f t="shared" ca="1" si="15"/>
        <v/>
      </c>
      <c r="S465" s="63"/>
      <c r="T465" s="65"/>
      <c r="U465" s="65"/>
      <c r="V465" s="62"/>
      <c r="W465" s="62"/>
      <c r="X465" s="62"/>
      <c r="Y465" s="58"/>
      <c r="Z465" s="58"/>
      <c r="AA465" s="58"/>
    </row>
    <row r="466" spans="1:27" ht="15.75" customHeight="1" x14ac:dyDescent="0.2">
      <c r="A466" s="61" t="str">
        <f t="shared" si="14"/>
        <v/>
      </c>
      <c r="B466" s="62"/>
      <c r="C466" s="62"/>
      <c r="D466" s="62"/>
      <c r="E466" s="62"/>
      <c r="F466" s="63"/>
      <c r="G466" s="63"/>
      <c r="H466" s="63"/>
      <c r="I466" s="63"/>
      <c r="J466" s="63"/>
      <c r="K466" s="63"/>
      <c r="L466" s="64" t="str">
        <f>IF(OR($B466="", $H466="", $I466="", $J466="", $K466=""),"",ROUND((VLOOKUP($H466,Lists!$E$2:$F$5,2,FALSE())*VLOOKUP($I466,Lists!$H$2:$I$4,2,FALSE())*VLOOKUP($J466,Lists!$K$2:$L$4,2,FALSE()))/VLOOKUP($K466,Lists!$N$2:$O$6,2,FALSE()),2))</f>
        <v/>
      </c>
      <c r="M466" s="63"/>
      <c r="N466" s="63"/>
      <c r="O466" s="62"/>
      <c r="P466" s="63"/>
      <c r="Q466" s="65"/>
      <c r="R466" s="66" t="str">
        <f t="shared" ca="1" si="15"/>
        <v/>
      </c>
      <c r="S466" s="63"/>
      <c r="T466" s="65"/>
      <c r="U466" s="65"/>
      <c r="V466" s="62"/>
      <c r="W466" s="62"/>
      <c r="X466" s="62"/>
      <c r="Y466" s="58"/>
      <c r="Z466" s="58"/>
      <c r="AA466" s="58"/>
    </row>
    <row r="467" spans="1:27" ht="15.75" customHeight="1" x14ac:dyDescent="0.2">
      <c r="A467" s="61" t="str">
        <f t="shared" si="14"/>
        <v/>
      </c>
      <c r="B467" s="62"/>
      <c r="C467" s="62"/>
      <c r="D467" s="62"/>
      <c r="E467" s="62"/>
      <c r="F467" s="63"/>
      <c r="G467" s="63"/>
      <c r="H467" s="63"/>
      <c r="I467" s="63"/>
      <c r="J467" s="63"/>
      <c r="K467" s="63"/>
      <c r="L467" s="64" t="str">
        <f>IF(OR($B467="", $H467="", $I467="", $J467="", $K467=""),"",ROUND((VLOOKUP($H467,Lists!$E$2:$F$5,2,FALSE())*VLOOKUP($I467,Lists!$H$2:$I$4,2,FALSE())*VLOOKUP($J467,Lists!$K$2:$L$4,2,FALSE()))/VLOOKUP($K467,Lists!$N$2:$O$6,2,FALSE()),2))</f>
        <v/>
      </c>
      <c r="M467" s="63"/>
      <c r="N467" s="63"/>
      <c r="O467" s="62"/>
      <c r="P467" s="63"/>
      <c r="Q467" s="65"/>
      <c r="R467" s="66" t="str">
        <f t="shared" ca="1" si="15"/>
        <v/>
      </c>
      <c r="S467" s="63"/>
      <c r="T467" s="65"/>
      <c r="U467" s="65"/>
      <c r="V467" s="62"/>
      <c r="W467" s="62"/>
      <c r="X467" s="62"/>
      <c r="Y467" s="58"/>
      <c r="Z467" s="58"/>
      <c r="AA467" s="58"/>
    </row>
    <row r="468" spans="1:27" ht="15.75" customHeight="1" x14ac:dyDescent="0.2">
      <c r="A468" s="61" t="str">
        <f t="shared" si="14"/>
        <v/>
      </c>
      <c r="B468" s="62"/>
      <c r="C468" s="62"/>
      <c r="D468" s="62"/>
      <c r="E468" s="62"/>
      <c r="F468" s="63"/>
      <c r="G468" s="63"/>
      <c r="H468" s="63"/>
      <c r="I468" s="63"/>
      <c r="J468" s="63"/>
      <c r="K468" s="63"/>
      <c r="L468" s="64" t="str">
        <f>IF(OR($B468="", $H468="", $I468="", $J468="", $K468=""),"",ROUND((VLOOKUP($H468,Lists!$E$2:$F$5,2,FALSE())*VLOOKUP($I468,Lists!$H$2:$I$4,2,FALSE())*VLOOKUP($J468,Lists!$K$2:$L$4,2,FALSE()))/VLOOKUP($K468,Lists!$N$2:$O$6,2,FALSE()),2))</f>
        <v/>
      </c>
      <c r="M468" s="63"/>
      <c r="N468" s="63"/>
      <c r="O468" s="62"/>
      <c r="P468" s="63"/>
      <c r="Q468" s="65"/>
      <c r="R468" s="66" t="str">
        <f t="shared" ca="1" si="15"/>
        <v/>
      </c>
      <c r="S468" s="63"/>
      <c r="T468" s="65"/>
      <c r="U468" s="65"/>
      <c r="V468" s="62"/>
      <c r="W468" s="62"/>
      <c r="X468" s="62"/>
      <c r="Y468" s="58"/>
      <c r="Z468" s="58"/>
      <c r="AA468" s="58"/>
    </row>
    <row r="469" spans="1:27" ht="15.75" customHeight="1" x14ac:dyDescent="0.2">
      <c r="A469" s="61" t="str">
        <f t="shared" si="14"/>
        <v/>
      </c>
      <c r="B469" s="62"/>
      <c r="C469" s="62"/>
      <c r="D469" s="62"/>
      <c r="E469" s="62"/>
      <c r="F469" s="63"/>
      <c r="G469" s="63"/>
      <c r="H469" s="63"/>
      <c r="I469" s="63"/>
      <c r="J469" s="63"/>
      <c r="K469" s="63"/>
      <c r="L469" s="64" t="str">
        <f>IF(OR($B469="", $H469="", $I469="", $J469="", $K469=""),"",ROUND((VLOOKUP($H469,Lists!$E$2:$F$5,2,FALSE())*VLOOKUP($I469,Lists!$H$2:$I$4,2,FALSE())*VLOOKUP($J469,Lists!$K$2:$L$4,2,FALSE()))/VLOOKUP($K469,Lists!$N$2:$O$6,2,FALSE()),2))</f>
        <v/>
      </c>
      <c r="M469" s="63"/>
      <c r="N469" s="63"/>
      <c r="O469" s="62"/>
      <c r="P469" s="63"/>
      <c r="Q469" s="65"/>
      <c r="R469" s="66" t="str">
        <f t="shared" ca="1" si="15"/>
        <v/>
      </c>
      <c r="S469" s="63"/>
      <c r="T469" s="65"/>
      <c r="U469" s="65"/>
      <c r="V469" s="62"/>
      <c r="W469" s="62"/>
      <c r="X469" s="62"/>
      <c r="Y469" s="58"/>
      <c r="Z469" s="58"/>
      <c r="AA469" s="58"/>
    </row>
    <row r="470" spans="1:27" ht="15.75" customHeight="1" x14ac:dyDescent="0.2">
      <c r="A470" s="61" t="str">
        <f t="shared" si="14"/>
        <v/>
      </c>
      <c r="B470" s="62"/>
      <c r="C470" s="62"/>
      <c r="D470" s="62"/>
      <c r="E470" s="62"/>
      <c r="F470" s="63"/>
      <c r="G470" s="63"/>
      <c r="H470" s="63"/>
      <c r="I470" s="63"/>
      <c r="J470" s="63"/>
      <c r="K470" s="63"/>
      <c r="L470" s="64" t="str">
        <f>IF(OR($B470="", $H470="", $I470="", $J470="", $K470=""),"",ROUND((VLOOKUP($H470,Lists!$E$2:$F$5,2,FALSE())*VLOOKUP($I470,Lists!$H$2:$I$4,2,FALSE())*VLOOKUP($J470,Lists!$K$2:$L$4,2,FALSE()))/VLOOKUP($K470,Lists!$N$2:$O$6,2,FALSE()),2))</f>
        <v/>
      </c>
      <c r="M470" s="63"/>
      <c r="N470" s="63"/>
      <c r="O470" s="62"/>
      <c r="P470" s="63"/>
      <c r="Q470" s="65"/>
      <c r="R470" s="66" t="str">
        <f t="shared" ca="1" si="15"/>
        <v/>
      </c>
      <c r="S470" s="63"/>
      <c r="T470" s="65"/>
      <c r="U470" s="65"/>
      <c r="V470" s="62"/>
      <c r="W470" s="62"/>
      <c r="X470" s="62"/>
      <c r="Y470" s="58"/>
      <c r="Z470" s="58"/>
      <c r="AA470" s="58"/>
    </row>
    <row r="471" spans="1:27" ht="15.75" customHeight="1" x14ac:dyDescent="0.2">
      <c r="A471" s="61" t="str">
        <f t="shared" si="14"/>
        <v/>
      </c>
      <c r="B471" s="62"/>
      <c r="C471" s="62"/>
      <c r="D471" s="62"/>
      <c r="E471" s="62"/>
      <c r="F471" s="63"/>
      <c r="G471" s="63"/>
      <c r="H471" s="63"/>
      <c r="I471" s="63"/>
      <c r="J471" s="63"/>
      <c r="K471" s="63"/>
      <c r="L471" s="64" t="str">
        <f>IF(OR($B471="", $H471="", $I471="", $J471="", $K471=""),"",ROUND((VLOOKUP($H471,Lists!$E$2:$F$5,2,FALSE())*VLOOKUP($I471,Lists!$H$2:$I$4,2,FALSE())*VLOOKUP($J471,Lists!$K$2:$L$4,2,FALSE()))/VLOOKUP($K471,Lists!$N$2:$O$6,2,FALSE()),2))</f>
        <v/>
      </c>
      <c r="M471" s="63"/>
      <c r="N471" s="63"/>
      <c r="O471" s="62"/>
      <c r="P471" s="63"/>
      <c r="Q471" s="65"/>
      <c r="R471" s="66" t="str">
        <f t="shared" ca="1" si="15"/>
        <v/>
      </c>
      <c r="S471" s="63"/>
      <c r="T471" s="65"/>
      <c r="U471" s="65"/>
      <c r="V471" s="62"/>
      <c r="W471" s="62"/>
      <c r="X471" s="62"/>
      <c r="Y471" s="58"/>
      <c r="Z471" s="58"/>
      <c r="AA471" s="58"/>
    </row>
    <row r="472" spans="1:27" ht="15.75" customHeight="1" x14ac:dyDescent="0.2">
      <c r="A472" s="61" t="str">
        <f t="shared" si="14"/>
        <v/>
      </c>
      <c r="B472" s="62"/>
      <c r="C472" s="62"/>
      <c r="D472" s="62"/>
      <c r="E472" s="62"/>
      <c r="F472" s="63"/>
      <c r="G472" s="63"/>
      <c r="H472" s="63"/>
      <c r="I472" s="63"/>
      <c r="J472" s="63"/>
      <c r="K472" s="63"/>
      <c r="L472" s="64" t="str">
        <f>IF(OR($B472="", $H472="", $I472="", $J472="", $K472=""),"",ROUND((VLOOKUP($H472,Lists!$E$2:$F$5,2,FALSE())*VLOOKUP($I472,Lists!$H$2:$I$4,2,FALSE())*VLOOKUP($J472,Lists!$K$2:$L$4,2,FALSE()))/VLOOKUP($K472,Lists!$N$2:$O$6,2,FALSE()),2))</f>
        <v/>
      </c>
      <c r="M472" s="63"/>
      <c r="N472" s="63"/>
      <c r="O472" s="62"/>
      <c r="P472" s="63"/>
      <c r="Q472" s="65"/>
      <c r="R472" s="66" t="str">
        <f t="shared" ca="1" si="15"/>
        <v/>
      </c>
      <c r="S472" s="63"/>
      <c r="T472" s="65"/>
      <c r="U472" s="65"/>
      <c r="V472" s="62"/>
      <c r="W472" s="62"/>
      <c r="X472" s="62"/>
      <c r="Y472" s="58"/>
      <c r="Z472" s="58"/>
      <c r="AA472" s="58"/>
    </row>
    <row r="473" spans="1:27" ht="15.75" customHeight="1" x14ac:dyDescent="0.2">
      <c r="A473" s="61" t="str">
        <f t="shared" si="14"/>
        <v/>
      </c>
      <c r="B473" s="62"/>
      <c r="C473" s="62"/>
      <c r="D473" s="62"/>
      <c r="E473" s="62"/>
      <c r="F473" s="63"/>
      <c r="G473" s="63"/>
      <c r="H473" s="63"/>
      <c r="I473" s="63"/>
      <c r="J473" s="63"/>
      <c r="K473" s="63"/>
      <c r="L473" s="64" t="str">
        <f>IF(OR($B473="", $H473="", $I473="", $J473="", $K473=""),"",ROUND((VLOOKUP($H473,Lists!$E$2:$F$5,2,FALSE())*VLOOKUP($I473,Lists!$H$2:$I$4,2,FALSE())*VLOOKUP($J473,Lists!$K$2:$L$4,2,FALSE()))/VLOOKUP($K473,Lists!$N$2:$O$6,2,FALSE()),2))</f>
        <v/>
      </c>
      <c r="M473" s="63"/>
      <c r="N473" s="63"/>
      <c r="O473" s="62"/>
      <c r="P473" s="63"/>
      <c r="Q473" s="65"/>
      <c r="R473" s="66" t="str">
        <f t="shared" ca="1" si="15"/>
        <v/>
      </c>
      <c r="S473" s="63"/>
      <c r="T473" s="65"/>
      <c r="U473" s="65"/>
      <c r="V473" s="62"/>
      <c r="W473" s="62"/>
      <c r="X473" s="62"/>
      <c r="Y473" s="58"/>
      <c r="Z473" s="58"/>
      <c r="AA473" s="58"/>
    </row>
    <row r="474" spans="1:27" ht="15.75" customHeight="1" x14ac:dyDescent="0.2">
      <c r="A474" s="61" t="str">
        <f t="shared" si="14"/>
        <v/>
      </c>
      <c r="B474" s="62"/>
      <c r="C474" s="62"/>
      <c r="D474" s="62"/>
      <c r="E474" s="62"/>
      <c r="F474" s="63"/>
      <c r="G474" s="63"/>
      <c r="H474" s="63"/>
      <c r="I474" s="63"/>
      <c r="J474" s="63"/>
      <c r="K474" s="63"/>
      <c r="L474" s="64" t="str">
        <f>IF(OR($B474="", $H474="", $I474="", $J474="", $K474=""),"",ROUND((VLOOKUP($H474,Lists!$E$2:$F$5,2,FALSE())*VLOOKUP($I474,Lists!$H$2:$I$4,2,FALSE())*VLOOKUP($J474,Lists!$K$2:$L$4,2,FALSE()))/VLOOKUP($K474,Lists!$N$2:$O$6,2,FALSE()),2))</f>
        <v/>
      </c>
      <c r="M474" s="63"/>
      <c r="N474" s="63"/>
      <c r="O474" s="62"/>
      <c r="P474" s="63"/>
      <c r="Q474" s="65"/>
      <c r="R474" s="66" t="str">
        <f t="shared" ca="1" si="15"/>
        <v/>
      </c>
      <c r="S474" s="63"/>
      <c r="T474" s="65"/>
      <c r="U474" s="65"/>
      <c r="V474" s="62"/>
      <c r="W474" s="62"/>
      <c r="X474" s="62"/>
      <c r="Y474" s="58"/>
      <c r="Z474" s="58"/>
      <c r="AA474" s="58"/>
    </row>
    <row r="475" spans="1:27" ht="15.75" customHeight="1" x14ac:dyDescent="0.2">
      <c r="A475" s="61" t="str">
        <f t="shared" si="14"/>
        <v/>
      </c>
      <c r="B475" s="62"/>
      <c r="C475" s="62"/>
      <c r="D475" s="62"/>
      <c r="E475" s="62"/>
      <c r="F475" s="63"/>
      <c r="G475" s="63"/>
      <c r="H475" s="63"/>
      <c r="I475" s="63"/>
      <c r="J475" s="63"/>
      <c r="K475" s="63"/>
      <c r="L475" s="64" t="str">
        <f>IF(OR($B475="", $H475="", $I475="", $J475="", $K475=""),"",ROUND((VLOOKUP($H475,Lists!$E$2:$F$5,2,FALSE())*VLOOKUP($I475,Lists!$H$2:$I$4,2,FALSE())*VLOOKUP($J475,Lists!$K$2:$L$4,2,FALSE()))/VLOOKUP($K475,Lists!$N$2:$O$6,2,FALSE()),2))</f>
        <v/>
      </c>
      <c r="M475" s="63"/>
      <c r="N475" s="63"/>
      <c r="O475" s="62"/>
      <c r="P475" s="63"/>
      <c r="Q475" s="65"/>
      <c r="R475" s="66" t="str">
        <f t="shared" ca="1" si="15"/>
        <v/>
      </c>
      <c r="S475" s="63"/>
      <c r="T475" s="65"/>
      <c r="U475" s="65"/>
      <c r="V475" s="62"/>
      <c r="W475" s="62"/>
      <c r="X475" s="62"/>
      <c r="Y475" s="58"/>
      <c r="Z475" s="58"/>
      <c r="AA475" s="58"/>
    </row>
    <row r="476" spans="1:27" ht="15.75" customHeight="1" x14ac:dyDescent="0.2">
      <c r="A476" s="61" t="str">
        <f t="shared" si="14"/>
        <v/>
      </c>
      <c r="B476" s="62"/>
      <c r="C476" s="62"/>
      <c r="D476" s="62"/>
      <c r="E476" s="62"/>
      <c r="F476" s="63"/>
      <c r="G476" s="63"/>
      <c r="H476" s="63"/>
      <c r="I476" s="63"/>
      <c r="J476" s="63"/>
      <c r="K476" s="63"/>
      <c r="L476" s="64" t="str">
        <f>IF(OR($B476="", $H476="", $I476="", $J476="", $K476=""),"",ROUND((VLOOKUP($H476,Lists!$E$2:$F$5,2,FALSE())*VLOOKUP($I476,Lists!$H$2:$I$4,2,FALSE())*VLOOKUP($J476,Lists!$K$2:$L$4,2,FALSE()))/VLOOKUP($K476,Lists!$N$2:$O$6,2,FALSE()),2))</f>
        <v/>
      </c>
      <c r="M476" s="63"/>
      <c r="N476" s="63"/>
      <c r="O476" s="62"/>
      <c r="P476" s="63"/>
      <c r="Q476" s="65"/>
      <c r="R476" s="66" t="str">
        <f t="shared" ca="1" si="15"/>
        <v/>
      </c>
      <c r="S476" s="63"/>
      <c r="T476" s="65"/>
      <c r="U476" s="65"/>
      <c r="V476" s="62"/>
      <c r="W476" s="62"/>
      <c r="X476" s="62"/>
      <c r="Y476" s="58"/>
      <c r="Z476" s="58"/>
      <c r="AA476" s="58"/>
    </row>
    <row r="477" spans="1:27" ht="15.75" customHeight="1" x14ac:dyDescent="0.2">
      <c r="A477" s="61" t="str">
        <f t="shared" si="14"/>
        <v/>
      </c>
      <c r="B477" s="62"/>
      <c r="C477" s="62"/>
      <c r="D477" s="62"/>
      <c r="E477" s="62"/>
      <c r="F477" s="63"/>
      <c r="G477" s="63"/>
      <c r="H477" s="63"/>
      <c r="I477" s="63"/>
      <c r="J477" s="63"/>
      <c r="K477" s="63"/>
      <c r="L477" s="64" t="str">
        <f>IF(OR($B477="", $H477="", $I477="", $J477="", $K477=""),"",ROUND((VLOOKUP($H477,Lists!$E$2:$F$5,2,FALSE())*VLOOKUP($I477,Lists!$H$2:$I$4,2,FALSE())*VLOOKUP($J477,Lists!$K$2:$L$4,2,FALSE()))/VLOOKUP($K477,Lists!$N$2:$O$6,2,FALSE()),2))</f>
        <v/>
      </c>
      <c r="M477" s="63"/>
      <c r="N477" s="63"/>
      <c r="O477" s="62"/>
      <c r="P477" s="63"/>
      <c r="Q477" s="65"/>
      <c r="R477" s="66" t="str">
        <f t="shared" ca="1" si="15"/>
        <v/>
      </c>
      <c r="S477" s="63"/>
      <c r="T477" s="65"/>
      <c r="U477" s="65"/>
      <c r="V477" s="62"/>
      <c r="W477" s="62"/>
      <c r="X477" s="62"/>
      <c r="Y477" s="58"/>
      <c r="Z477" s="58"/>
      <c r="AA477" s="58"/>
    </row>
    <row r="478" spans="1:27" ht="15.75" customHeight="1" x14ac:dyDescent="0.2">
      <c r="A478" s="61" t="str">
        <f t="shared" si="14"/>
        <v/>
      </c>
      <c r="B478" s="62"/>
      <c r="C478" s="62"/>
      <c r="D478" s="62"/>
      <c r="E478" s="62"/>
      <c r="F478" s="63"/>
      <c r="G478" s="63"/>
      <c r="H478" s="63"/>
      <c r="I478" s="63"/>
      <c r="J478" s="63"/>
      <c r="K478" s="63"/>
      <c r="L478" s="64" t="str">
        <f>IF(OR($B478="", $H478="", $I478="", $J478="", $K478=""),"",ROUND((VLOOKUP($H478,Lists!$E$2:$F$5,2,FALSE())*VLOOKUP($I478,Lists!$H$2:$I$4,2,FALSE())*VLOOKUP($J478,Lists!$K$2:$L$4,2,FALSE()))/VLOOKUP($K478,Lists!$N$2:$O$6,2,FALSE()),2))</f>
        <v/>
      </c>
      <c r="M478" s="63"/>
      <c r="N478" s="63"/>
      <c r="O478" s="62"/>
      <c r="P478" s="63"/>
      <c r="Q478" s="65"/>
      <c r="R478" s="66" t="str">
        <f t="shared" ca="1" si="15"/>
        <v/>
      </c>
      <c r="S478" s="63"/>
      <c r="T478" s="65"/>
      <c r="U478" s="65"/>
      <c r="V478" s="62"/>
      <c r="W478" s="62"/>
      <c r="X478" s="62"/>
      <c r="Y478" s="58"/>
      <c r="Z478" s="58"/>
      <c r="AA478" s="58"/>
    </row>
    <row r="479" spans="1:27" ht="15.75" customHeight="1" x14ac:dyDescent="0.2">
      <c r="A479" s="61" t="str">
        <f t="shared" si="14"/>
        <v/>
      </c>
      <c r="B479" s="62"/>
      <c r="C479" s="62"/>
      <c r="D479" s="62"/>
      <c r="E479" s="62"/>
      <c r="F479" s="63"/>
      <c r="G479" s="63"/>
      <c r="H479" s="63"/>
      <c r="I479" s="63"/>
      <c r="J479" s="63"/>
      <c r="K479" s="63"/>
      <c r="L479" s="64" t="str">
        <f>IF(OR($B479="", $H479="", $I479="", $J479="", $K479=""),"",ROUND((VLOOKUP($H479,Lists!$E$2:$F$5,2,FALSE())*VLOOKUP($I479,Lists!$H$2:$I$4,2,FALSE())*VLOOKUP($J479,Lists!$K$2:$L$4,2,FALSE()))/VLOOKUP($K479,Lists!$N$2:$O$6,2,FALSE()),2))</f>
        <v/>
      </c>
      <c r="M479" s="63"/>
      <c r="N479" s="63"/>
      <c r="O479" s="62"/>
      <c r="P479" s="63"/>
      <c r="Q479" s="65"/>
      <c r="R479" s="66" t="str">
        <f t="shared" ca="1" si="15"/>
        <v/>
      </c>
      <c r="S479" s="63"/>
      <c r="T479" s="65"/>
      <c r="U479" s="65"/>
      <c r="V479" s="62"/>
      <c r="W479" s="62"/>
      <c r="X479" s="62"/>
      <c r="Y479" s="58"/>
      <c r="Z479" s="58"/>
      <c r="AA479" s="58"/>
    </row>
    <row r="480" spans="1:27" ht="15.75" customHeight="1" x14ac:dyDescent="0.2">
      <c r="A480" s="61" t="str">
        <f t="shared" si="14"/>
        <v/>
      </c>
      <c r="B480" s="62"/>
      <c r="C480" s="62"/>
      <c r="D480" s="62"/>
      <c r="E480" s="62"/>
      <c r="F480" s="63"/>
      <c r="G480" s="63"/>
      <c r="H480" s="63"/>
      <c r="I480" s="63"/>
      <c r="J480" s="63"/>
      <c r="K480" s="63"/>
      <c r="L480" s="64" t="str">
        <f>IF(OR($B480="", $H480="", $I480="", $J480="", $K480=""),"",ROUND((VLOOKUP($H480,Lists!$E$2:$F$5,2,FALSE())*VLOOKUP($I480,Lists!$H$2:$I$4,2,FALSE())*VLOOKUP($J480,Lists!$K$2:$L$4,2,FALSE()))/VLOOKUP($K480,Lists!$N$2:$O$6,2,FALSE()),2))</f>
        <v/>
      </c>
      <c r="M480" s="63"/>
      <c r="N480" s="63"/>
      <c r="O480" s="62"/>
      <c r="P480" s="63"/>
      <c r="Q480" s="65"/>
      <c r="R480" s="66" t="str">
        <f t="shared" ca="1" si="15"/>
        <v/>
      </c>
      <c r="S480" s="63"/>
      <c r="T480" s="65"/>
      <c r="U480" s="65"/>
      <c r="V480" s="62"/>
      <c r="W480" s="62"/>
      <c r="X480" s="62"/>
      <c r="Y480" s="58"/>
      <c r="Z480" s="58"/>
      <c r="AA480" s="58"/>
    </row>
    <row r="481" spans="1:27" ht="15.75" customHeight="1" x14ac:dyDescent="0.2">
      <c r="A481" s="61" t="str">
        <f t="shared" si="14"/>
        <v/>
      </c>
      <c r="B481" s="62"/>
      <c r="C481" s="62"/>
      <c r="D481" s="62"/>
      <c r="E481" s="62"/>
      <c r="F481" s="63"/>
      <c r="G481" s="63"/>
      <c r="H481" s="63"/>
      <c r="I481" s="63"/>
      <c r="J481" s="63"/>
      <c r="K481" s="63"/>
      <c r="L481" s="64" t="str">
        <f>IF(OR($B481="", $H481="", $I481="", $J481="", $K481=""),"",ROUND((VLOOKUP($H481,Lists!$E$2:$F$5,2,FALSE())*VLOOKUP($I481,Lists!$H$2:$I$4,2,FALSE())*VLOOKUP($J481,Lists!$K$2:$L$4,2,FALSE()))/VLOOKUP($K481,Lists!$N$2:$O$6,2,FALSE()),2))</f>
        <v/>
      </c>
      <c r="M481" s="63"/>
      <c r="N481" s="63"/>
      <c r="O481" s="62"/>
      <c r="P481" s="63"/>
      <c r="Q481" s="65"/>
      <c r="R481" s="66" t="str">
        <f t="shared" ca="1" si="15"/>
        <v/>
      </c>
      <c r="S481" s="63"/>
      <c r="T481" s="65"/>
      <c r="U481" s="65"/>
      <c r="V481" s="62"/>
      <c r="W481" s="62"/>
      <c r="X481" s="62"/>
      <c r="Y481" s="58"/>
      <c r="Z481" s="58"/>
      <c r="AA481" s="58"/>
    </row>
    <row r="482" spans="1:27" ht="15.75" customHeight="1" x14ac:dyDescent="0.2">
      <c r="A482" s="61" t="str">
        <f t="shared" si="14"/>
        <v/>
      </c>
      <c r="B482" s="62"/>
      <c r="C482" s="62"/>
      <c r="D482" s="62"/>
      <c r="E482" s="62"/>
      <c r="F482" s="63"/>
      <c r="G482" s="63"/>
      <c r="H482" s="63"/>
      <c r="I482" s="63"/>
      <c r="J482" s="63"/>
      <c r="K482" s="63"/>
      <c r="L482" s="64" t="str">
        <f>IF(OR($B482="", $H482="", $I482="", $J482="", $K482=""),"",ROUND((VLOOKUP($H482,Lists!$E$2:$F$5,2,FALSE())*VLOOKUP($I482,Lists!$H$2:$I$4,2,FALSE())*VLOOKUP($J482,Lists!$K$2:$L$4,2,FALSE()))/VLOOKUP($K482,Lists!$N$2:$O$6,2,FALSE()),2))</f>
        <v/>
      </c>
      <c r="M482" s="63"/>
      <c r="N482" s="63"/>
      <c r="O482" s="62"/>
      <c r="P482" s="63"/>
      <c r="Q482" s="65"/>
      <c r="R482" s="66" t="str">
        <f t="shared" ca="1" si="15"/>
        <v/>
      </c>
      <c r="S482" s="63"/>
      <c r="T482" s="65"/>
      <c r="U482" s="65"/>
      <c r="V482" s="62"/>
      <c r="W482" s="62"/>
      <c r="X482" s="62"/>
      <c r="Y482" s="58"/>
      <c r="Z482" s="58"/>
      <c r="AA482" s="58"/>
    </row>
    <row r="483" spans="1:27" ht="15.75" customHeight="1" x14ac:dyDescent="0.2">
      <c r="A483" s="61" t="str">
        <f t="shared" si="14"/>
        <v/>
      </c>
      <c r="B483" s="62"/>
      <c r="C483" s="62"/>
      <c r="D483" s="62"/>
      <c r="E483" s="62"/>
      <c r="F483" s="63"/>
      <c r="G483" s="63"/>
      <c r="H483" s="63"/>
      <c r="I483" s="63"/>
      <c r="J483" s="63"/>
      <c r="K483" s="63"/>
      <c r="L483" s="64" t="str">
        <f>IF(OR($B483="", $H483="", $I483="", $J483="", $K483=""),"",ROUND((VLOOKUP($H483,Lists!$E$2:$F$5,2,FALSE())*VLOOKUP($I483,Lists!$H$2:$I$4,2,FALSE())*VLOOKUP($J483,Lists!$K$2:$L$4,2,FALSE()))/VLOOKUP($K483,Lists!$N$2:$O$6,2,FALSE()),2))</f>
        <v/>
      </c>
      <c r="M483" s="63"/>
      <c r="N483" s="63"/>
      <c r="O483" s="62"/>
      <c r="P483" s="63"/>
      <c r="Q483" s="65"/>
      <c r="R483" s="66" t="str">
        <f t="shared" ca="1" si="15"/>
        <v/>
      </c>
      <c r="S483" s="63"/>
      <c r="T483" s="65"/>
      <c r="U483" s="65"/>
      <c r="V483" s="62"/>
      <c r="W483" s="62"/>
      <c r="X483" s="62"/>
      <c r="Y483" s="58"/>
      <c r="Z483" s="58"/>
      <c r="AA483" s="58"/>
    </row>
    <row r="484" spans="1:27" ht="15.75" customHeight="1" x14ac:dyDescent="0.2">
      <c r="A484" s="61" t="str">
        <f t="shared" si="14"/>
        <v/>
      </c>
      <c r="B484" s="62"/>
      <c r="C484" s="62"/>
      <c r="D484" s="62"/>
      <c r="E484" s="62"/>
      <c r="F484" s="63"/>
      <c r="G484" s="63"/>
      <c r="H484" s="63"/>
      <c r="I484" s="63"/>
      <c r="J484" s="63"/>
      <c r="K484" s="63"/>
      <c r="L484" s="64" t="str">
        <f>IF(OR($B484="", $H484="", $I484="", $J484="", $K484=""),"",ROUND((VLOOKUP($H484,Lists!$E$2:$F$5,2,FALSE())*VLOOKUP($I484,Lists!$H$2:$I$4,2,FALSE())*VLOOKUP($J484,Lists!$K$2:$L$4,2,FALSE()))/VLOOKUP($K484,Lists!$N$2:$O$6,2,FALSE()),2))</f>
        <v/>
      </c>
      <c r="M484" s="63"/>
      <c r="N484" s="63"/>
      <c r="O484" s="62"/>
      <c r="P484" s="63"/>
      <c r="Q484" s="65"/>
      <c r="R484" s="66" t="str">
        <f t="shared" ca="1" si="15"/>
        <v/>
      </c>
      <c r="S484" s="63"/>
      <c r="T484" s="65"/>
      <c r="U484" s="65"/>
      <c r="V484" s="62"/>
      <c r="W484" s="62"/>
      <c r="X484" s="62"/>
      <c r="Y484" s="58"/>
      <c r="Z484" s="58"/>
      <c r="AA484" s="58"/>
    </row>
    <row r="485" spans="1:27" ht="15.75" customHeight="1" x14ac:dyDescent="0.2">
      <c r="A485" s="61" t="str">
        <f t="shared" si="14"/>
        <v/>
      </c>
      <c r="B485" s="62"/>
      <c r="C485" s="62"/>
      <c r="D485" s="62"/>
      <c r="E485" s="62"/>
      <c r="F485" s="63"/>
      <c r="G485" s="63"/>
      <c r="H485" s="63"/>
      <c r="I485" s="63"/>
      <c r="J485" s="63"/>
      <c r="K485" s="63"/>
      <c r="L485" s="64" t="str">
        <f>IF(OR($B485="", $H485="", $I485="", $J485="", $K485=""),"",ROUND((VLOOKUP($H485,Lists!$E$2:$F$5,2,FALSE())*VLOOKUP($I485,Lists!$H$2:$I$4,2,FALSE())*VLOOKUP($J485,Lists!$K$2:$L$4,2,FALSE()))/VLOOKUP($K485,Lists!$N$2:$O$6,2,FALSE()),2))</f>
        <v/>
      </c>
      <c r="M485" s="63"/>
      <c r="N485" s="63"/>
      <c r="O485" s="62"/>
      <c r="P485" s="63"/>
      <c r="Q485" s="65"/>
      <c r="R485" s="66" t="str">
        <f t="shared" ca="1" si="15"/>
        <v/>
      </c>
      <c r="S485" s="63"/>
      <c r="T485" s="65"/>
      <c r="U485" s="65"/>
      <c r="V485" s="62"/>
      <c r="W485" s="62"/>
      <c r="X485" s="62"/>
      <c r="Y485" s="58"/>
      <c r="Z485" s="58"/>
      <c r="AA485" s="58"/>
    </row>
    <row r="486" spans="1:27" ht="15.75" customHeight="1" x14ac:dyDescent="0.2">
      <c r="A486" s="61" t="str">
        <f t="shared" si="14"/>
        <v/>
      </c>
      <c r="B486" s="62"/>
      <c r="C486" s="62"/>
      <c r="D486" s="62"/>
      <c r="E486" s="62"/>
      <c r="F486" s="63"/>
      <c r="G486" s="63"/>
      <c r="H486" s="63"/>
      <c r="I486" s="63"/>
      <c r="J486" s="63"/>
      <c r="K486" s="63"/>
      <c r="L486" s="64" t="str">
        <f>IF(OR($B486="", $H486="", $I486="", $J486="", $K486=""),"",ROUND((VLOOKUP($H486,Lists!$E$2:$F$5,2,FALSE())*VLOOKUP($I486,Lists!$H$2:$I$4,2,FALSE())*VLOOKUP($J486,Lists!$K$2:$L$4,2,FALSE()))/VLOOKUP($K486,Lists!$N$2:$O$6,2,FALSE()),2))</f>
        <v/>
      </c>
      <c r="M486" s="63"/>
      <c r="N486" s="63"/>
      <c r="O486" s="62"/>
      <c r="P486" s="63"/>
      <c r="Q486" s="65"/>
      <c r="R486" s="66" t="str">
        <f t="shared" ca="1" si="15"/>
        <v/>
      </c>
      <c r="S486" s="63"/>
      <c r="T486" s="65"/>
      <c r="U486" s="65"/>
      <c r="V486" s="62"/>
      <c r="W486" s="62"/>
      <c r="X486" s="62"/>
      <c r="Y486" s="58"/>
      <c r="Z486" s="58"/>
      <c r="AA486" s="58"/>
    </row>
    <row r="487" spans="1:27" ht="15.75" customHeight="1" x14ac:dyDescent="0.2">
      <c r="A487" s="61" t="str">
        <f t="shared" si="14"/>
        <v/>
      </c>
      <c r="B487" s="62"/>
      <c r="C487" s="62"/>
      <c r="D487" s="62"/>
      <c r="E487" s="62"/>
      <c r="F487" s="63"/>
      <c r="G487" s="63"/>
      <c r="H487" s="63"/>
      <c r="I487" s="63"/>
      <c r="J487" s="63"/>
      <c r="K487" s="63"/>
      <c r="L487" s="64" t="str">
        <f>IF(OR($B487="", $H487="", $I487="", $J487="", $K487=""),"",ROUND((VLOOKUP($H487,Lists!$E$2:$F$5,2,FALSE())*VLOOKUP($I487,Lists!$H$2:$I$4,2,FALSE())*VLOOKUP($J487,Lists!$K$2:$L$4,2,FALSE()))/VLOOKUP($K487,Lists!$N$2:$O$6,2,FALSE()),2))</f>
        <v/>
      </c>
      <c r="M487" s="63"/>
      <c r="N487" s="63"/>
      <c r="O487" s="62"/>
      <c r="P487" s="63"/>
      <c r="Q487" s="65"/>
      <c r="R487" s="66" t="str">
        <f t="shared" ca="1" si="15"/>
        <v/>
      </c>
      <c r="S487" s="63"/>
      <c r="T487" s="65"/>
      <c r="U487" s="65"/>
      <c r="V487" s="62"/>
      <c r="W487" s="62"/>
      <c r="X487" s="62"/>
      <c r="Y487" s="58"/>
      <c r="Z487" s="58"/>
      <c r="AA487" s="58"/>
    </row>
    <row r="488" spans="1:27" ht="15.75" customHeight="1" x14ac:dyDescent="0.2">
      <c r="A488" s="61" t="str">
        <f t="shared" si="14"/>
        <v/>
      </c>
      <c r="B488" s="62"/>
      <c r="C488" s="62"/>
      <c r="D488" s="62"/>
      <c r="E488" s="62"/>
      <c r="F488" s="63"/>
      <c r="G488" s="63"/>
      <c r="H488" s="63"/>
      <c r="I488" s="63"/>
      <c r="J488" s="63"/>
      <c r="K488" s="63"/>
      <c r="L488" s="64" t="str">
        <f>IF(OR($B488="", $H488="", $I488="", $J488="", $K488=""),"",ROUND((VLOOKUP($H488,Lists!$E$2:$F$5,2,FALSE())*VLOOKUP($I488,Lists!$H$2:$I$4,2,FALSE())*VLOOKUP($J488,Lists!$K$2:$L$4,2,FALSE()))/VLOOKUP($K488,Lists!$N$2:$O$6,2,FALSE()),2))</f>
        <v/>
      </c>
      <c r="M488" s="63"/>
      <c r="N488" s="63"/>
      <c r="O488" s="62"/>
      <c r="P488" s="63"/>
      <c r="Q488" s="65"/>
      <c r="R488" s="66" t="str">
        <f t="shared" ca="1" si="15"/>
        <v/>
      </c>
      <c r="S488" s="63"/>
      <c r="T488" s="65"/>
      <c r="U488" s="65"/>
      <c r="V488" s="62"/>
      <c r="W488" s="62"/>
      <c r="X488" s="62"/>
      <c r="Y488" s="58"/>
      <c r="Z488" s="58"/>
      <c r="AA488" s="58"/>
    </row>
    <row r="489" spans="1:27" ht="15.75" customHeight="1" x14ac:dyDescent="0.2">
      <c r="A489" s="61" t="str">
        <f t="shared" si="14"/>
        <v/>
      </c>
      <c r="B489" s="62"/>
      <c r="C489" s="62"/>
      <c r="D489" s="62"/>
      <c r="E489" s="62"/>
      <c r="F489" s="63"/>
      <c r="G489" s="63"/>
      <c r="H489" s="63"/>
      <c r="I489" s="63"/>
      <c r="J489" s="63"/>
      <c r="K489" s="63"/>
      <c r="L489" s="64" t="str">
        <f>IF(OR($B489="", $H489="", $I489="", $J489="", $K489=""),"",ROUND((VLOOKUP($H489,Lists!$E$2:$F$5,2,FALSE())*VLOOKUP($I489,Lists!$H$2:$I$4,2,FALSE())*VLOOKUP($J489,Lists!$K$2:$L$4,2,FALSE()))/VLOOKUP($K489,Lists!$N$2:$O$6,2,FALSE()),2))</f>
        <v/>
      </c>
      <c r="M489" s="63"/>
      <c r="N489" s="63"/>
      <c r="O489" s="62"/>
      <c r="P489" s="63"/>
      <c r="Q489" s="65"/>
      <c r="R489" s="66" t="str">
        <f t="shared" ca="1" si="15"/>
        <v/>
      </c>
      <c r="S489" s="63"/>
      <c r="T489" s="65"/>
      <c r="U489" s="65"/>
      <c r="V489" s="62"/>
      <c r="W489" s="62"/>
      <c r="X489" s="62"/>
      <c r="Y489" s="58"/>
      <c r="Z489" s="58"/>
      <c r="AA489" s="58"/>
    </row>
    <row r="490" spans="1:27" ht="15.75" customHeight="1" x14ac:dyDescent="0.2">
      <c r="A490" s="61" t="str">
        <f t="shared" si="14"/>
        <v/>
      </c>
      <c r="B490" s="62"/>
      <c r="C490" s="62"/>
      <c r="D490" s="62"/>
      <c r="E490" s="62"/>
      <c r="F490" s="63"/>
      <c r="G490" s="63"/>
      <c r="H490" s="63"/>
      <c r="I490" s="63"/>
      <c r="J490" s="63"/>
      <c r="K490" s="63"/>
      <c r="L490" s="64" t="str">
        <f>IF(OR($B490="", $H490="", $I490="", $J490="", $K490=""),"",ROUND((VLOOKUP($H490,Lists!$E$2:$F$5,2,FALSE())*VLOOKUP($I490,Lists!$H$2:$I$4,2,FALSE())*VLOOKUP($J490,Lists!$K$2:$L$4,2,FALSE()))/VLOOKUP($K490,Lists!$N$2:$O$6,2,FALSE()),2))</f>
        <v/>
      </c>
      <c r="M490" s="63"/>
      <c r="N490" s="63"/>
      <c r="O490" s="62"/>
      <c r="P490" s="63"/>
      <c r="Q490" s="65"/>
      <c r="R490" s="66" t="str">
        <f t="shared" ca="1" si="15"/>
        <v/>
      </c>
      <c r="S490" s="63"/>
      <c r="T490" s="65"/>
      <c r="U490" s="65"/>
      <c r="V490" s="62"/>
      <c r="W490" s="62"/>
      <c r="X490" s="62"/>
      <c r="Y490" s="58"/>
      <c r="Z490" s="58"/>
      <c r="AA490" s="58"/>
    </row>
    <row r="491" spans="1:27" ht="15.75" customHeight="1" x14ac:dyDescent="0.2">
      <c r="A491" s="61" t="str">
        <f t="shared" si="14"/>
        <v/>
      </c>
      <c r="B491" s="62"/>
      <c r="C491" s="62"/>
      <c r="D491" s="62"/>
      <c r="E491" s="62"/>
      <c r="F491" s="63"/>
      <c r="G491" s="63"/>
      <c r="H491" s="63"/>
      <c r="I491" s="63"/>
      <c r="J491" s="63"/>
      <c r="K491" s="63"/>
      <c r="L491" s="64" t="str">
        <f>IF(OR($B491="", $H491="", $I491="", $J491="", $K491=""),"",ROUND((VLOOKUP($H491,Lists!$E$2:$F$5,2,FALSE())*VLOOKUP($I491,Lists!$H$2:$I$4,2,FALSE())*VLOOKUP($J491,Lists!$K$2:$L$4,2,FALSE()))/VLOOKUP($K491,Lists!$N$2:$O$6,2,FALSE()),2))</f>
        <v/>
      </c>
      <c r="M491" s="63"/>
      <c r="N491" s="63"/>
      <c r="O491" s="62"/>
      <c r="P491" s="63"/>
      <c r="Q491" s="65"/>
      <c r="R491" s="66" t="str">
        <f t="shared" ca="1" si="15"/>
        <v/>
      </c>
      <c r="S491" s="63"/>
      <c r="T491" s="65"/>
      <c r="U491" s="65"/>
      <c r="V491" s="62"/>
      <c r="W491" s="62"/>
      <c r="X491" s="62"/>
      <c r="Y491" s="58"/>
      <c r="Z491" s="58"/>
      <c r="AA491" s="58"/>
    </row>
    <row r="492" spans="1:27" ht="15.75" customHeight="1" x14ac:dyDescent="0.2">
      <c r="A492" s="61" t="str">
        <f t="shared" si="14"/>
        <v/>
      </c>
      <c r="B492" s="62"/>
      <c r="C492" s="62"/>
      <c r="D492" s="62"/>
      <c r="E492" s="62"/>
      <c r="F492" s="63"/>
      <c r="G492" s="63"/>
      <c r="H492" s="63"/>
      <c r="I492" s="63"/>
      <c r="J492" s="63"/>
      <c r="K492" s="63"/>
      <c r="L492" s="64" t="str">
        <f>IF(OR($B492="", $H492="", $I492="", $J492="", $K492=""),"",ROUND((VLOOKUP($H492,Lists!$E$2:$F$5,2,FALSE())*VLOOKUP($I492,Lists!$H$2:$I$4,2,FALSE())*VLOOKUP($J492,Lists!$K$2:$L$4,2,FALSE()))/VLOOKUP($K492,Lists!$N$2:$O$6,2,FALSE()),2))</f>
        <v/>
      </c>
      <c r="M492" s="63"/>
      <c r="N492" s="63"/>
      <c r="O492" s="62"/>
      <c r="P492" s="63"/>
      <c r="Q492" s="65"/>
      <c r="R492" s="66" t="str">
        <f t="shared" ca="1" si="15"/>
        <v/>
      </c>
      <c r="S492" s="63"/>
      <c r="T492" s="65"/>
      <c r="U492" s="65"/>
      <c r="V492" s="62"/>
      <c r="W492" s="62"/>
      <c r="X492" s="62"/>
      <c r="Y492" s="58"/>
      <c r="Z492" s="58"/>
      <c r="AA492" s="58"/>
    </row>
    <row r="493" spans="1:27" ht="15.75" customHeight="1" x14ac:dyDescent="0.2">
      <c r="A493" s="61" t="str">
        <f t="shared" si="14"/>
        <v/>
      </c>
      <c r="B493" s="62"/>
      <c r="C493" s="62"/>
      <c r="D493" s="62"/>
      <c r="E493" s="62"/>
      <c r="F493" s="63"/>
      <c r="G493" s="63"/>
      <c r="H493" s="63"/>
      <c r="I493" s="63"/>
      <c r="J493" s="63"/>
      <c r="K493" s="63"/>
      <c r="L493" s="64" t="str">
        <f>IF(OR($B493="", $H493="", $I493="", $J493="", $K493=""),"",ROUND((VLOOKUP($H493,Lists!$E$2:$F$5,2,FALSE())*VLOOKUP($I493,Lists!$H$2:$I$4,2,FALSE())*VLOOKUP($J493,Lists!$K$2:$L$4,2,FALSE()))/VLOOKUP($K493,Lists!$N$2:$O$6,2,FALSE()),2))</f>
        <v/>
      </c>
      <c r="M493" s="63"/>
      <c r="N493" s="63"/>
      <c r="O493" s="62"/>
      <c r="P493" s="63"/>
      <c r="Q493" s="65"/>
      <c r="R493" s="66" t="str">
        <f t="shared" ca="1" si="15"/>
        <v/>
      </c>
      <c r="S493" s="63"/>
      <c r="T493" s="65"/>
      <c r="U493" s="65"/>
      <c r="V493" s="62"/>
      <c r="W493" s="62"/>
      <c r="X493" s="62"/>
      <c r="Y493" s="58"/>
      <c r="Z493" s="58"/>
      <c r="AA493" s="58"/>
    </row>
    <row r="494" spans="1:27" ht="15.75" customHeight="1" x14ac:dyDescent="0.2">
      <c r="A494" s="61" t="str">
        <f t="shared" si="14"/>
        <v/>
      </c>
      <c r="B494" s="62"/>
      <c r="C494" s="62"/>
      <c r="D494" s="62"/>
      <c r="E494" s="62"/>
      <c r="F494" s="63"/>
      <c r="G494" s="63"/>
      <c r="H494" s="63"/>
      <c r="I494" s="63"/>
      <c r="J494" s="63"/>
      <c r="K494" s="63"/>
      <c r="L494" s="64" t="str">
        <f>IF(OR($B494="", $H494="", $I494="", $J494="", $K494=""),"",ROUND((VLOOKUP($H494,Lists!$E$2:$F$5,2,FALSE())*VLOOKUP($I494,Lists!$H$2:$I$4,2,FALSE())*VLOOKUP($J494,Lists!$K$2:$L$4,2,FALSE()))/VLOOKUP($K494,Lists!$N$2:$O$6,2,FALSE()),2))</f>
        <v/>
      </c>
      <c r="M494" s="63"/>
      <c r="N494" s="63"/>
      <c r="O494" s="62"/>
      <c r="P494" s="63"/>
      <c r="Q494" s="65"/>
      <c r="R494" s="66" t="str">
        <f t="shared" ca="1" si="15"/>
        <v/>
      </c>
      <c r="S494" s="63"/>
      <c r="T494" s="65"/>
      <c r="U494" s="65"/>
      <c r="V494" s="62"/>
      <c r="W494" s="62"/>
      <c r="X494" s="62"/>
      <c r="Y494" s="58"/>
      <c r="Z494" s="58"/>
      <c r="AA494" s="58"/>
    </row>
    <row r="495" spans="1:27" ht="15.75" customHeight="1" x14ac:dyDescent="0.2">
      <c r="A495" s="61" t="str">
        <f t="shared" si="14"/>
        <v/>
      </c>
      <c r="B495" s="62"/>
      <c r="C495" s="62"/>
      <c r="D495" s="62"/>
      <c r="E495" s="62"/>
      <c r="F495" s="63"/>
      <c r="G495" s="63"/>
      <c r="H495" s="63"/>
      <c r="I495" s="63"/>
      <c r="J495" s="63"/>
      <c r="K495" s="63"/>
      <c r="L495" s="64" t="str">
        <f>IF(OR($B495="", $H495="", $I495="", $J495="", $K495=""),"",ROUND((VLOOKUP($H495,Lists!$E$2:$F$5,2,FALSE())*VLOOKUP($I495,Lists!$H$2:$I$4,2,FALSE())*VLOOKUP($J495,Lists!$K$2:$L$4,2,FALSE()))/VLOOKUP($K495,Lists!$N$2:$O$6,2,FALSE()),2))</f>
        <v/>
      </c>
      <c r="M495" s="63"/>
      <c r="N495" s="63"/>
      <c r="O495" s="62"/>
      <c r="P495" s="63"/>
      <c r="Q495" s="65"/>
      <c r="R495" s="66" t="str">
        <f t="shared" ca="1" si="15"/>
        <v/>
      </c>
      <c r="S495" s="63"/>
      <c r="T495" s="65"/>
      <c r="U495" s="65"/>
      <c r="V495" s="62"/>
      <c r="W495" s="62"/>
      <c r="X495" s="62"/>
      <c r="Y495" s="58"/>
      <c r="Z495" s="58"/>
      <c r="AA495" s="58"/>
    </row>
    <row r="496" spans="1:27" ht="15.75" customHeight="1" x14ac:dyDescent="0.2">
      <c r="A496" s="61" t="str">
        <f t="shared" si="14"/>
        <v/>
      </c>
      <c r="B496" s="62"/>
      <c r="C496" s="62"/>
      <c r="D496" s="62"/>
      <c r="E496" s="62"/>
      <c r="F496" s="63"/>
      <c r="G496" s="63"/>
      <c r="H496" s="63"/>
      <c r="I496" s="63"/>
      <c r="J496" s="63"/>
      <c r="K496" s="63"/>
      <c r="L496" s="64" t="str">
        <f>IF(OR($B496="", $H496="", $I496="", $J496="", $K496=""),"",ROUND((VLOOKUP($H496,Lists!$E$2:$F$5,2,FALSE())*VLOOKUP($I496,Lists!$H$2:$I$4,2,FALSE())*VLOOKUP($J496,Lists!$K$2:$L$4,2,FALSE()))/VLOOKUP($K496,Lists!$N$2:$O$6,2,FALSE()),2))</f>
        <v/>
      </c>
      <c r="M496" s="63"/>
      <c r="N496" s="63"/>
      <c r="O496" s="62"/>
      <c r="P496" s="63"/>
      <c r="Q496" s="65"/>
      <c r="R496" s="66" t="str">
        <f t="shared" ca="1" si="15"/>
        <v/>
      </c>
      <c r="S496" s="63"/>
      <c r="T496" s="65"/>
      <c r="U496" s="65"/>
      <c r="V496" s="62"/>
      <c r="W496" s="62"/>
      <c r="X496" s="62"/>
      <c r="Y496" s="58"/>
      <c r="Z496" s="58"/>
      <c r="AA496" s="58"/>
    </row>
    <row r="497" spans="1:27" ht="15.75" customHeight="1" x14ac:dyDescent="0.2">
      <c r="A497" s="61" t="str">
        <f t="shared" si="14"/>
        <v/>
      </c>
      <c r="B497" s="62"/>
      <c r="C497" s="62"/>
      <c r="D497" s="62"/>
      <c r="E497" s="62"/>
      <c r="F497" s="63"/>
      <c r="G497" s="63"/>
      <c r="H497" s="63"/>
      <c r="I497" s="63"/>
      <c r="J497" s="63"/>
      <c r="K497" s="63"/>
      <c r="L497" s="64" t="str">
        <f>IF(OR($B497="", $H497="", $I497="", $J497="", $K497=""),"",ROUND((VLOOKUP($H497,Lists!$E$2:$F$5,2,FALSE())*VLOOKUP($I497,Lists!$H$2:$I$4,2,FALSE())*VLOOKUP($J497,Lists!$K$2:$L$4,2,FALSE()))/VLOOKUP($K497,Lists!$N$2:$O$6,2,FALSE()),2))</f>
        <v/>
      </c>
      <c r="M497" s="63"/>
      <c r="N497" s="63"/>
      <c r="O497" s="62"/>
      <c r="P497" s="63"/>
      <c r="Q497" s="65"/>
      <c r="R497" s="66" t="str">
        <f t="shared" ca="1" si="15"/>
        <v/>
      </c>
      <c r="S497" s="63"/>
      <c r="T497" s="65"/>
      <c r="U497" s="65"/>
      <c r="V497" s="62"/>
      <c r="W497" s="62"/>
      <c r="X497" s="62"/>
      <c r="Y497" s="58"/>
      <c r="Z497" s="58"/>
      <c r="AA497" s="58"/>
    </row>
    <row r="498" spans="1:27" ht="15.75" customHeight="1" x14ac:dyDescent="0.2">
      <c r="A498" s="61" t="str">
        <f t="shared" si="14"/>
        <v/>
      </c>
      <c r="B498" s="62"/>
      <c r="C498" s="62"/>
      <c r="D498" s="62"/>
      <c r="E498" s="62"/>
      <c r="F498" s="63"/>
      <c r="G498" s="63"/>
      <c r="H498" s="63"/>
      <c r="I498" s="63"/>
      <c r="J498" s="63"/>
      <c r="K498" s="63"/>
      <c r="L498" s="64" t="str">
        <f>IF(OR($B498="", $H498="", $I498="", $J498="", $K498=""),"",ROUND((VLOOKUP($H498,Lists!$E$2:$F$5,2,FALSE())*VLOOKUP($I498,Lists!$H$2:$I$4,2,FALSE())*VLOOKUP($J498,Lists!$K$2:$L$4,2,FALSE()))/VLOOKUP($K498,Lists!$N$2:$O$6,2,FALSE()),2))</f>
        <v/>
      </c>
      <c r="M498" s="63"/>
      <c r="N498" s="63"/>
      <c r="O498" s="62"/>
      <c r="P498" s="63"/>
      <c r="Q498" s="65"/>
      <c r="R498" s="66" t="str">
        <f t="shared" ca="1" si="15"/>
        <v/>
      </c>
      <c r="S498" s="63"/>
      <c r="T498" s="65"/>
      <c r="U498" s="65"/>
      <c r="V498" s="62"/>
      <c r="W498" s="62"/>
      <c r="X498" s="62"/>
      <c r="Y498" s="58"/>
      <c r="Z498" s="58"/>
      <c r="AA498" s="58"/>
    </row>
    <row r="499" spans="1:27" ht="15.75" customHeight="1" x14ac:dyDescent="0.2">
      <c r="A499" s="61" t="str">
        <f t="shared" si="14"/>
        <v/>
      </c>
      <c r="B499" s="62"/>
      <c r="C499" s="62"/>
      <c r="D499" s="62"/>
      <c r="E499" s="62"/>
      <c r="F499" s="63"/>
      <c r="G499" s="63"/>
      <c r="H499" s="63"/>
      <c r="I499" s="63"/>
      <c r="J499" s="63"/>
      <c r="K499" s="63"/>
      <c r="L499" s="64" t="str">
        <f>IF(OR($B499="", $H499="", $I499="", $J499="", $K499=""),"",ROUND((VLOOKUP($H499,Lists!$E$2:$F$5,2,FALSE())*VLOOKUP($I499,Lists!$H$2:$I$4,2,FALSE())*VLOOKUP($J499,Lists!$K$2:$L$4,2,FALSE()))/VLOOKUP($K499,Lists!$N$2:$O$6,2,FALSE()),2))</f>
        <v/>
      </c>
      <c r="M499" s="63"/>
      <c r="N499" s="63"/>
      <c r="O499" s="62"/>
      <c r="P499" s="63"/>
      <c r="Q499" s="65"/>
      <c r="R499" s="66" t="str">
        <f t="shared" ca="1" si="15"/>
        <v/>
      </c>
      <c r="S499" s="63"/>
      <c r="T499" s="65"/>
      <c r="U499" s="65"/>
      <c r="V499" s="62"/>
      <c r="W499" s="62"/>
      <c r="X499" s="62"/>
      <c r="Y499" s="58"/>
      <c r="Z499" s="58"/>
      <c r="AA499" s="58"/>
    </row>
    <row r="500" spans="1:27" ht="15.75" customHeight="1" x14ac:dyDescent="0.2">
      <c r="A500" s="61" t="str">
        <f t="shared" si="14"/>
        <v/>
      </c>
      <c r="B500" s="62"/>
      <c r="C500" s="62"/>
      <c r="D500" s="62"/>
      <c r="E500" s="62"/>
      <c r="F500" s="63"/>
      <c r="G500" s="63"/>
      <c r="H500" s="63"/>
      <c r="I500" s="63"/>
      <c r="J500" s="63"/>
      <c r="K500" s="63"/>
      <c r="L500" s="64" t="str">
        <f>IF(OR($B500="", $H500="", $I500="", $J500="", $K500=""),"",ROUND((VLOOKUP($H500,Lists!$E$2:$F$5,2,FALSE())*VLOOKUP($I500,Lists!$H$2:$I$4,2,FALSE())*VLOOKUP($J500,Lists!$K$2:$L$4,2,FALSE()))/VLOOKUP($K500,Lists!$N$2:$O$6,2,FALSE()),2))</f>
        <v/>
      </c>
      <c r="M500" s="63"/>
      <c r="N500" s="63"/>
      <c r="O500" s="62"/>
      <c r="P500" s="63"/>
      <c r="Q500" s="65"/>
      <c r="R500" s="66" t="str">
        <f t="shared" ca="1" si="15"/>
        <v/>
      </c>
      <c r="S500" s="63"/>
      <c r="T500" s="65"/>
      <c r="U500" s="65"/>
      <c r="V500" s="62"/>
      <c r="W500" s="62"/>
      <c r="X500" s="62"/>
      <c r="Y500" s="58"/>
      <c r="Z500" s="58"/>
      <c r="AA500" s="58"/>
    </row>
    <row r="501" spans="1:27" ht="15.75" customHeight="1" x14ac:dyDescent="0.2">
      <c r="A501" s="61" t="str">
        <f t="shared" si="14"/>
        <v/>
      </c>
      <c r="B501" s="62"/>
      <c r="C501" s="62"/>
      <c r="D501" s="62"/>
      <c r="E501" s="62"/>
      <c r="F501" s="63"/>
      <c r="G501" s="63"/>
      <c r="H501" s="63"/>
      <c r="I501" s="63"/>
      <c r="J501" s="63"/>
      <c r="K501" s="63"/>
      <c r="L501" s="64" t="str">
        <f>IF(OR($B501="", $H501="", $I501="", $J501="", $K501=""),"",ROUND((VLOOKUP($H501,Lists!$E$2:$F$5,2,FALSE())*VLOOKUP($I501,Lists!$H$2:$I$4,2,FALSE())*VLOOKUP($J501,Lists!$K$2:$L$4,2,FALSE()))/VLOOKUP($K501,Lists!$N$2:$O$6,2,FALSE()),2))</f>
        <v/>
      </c>
      <c r="M501" s="63"/>
      <c r="N501" s="63"/>
      <c r="O501" s="62"/>
      <c r="P501" s="63"/>
      <c r="Q501" s="65"/>
      <c r="R501" s="66" t="str">
        <f t="shared" ca="1" si="15"/>
        <v/>
      </c>
      <c r="S501" s="63"/>
      <c r="T501" s="65"/>
      <c r="U501" s="65"/>
      <c r="V501" s="62"/>
      <c r="W501" s="62"/>
      <c r="X501" s="62"/>
      <c r="Y501" s="58"/>
      <c r="Z501" s="58"/>
      <c r="AA501" s="58"/>
    </row>
    <row r="502" spans="1:27" ht="15.75" customHeight="1" x14ac:dyDescent="0.2">
      <c r="A502" s="61" t="str">
        <f t="shared" si="14"/>
        <v/>
      </c>
      <c r="B502" s="62"/>
      <c r="C502" s="62"/>
      <c r="D502" s="62"/>
      <c r="E502" s="62"/>
      <c r="F502" s="63"/>
      <c r="G502" s="63"/>
      <c r="H502" s="63"/>
      <c r="I502" s="63"/>
      <c r="J502" s="63"/>
      <c r="K502" s="63"/>
      <c r="L502" s="64" t="str">
        <f>IF(OR($B502="", $H502="", $I502="", $J502="", $K502=""),"",ROUND((VLOOKUP($H502,Lists!$E$2:$F$5,2,FALSE())*VLOOKUP($I502,Lists!$H$2:$I$4,2,FALSE())*VLOOKUP($J502,Lists!$K$2:$L$4,2,FALSE()))/VLOOKUP($K502,Lists!$N$2:$O$6,2,FALSE()),2))</f>
        <v/>
      </c>
      <c r="M502" s="63"/>
      <c r="N502" s="63"/>
      <c r="O502" s="62"/>
      <c r="P502" s="63"/>
      <c r="Q502" s="65"/>
      <c r="R502" s="66" t="str">
        <f t="shared" ca="1" si="15"/>
        <v/>
      </c>
      <c r="S502" s="63"/>
      <c r="T502" s="65"/>
      <c r="U502" s="65"/>
      <c r="V502" s="62"/>
      <c r="W502" s="62"/>
      <c r="X502" s="62"/>
      <c r="Y502" s="58"/>
      <c r="Z502" s="58"/>
      <c r="AA502" s="58"/>
    </row>
    <row r="503" spans="1:27" ht="15.75" customHeight="1" x14ac:dyDescent="0.2">
      <c r="A503" s="61" t="str">
        <f t="shared" si="14"/>
        <v/>
      </c>
      <c r="B503" s="62"/>
      <c r="C503" s="62"/>
      <c r="D503" s="62"/>
      <c r="E503" s="62"/>
      <c r="F503" s="63"/>
      <c r="G503" s="63"/>
      <c r="H503" s="63"/>
      <c r="I503" s="63"/>
      <c r="J503" s="63"/>
      <c r="K503" s="63"/>
      <c r="L503" s="64" t="str">
        <f>IF(OR($B503="", $H503="", $I503="", $J503="", $K503=""),"",ROUND((VLOOKUP($H503,Lists!$E$2:$F$5,2,FALSE())*VLOOKUP($I503,Lists!$H$2:$I$4,2,FALSE())*VLOOKUP($J503,Lists!$K$2:$L$4,2,FALSE()))/VLOOKUP($K503,Lists!$N$2:$O$6,2,FALSE()),2))</f>
        <v/>
      </c>
      <c r="M503" s="63"/>
      <c r="N503" s="63"/>
      <c r="O503" s="62"/>
      <c r="P503" s="63"/>
      <c r="Q503" s="65"/>
      <c r="R503" s="66" t="str">
        <f t="shared" ca="1" si="15"/>
        <v/>
      </c>
      <c r="S503" s="63"/>
      <c r="T503" s="65"/>
      <c r="U503" s="65"/>
      <c r="V503" s="62"/>
      <c r="W503" s="62"/>
      <c r="X503" s="62"/>
      <c r="Y503" s="58"/>
      <c r="Z503" s="58"/>
      <c r="AA503" s="58"/>
    </row>
    <row r="504" spans="1:27" ht="15.75" customHeight="1" x14ac:dyDescent="0.2">
      <c r="A504" s="61" t="str">
        <f t="shared" si="14"/>
        <v/>
      </c>
      <c r="B504" s="62"/>
      <c r="C504" s="62"/>
      <c r="D504" s="62"/>
      <c r="E504" s="62"/>
      <c r="F504" s="63"/>
      <c r="G504" s="63"/>
      <c r="H504" s="63"/>
      <c r="I504" s="63"/>
      <c r="J504" s="63"/>
      <c r="K504" s="63"/>
      <c r="L504" s="64" t="str">
        <f>IF(OR($B504="", $H504="", $I504="", $J504="", $K504=""),"",ROUND((VLOOKUP($H504,Lists!$E$2:$F$5,2,FALSE())*VLOOKUP($I504,Lists!$H$2:$I$4,2,FALSE())*VLOOKUP($J504,Lists!$K$2:$L$4,2,FALSE()))/VLOOKUP($K504,Lists!$N$2:$O$6,2,FALSE()),2))</f>
        <v/>
      </c>
      <c r="M504" s="63"/>
      <c r="N504" s="63"/>
      <c r="O504" s="62"/>
      <c r="P504" s="63"/>
      <c r="Q504" s="65"/>
      <c r="R504" s="66" t="str">
        <f t="shared" ca="1" si="15"/>
        <v/>
      </c>
      <c r="S504" s="63"/>
      <c r="T504" s="65"/>
      <c r="U504" s="65"/>
      <c r="V504" s="62"/>
      <c r="W504" s="62"/>
      <c r="X504" s="62"/>
      <c r="Y504" s="58"/>
      <c r="Z504" s="58"/>
      <c r="AA504" s="58"/>
    </row>
    <row r="505" spans="1:27" ht="15.75" customHeight="1" x14ac:dyDescent="0.2">
      <c r="A505" s="61" t="str">
        <f t="shared" si="14"/>
        <v/>
      </c>
      <c r="B505" s="62"/>
      <c r="C505" s="62"/>
      <c r="D505" s="62"/>
      <c r="E505" s="62"/>
      <c r="F505" s="63"/>
      <c r="G505" s="63"/>
      <c r="H505" s="63"/>
      <c r="I505" s="63"/>
      <c r="J505" s="63"/>
      <c r="K505" s="63"/>
      <c r="L505" s="64" t="str">
        <f>IF(OR($B505="", $H505="", $I505="", $J505="", $K505=""),"",ROUND((VLOOKUP($H505,Lists!$E$2:$F$5,2,FALSE())*VLOOKUP($I505,Lists!$H$2:$I$4,2,FALSE())*VLOOKUP($J505,Lists!$K$2:$L$4,2,FALSE()))/VLOOKUP($K505,Lists!$N$2:$O$6,2,FALSE()),2))</f>
        <v/>
      </c>
      <c r="M505" s="63"/>
      <c r="N505" s="63"/>
      <c r="O505" s="62"/>
      <c r="P505" s="63"/>
      <c r="Q505" s="65"/>
      <c r="R505" s="66" t="str">
        <f t="shared" ca="1" si="15"/>
        <v/>
      </c>
      <c r="S505" s="63"/>
      <c r="T505" s="65"/>
      <c r="U505" s="65"/>
      <c r="V505" s="62"/>
      <c r="W505" s="62"/>
      <c r="X505" s="62"/>
      <c r="Y505" s="58"/>
      <c r="Z505" s="58"/>
      <c r="AA505" s="58"/>
    </row>
    <row r="506" spans="1:27" ht="15.75" customHeight="1" x14ac:dyDescent="0.2">
      <c r="A506" s="61" t="str">
        <f t="shared" si="14"/>
        <v/>
      </c>
      <c r="B506" s="62"/>
      <c r="C506" s="62"/>
      <c r="D506" s="62"/>
      <c r="E506" s="62"/>
      <c r="F506" s="63"/>
      <c r="G506" s="63"/>
      <c r="H506" s="63"/>
      <c r="I506" s="63"/>
      <c r="J506" s="63"/>
      <c r="K506" s="63"/>
      <c r="L506" s="64" t="str">
        <f>IF(OR($B506="", $H506="", $I506="", $J506="", $K506=""),"",ROUND((VLOOKUP($H506,Lists!$E$2:$F$5,2,FALSE())*VLOOKUP($I506,Lists!$H$2:$I$4,2,FALSE())*VLOOKUP($J506,Lists!$K$2:$L$4,2,FALSE()))/VLOOKUP($K506,Lists!$N$2:$O$6,2,FALSE()),2))</f>
        <v/>
      </c>
      <c r="M506" s="63"/>
      <c r="N506" s="63"/>
      <c r="O506" s="62"/>
      <c r="P506" s="63"/>
      <c r="Q506" s="65"/>
      <c r="R506" s="66" t="str">
        <f t="shared" ca="1" si="15"/>
        <v/>
      </c>
      <c r="S506" s="63"/>
      <c r="T506" s="65"/>
      <c r="U506" s="65"/>
      <c r="V506" s="62"/>
      <c r="W506" s="62"/>
      <c r="X506" s="62"/>
      <c r="Y506" s="58"/>
      <c r="Z506" s="58"/>
      <c r="AA506" s="58"/>
    </row>
    <row r="507" spans="1:27" ht="15.75" customHeight="1" x14ac:dyDescent="0.2">
      <c r="A507" s="61" t="str">
        <f t="shared" si="14"/>
        <v/>
      </c>
      <c r="B507" s="62"/>
      <c r="C507" s="62"/>
      <c r="D507" s="62"/>
      <c r="E507" s="62"/>
      <c r="F507" s="63"/>
      <c r="G507" s="63"/>
      <c r="H507" s="63"/>
      <c r="I507" s="63"/>
      <c r="J507" s="63"/>
      <c r="K507" s="63"/>
      <c r="L507" s="64" t="str">
        <f>IF(OR($B507="", $H507="", $I507="", $J507="", $K507=""),"",ROUND((VLOOKUP($H507,Lists!$E$2:$F$5,2,FALSE())*VLOOKUP($I507,Lists!$H$2:$I$4,2,FALSE())*VLOOKUP($J507,Lists!$K$2:$L$4,2,FALSE()))/VLOOKUP($K507,Lists!$N$2:$O$6,2,FALSE()),2))</f>
        <v/>
      </c>
      <c r="M507" s="63"/>
      <c r="N507" s="63"/>
      <c r="O507" s="62"/>
      <c r="P507" s="63"/>
      <c r="Q507" s="65"/>
      <c r="R507" s="66" t="str">
        <f t="shared" ca="1" si="15"/>
        <v/>
      </c>
      <c r="S507" s="63"/>
      <c r="T507" s="65"/>
      <c r="U507" s="65"/>
      <c r="V507" s="62"/>
      <c r="W507" s="62"/>
      <c r="X507" s="62"/>
      <c r="Y507" s="58"/>
      <c r="Z507" s="58"/>
      <c r="AA507" s="58"/>
    </row>
    <row r="508" spans="1:27" ht="15.75" customHeight="1" x14ac:dyDescent="0.2">
      <c r="A508" s="61" t="str">
        <f t="shared" si="14"/>
        <v/>
      </c>
      <c r="B508" s="62"/>
      <c r="C508" s="62"/>
      <c r="D508" s="62"/>
      <c r="E508" s="62"/>
      <c r="F508" s="63"/>
      <c r="G508" s="63"/>
      <c r="H508" s="63"/>
      <c r="I508" s="63"/>
      <c r="J508" s="63"/>
      <c r="K508" s="63"/>
      <c r="L508" s="64" t="str">
        <f>IF(OR($B508="", $H508="", $I508="", $J508="", $K508=""),"",ROUND((VLOOKUP($H508,Lists!$E$2:$F$5,2,FALSE())*VLOOKUP($I508,Lists!$H$2:$I$4,2,FALSE())*VLOOKUP($J508,Lists!$K$2:$L$4,2,FALSE()))/VLOOKUP($K508,Lists!$N$2:$O$6,2,FALSE()),2))</f>
        <v/>
      </c>
      <c r="M508" s="63"/>
      <c r="N508" s="63"/>
      <c r="O508" s="62"/>
      <c r="P508" s="63"/>
      <c r="Q508" s="65"/>
      <c r="R508" s="66" t="str">
        <f t="shared" ca="1" si="15"/>
        <v/>
      </c>
      <c r="S508" s="63"/>
      <c r="T508" s="65"/>
      <c r="U508" s="65"/>
      <c r="V508" s="62"/>
      <c r="W508" s="62"/>
      <c r="X508" s="62"/>
      <c r="Y508" s="58"/>
      <c r="Z508" s="58"/>
      <c r="AA508" s="58"/>
    </row>
    <row r="509" spans="1:27" ht="15.75" customHeight="1" x14ac:dyDescent="0.2">
      <c r="A509" s="61" t="str">
        <f t="shared" si="14"/>
        <v/>
      </c>
      <c r="B509" s="62"/>
      <c r="C509" s="62"/>
      <c r="D509" s="62"/>
      <c r="E509" s="62"/>
      <c r="F509" s="63"/>
      <c r="G509" s="63"/>
      <c r="H509" s="63"/>
      <c r="I509" s="63"/>
      <c r="J509" s="63"/>
      <c r="K509" s="63"/>
      <c r="L509" s="64" t="str">
        <f>IF(OR($B509="", $H509="", $I509="", $J509="", $K509=""),"",ROUND((VLOOKUP($H509,Lists!$E$2:$F$5,2,FALSE())*VLOOKUP($I509,Lists!$H$2:$I$4,2,FALSE())*VLOOKUP($J509,Lists!$K$2:$L$4,2,FALSE()))/VLOOKUP($K509,Lists!$N$2:$O$6,2,FALSE()),2))</f>
        <v/>
      </c>
      <c r="M509" s="63"/>
      <c r="N509" s="63"/>
      <c r="O509" s="62"/>
      <c r="P509" s="63"/>
      <c r="Q509" s="65"/>
      <c r="R509" s="66" t="str">
        <f t="shared" ca="1" si="15"/>
        <v/>
      </c>
      <c r="S509" s="63"/>
      <c r="T509" s="65"/>
      <c r="U509" s="65"/>
      <c r="V509" s="62"/>
      <c r="W509" s="62"/>
      <c r="X509" s="62"/>
      <c r="Y509" s="58"/>
      <c r="Z509" s="58"/>
      <c r="AA509" s="58"/>
    </row>
    <row r="510" spans="1:27" ht="15.75" customHeight="1" x14ac:dyDescent="0.2">
      <c r="A510" s="61" t="str">
        <f t="shared" si="14"/>
        <v/>
      </c>
      <c r="B510" s="62"/>
      <c r="C510" s="62"/>
      <c r="D510" s="62"/>
      <c r="E510" s="62"/>
      <c r="F510" s="63"/>
      <c r="G510" s="63"/>
      <c r="H510" s="63"/>
      <c r="I510" s="63"/>
      <c r="J510" s="63"/>
      <c r="K510" s="63"/>
      <c r="L510" s="64" t="str">
        <f>IF(OR($B510="", $H510="", $I510="", $J510="", $K510=""),"",ROUND((VLOOKUP($H510,Lists!$E$2:$F$5,2,FALSE())*VLOOKUP($I510,Lists!$H$2:$I$4,2,FALSE())*VLOOKUP($J510,Lists!$K$2:$L$4,2,FALSE()))/VLOOKUP($K510,Lists!$N$2:$O$6,2,FALSE()),2))</f>
        <v/>
      </c>
      <c r="M510" s="63"/>
      <c r="N510" s="63"/>
      <c r="O510" s="62"/>
      <c r="P510" s="63"/>
      <c r="Q510" s="65"/>
      <c r="R510" s="66" t="str">
        <f t="shared" ca="1" si="15"/>
        <v/>
      </c>
      <c r="S510" s="63"/>
      <c r="T510" s="65"/>
      <c r="U510" s="65"/>
      <c r="V510" s="62"/>
      <c r="W510" s="62"/>
      <c r="X510" s="62"/>
      <c r="Y510" s="58"/>
      <c r="Z510" s="58"/>
      <c r="AA510" s="58"/>
    </row>
    <row r="511" spans="1:27" ht="15.75" customHeight="1" x14ac:dyDescent="0.2">
      <c r="A511" s="61" t="str">
        <f t="shared" si="14"/>
        <v/>
      </c>
      <c r="B511" s="62"/>
      <c r="C511" s="62"/>
      <c r="D511" s="62"/>
      <c r="E511" s="62"/>
      <c r="F511" s="63"/>
      <c r="G511" s="63"/>
      <c r="H511" s="63"/>
      <c r="I511" s="63"/>
      <c r="J511" s="63"/>
      <c r="K511" s="63"/>
      <c r="L511" s="64" t="str">
        <f>IF(OR($B511="", $H511="", $I511="", $J511="", $K511=""),"",ROUND((VLOOKUP($H511,Lists!$E$2:$F$5,2,FALSE())*VLOOKUP($I511,Lists!$H$2:$I$4,2,FALSE())*VLOOKUP($J511,Lists!$K$2:$L$4,2,FALSE()))/VLOOKUP($K511,Lists!$N$2:$O$6,2,FALSE()),2))</f>
        <v/>
      </c>
      <c r="M511" s="63"/>
      <c r="N511" s="63"/>
      <c r="O511" s="62"/>
      <c r="P511" s="63"/>
      <c r="Q511" s="65"/>
      <c r="R511" s="66" t="str">
        <f t="shared" ca="1" si="15"/>
        <v/>
      </c>
      <c r="S511" s="63"/>
      <c r="T511" s="65"/>
      <c r="U511" s="65"/>
      <c r="V511" s="62"/>
      <c r="W511" s="62"/>
      <c r="X511" s="62"/>
      <c r="Y511" s="58"/>
      <c r="Z511" s="58"/>
      <c r="AA511" s="58"/>
    </row>
    <row r="512" spans="1:27" ht="15.75" customHeight="1" x14ac:dyDescent="0.2">
      <c r="A512" s="61" t="str">
        <f t="shared" si="14"/>
        <v/>
      </c>
      <c r="B512" s="62"/>
      <c r="C512" s="62"/>
      <c r="D512" s="62"/>
      <c r="E512" s="62"/>
      <c r="F512" s="63"/>
      <c r="G512" s="63"/>
      <c r="H512" s="63"/>
      <c r="I512" s="63"/>
      <c r="J512" s="63"/>
      <c r="K512" s="63"/>
      <c r="L512" s="64" t="str">
        <f>IF(OR($B512="", $H512="", $I512="", $J512="", $K512=""),"",ROUND((VLOOKUP($H512,Lists!$E$2:$F$5,2,FALSE())*VLOOKUP($I512,Lists!$H$2:$I$4,2,FALSE())*VLOOKUP($J512,Lists!$K$2:$L$4,2,FALSE()))/VLOOKUP($K512,Lists!$N$2:$O$6,2,FALSE()),2))</f>
        <v/>
      </c>
      <c r="M512" s="63"/>
      <c r="N512" s="63"/>
      <c r="O512" s="62"/>
      <c r="P512" s="63"/>
      <c r="Q512" s="65"/>
      <c r="R512" s="66" t="str">
        <f t="shared" ca="1" si="15"/>
        <v/>
      </c>
      <c r="S512" s="63"/>
      <c r="T512" s="65"/>
      <c r="U512" s="65"/>
      <c r="V512" s="62"/>
      <c r="W512" s="62"/>
      <c r="X512" s="62"/>
      <c r="Y512" s="58"/>
      <c r="Z512" s="58"/>
      <c r="AA512" s="58"/>
    </row>
    <row r="513" spans="1:27" ht="15.75" customHeight="1" x14ac:dyDescent="0.2">
      <c r="A513" s="61" t="str">
        <f t="shared" si="14"/>
        <v/>
      </c>
      <c r="B513" s="62"/>
      <c r="C513" s="62"/>
      <c r="D513" s="62"/>
      <c r="E513" s="62"/>
      <c r="F513" s="63"/>
      <c r="G513" s="63"/>
      <c r="H513" s="63"/>
      <c r="I513" s="63"/>
      <c r="J513" s="63"/>
      <c r="K513" s="63"/>
      <c r="L513" s="64" t="str">
        <f>IF(OR($B513="", $H513="", $I513="", $J513="", $K513=""),"",ROUND((VLOOKUP($H513,Lists!$E$2:$F$5,2,FALSE())*VLOOKUP($I513,Lists!$H$2:$I$4,2,FALSE())*VLOOKUP($J513,Lists!$K$2:$L$4,2,FALSE()))/VLOOKUP($K513,Lists!$N$2:$O$6,2,FALSE()),2))</f>
        <v/>
      </c>
      <c r="M513" s="63"/>
      <c r="N513" s="63"/>
      <c r="O513" s="62"/>
      <c r="P513" s="63"/>
      <c r="Q513" s="65"/>
      <c r="R513" s="66" t="str">
        <f t="shared" ca="1" si="15"/>
        <v/>
      </c>
      <c r="S513" s="63"/>
      <c r="T513" s="65"/>
      <c r="U513" s="65"/>
      <c r="V513" s="62"/>
      <c r="W513" s="62"/>
      <c r="X513" s="62"/>
      <c r="Y513" s="58"/>
      <c r="Z513" s="58"/>
      <c r="AA513" s="58"/>
    </row>
    <row r="514" spans="1:27" ht="15.75" customHeight="1" x14ac:dyDescent="0.2">
      <c r="A514" s="61" t="str">
        <f t="shared" ref="A514:A577" si="16">IF($B514="","", "TD-" &amp; RIGHT("0000"&amp;ROW()-1,4))</f>
        <v/>
      </c>
      <c r="B514" s="62"/>
      <c r="C514" s="62"/>
      <c r="D514" s="62"/>
      <c r="E514" s="62"/>
      <c r="F514" s="63"/>
      <c r="G514" s="63"/>
      <c r="H514" s="63"/>
      <c r="I514" s="63"/>
      <c r="J514" s="63"/>
      <c r="K514" s="63"/>
      <c r="L514" s="64" t="str">
        <f>IF(OR($B514="", $H514="", $I514="", $J514="", $K514=""),"",ROUND((VLOOKUP($H514,Lists!$E$2:$F$5,2,FALSE())*VLOOKUP($I514,Lists!$H$2:$I$4,2,FALSE())*VLOOKUP($J514,Lists!$K$2:$L$4,2,FALSE()))/VLOOKUP($K514,Lists!$N$2:$O$6,2,FALSE()),2))</f>
        <v/>
      </c>
      <c r="M514" s="63"/>
      <c r="N514" s="63"/>
      <c r="O514" s="62"/>
      <c r="P514" s="63"/>
      <c r="Q514" s="65"/>
      <c r="R514" s="66" t="str">
        <f t="shared" ref="R514:R577" ca="1" si="17">IF($Q514="","", TODAY()-$Q514)</f>
        <v/>
      </c>
      <c r="S514" s="63"/>
      <c r="T514" s="65"/>
      <c r="U514" s="65"/>
      <c r="V514" s="62"/>
      <c r="W514" s="62"/>
      <c r="X514" s="62"/>
      <c r="Y514" s="58"/>
      <c r="Z514" s="58"/>
      <c r="AA514" s="58"/>
    </row>
    <row r="515" spans="1:27" ht="15.75" customHeight="1" x14ac:dyDescent="0.2">
      <c r="A515" s="61" t="str">
        <f t="shared" si="16"/>
        <v/>
      </c>
      <c r="B515" s="62"/>
      <c r="C515" s="62"/>
      <c r="D515" s="62"/>
      <c r="E515" s="62"/>
      <c r="F515" s="63"/>
      <c r="G515" s="63"/>
      <c r="H515" s="63"/>
      <c r="I515" s="63"/>
      <c r="J515" s="63"/>
      <c r="K515" s="63"/>
      <c r="L515" s="64" t="str">
        <f>IF(OR($B515="", $H515="", $I515="", $J515="", $K515=""),"",ROUND((VLOOKUP($H515,Lists!$E$2:$F$5,2,FALSE())*VLOOKUP($I515,Lists!$H$2:$I$4,2,FALSE())*VLOOKUP($J515,Lists!$K$2:$L$4,2,FALSE()))/VLOOKUP($K515,Lists!$N$2:$O$6,2,FALSE()),2))</f>
        <v/>
      </c>
      <c r="M515" s="63"/>
      <c r="N515" s="63"/>
      <c r="O515" s="62"/>
      <c r="P515" s="63"/>
      <c r="Q515" s="65"/>
      <c r="R515" s="66" t="str">
        <f t="shared" ca="1" si="17"/>
        <v/>
      </c>
      <c r="S515" s="63"/>
      <c r="T515" s="65"/>
      <c r="U515" s="65"/>
      <c r="V515" s="62"/>
      <c r="W515" s="62"/>
      <c r="X515" s="62"/>
      <c r="Y515" s="58"/>
      <c r="Z515" s="58"/>
      <c r="AA515" s="58"/>
    </row>
    <row r="516" spans="1:27" ht="15.75" customHeight="1" x14ac:dyDescent="0.2">
      <c r="A516" s="61" t="str">
        <f t="shared" si="16"/>
        <v/>
      </c>
      <c r="B516" s="62"/>
      <c r="C516" s="62"/>
      <c r="D516" s="62"/>
      <c r="E516" s="62"/>
      <c r="F516" s="63"/>
      <c r="G516" s="63"/>
      <c r="H516" s="63"/>
      <c r="I516" s="63"/>
      <c r="J516" s="63"/>
      <c r="K516" s="63"/>
      <c r="L516" s="64" t="str">
        <f>IF(OR($B516="", $H516="", $I516="", $J516="", $K516=""),"",ROUND((VLOOKUP($H516,Lists!$E$2:$F$5,2,FALSE())*VLOOKUP($I516,Lists!$H$2:$I$4,2,FALSE())*VLOOKUP($J516,Lists!$K$2:$L$4,2,FALSE()))/VLOOKUP($K516,Lists!$N$2:$O$6,2,FALSE()),2))</f>
        <v/>
      </c>
      <c r="M516" s="63"/>
      <c r="N516" s="63"/>
      <c r="O516" s="62"/>
      <c r="P516" s="63"/>
      <c r="Q516" s="65"/>
      <c r="R516" s="66" t="str">
        <f t="shared" ca="1" si="17"/>
        <v/>
      </c>
      <c r="S516" s="63"/>
      <c r="T516" s="65"/>
      <c r="U516" s="65"/>
      <c r="V516" s="62"/>
      <c r="W516" s="62"/>
      <c r="X516" s="62"/>
      <c r="Y516" s="58"/>
      <c r="Z516" s="58"/>
      <c r="AA516" s="58"/>
    </row>
    <row r="517" spans="1:27" ht="15.75" customHeight="1" x14ac:dyDescent="0.2">
      <c r="A517" s="61" t="str">
        <f t="shared" si="16"/>
        <v/>
      </c>
      <c r="B517" s="62"/>
      <c r="C517" s="62"/>
      <c r="D517" s="62"/>
      <c r="E517" s="62"/>
      <c r="F517" s="63"/>
      <c r="G517" s="63"/>
      <c r="H517" s="63"/>
      <c r="I517" s="63"/>
      <c r="J517" s="63"/>
      <c r="K517" s="63"/>
      <c r="L517" s="64" t="str">
        <f>IF(OR($B517="", $H517="", $I517="", $J517="", $K517=""),"",ROUND((VLOOKUP($H517,Lists!$E$2:$F$5,2,FALSE())*VLOOKUP($I517,Lists!$H$2:$I$4,2,FALSE())*VLOOKUP($J517,Lists!$K$2:$L$4,2,FALSE()))/VLOOKUP($K517,Lists!$N$2:$O$6,2,FALSE()),2))</f>
        <v/>
      </c>
      <c r="M517" s="63"/>
      <c r="N517" s="63"/>
      <c r="O517" s="62"/>
      <c r="P517" s="63"/>
      <c r="Q517" s="65"/>
      <c r="R517" s="66" t="str">
        <f t="shared" ca="1" si="17"/>
        <v/>
      </c>
      <c r="S517" s="63"/>
      <c r="T517" s="65"/>
      <c r="U517" s="65"/>
      <c r="V517" s="62"/>
      <c r="W517" s="62"/>
      <c r="X517" s="62"/>
      <c r="Y517" s="58"/>
      <c r="Z517" s="58"/>
      <c r="AA517" s="58"/>
    </row>
    <row r="518" spans="1:27" ht="15.75" customHeight="1" x14ac:dyDescent="0.2">
      <c r="A518" s="61" t="str">
        <f t="shared" si="16"/>
        <v/>
      </c>
      <c r="B518" s="62"/>
      <c r="C518" s="62"/>
      <c r="D518" s="62"/>
      <c r="E518" s="62"/>
      <c r="F518" s="63"/>
      <c r="G518" s="63"/>
      <c r="H518" s="63"/>
      <c r="I518" s="63"/>
      <c r="J518" s="63"/>
      <c r="K518" s="63"/>
      <c r="L518" s="64" t="str">
        <f>IF(OR($B518="", $H518="", $I518="", $J518="", $K518=""),"",ROUND((VLOOKUP($H518,Lists!$E$2:$F$5,2,FALSE())*VLOOKUP($I518,Lists!$H$2:$I$4,2,FALSE())*VLOOKUP($J518,Lists!$K$2:$L$4,2,FALSE()))/VLOOKUP($K518,Lists!$N$2:$O$6,2,FALSE()),2))</f>
        <v/>
      </c>
      <c r="M518" s="63"/>
      <c r="N518" s="63"/>
      <c r="O518" s="62"/>
      <c r="P518" s="63"/>
      <c r="Q518" s="65"/>
      <c r="R518" s="66" t="str">
        <f t="shared" ca="1" si="17"/>
        <v/>
      </c>
      <c r="S518" s="63"/>
      <c r="T518" s="65"/>
      <c r="U518" s="65"/>
      <c r="V518" s="62"/>
      <c r="W518" s="62"/>
      <c r="X518" s="62"/>
      <c r="Y518" s="58"/>
      <c r="Z518" s="58"/>
      <c r="AA518" s="58"/>
    </row>
    <row r="519" spans="1:27" ht="15.75" customHeight="1" x14ac:dyDescent="0.2">
      <c r="A519" s="61" t="str">
        <f t="shared" si="16"/>
        <v/>
      </c>
      <c r="B519" s="62"/>
      <c r="C519" s="62"/>
      <c r="D519" s="62"/>
      <c r="E519" s="62"/>
      <c r="F519" s="63"/>
      <c r="G519" s="63"/>
      <c r="H519" s="63"/>
      <c r="I519" s="63"/>
      <c r="J519" s="63"/>
      <c r="K519" s="63"/>
      <c r="L519" s="64" t="str">
        <f>IF(OR($B519="", $H519="", $I519="", $J519="", $K519=""),"",ROUND((VLOOKUP($H519,Lists!$E$2:$F$5,2,FALSE())*VLOOKUP($I519,Lists!$H$2:$I$4,2,FALSE())*VLOOKUP($J519,Lists!$K$2:$L$4,2,FALSE()))/VLOOKUP($K519,Lists!$N$2:$O$6,2,FALSE()),2))</f>
        <v/>
      </c>
      <c r="M519" s="63"/>
      <c r="N519" s="63"/>
      <c r="O519" s="62"/>
      <c r="P519" s="63"/>
      <c r="Q519" s="65"/>
      <c r="R519" s="66" t="str">
        <f t="shared" ca="1" si="17"/>
        <v/>
      </c>
      <c r="S519" s="63"/>
      <c r="T519" s="65"/>
      <c r="U519" s="65"/>
      <c r="V519" s="62"/>
      <c r="W519" s="62"/>
      <c r="X519" s="62"/>
      <c r="Y519" s="58"/>
      <c r="Z519" s="58"/>
      <c r="AA519" s="58"/>
    </row>
    <row r="520" spans="1:27" ht="15.75" customHeight="1" x14ac:dyDescent="0.2">
      <c r="A520" s="61" t="str">
        <f t="shared" si="16"/>
        <v/>
      </c>
      <c r="B520" s="62"/>
      <c r="C520" s="62"/>
      <c r="D520" s="62"/>
      <c r="E520" s="62"/>
      <c r="F520" s="63"/>
      <c r="G520" s="63"/>
      <c r="H520" s="63"/>
      <c r="I520" s="63"/>
      <c r="J520" s="63"/>
      <c r="K520" s="63"/>
      <c r="L520" s="64" t="str">
        <f>IF(OR($B520="", $H520="", $I520="", $J520="", $K520=""),"",ROUND((VLOOKUP($H520,Lists!$E$2:$F$5,2,FALSE())*VLOOKUP($I520,Lists!$H$2:$I$4,2,FALSE())*VLOOKUP($J520,Lists!$K$2:$L$4,2,FALSE()))/VLOOKUP($K520,Lists!$N$2:$O$6,2,FALSE()),2))</f>
        <v/>
      </c>
      <c r="M520" s="63"/>
      <c r="N520" s="63"/>
      <c r="O520" s="62"/>
      <c r="P520" s="63"/>
      <c r="Q520" s="65"/>
      <c r="R520" s="66" t="str">
        <f t="shared" ca="1" si="17"/>
        <v/>
      </c>
      <c r="S520" s="63"/>
      <c r="T520" s="65"/>
      <c r="U520" s="65"/>
      <c r="V520" s="62"/>
      <c r="W520" s="62"/>
      <c r="X520" s="62"/>
      <c r="Y520" s="58"/>
      <c r="Z520" s="58"/>
      <c r="AA520" s="58"/>
    </row>
    <row r="521" spans="1:27" ht="15.75" customHeight="1" x14ac:dyDescent="0.2">
      <c r="A521" s="61" t="str">
        <f t="shared" si="16"/>
        <v/>
      </c>
      <c r="B521" s="62"/>
      <c r="C521" s="62"/>
      <c r="D521" s="62"/>
      <c r="E521" s="62"/>
      <c r="F521" s="63"/>
      <c r="G521" s="63"/>
      <c r="H521" s="63"/>
      <c r="I521" s="63"/>
      <c r="J521" s="63"/>
      <c r="K521" s="63"/>
      <c r="L521" s="64" t="str">
        <f>IF(OR($B521="", $H521="", $I521="", $J521="", $K521=""),"",ROUND((VLOOKUP($H521,Lists!$E$2:$F$5,2,FALSE())*VLOOKUP($I521,Lists!$H$2:$I$4,2,FALSE())*VLOOKUP($J521,Lists!$K$2:$L$4,2,FALSE()))/VLOOKUP($K521,Lists!$N$2:$O$6,2,FALSE()),2))</f>
        <v/>
      </c>
      <c r="M521" s="63"/>
      <c r="N521" s="63"/>
      <c r="O521" s="62"/>
      <c r="P521" s="63"/>
      <c r="Q521" s="65"/>
      <c r="R521" s="66" t="str">
        <f t="shared" ca="1" si="17"/>
        <v/>
      </c>
      <c r="S521" s="63"/>
      <c r="T521" s="65"/>
      <c r="U521" s="65"/>
      <c r="V521" s="62"/>
      <c r="W521" s="62"/>
      <c r="X521" s="62"/>
      <c r="Y521" s="58"/>
      <c r="Z521" s="58"/>
      <c r="AA521" s="58"/>
    </row>
    <row r="522" spans="1:27" ht="15.75" customHeight="1" x14ac:dyDescent="0.2">
      <c r="A522" s="61" t="str">
        <f t="shared" si="16"/>
        <v/>
      </c>
      <c r="B522" s="62"/>
      <c r="C522" s="62"/>
      <c r="D522" s="62"/>
      <c r="E522" s="62"/>
      <c r="F522" s="63"/>
      <c r="G522" s="63"/>
      <c r="H522" s="63"/>
      <c r="I522" s="63"/>
      <c r="J522" s="63"/>
      <c r="K522" s="63"/>
      <c r="L522" s="64" t="str">
        <f>IF(OR($B522="", $H522="", $I522="", $J522="", $K522=""),"",ROUND((VLOOKUP($H522,Lists!$E$2:$F$5,2,FALSE())*VLOOKUP($I522,Lists!$H$2:$I$4,2,FALSE())*VLOOKUP($J522,Lists!$K$2:$L$4,2,FALSE()))/VLOOKUP($K522,Lists!$N$2:$O$6,2,FALSE()),2))</f>
        <v/>
      </c>
      <c r="M522" s="63"/>
      <c r="N522" s="63"/>
      <c r="O522" s="62"/>
      <c r="P522" s="63"/>
      <c r="Q522" s="65"/>
      <c r="R522" s="66" t="str">
        <f t="shared" ca="1" si="17"/>
        <v/>
      </c>
      <c r="S522" s="63"/>
      <c r="T522" s="65"/>
      <c r="U522" s="65"/>
      <c r="V522" s="62"/>
      <c r="W522" s="62"/>
      <c r="X522" s="62"/>
      <c r="Y522" s="58"/>
      <c r="Z522" s="58"/>
      <c r="AA522" s="58"/>
    </row>
    <row r="523" spans="1:27" ht="15.75" customHeight="1" x14ac:dyDescent="0.2">
      <c r="A523" s="61" t="str">
        <f t="shared" si="16"/>
        <v/>
      </c>
      <c r="B523" s="62"/>
      <c r="C523" s="62"/>
      <c r="D523" s="62"/>
      <c r="E523" s="62"/>
      <c r="F523" s="63"/>
      <c r="G523" s="63"/>
      <c r="H523" s="63"/>
      <c r="I523" s="63"/>
      <c r="J523" s="63"/>
      <c r="K523" s="63"/>
      <c r="L523" s="64" t="str">
        <f>IF(OR($B523="", $H523="", $I523="", $J523="", $K523=""),"",ROUND((VLOOKUP($H523,Lists!$E$2:$F$5,2,FALSE())*VLOOKUP($I523,Lists!$H$2:$I$4,2,FALSE())*VLOOKUP($J523,Lists!$K$2:$L$4,2,FALSE()))/VLOOKUP($K523,Lists!$N$2:$O$6,2,FALSE()),2))</f>
        <v/>
      </c>
      <c r="M523" s="63"/>
      <c r="N523" s="63"/>
      <c r="O523" s="62"/>
      <c r="P523" s="63"/>
      <c r="Q523" s="65"/>
      <c r="R523" s="66" t="str">
        <f t="shared" ca="1" si="17"/>
        <v/>
      </c>
      <c r="S523" s="63"/>
      <c r="T523" s="65"/>
      <c r="U523" s="65"/>
      <c r="V523" s="62"/>
      <c r="W523" s="62"/>
      <c r="X523" s="62"/>
      <c r="Y523" s="58"/>
      <c r="Z523" s="58"/>
      <c r="AA523" s="58"/>
    </row>
    <row r="524" spans="1:27" ht="15.75" customHeight="1" x14ac:dyDescent="0.2">
      <c r="A524" s="61" t="str">
        <f t="shared" si="16"/>
        <v/>
      </c>
      <c r="B524" s="62"/>
      <c r="C524" s="62"/>
      <c r="D524" s="62"/>
      <c r="E524" s="62"/>
      <c r="F524" s="63"/>
      <c r="G524" s="63"/>
      <c r="H524" s="63"/>
      <c r="I524" s="63"/>
      <c r="J524" s="63"/>
      <c r="K524" s="63"/>
      <c r="L524" s="64" t="str">
        <f>IF(OR($B524="", $H524="", $I524="", $J524="", $K524=""),"",ROUND((VLOOKUP($H524,Lists!$E$2:$F$5,2,FALSE())*VLOOKUP($I524,Lists!$H$2:$I$4,2,FALSE())*VLOOKUP($J524,Lists!$K$2:$L$4,2,FALSE()))/VLOOKUP($K524,Lists!$N$2:$O$6,2,FALSE()),2))</f>
        <v/>
      </c>
      <c r="M524" s="63"/>
      <c r="N524" s="63"/>
      <c r="O524" s="62"/>
      <c r="P524" s="63"/>
      <c r="Q524" s="65"/>
      <c r="R524" s="66" t="str">
        <f t="shared" ca="1" si="17"/>
        <v/>
      </c>
      <c r="S524" s="63"/>
      <c r="T524" s="65"/>
      <c r="U524" s="65"/>
      <c r="V524" s="62"/>
      <c r="W524" s="62"/>
      <c r="X524" s="62"/>
      <c r="Y524" s="58"/>
      <c r="Z524" s="58"/>
      <c r="AA524" s="58"/>
    </row>
    <row r="525" spans="1:27" ht="15.75" customHeight="1" x14ac:dyDescent="0.2">
      <c r="A525" s="61" t="str">
        <f t="shared" si="16"/>
        <v/>
      </c>
      <c r="B525" s="62"/>
      <c r="C525" s="62"/>
      <c r="D525" s="62"/>
      <c r="E525" s="62"/>
      <c r="F525" s="63"/>
      <c r="G525" s="63"/>
      <c r="H525" s="63"/>
      <c r="I525" s="63"/>
      <c r="J525" s="63"/>
      <c r="K525" s="63"/>
      <c r="L525" s="64" t="str">
        <f>IF(OR($B525="", $H525="", $I525="", $J525="", $K525=""),"",ROUND((VLOOKUP($H525,Lists!$E$2:$F$5,2,FALSE())*VLOOKUP($I525,Lists!$H$2:$I$4,2,FALSE())*VLOOKUP($J525,Lists!$K$2:$L$4,2,FALSE()))/VLOOKUP($K525,Lists!$N$2:$O$6,2,FALSE()),2))</f>
        <v/>
      </c>
      <c r="M525" s="63"/>
      <c r="N525" s="63"/>
      <c r="O525" s="62"/>
      <c r="P525" s="63"/>
      <c r="Q525" s="65"/>
      <c r="R525" s="66" t="str">
        <f t="shared" ca="1" si="17"/>
        <v/>
      </c>
      <c r="S525" s="63"/>
      <c r="T525" s="65"/>
      <c r="U525" s="65"/>
      <c r="V525" s="62"/>
      <c r="W525" s="62"/>
      <c r="X525" s="62"/>
      <c r="Y525" s="58"/>
      <c r="Z525" s="58"/>
      <c r="AA525" s="58"/>
    </row>
    <row r="526" spans="1:27" ht="15.75" customHeight="1" x14ac:dyDescent="0.2">
      <c r="A526" s="61" t="str">
        <f t="shared" si="16"/>
        <v/>
      </c>
      <c r="B526" s="62"/>
      <c r="C526" s="62"/>
      <c r="D526" s="62"/>
      <c r="E526" s="62"/>
      <c r="F526" s="63"/>
      <c r="G526" s="63"/>
      <c r="H526" s="63"/>
      <c r="I526" s="63"/>
      <c r="J526" s="63"/>
      <c r="K526" s="63"/>
      <c r="L526" s="64" t="str">
        <f>IF(OR($B526="", $H526="", $I526="", $J526="", $K526=""),"",ROUND((VLOOKUP($H526,Lists!$E$2:$F$5,2,FALSE())*VLOOKUP($I526,Lists!$H$2:$I$4,2,FALSE())*VLOOKUP($J526,Lists!$K$2:$L$4,2,FALSE()))/VLOOKUP($K526,Lists!$N$2:$O$6,2,FALSE()),2))</f>
        <v/>
      </c>
      <c r="M526" s="63"/>
      <c r="N526" s="63"/>
      <c r="O526" s="62"/>
      <c r="P526" s="63"/>
      <c r="Q526" s="65"/>
      <c r="R526" s="66" t="str">
        <f t="shared" ca="1" si="17"/>
        <v/>
      </c>
      <c r="S526" s="63"/>
      <c r="T526" s="65"/>
      <c r="U526" s="65"/>
      <c r="V526" s="62"/>
      <c r="W526" s="62"/>
      <c r="X526" s="62"/>
      <c r="Y526" s="58"/>
      <c r="Z526" s="58"/>
      <c r="AA526" s="58"/>
    </row>
    <row r="527" spans="1:27" ht="15.75" customHeight="1" x14ac:dyDescent="0.2">
      <c r="A527" s="61" t="str">
        <f t="shared" si="16"/>
        <v/>
      </c>
      <c r="B527" s="62"/>
      <c r="C527" s="62"/>
      <c r="D527" s="62"/>
      <c r="E527" s="62"/>
      <c r="F527" s="63"/>
      <c r="G527" s="63"/>
      <c r="H527" s="63"/>
      <c r="I527" s="63"/>
      <c r="J527" s="63"/>
      <c r="K527" s="63"/>
      <c r="L527" s="64" t="str">
        <f>IF(OR($B527="", $H527="", $I527="", $J527="", $K527=""),"",ROUND((VLOOKUP($H527,Lists!$E$2:$F$5,2,FALSE())*VLOOKUP($I527,Lists!$H$2:$I$4,2,FALSE())*VLOOKUP($J527,Lists!$K$2:$L$4,2,FALSE()))/VLOOKUP($K527,Lists!$N$2:$O$6,2,FALSE()),2))</f>
        <v/>
      </c>
      <c r="M527" s="63"/>
      <c r="N527" s="63"/>
      <c r="O527" s="62"/>
      <c r="P527" s="63"/>
      <c r="Q527" s="65"/>
      <c r="R527" s="66" t="str">
        <f t="shared" ca="1" si="17"/>
        <v/>
      </c>
      <c r="S527" s="63"/>
      <c r="T527" s="65"/>
      <c r="U527" s="65"/>
      <c r="V527" s="62"/>
      <c r="W527" s="62"/>
      <c r="X527" s="62"/>
      <c r="Y527" s="58"/>
      <c r="Z527" s="58"/>
      <c r="AA527" s="58"/>
    </row>
    <row r="528" spans="1:27" ht="15.75" customHeight="1" x14ac:dyDescent="0.2">
      <c r="A528" s="61" t="str">
        <f t="shared" si="16"/>
        <v/>
      </c>
      <c r="B528" s="62"/>
      <c r="C528" s="62"/>
      <c r="D528" s="62"/>
      <c r="E528" s="62"/>
      <c r="F528" s="63"/>
      <c r="G528" s="63"/>
      <c r="H528" s="63"/>
      <c r="I528" s="63"/>
      <c r="J528" s="63"/>
      <c r="K528" s="63"/>
      <c r="L528" s="64" t="str">
        <f>IF(OR($B528="", $H528="", $I528="", $J528="", $K528=""),"",ROUND((VLOOKUP($H528,Lists!$E$2:$F$5,2,FALSE())*VLOOKUP($I528,Lists!$H$2:$I$4,2,FALSE())*VLOOKUP($J528,Lists!$K$2:$L$4,2,FALSE()))/VLOOKUP($K528,Lists!$N$2:$O$6,2,FALSE()),2))</f>
        <v/>
      </c>
      <c r="M528" s="63"/>
      <c r="N528" s="63"/>
      <c r="O528" s="62"/>
      <c r="P528" s="63"/>
      <c r="Q528" s="65"/>
      <c r="R528" s="66" t="str">
        <f t="shared" ca="1" si="17"/>
        <v/>
      </c>
      <c r="S528" s="63"/>
      <c r="T528" s="65"/>
      <c r="U528" s="65"/>
      <c r="V528" s="62"/>
      <c r="W528" s="62"/>
      <c r="X528" s="62"/>
      <c r="Y528" s="58"/>
      <c r="Z528" s="58"/>
      <c r="AA528" s="58"/>
    </row>
    <row r="529" spans="1:27" ht="15.75" customHeight="1" x14ac:dyDescent="0.2">
      <c r="A529" s="61" t="str">
        <f t="shared" si="16"/>
        <v/>
      </c>
      <c r="B529" s="62"/>
      <c r="C529" s="62"/>
      <c r="D529" s="62"/>
      <c r="E529" s="62"/>
      <c r="F529" s="63"/>
      <c r="G529" s="63"/>
      <c r="H529" s="63"/>
      <c r="I529" s="63"/>
      <c r="J529" s="63"/>
      <c r="K529" s="63"/>
      <c r="L529" s="64" t="str">
        <f>IF(OR($B529="", $H529="", $I529="", $J529="", $K529=""),"",ROUND((VLOOKUP($H529,Lists!$E$2:$F$5,2,FALSE())*VLOOKUP($I529,Lists!$H$2:$I$4,2,FALSE())*VLOOKUP($J529,Lists!$K$2:$L$4,2,FALSE()))/VLOOKUP($K529,Lists!$N$2:$O$6,2,FALSE()),2))</f>
        <v/>
      </c>
      <c r="M529" s="63"/>
      <c r="N529" s="63"/>
      <c r="O529" s="62"/>
      <c r="P529" s="63"/>
      <c r="Q529" s="65"/>
      <c r="R529" s="66" t="str">
        <f t="shared" ca="1" si="17"/>
        <v/>
      </c>
      <c r="S529" s="63"/>
      <c r="T529" s="65"/>
      <c r="U529" s="65"/>
      <c r="V529" s="62"/>
      <c r="W529" s="62"/>
      <c r="X529" s="62"/>
      <c r="Y529" s="58"/>
      <c r="Z529" s="58"/>
      <c r="AA529" s="58"/>
    </row>
    <row r="530" spans="1:27" ht="15.75" customHeight="1" x14ac:dyDescent="0.2">
      <c r="A530" s="61" t="str">
        <f t="shared" si="16"/>
        <v/>
      </c>
      <c r="B530" s="62"/>
      <c r="C530" s="62"/>
      <c r="D530" s="62"/>
      <c r="E530" s="62"/>
      <c r="F530" s="63"/>
      <c r="G530" s="63"/>
      <c r="H530" s="63"/>
      <c r="I530" s="63"/>
      <c r="J530" s="63"/>
      <c r="K530" s="63"/>
      <c r="L530" s="64" t="str">
        <f>IF(OR($B530="", $H530="", $I530="", $J530="", $K530=""),"",ROUND((VLOOKUP($H530,Lists!$E$2:$F$5,2,FALSE())*VLOOKUP($I530,Lists!$H$2:$I$4,2,FALSE())*VLOOKUP($J530,Lists!$K$2:$L$4,2,FALSE()))/VLOOKUP($K530,Lists!$N$2:$O$6,2,FALSE()),2))</f>
        <v/>
      </c>
      <c r="M530" s="63"/>
      <c r="N530" s="63"/>
      <c r="O530" s="62"/>
      <c r="P530" s="63"/>
      <c r="Q530" s="65"/>
      <c r="R530" s="66" t="str">
        <f t="shared" ca="1" si="17"/>
        <v/>
      </c>
      <c r="S530" s="63"/>
      <c r="T530" s="65"/>
      <c r="U530" s="65"/>
      <c r="V530" s="62"/>
      <c r="W530" s="62"/>
      <c r="X530" s="62"/>
      <c r="Y530" s="58"/>
      <c r="Z530" s="58"/>
      <c r="AA530" s="58"/>
    </row>
    <row r="531" spans="1:27" ht="15.75" customHeight="1" x14ac:dyDescent="0.2">
      <c r="A531" s="61" t="str">
        <f t="shared" si="16"/>
        <v/>
      </c>
      <c r="B531" s="62"/>
      <c r="C531" s="62"/>
      <c r="D531" s="62"/>
      <c r="E531" s="62"/>
      <c r="F531" s="63"/>
      <c r="G531" s="63"/>
      <c r="H531" s="63"/>
      <c r="I531" s="63"/>
      <c r="J531" s="63"/>
      <c r="K531" s="63"/>
      <c r="L531" s="64" t="str">
        <f>IF(OR($B531="", $H531="", $I531="", $J531="", $K531=""),"",ROUND((VLOOKUP($H531,Lists!$E$2:$F$5,2,FALSE())*VLOOKUP($I531,Lists!$H$2:$I$4,2,FALSE())*VLOOKUP($J531,Lists!$K$2:$L$4,2,FALSE()))/VLOOKUP($K531,Lists!$N$2:$O$6,2,FALSE()),2))</f>
        <v/>
      </c>
      <c r="M531" s="63"/>
      <c r="N531" s="63"/>
      <c r="O531" s="62"/>
      <c r="P531" s="63"/>
      <c r="Q531" s="65"/>
      <c r="R531" s="66" t="str">
        <f t="shared" ca="1" si="17"/>
        <v/>
      </c>
      <c r="S531" s="63"/>
      <c r="T531" s="65"/>
      <c r="U531" s="65"/>
      <c r="V531" s="62"/>
      <c r="W531" s="62"/>
      <c r="X531" s="62"/>
      <c r="Y531" s="58"/>
      <c r="Z531" s="58"/>
      <c r="AA531" s="58"/>
    </row>
    <row r="532" spans="1:27" ht="15.75" customHeight="1" x14ac:dyDescent="0.2">
      <c r="A532" s="61" t="str">
        <f t="shared" si="16"/>
        <v/>
      </c>
      <c r="B532" s="62"/>
      <c r="C532" s="62"/>
      <c r="D532" s="62"/>
      <c r="E532" s="62"/>
      <c r="F532" s="63"/>
      <c r="G532" s="63"/>
      <c r="H532" s="63"/>
      <c r="I532" s="63"/>
      <c r="J532" s="63"/>
      <c r="K532" s="63"/>
      <c r="L532" s="64" t="str">
        <f>IF(OR($B532="", $H532="", $I532="", $J532="", $K532=""),"",ROUND((VLOOKUP($H532,Lists!$E$2:$F$5,2,FALSE())*VLOOKUP($I532,Lists!$H$2:$I$4,2,FALSE())*VLOOKUP($J532,Lists!$K$2:$L$4,2,FALSE()))/VLOOKUP($K532,Lists!$N$2:$O$6,2,FALSE()),2))</f>
        <v/>
      </c>
      <c r="M532" s="63"/>
      <c r="N532" s="63"/>
      <c r="O532" s="62"/>
      <c r="P532" s="63"/>
      <c r="Q532" s="65"/>
      <c r="R532" s="66" t="str">
        <f t="shared" ca="1" si="17"/>
        <v/>
      </c>
      <c r="S532" s="63"/>
      <c r="T532" s="65"/>
      <c r="U532" s="65"/>
      <c r="V532" s="62"/>
      <c r="W532" s="62"/>
      <c r="X532" s="62"/>
      <c r="Y532" s="58"/>
      <c r="Z532" s="58"/>
      <c r="AA532" s="58"/>
    </row>
    <row r="533" spans="1:27" ht="15.75" customHeight="1" x14ac:dyDescent="0.2">
      <c r="A533" s="61" t="str">
        <f t="shared" si="16"/>
        <v/>
      </c>
      <c r="B533" s="62"/>
      <c r="C533" s="62"/>
      <c r="D533" s="62"/>
      <c r="E533" s="62"/>
      <c r="F533" s="63"/>
      <c r="G533" s="63"/>
      <c r="H533" s="63"/>
      <c r="I533" s="63"/>
      <c r="J533" s="63"/>
      <c r="K533" s="63"/>
      <c r="L533" s="64" t="str">
        <f>IF(OR($B533="", $H533="", $I533="", $J533="", $K533=""),"",ROUND((VLOOKUP($H533,Lists!$E$2:$F$5,2,FALSE())*VLOOKUP($I533,Lists!$H$2:$I$4,2,FALSE())*VLOOKUP($J533,Lists!$K$2:$L$4,2,FALSE()))/VLOOKUP($K533,Lists!$N$2:$O$6,2,FALSE()),2))</f>
        <v/>
      </c>
      <c r="M533" s="63"/>
      <c r="N533" s="63"/>
      <c r="O533" s="62"/>
      <c r="P533" s="63"/>
      <c r="Q533" s="65"/>
      <c r="R533" s="66" t="str">
        <f t="shared" ca="1" si="17"/>
        <v/>
      </c>
      <c r="S533" s="63"/>
      <c r="T533" s="65"/>
      <c r="U533" s="65"/>
      <c r="V533" s="62"/>
      <c r="W533" s="62"/>
      <c r="X533" s="62"/>
      <c r="Y533" s="58"/>
      <c r="Z533" s="58"/>
      <c r="AA533" s="58"/>
    </row>
    <row r="534" spans="1:27" ht="15.75" customHeight="1" x14ac:dyDescent="0.2">
      <c r="A534" s="61" t="str">
        <f t="shared" si="16"/>
        <v/>
      </c>
      <c r="B534" s="62"/>
      <c r="C534" s="62"/>
      <c r="D534" s="62"/>
      <c r="E534" s="62"/>
      <c r="F534" s="63"/>
      <c r="G534" s="63"/>
      <c r="H534" s="63"/>
      <c r="I534" s="63"/>
      <c r="J534" s="63"/>
      <c r="K534" s="63"/>
      <c r="L534" s="64" t="str">
        <f>IF(OR($B534="", $H534="", $I534="", $J534="", $K534=""),"",ROUND((VLOOKUP($H534,Lists!$E$2:$F$5,2,FALSE())*VLOOKUP($I534,Lists!$H$2:$I$4,2,FALSE())*VLOOKUP($J534,Lists!$K$2:$L$4,2,FALSE()))/VLOOKUP($K534,Lists!$N$2:$O$6,2,FALSE()),2))</f>
        <v/>
      </c>
      <c r="M534" s="63"/>
      <c r="N534" s="63"/>
      <c r="O534" s="62"/>
      <c r="P534" s="63"/>
      <c r="Q534" s="65"/>
      <c r="R534" s="66" t="str">
        <f t="shared" ca="1" si="17"/>
        <v/>
      </c>
      <c r="S534" s="63"/>
      <c r="T534" s="65"/>
      <c r="U534" s="65"/>
      <c r="V534" s="62"/>
      <c r="W534" s="62"/>
      <c r="X534" s="62"/>
      <c r="Y534" s="58"/>
      <c r="Z534" s="58"/>
      <c r="AA534" s="58"/>
    </row>
    <row r="535" spans="1:27" ht="15.75" customHeight="1" x14ac:dyDescent="0.2">
      <c r="A535" s="61" t="str">
        <f t="shared" si="16"/>
        <v/>
      </c>
      <c r="B535" s="62"/>
      <c r="C535" s="62"/>
      <c r="D535" s="62"/>
      <c r="E535" s="62"/>
      <c r="F535" s="63"/>
      <c r="G535" s="63"/>
      <c r="H535" s="63"/>
      <c r="I535" s="63"/>
      <c r="J535" s="63"/>
      <c r="K535" s="63"/>
      <c r="L535" s="64" t="str">
        <f>IF(OR($B535="", $H535="", $I535="", $J535="", $K535=""),"",ROUND((VLOOKUP($H535,Lists!$E$2:$F$5,2,FALSE())*VLOOKUP($I535,Lists!$H$2:$I$4,2,FALSE())*VLOOKUP($J535,Lists!$K$2:$L$4,2,FALSE()))/VLOOKUP($K535,Lists!$N$2:$O$6,2,FALSE()),2))</f>
        <v/>
      </c>
      <c r="M535" s="63"/>
      <c r="N535" s="63"/>
      <c r="O535" s="62"/>
      <c r="P535" s="63"/>
      <c r="Q535" s="65"/>
      <c r="R535" s="66" t="str">
        <f t="shared" ca="1" si="17"/>
        <v/>
      </c>
      <c r="S535" s="63"/>
      <c r="T535" s="65"/>
      <c r="U535" s="65"/>
      <c r="V535" s="62"/>
      <c r="W535" s="62"/>
      <c r="X535" s="62"/>
      <c r="Y535" s="58"/>
      <c r="Z535" s="58"/>
      <c r="AA535" s="58"/>
    </row>
    <row r="536" spans="1:27" ht="15.75" customHeight="1" x14ac:dyDescent="0.2">
      <c r="A536" s="61" t="str">
        <f t="shared" si="16"/>
        <v/>
      </c>
      <c r="B536" s="62"/>
      <c r="C536" s="62"/>
      <c r="D536" s="62"/>
      <c r="E536" s="62"/>
      <c r="F536" s="63"/>
      <c r="G536" s="63"/>
      <c r="H536" s="63"/>
      <c r="I536" s="63"/>
      <c r="J536" s="63"/>
      <c r="K536" s="63"/>
      <c r="L536" s="64" t="str">
        <f>IF(OR($B536="", $H536="", $I536="", $J536="", $K536=""),"",ROUND((VLOOKUP($H536,Lists!$E$2:$F$5,2,FALSE())*VLOOKUP($I536,Lists!$H$2:$I$4,2,FALSE())*VLOOKUP($J536,Lists!$K$2:$L$4,2,FALSE()))/VLOOKUP($K536,Lists!$N$2:$O$6,2,FALSE()),2))</f>
        <v/>
      </c>
      <c r="M536" s="63"/>
      <c r="N536" s="63"/>
      <c r="O536" s="62"/>
      <c r="P536" s="63"/>
      <c r="Q536" s="65"/>
      <c r="R536" s="66" t="str">
        <f t="shared" ca="1" si="17"/>
        <v/>
      </c>
      <c r="S536" s="63"/>
      <c r="T536" s="65"/>
      <c r="U536" s="65"/>
      <c r="V536" s="62"/>
      <c r="W536" s="62"/>
      <c r="X536" s="62"/>
      <c r="Y536" s="58"/>
      <c r="Z536" s="58"/>
      <c r="AA536" s="58"/>
    </row>
    <row r="537" spans="1:27" ht="15.75" customHeight="1" x14ac:dyDescent="0.2">
      <c r="A537" s="61" t="str">
        <f t="shared" si="16"/>
        <v/>
      </c>
      <c r="B537" s="62"/>
      <c r="C537" s="62"/>
      <c r="D537" s="62"/>
      <c r="E537" s="62"/>
      <c r="F537" s="63"/>
      <c r="G537" s="63"/>
      <c r="H537" s="63"/>
      <c r="I537" s="63"/>
      <c r="J537" s="63"/>
      <c r="K537" s="63"/>
      <c r="L537" s="64" t="str">
        <f>IF(OR($B537="", $H537="", $I537="", $J537="", $K537=""),"",ROUND((VLOOKUP($H537,Lists!$E$2:$F$5,2,FALSE())*VLOOKUP($I537,Lists!$H$2:$I$4,2,FALSE())*VLOOKUP($J537,Lists!$K$2:$L$4,2,FALSE()))/VLOOKUP($K537,Lists!$N$2:$O$6,2,FALSE()),2))</f>
        <v/>
      </c>
      <c r="M537" s="63"/>
      <c r="N537" s="63"/>
      <c r="O537" s="62"/>
      <c r="P537" s="63"/>
      <c r="Q537" s="65"/>
      <c r="R537" s="66" t="str">
        <f t="shared" ca="1" si="17"/>
        <v/>
      </c>
      <c r="S537" s="63"/>
      <c r="T537" s="65"/>
      <c r="U537" s="65"/>
      <c r="V537" s="62"/>
      <c r="W537" s="62"/>
      <c r="X537" s="62"/>
      <c r="Y537" s="58"/>
      <c r="Z537" s="58"/>
      <c r="AA537" s="58"/>
    </row>
    <row r="538" spans="1:27" ht="15.75" customHeight="1" x14ac:dyDescent="0.2">
      <c r="A538" s="61" t="str">
        <f t="shared" si="16"/>
        <v/>
      </c>
      <c r="B538" s="62"/>
      <c r="C538" s="62"/>
      <c r="D538" s="62"/>
      <c r="E538" s="62"/>
      <c r="F538" s="63"/>
      <c r="G538" s="63"/>
      <c r="H538" s="63"/>
      <c r="I538" s="63"/>
      <c r="J538" s="63"/>
      <c r="K538" s="63"/>
      <c r="L538" s="64" t="str">
        <f>IF(OR($B538="", $H538="", $I538="", $J538="", $K538=""),"",ROUND((VLOOKUP($H538,Lists!$E$2:$F$5,2,FALSE())*VLOOKUP($I538,Lists!$H$2:$I$4,2,FALSE())*VLOOKUP($J538,Lists!$K$2:$L$4,2,FALSE()))/VLOOKUP($K538,Lists!$N$2:$O$6,2,FALSE()),2))</f>
        <v/>
      </c>
      <c r="M538" s="63"/>
      <c r="N538" s="63"/>
      <c r="O538" s="62"/>
      <c r="P538" s="63"/>
      <c r="Q538" s="65"/>
      <c r="R538" s="66" t="str">
        <f t="shared" ca="1" si="17"/>
        <v/>
      </c>
      <c r="S538" s="63"/>
      <c r="T538" s="65"/>
      <c r="U538" s="65"/>
      <c r="V538" s="62"/>
      <c r="W538" s="62"/>
      <c r="X538" s="62"/>
      <c r="Y538" s="58"/>
      <c r="Z538" s="58"/>
      <c r="AA538" s="58"/>
    </row>
    <row r="539" spans="1:27" ht="15.75" customHeight="1" x14ac:dyDescent="0.2">
      <c r="A539" s="61" t="str">
        <f t="shared" si="16"/>
        <v/>
      </c>
      <c r="B539" s="62"/>
      <c r="C539" s="62"/>
      <c r="D539" s="62"/>
      <c r="E539" s="62"/>
      <c r="F539" s="63"/>
      <c r="G539" s="63"/>
      <c r="H539" s="63"/>
      <c r="I539" s="63"/>
      <c r="J539" s="63"/>
      <c r="K539" s="63"/>
      <c r="L539" s="64" t="str">
        <f>IF(OR($B539="", $H539="", $I539="", $J539="", $K539=""),"",ROUND((VLOOKUP($H539,Lists!$E$2:$F$5,2,FALSE())*VLOOKUP($I539,Lists!$H$2:$I$4,2,FALSE())*VLOOKUP($J539,Lists!$K$2:$L$4,2,FALSE()))/VLOOKUP($K539,Lists!$N$2:$O$6,2,FALSE()),2))</f>
        <v/>
      </c>
      <c r="M539" s="63"/>
      <c r="N539" s="63"/>
      <c r="O539" s="62"/>
      <c r="P539" s="63"/>
      <c r="Q539" s="65"/>
      <c r="R539" s="66" t="str">
        <f t="shared" ca="1" si="17"/>
        <v/>
      </c>
      <c r="S539" s="63"/>
      <c r="T539" s="65"/>
      <c r="U539" s="65"/>
      <c r="V539" s="62"/>
      <c r="W539" s="62"/>
      <c r="X539" s="62"/>
      <c r="Y539" s="58"/>
      <c r="Z539" s="58"/>
      <c r="AA539" s="58"/>
    </row>
    <row r="540" spans="1:27" ht="15.75" customHeight="1" x14ac:dyDescent="0.2">
      <c r="A540" s="61" t="str">
        <f t="shared" si="16"/>
        <v/>
      </c>
      <c r="B540" s="62"/>
      <c r="C540" s="62"/>
      <c r="D540" s="62"/>
      <c r="E540" s="62"/>
      <c r="F540" s="63"/>
      <c r="G540" s="63"/>
      <c r="H540" s="63"/>
      <c r="I540" s="63"/>
      <c r="J540" s="63"/>
      <c r="K540" s="63"/>
      <c r="L540" s="64" t="str">
        <f>IF(OR($B540="", $H540="", $I540="", $J540="", $K540=""),"",ROUND((VLOOKUP($H540,Lists!$E$2:$F$5,2,FALSE())*VLOOKUP($I540,Lists!$H$2:$I$4,2,FALSE())*VLOOKUP($J540,Lists!$K$2:$L$4,2,FALSE()))/VLOOKUP($K540,Lists!$N$2:$O$6,2,FALSE()),2))</f>
        <v/>
      </c>
      <c r="M540" s="63"/>
      <c r="N540" s="63"/>
      <c r="O540" s="62"/>
      <c r="P540" s="63"/>
      <c r="Q540" s="65"/>
      <c r="R540" s="66" t="str">
        <f t="shared" ca="1" si="17"/>
        <v/>
      </c>
      <c r="S540" s="63"/>
      <c r="T540" s="65"/>
      <c r="U540" s="65"/>
      <c r="V540" s="62"/>
      <c r="W540" s="62"/>
      <c r="X540" s="62"/>
      <c r="Y540" s="58"/>
      <c r="Z540" s="58"/>
      <c r="AA540" s="58"/>
    </row>
    <row r="541" spans="1:27" ht="15.75" customHeight="1" x14ac:dyDescent="0.2">
      <c r="A541" s="61" t="str">
        <f t="shared" si="16"/>
        <v/>
      </c>
      <c r="B541" s="62"/>
      <c r="C541" s="62"/>
      <c r="D541" s="62"/>
      <c r="E541" s="62"/>
      <c r="F541" s="63"/>
      <c r="G541" s="63"/>
      <c r="H541" s="63"/>
      <c r="I541" s="63"/>
      <c r="J541" s="63"/>
      <c r="K541" s="63"/>
      <c r="L541" s="64" t="str">
        <f>IF(OR($B541="", $H541="", $I541="", $J541="", $K541=""),"",ROUND((VLOOKUP($H541,Lists!$E$2:$F$5,2,FALSE())*VLOOKUP($I541,Lists!$H$2:$I$4,2,FALSE())*VLOOKUP($J541,Lists!$K$2:$L$4,2,FALSE()))/VLOOKUP($K541,Lists!$N$2:$O$6,2,FALSE()),2))</f>
        <v/>
      </c>
      <c r="M541" s="63"/>
      <c r="N541" s="63"/>
      <c r="O541" s="62"/>
      <c r="P541" s="63"/>
      <c r="Q541" s="65"/>
      <c r="R541" s="66" t="str">
        <f t="shared" ca="1" si="17"/>
        <v/>
      </c>
      <c r="S541" s="63"/>
      <c r="T541" s="65"/>
      <c r="U541" s="65"/>
      <c r="V541" s="62"/>
      <c r="W541" s="62"/>
      <c r="X541" s="62"/>
      <c r="Y541" s="58"/>
      <c r="Z541" s="58"/>
      <c r="AA541" s="58"/>
    </row>
    <row r="542" spans="1:27" ht="15.75" customHeight="1" x14ac:dyDescent="0.2">
      <c r="A542" s="61" t="str">
        <f t="shared" si="16"/>
        <v/>
      </c>
      <c r="B542" s="62"/>
      <c r="C542" s="62"/>
      <c r="D542" s="62"/>
      <c r="E542" s="62"/>
      <c r="F542" s="63"/>
      <c r="G542" s="63"/>
      <c r="H542" s="63"/>
      <c r="I542" s="63"/>
      <c r="J542" s="63"/>
      <c r="K542" s="63"/>
      <c r="L542" s="64" t="str">
        <f>IF(OR($B542="", $H542="", $I542="", $J542="", $K542=""),"",ROUND((VLOOKUP($H542,Lists!$E$2:$F$5,2,FALSE())*VLOOKUP($I542,Lists!$H$2:$I$4,2,FALSE())*VLOOKUP($J542,Lists!$K$2:$L$4,2,FALSE()))/VLOOKUP($K542,Lists!$N$2:$O$6,2,FALSE()),2))</f>
        <v/>
      </c>
      <c r="M542" s="63"/>
      <c r="N542" s="63"/>
      <c r="O542" s="62"/>
      <c r="P542" s="63"/>
      <c r="Q542" s="65"/>
      <c r="R542" s="66" t="str">
        <f t="shared" ca="1" si="17"/>
        <v/>
      </c>
      <c r="S542" s="63"/>
      <c r="T542" s="65"/>
      <c r="U542" s="65"/>
      <c r="V542" s="62"/>
      <c r="W542" s="62"/>
      <c r="X542" s="62"/>
      <c r="Y542" s="58"/>
      <c r="Z542" s="58"/>
      <c r="AA542" s="58"/>
    </row>
    <row r="543" spans="1:27" ht="15.75" customHeight="1" x14ac:dyDescent="0.2">
      <c r="A543" s="61" t="str">
        <f t="shared" si="16"/>
        <v/>
      </c>
      <c r="B543" s="62"/>
      <c r="C543" s="62"/>
      <c r="D543" s="62"/>
      <c r="E543" s="62"/>
      <c r="F543" s="63"/>
      <c r="G543" s="63"/>
      <c r="H543" s="63"/>
      <c r="I543" s="63"/>
      <c r="J543" s="63"/>
      <c r="K543" s="63"/>
      <c r="L543" s="64" t="str">
        <f>IF(OR($B543="", $H543="", $I543="", $J543="", $K543=""),"",ROUND((VLOOKUP($H543,Lists!$E$2:$F$5,2,FALSE())*VLOOKUP($I543,Lists!$H$2:$I$4,2,FALSE())*VLOOKUP($J543,Lists!$K$2:$L$4,2,FALSE()))/VLOOKUP($K543,Lists!$N$2:$O$6,2,FALSE()),2))</f>
        <v/>
      </c>
      <c r="M543" s="63"/>
      <c r="N543" s="63"/>
      <c r="O543" s="62"/>
      <c r="P543" s="63"/>
      <c r="Q543" s="65"/>
      <c r="R543" s="66" t="str">
        <f t="shared" ca="1" si="17"/>
        <v/>
      </c>
      <c r="S543" s="63"/>
      <c r="T543" s="65"/>
      <c r="U543" s="65"/>
      <c r="V543" s="62"/>
      <c r="W543" s="62"/>
      <c r="X543" s="62"/>
      <c r="Y543" s="58"/>
      <c r="Z543" s="58"/>
      <c r="AA543" s="58"/>
    </row>
    <row r="544" spans="1:27" ht="15.75" customHeight="1" x14ac:dyDescent="0.2">
      <c r="A544" s="61" t="str">
        <f t="shared" si="16"/>
        <v/>
      </c>
      <c r="B544" s="62"/>
      <c r="C544" s="62"/>
      <c r="D544" s="62"/>
      <c r="E544" s="62"/>
      <c r="F544" s="63"/>
      <c r="G544" s="63"/>
      <c r="H544" s="63"/>
      <c r="I544" s="63"/>
      <c r="J544" s="63"/>
      <c r="K544" s="63"/>
      <c r="L544" s="64" t="str">
        <f>IF(OR($B544="", $H544="", $I544="", $J544="", $K544=""),"",ROUND((VLOOKUP($H544,Lists!$E$2:$F$5,2,FALSE())*VLOOKUP($I544,Lists!$H$2:$I$4,2,FALSE())*VLOOKUP($J544,Lists!$K$2:$L$4,2,FALSE()))/VLOOKUP($K544,Lists!$N$2:$O$6,2,FALSE()),2))</f>
        <v/>
      </c>
      <c r="M544" s="63"/>
      <c r="N544" s="63"/>
      <c r="O544" s="62"/>
      <c r="P544" s="63"/>
      <c r="Q544" s="65"/>
      <c r="R544" s="66" t="str">
        <f t="shared" ca="1" si="17"/>
        <v/>
      </c>
      <c r="S544" s="63"/>
      <c r="T544" s="65"/>
      <c r="U544" s="65"/>
      <c r="V544" s="62"/>
      <c r="W544" s="62"/>
      <c r="X544" s="62"/>
      <c r="Y544" s="58"/>
      <c r="Z544" s="58"/>
      <c r="AA544" s="58"/>
    </row>
    <row r="545" spans="1:27" ht="15.75" customHeight="1" x14ac:dyDescent="0.2">
      <c r="A545" s="61" t="str">
        <f t="shared" si="16"/>
        <v/>
      </c>
      <c r="B545" s="62"/>
      <c r="C545" s="62"/>
      <c r="D545" s="62"/>
      <c r="E545" s="62"/>
      <c r="F545" s="63"/>
      <c r="G545" s="63"/>
      <c r="H545" s="63"/>
      <c r="I545" s="63"/>
      <c r="J545" s="63"/>
      <c r="K545" s="63"/>
      <c r="L545" s="64" t="str">
        <f>IF(OR($B545="", $H545="", $I545="", $J545="", $K545=""),"",ROUND((VLOOKUP($H545,Lists!$E$2:$F$5,2,FALSE())*VLOOKUP($I545,Lists!$H$2:$I$4,2,FALSE())*VLOOKUP($J545,Lists!$K$2:$L$4,2,FALSE()))/VLOOKUP($K545,Lists!$N$2:$O$6,2,FALSE()),2))</f>
        <v/>
      </c>
      <c r="M545" s="63"/>
      <c r="N545" s="63"/>
      <c r="O545" s="62"/>
      <c r="P545" s="63"/>
      <c r="Q545" s="65"/>
      <c r="R545" s="66" t="str">
        <f t="shared" ca="1" si="17"/>
        <v/>
      </c>
      <c r="S545" s="63"/>
      <c r="T545" s="65"/>
      <c r="U545" s="65"/>
      <c r="V545" s="62"/>
      <c r="W545" s="62"/>
      <c r="X545" s="62"/>
      <c r="Y545" s="58"/>
      <c r="Z545" s="58"/>
      <c r="AA545" s="58"/>
    </row>
    <row r="546" spans="1:27" ht="15.75" customHeight="1" x14ac:dyDescent="0.2">
      <c r="A546" s="61" t="str">
        <f t="shared" si="16"/>
        <v/>
      </c>
      <c r="B546" s="62"/>
      <c r="C546" s="62"/>
      <c r="D546" s="62"/>
      <c r="E546" s="62"/>
      <c r="F546" s="63"/>
      <c r="G546" s="63"/>
      <c r="H546" s="63"/>
      <c r="I546" s="63"/>
      <c r="J546" s="63"/>
      <c r="K546" s="63"/>
      <c r="L546" s="64" t="str">
        <f>IF(OR($B546="", $H546="", $I546="", $J546="", $K546=""),"",ROUND((VLOOKUP($H546,Lists!$E$2:$F$5,2,FALSE())*VLOOKUP($I546,Lists!$H$2:$I$4,2,FALSE())*VLOOKUP($J546,Lists!$K$2:$L$4,2,FALSE()))/VLOOKUP($K546,Lists!$N$2:$O$6,2,FALSE()),2))</f>
        <v/>
      </c>
      <c r="M546" s="63"/>
      <c r="N546" s="63"/>
      <c r="O546" s="62"/>
      <c r="P546" s="63"/>
      <c r="Q546" s="65"/>
      <c r="R546" s="66" t="str">
        <f t="shared" ca="1" si="17"/>
        <v/>
      </c>
      <c r="S546" s="63"/>
      <c r="T546" s="65"/>
      <c r="U546" s="65"/>
      <c r="V546" s="62"/>
      <c r="W546" s="62"/>
      <c r="X546" s="62"/>
      <c r="Y546" s="58"/>
      <c r="Z546" s="58"/>
      <c r="AA546" s="58"/>
    </row>
    <row r="547" spans="1:27" ht="15.75" customHeight="1" x14ac:dyDescent="0.2">
      <c r="A547" s="61" t="str">
        <f t="shared" si="16"/>
        <v/>
      </c>
      <c r="B547" s="62"/>
      <c r="C547" s="62"/>
      <c r="D547" s="62"/>
      <c r="E547" s="62"/>
      <c r="F547" s="63"/>
      <c r="G547" s="63"/>
      <c r="H547" s="63"/>
      <c r="I547" s="63"/>
      <c r="J547" s="63"/>
      <c r="K547" s="63"/>
      <c r="L547" s="64" t="str">
        <f>IF(OR($B547="", $H547="", $I547="", $J547="", $K547=""),"",ROUND((VLOOKUP($H547,Lists!$E$2:$F$5,2,FALSE())*VLOOKUP($I547,Lists!$H$2:$I$4,2,FALSE())*VLOOKUP($J547,Lists!$K$2:$L$4,2,FALSE()))/VLOOKUP($K547,Lists!$N$2:$O$6,2,FALSE()),2))</f>
        <v/>
      </c>
      <c r="M547" s="63"/>
      <c r="N547" s="63"/>
      <c r="O547" s="62"/>
      <c r="P547" s="63"/>
      <c r="Q547" s="65"/>
      <c r="R547" s="66" t="str">
        <f t="shared" ca="1" si="17"/>
        <v/>
      </c>
      <c r="S547" s="63"/>
      <c r="T547" s="65"/>
      <c r="U547" s="65"/>
      <c r="V547" s="62"/>
      <c r="W547" s="62"/>
      <c r="X547" s="62"/>
      <c r="Y547" s="58"/>
      <c r="Z547" s="58"/>
      <c r="AA547" s="58"/>
    </row>
    <row r="548" spans="1:27" ht="15.75" customHeight="1" x14ac:dyDescent="0.2">
      <c r="A548" s="61" t="str">
        <f t="shared" si="16"/>
        <v/>
      </c>
      <c r="B548" s="62"/>
      <c r="C548" s="62"/>
      <c r="D548" s="62"/>
      <c r="E548" s="62"/>
      <c r="F548" s="63"/>
      <c r="G548" s="63"/>
      <c r="H548" s="63"/>
      <c r="I548" s="63"/>
      <c r="J548" s="63"/>
      <c r="K548" s="63"/>
      <c r="L548" s="64" t="str">
        <f>IF(OR($B548="", $H548="", $I548="", $J548="", $K548=""),"",ROUND((VLOOKUP($H548,Lists!$E$2:$F$5,2,FALSE())*VLOOKUP($I548,Lists!$H$2:$I$4,2,FALSE())*VLOOKUP($J548,Lists!$K$2:$L$4,2,FALSE()))/VLOOKUP($K548,Lists!$N$2:$O$6,2,FALSE()),2))</f>
        <v/>
      </c>
      <c r="M548" s="63"/>
      <c r="N548" s="63"/>
      <c r="O548" s="62"/>
      <c r="P548" s="63"/>
      <c r="Q548" s="65"/>
      <c r="R548" s="66" t="str">
        <f t="shared" ca="1" si="17"/>
        <v/>
      </c>
      <c r="S548" s="63"/>
      <c r="T548" s="65"/>
      <c r="U548" s="65"/>
      <c r="V548" s="62"/>
      <c r="W548" s="62"/>
      <c r="X548" s="62"/>
      <c r="Y548" s="58"/>
      <c r="Z548" s="58"/>
      <c r="AA548" s="58"/>
    </row>
    <row r="549" spans="1:27" ht="15.75" customHeight="1" x14ac:dyDescent="0.2">
      <c r="A549" s="61" t="str">
        <f t="shared" si="16"/>
        <v/>
      </c>
      <c r="B549" s="62"/>
      <c r="C549" s="62"/>
      <c r="D549" s="62"/>
      <c r="E549" s="62"/>
      <c r="F549" s="63"/>
      <c r="G549" s="63"/>
      <c r="H549" s="63"/>
      <c r="I549" s="63"/>
      <c r="J549" s="63"/>
      <c r="K549" s="63"/>
      <c r="L549" s="64" t="str">
        <f>IF(OR($B549="", $H549="", $I549="", $J549="", $K549=""),"",ROUND((VLOOKUP($H549,Lists!$E$2:$F$5,2,FALSE())*VLOOKUP($I549,Lists!$H$2:$I$4,2,FALSE())*VLOOKUP($J549,Lists!$K$2:$L$4,2,FALSE()))/VLOOKUP($K549,Lists!$N$2:$O$6,2,FALSE()),2))</f>
        <v/>
      </c>
      <c r="M549" s="63"/>
      <c r="N549" s="63"/>
      <c r="O549" s="62"/>
      <c r="P549" s="63"/>
      <c r="Q549" s="65"/>
      <c r="R549" s="66" t="str">
        <f t="shared" ca="1" si="17"/>
        <v/>
      </c>
      <c r="S549" s="63"/>
      <c r="T549" s="65"/>
      <c r="U549" s="65"/>
      <c r="V549" s="62"/>
      <c r="W549" s="62"/>
      <c r="X549" s="62"/>
      <c r="Y549" s="58"/>
      <c r="Z549" s="58"/>
      <c r="AA549" s="58"/>
    </row>
    <row r="550" spans="1:27" ht="15.75" customHeight="1" x14ac:dyDescent="0.2">
      <c r="A550" s="61" t="str">
        <f t="shared" si="16"/>
        <v/>
      </c>
      <c r="B550" s="62"/>
      <c r="C550" s="62"/>
      <c r="D550" s="62"/>
      <c r="E550" s="62"/>
      <c r="F550" s="63"/>
      <c r="G550" s="63"/>
      <c r="H550" s="63"/>
      <c r="I550" s="63"/>
      <c r="J550" s="63"/>
      <c r="K550" s="63"/>
      <c r="L550" s="64" t="str">
        <f>IF(OR($B550="", $H550="", $I550="", $J550="", $K550=""),"",ROUND((VLOOKUP($H550,Lists!$E$2:$F$5,2,FALSE())*VLOOKUP($I550,Lists!$H$2:$I$4,2,FALSE())*VLOOKUP($J550,Lists!$K$2:$L$4,2,FALSE()))/VLOOKUP($K550,Lists!$N$2:$O$6,2,FALSE()),2))</f>
        <v/>
      </c>
      <c r="M550" s="63"/>
      <c r="N550" s="63"/>
      <c r="O550" s="62"/>
      <c r="P550" s="63"/>
      <c r="Q550" s="65"/>
      <c r="R550" s="66" t="str">
        <f t="shared" ca="1" si="17"/>
        <v/>
      </c>
      <c r="S550" s="63"/>
      <c r="T550" s="65"/>
      <c r="U550" s="65"/>
      <c r="V550" s="62"/>
      <c r="W550" s="62"/>
      <c r="X550" s="62"/>
      <c r="Y550" s="58"/>
      <c r="Z550" s="58"/>
      <c r="AA550" s="58"/>
    </row>
    <row r="551" spans="1:27" ht="15.75" customHeight="1" x14ac:dyDescent="0.2">
      <c r="A551" s="61" t="str">
        <f t="shared" si="16"/>
        <v/>
      </c>
      <c r="B551" s="62"/>
      <c r="C551" s="62"/>
      <c r="D551" s="62"/>
      <c r="E551" s="62"/>
      <c r="F551" s="63"/>
      <c r="G551" s="63"/>
      <c r="H551" s="63"/>
      <c r="I551" s="63"/>
      <c r="J551" s="63"/>
      <c r="K551" s="63"/>
      <c r="L551" s="64" t="str">
        <f>IF(OR($B551="", $H551="", $I551="", $J551="", $K551=""),"",ROUND((VLOOKUP($H551,Lists!$E$2:$F$5,2,FALSE())*VLOOKUP($I551,Lists!$H$2:$I$4,2,FALSE())*VLOOKUP($J551,Lists!$K$2:$L$4,2,FALSE()))/VLOOKUP($K551,Lists!$N$2:$O$6,2,FALSE()),2))</f>
        <v/>
      </c>
      <c r="M551" s="63"/>
      <c r="N551" s="63"/>
      <c r="O551" s="62"/>
      <c r="P551" s="63"/>
      <c r="Q551" s="65"/>
      <c r="R551" s="66" t="str">
        <f t="shared" ca="1" si="17"/>
        <v/>
      </c>
      <c r="S551" s="63"/>
      <c r="T551" s="65"/>
      <c r="U551" s="65"/>
      <c r="V551" s="62"/>
      <c r="W551" s="62"/>
      <c r="X551" s="62"/>
      <c r="Y551" s="58"/>
      <c r="Z551" s="58"/>
      <c r="AA551" s="58"/>
    </row>
    <row r="552" spans="1:27" ht="15.75" customHeight="1" x14ac:dyDescent="0.2">
      <c r="A552" s="61" t="str">
        <f t="shared" si="16"/>
        <v/>
      </c>
      <c r="B552" s="62"/>
      <c r="C552" s="62"/>
      <c r="D552" s="62"/>
      <c r="E552" s="62"/>
      <c r="F552" s="63"/>
      <c r="G552" s="63"/>
      <c r="H552" s="63"/>
      <c r="I552" s="63"/>
      <c r="J552" s="63"/>
      <c r="K552" s="63"/>
      <c r="L552" s="64" t="str">
        <f>IF(OR($B552="", $H552="", $I552="", $J552="", $K552=""),"",ROUND((VLOOKUP($H552,Lists!$E$2:$F$5,2,FALSE())*VLOOKUP($I552,Lists!$H$2:$I$4,2,FALSE())*VLOOKUP($J552,Lists!$K$2:$L$4,2,FALSE()))/VLOOKUP($K552,Lists!$N$2:$O$6,2,FALSE()),2))</f>
        <v/>
      </c>
      <c r="M552" s="63"/>
      <c r="N552" s="63"/>
      <c r="O552" s="62"/>
      <c r="P552" s="63"/>
      <c r="Q552" s="65"/>
      <c r="R552" s="66" t="str">
        <f t="shared" ca="1" si="17"/>
        <v/>
      </c>
      <c r="S552" s="63"/>
      <c r="T552" s="65"/>
      <c r="U552" s="65"/>
      <c r="V552" s="62"/>
      <c r="W552" s="62"/>
      <c r="X552" s="62"/>
      <c r="Y552" s="58"/>
      <c r="Z552" s="58"/>
      <c r="AA552" s="58"/>
    </row>
    <row r="553" spans="1:27" ht="15.75" customHeight="1" x14ac:dyDescent="0.2">
      <c r="A553" s="61" t="str">
        <f t="shared" si="16"/>
        <v/>
      </c>
      <c r="B553" s="62"/>
      <c r="C553" s="62"/>
      <c r="D553" s="62"/>
      <c r="E553" s="62"/>
      <c r="F553" s="63"/>
      <c r="G553" s="63"/>
      <c r="H553" s="63"/>
      <c r="I553" s="63"/>
      <c r="J553" s="63"/>
      <c r="K553" s="63"/>
      <c r="L553" s="64" t="str">
        <f>IF(OR($B553="", $H553="", $I553="", $J553="", $K553=""),"",ROUND((VLOOKUP($H553,Lists!$E$2:$F$5,2,FALSE())*VLOOKUP($I553,Lists!$H$2:$I$4,2,FALSE())*VLOOKUP($J553,Lists!$K$2:$L$4,2,FALSE()))/VLOOKUP($K553,Lists!$N$2:$O$6,2,FALSE()),2))</f>
        <v/>
      </c>
      <c r="M553" s="63"/>
      <c r="N553" s="63"/>
      <c r="O553" s="62"/>
      <c r="P553" s="63"/>
      <c r="Q553" s="65"/>
      <c r="R553" s="66" t="str">
        <f t="shared" ca="1" si="17"/>
        <v/>
      </c>
      <c r="S553" s="63"/>
      <c r="T553" s="65"/>
      <c r="U553" s="65"/>
      <c r="V553" s="62"/>
      <c r="W553" s="62"/>
      <c r="X553" s="62"/>
      <c r="Y553" s="58"/>
      <c r="Z553" s="58"/>
      <c r="AA553" s="58"/>
    </row>
    <row r="554" spans="1:27" ht="15.75" customHeight="1" x14ac:dyDescent="0.2">
      <c r="A554" s="61" t="str">
        <f t="shared" si="16"/>
        <v/>
      </c>
      <c r="B554" s="62"/>
      <c r="C554" s="62"/>
      <c r="D554" s="62"/>
      <c r="E554" s="62"/>
      <c r="F554" s="63"/>
      <c r="G554" s="63"/>
      <c r="H554" s="63"/>
      <c r="I554" s="63"/>
      <c r="J554" s="63"/>
      <c r="K554" s="63"/>
      <c r="L554" s="64" t="str">
        <f>IF(OR($B554="", $H554="", $I554="", $J554="", $K554=""),"",ROUND((VLOOKUP($H554,Lists!$E$2:$F$5,2,FALSE())*VLOOKUP($I554,Lists!$H$2:$I$4,2,FALSE())*VLOOKUP($J554,Lists!$K$2:$L$4,2,FALSE()))/VLOOKUP($K554,Lists!$N$2:$O$6,2,FALSE()),2))</f>
        <v/>
      </c>
      <c r="M554" s="63"/>
      <c r="N554" s="63"/>
      <c r="O554" s="62"/>
      <c r="P554" s="63"/>
      <c r="Q554" s="65"/>
      <c r="R554" s="66" t="str">
        <f t="shared" ca="1" si="17"/>
        <v/>
      </c>
      <c r="S554" s="63"/>
      <c r="T554" s="65"/>
      <c r="U554" s="65"/>
      <c r="V554" s="62"/>
      <c r="W554" s="62"/>
      <c r="X554" s="62"/>
      <c r="Y554" s="58"/>
      <c r="Z554" s="58"/>
      <c r="AA554" s="58"/>
    </row>
    <row r="555" spans="1:27" ht="15.75" customHeight="1" x14ac:dyDescent="0.2">
      <c r="A555" s="61" t="str">
        <f t="shared" si="16"/>
        <v/>
      </c>
      <c r="B555" s="62"/>
      <c r="C555" s="62"/>
      <c r="D555" s="62"/>
      <c r="E555" s="62"/>
      <c r="F555" s="63"/>
      <c r="G555" s="63"/>
      <c r="H555" s="63"/>
      <c r="I555" s="63"/>
      <c r="J555" s="63"/>
      <c r="K555" s="63"/>
      <c r="L555" s="64" t="str">
        <f>IF(OR($B555="", $H555="", $I555="", $J555="", $K555=""),"",ROUND((VLOOKUP($H555,Lists!$E$2:$F$5,2,FALSE())*VLOOKUP($I555,Lists!$H$2:$I$4,2,FALSE())*VLOOKUP($J555,Lists!$K$2:$L$4,2,FALSE()))/VLOOKUP($K555,Lists!$N$2:$O$6,2,FALSE()),2))</f>
        <v/>
      </c>
      <c r="M555" s="63"/>
      <c r="N555" s="63"/>
      <c r="O555" s="62"/>
      <c r="P555" s="63"/>
      <c r="Q555" s="65"/>
      <c r="R555" s="66" t="str">
        <f t="shared" ca="1" si="17"/>
        <v/>
      </c>
      <c r="S555" s="63"/>
      <c r="T555" s="65"/>
      <c r="U555" s="65"/>
      <c r="V555" s="62"/>
      <c r="W555" s="62"/>
      <c r="X555" s="62"/>
      <c r="Y555" s="58"/>
      <c r="Z555" s="58"/>
      <c r="AA555" s="58"/>
    </row>
    <row r="556" spans="1:27" ht="15.75" customHeight="1" x14ac:dyDescent="0.2">
      <c r="A556" s="61" t="str">
        <f t="shared" si="16"/>
        <v/>
      </c>
      <c r="B556" s="62"/>
      <c r="C556" s="62"/>
      <c r="D556" s="62"/>
      <c r="E556" s="62"/>
      <c r="F556" s="63"/>
      <c r="G556" s="63"/>
      <c r="H556" s="63"/>
      <c r="I556" s="63"/>
      <c r="J556" s="63"/>
      <c r="K556" s="63"/>
      <c r="L556" s="64" t="str">
        <f>IF(OR($B556="", $H556="", $I556="", $J556="", $K556=""),"",ROUND((VLOOKUP($H556,Lists!$E$2:$F$5,2,FALSE())*VLOOKUP($I556,Lists!$H$2:$I$4,2,FALSE())*VLOOKUP($J556,Lists!$K$2:$L$4,2,FALSE()))/VLOOKUP($K556,Lists!$N$2:$O$6,2,FALSE()),2))</f>
        <v/>
      </c>
      <c r="M556" s="63"/>
      <c r="N556" s="63"/>
      <c r="O556" s="62"/>
      <c r="P556" s="63"/>
      <c r="Q556" s="65"/>
      <c r="R556" s="66" t="str">
        <f t="shared" ca="1" si="17"/>
        <v/>
      </c>
      <c r="S556" s="63"/>
      <c r="T556" s="65"/>
      <c r="U556" s="65"/>
      <c r="V556" s="62"/>
      <c r="W556" s="62"/>
      <c r="X556" s="62"/>
      <c r="Y556" s="58"/>
      <c r="Z556" s="58"/>
      <c r="AA556" s="58"/>
    </row>
    <row r="557" spans="1:27" ht="15.75" customHeight="1" x14ac:dyDescent="0.2">
      <c r="A557" s="61" t="str">
        <f t="shared" si="16"/>
        <v/>
      </c>
      <c r="B557" s="62"/>
      <c r="C557" s="62"/>
      <c r="D557" s="62"/>
      <c r="E557" s="62"/>
      <c r="F557" s="63"/>
      <c r="G557" s="63"/>
      <c r="H557" s="63"/>
      <c r="I557" s="63"/>
      <c r="J557" s="63"/>
      <c r="K557" s="63"/>
      <c r="L557" s="64" t="str">
        <f>IF(OR($B557="", $H557="", $I557="", $J557="", $K557=""),"",ROUND((VLOOKUP($H557,Lists!$E$2:$F$5,2,FALSE())*VLOOKUP($I557,Lists!$H$2:$I$4,2,FALSE())*VLOOKUP($J557,Lists!$K$2:$L$4,2,FALSE()))/VLOOKUP($K557,Lists!$N$2:$O$6,2,FALSE()),2))</f>
        <v/>
      </c>
      <c r="M557" s="63"/>
      <c r="N557" s="63"/>
      <c r="O557" s="62"/>
      <c r="P557" s="63"/>
      <c r="Q557" s="65"/>
      <c r="R557" s="66" t="str">
        <f t="shared" ca="1" si="17"/>
        <v/>
      </c>
      <c r="S557" s="63"/>
      <c r="T557" s="65"/>
      <c r="U557" s="65"/>
      <c r="V557" s="62"/>
      <c r="W557" s="62"/>
      <c r="X557" s="62"/>
      <c r="Y557" s="58"/>
      <c r="Z557" s="58"/>
      <c r="AA557" s="58"/>
    </row>
    <row r="558" spans="1:27" ht="15.75" customHeight="1" x14ac:dyDescent="0.2">
      <c r="A558" s="61" t="str">
        <f t="shared" si="16"/>
        <v/>
      </c>
      <c r="B558" s="62"/>
      <c r="C558" s="62"/>
      <c r="D558" s="62"/>
      <c r="E558" s="62"/>
      <c r="F558" s="63"/>
      <c r="G558" s="63"/>
      <c r="H558" s="63"/>
      <c r="I558" s="63"/>
      <c r="J558" s="63"/>
      <c r="K558" s="63"/>
      <c r="L558" s="64" t="str">
        <f>IF(OR($B558="", $H558="", $I558="", $J558="", $K558=""),"",ROUND((VLOOKUP($H558,Lists!$E$2:$F$5,2,FALSE())*VLOOKUP($I558,Lists!$H$2:$I$4,2,FALSE())*VLOOKUP($J558,Lists!$K$2:$L$4,2,FALSE()))/VLOOKUP($K558,Lists!$N$2:$O$6,2,FALSE()),2))</f>
        <v/>
      </c>
      <c r="M558" s="63"/>
      <c r="N558" s="63"/>
      <c r="O558" s="62"/>
      <c r="P558" s="63"/>
      <c r="Q558" s="65"/>
      <c r="R558" s="66" t="str">
        <f t="shared" ca="1" si="17"/>
        <v/>
      </c>
      <c r="S558" s="63"/>
      <c r="T558" s="65"/>
      <c r="U558" s="65"/>
      <c r="V558" s="62"/>
      <c r="W558" s="62"/>
      <c r="X558" s="62"/>
      <c r="Y558" s="58"/>
      <c r="Z558" s="58"/>
      <c r="AA558" s="58"/>
    </row>
    <row r="559" spans="1:27" ht="15.75" customHeight="1" x14ac:dyDescent="0.2">
      <c r="A559" s="61" t="str">
        <f t="shared" si="16"/>
        <v/>
      </c>
      <c r="B559" s="62"/>
      <c r="C559" s="62"/>
      <c r="D559" s="62"/>
      <c r="E559" s="62"/>
      <c r="F559" s="63"/>
      <c r="G559" s="63"/>
      <c r="H559" s="63"/>
      <c r="I559" s="63"/>
      <c r="J559" s="63"/>
      <c r="K559" s="63"/>
      <c r="L559" s="64" t="str">
        <f>IF(OR($B559="", $H559="", $I559="", $J559="", $K559=""),"",ROUND((VLOOKUP($H559,Lists!$E$2:$F$5,2,FALSE())*VLOOKUP($I559,Lists!$H$2:$I$4,2,FALSE())*VLOOKUP($J559,Lists!$K$2:$L$4,2,FALSE()))/VLOOKUP($K559,Lists!$N$2:$O$6,2,FALSE()),2))</f>
        <v/>
      </c>
      <c r="M559" s="63"/>
      <c r="N559" s="63"/>
      <c r="O559" s="62"/>
      <c r="P559" s="63"/>
      <c r="Q559" s="65"/>
      <c r="R559" s="66" t="str">
        <f t="shared" ca="1" si="17"/>
        <v/>
      </c>
      <c r="S559" s="63"/>
      <c r="T559" s="65"/>
      <c r="U559" s="65"/>
      <c r="V559" s="62"/>
      <c r="W559" s="62"/>
      <c r="X559" s="62"/>
      <c r="Y559" s="58"/>
      <c r="Z559" s="58"/>
      <c r="AA559" s="58"/>
    </row>
    <row r="560" spans="1:27" ht="15.75" customHeight="1" x14ac:dyDescent="0.2">
      <c r="A560" s="61" t="str">
        <f t="shared" si="16"/>
        <v/>
      </c>
      <c r="B560" s="62"/>
      <c r="C560" s="62"/>
      <c r="D560" s="62"/>
      <c r="E560" s="62"/>
      <c r="F560" s="63"/>
      <c r="G560" s="63"/>
      <c r="H560" s="63"/>
      <c r="I560" s="63"/>
      <c r="J560" s="63"/>
      <c r="K560" s="63"/>
      <c r="L560" s="64" t="str">
        <f>IF(OR($B560="", $H560="", $I560="", $J560="", $K560=""),"",ROUND((VLOOKUP($H560,Lists!$E$2:$F$5,2,FALSE())*VLOOKUP($I560,Lists!$H$2:$I$4,2,FALSE())*VLOOKUP($J560,Lists!$K$2:$L$4,2,FALSE()))/VLOOKUP($K560,Lists!$N$2:$O$6,2,FALSE()),2))</f>
        <v/>
      </c>
      <c r="M560" s="63"/>
      <c r="N560" s="63"/>
      <c r="O560" s="62"/>
      <c r="P560" s="63"/>
      <c r="Q560" s="65"/>
      <c r="R560" s="66" t="str">
        <f t="shared" ca="1" si="17"/>
        <v/>
      </c>
      <c r="S560" s="63"/>
      <c r="T560" s="65"/>
      <c r="U560" s="65"/>
      <c r="V560" s="62"/>
      <c r="W560" s="62"/>
      <c r="X560" s="62"/>
      <c r="Y560" s="58"/>
      <c r="Z560" s="58"/>
      <c r="AA560" s="58"/>
    </row>
    <row r="561" spans="1:27" ht="15.75" customHeight="1" x14ac:dyDescent="0.2">
      <c r="A561" s="61" t="str">
        <f t="shared" si="16"/>
        <v/>
      </c>
      <c r="B561" s="62"/>
      <c r="C561" s="62"/>
      <c r="D561" s="62"/>
      <c r="E561" s="62"/>
      <c r="F561" s="63"/>
      <c r="G561" s="63"/>
      <c r="H561" s="63"/>
      <c r="I561" s="63"/>
      <c r="J561" s="63"/>
      <c r="K561" s="63"/>
      <c r="L561" s="64" t="str">
        <f>IF(OR($B561="", $H561="", $I561="", $J561="", $K561=""),"",ROUND((VLOOKUP($H561,Lists!$E$2:$F$5,2,FALSE())*VLOOKUP($I561,Lists!$H$2:$I$4,2,FALSE())*VLOOKUP($J561,Lists!$K$2:$L$4,2,FALSE()))/VLOOKUP($K561,Lists!$N$2:$O$6,2,FALSE()),2))</f>
        <v/>
      </c>
      <c r="M561" s="63"/>
      <c r="N561" s="63"/>
      <c r="O561" s="62"/>
      <c r="P561" s="63"/>
      <c r="Q561" s="65"/>
      <c r="R561" s="66" t="str">
        <f t="shared" ca="1" si="17"/>
        <v/>
      </c>
      <c r="S561" s="63"/>
      <c r="T561" s="65"/>
      <c r="U561" s="65"/>
      <c r="V561" s="62"/>
      <c r="W561" s="62"/>
      <c r="X561" s="62"/>
      <c r="Y561" s="58"/>
      <c r="Z561" s="58"/>
      <c r="AA561" s="58"/>
    </row>
    <row r="562" spans="1:27" ht="15.75" customHeight="1" x14ac:dyDescent="0.2">
      <c r="A562" s="61" t="str">
        <f t="shared" si="16"/>
        <v/>
      </c>
      <c r="B562" s="62"/>
      <c r="C562" s="62"/>
      <c r="D562" s="62"/>
      <c r="E562" s="62"/>
      <c r="F562" s="63"/>
      <c r="G562" s="63"/>
      <c r="H562" s="63"/>
      <c r="I562" s="63"/>
      <c r="J562" s="63"/>
      <c r="K562" s="63"/>
      <c r="L562" s="64" t="str">
        <f>IF(OR($B562="", $H562="", $I562="", $J562="", $K562=""),"",ROUND((VLOOKUP($H562,Lists!$E$2:$F$5,2,FALSE())*VLOOKUP($I562,Lists!$H$2:$I$4,2,FALSE())*VLOOKUP($J562,Lists!$K$2:$L$4,2,FALSE()))/VLOOKUP($K562,Lists!$N$2:$O$6,2,FALSE()),2))</f>
        <v/>
      </c>
      <c r="M562" s="63"/>
      <c r="N562" s="63"/>
      <c r="O562" s="62"/>
      <c r="P562" s="63"/>
      <c r="Q562" s="65"/>
      <c r="R562" s="66" t="str">
        <f t="shared" ca="1" si="17"/>
        <v/>
      </c>
      <c r="S562" s="63"/>
      <c r="T562" s="65"/>
      <c r="U562" s="65"/>
      <c r="V562" s="62"/>
      <c r="W562" s="62"/>
      <c r="X562" s="62"/>
      <c r="Y562" s="58"/>
      <c r="Z562" s="58"/>
      <c r="AA562" s="58"/>
    </row>
    <row r="563" spans="1:27" ht="15.75" customHeight="1" x14ac:dyDescent="0.2">
      <c r="A563" s="61" t="str">
        <f t="shared" si="16"/>
        <v/>
      </c>
      <c r="B563" s="62"/>
      <c r="C563" s="62"/>
      <c r="D563" s="62"/>
      <c r="E563" s="62"/>
      <c r="F563" s="63"/>
      <c r="G563" s="63"/>
      <c r="H563" s="63"/>
      <c r="I563" s="63"/>
      <c r="J563" s="63"/>
      <c r="K563" s="63"/>
      <c r="L563" s="64" t="str">
        <f>IF(OR($B563="", $H563="", $I563="", $J563="", $K563=""),"",ROUND((VLOOKUP($H563,Lists!$E$2:$F$5,2,FALSE())*VLOOKUP($I563,Lists!$H$2:$I$4,2,FALSE())*VLOOKUP($J563,Lists!$K$2:$L$4,2,FALSE()))/VLOOKUP($K563,Lists!$N$2:$O$6,2,FALSE()),2))</f>
        <v/>
      </c>
      <c r="M563" s="63"/>
      <c r="N563" s="63"/>
      <c r="O563" s="62"/>
      <c r="P563" s="63"/>
      <c r="Q563" s="65"/>
      <c r="R563" s="66" t="str">
        <f t="shared" ca="1" si="17"/>
        <v/>
      </c>
      <c r="S563" s="63"/>
      <c r="T563" s="65"/>
      <c r="U563" s="65"/>
      <c r="V563" s="62"/>
      <c r="W563" s="62"/>
      <c r="X563" s="62"/>
      <c r="Y563" s="58"/>
      <c r="Z563" s="58"/>
      <c r="AA563" s="58"/>
    </row>
    <row r="564" spans="1:27" ht="15.75" customHeight="1" x14ac:dyDescent="0.2">
      <c r="A564" s="61" t="str">
        <f t="shared" si="16"/>
        <v/>
      </c>
      <c r="B564" s="62"/>
      <c r="C564" s="62"/>
      <c r="D564" s="62"/>
      <c r="E564" s="62"/>
      <c r="F564" s="63"/>
      <c r="G564" s="63"/>
      <c r="H564" s="63"/>
      <c r="I564" s="63"/>
      <c r="J564" s="63"/>
      <c r="K564" s="63"/>
      <c r="L564" s="64" t="str">
        <f>IF(OR($B564="", $H564="", $I564="", $J564="", $K564=""),"",ROUND((VLOOKUP($H564,Lists!$E$2:$F$5,2,FALSE())*VLOOKUP($I564,Lists!$H$2:$I$4,2,FALSE())*VLOOKUP($J564,Lists!$K$2:$L$4,2,FALSE()))/VLOOKUP($K564,Lists!$N$2:$O$6,2,FALSE()),2))</f>
        <v/>
      </c>
      <c r="M564" s="63"/>
      <c r="N564" s="63"/>
      <c r="O564" s="62"/>
      <c r="P564" s="63"/>
      <c r="Q564" s="65"/>
      <c r="R564" s="66" t="str">
        <f t="shared" ca="1" si="17"/>
        <v/>
      </c>
      <c r="S564" s="63"/>
      <c r="T564" s="65"/>
      <c r="U564" s="65"/>
      <c r="V564" s="62"/>
      <c r="W564" s="62"/>
      <c r="X564" s="62"/>
      <c r="Y564" s="58"/>
      <c r="Z564" s="58"/>
      <c r="AA564" s="58"/>
    </row>
    <row r="565" spans="1:27" ht="15.75" customHeight="1" x14ac:dyDescent="0.2">
      <c r="A565" s="61" t="str">
        <f t="shared" si="16"/>
        <v/>
      </c>
      <c r="B565" s="62"/>
      <c r="C565" s="62"/>
      <c r="D565" s="62"/>
      <c r="E565" s="62"/>
      <c r="F565" s="63"/>
      <c r="G565" s="63"/>
      <c r="H565" s="63"/>
      <c r="I565" s="63"/>
      <c r="J565" s="63"/>
      <c r="K565" s="63"/>
      <c r="L565" s="64" t="str">
        <f>IF(OR($B565="", $H565="", $I565="", $J565="", $K565=""),"",ROUND((VLOOKUP($H565,Lists!$E$2:$F$5,2,FALSE())*VLOOKUP($I565,Lists!$H$2:$I$4,2,FALSE())*VLOOKUP($J565,Lists!$K$2:$L$4,2,FALSE()))/VLOOKUP($K565,Lists!$N$2:$O$6,2,FALSE()),2))</f>
        <v/>
      </c>
      <c r="M565" s="63"/>
      <c r="N565" s="63"/>
      <c r="O565" s="62"/>
      <c r="P565" s="63"/>
      <c r="Q565" s="65"/>
      <c r="R565" s="66" t="str">
        <f t="shared" ca="1" si="17"/>
        <v/>
      </c>
      <c r="S565" s="63"/>
      <c r="T565" s="65"/>
      <c r="U565" s="65"/>
      <c r="V565" s="62"/>
      <c r="W565" s="62"/>
      <c r="X565" s="62"/>
      <c r="Y565" s="58"/>
      <c r="Z565" s="58"/>
      <c r="AA565" s="58"/>
    </row>
    <row r="566" spans="1:27" ht="15.75" customHeight="1" x14ac:dyDescent="0.2">
      <c r="A566" s="61" t="str">
        <f t="shared" si="16"/>
        <v/>
      </c>
      <c r="B566" s="62"/>
      <c r="C566" s="62"/>
      <c r="D566" s="62"/>
      <c r="E566" s="62"/>
      <c r="F566" s="63"/>
      <c r="G566" s="63"/>
      <c r="H566" s="63"/>
      <c r="I566" s="63"/>
      <c r="J566" s="63"/>
      <c r="K566" s="63"/>
      <c r="L566" s="64" t="str">
        <f>IF(OR($B566="", $H566="", $I566="", $J566="", $K566=""),"",ROUND((VLOOKUP($H566,Lists!$E$2:$F$5,2,FALSE())*VLOOKUP($I566,Lists!$H$2:$I$4,2,FALSE())*VLOOKUP($J566,Lists!$K$2:$L$4,2,FALSE()))/VLOOKUP($K566,Lists!$N$2:$O$6,2,FALSE()),2))</f>
        <v/>
      </c>
      <c r="M566" s="63"/>
      <c r="N566" s="63"/>
      <c r="O566" s="62"/>
      <c r="P566" s="63"/>
      <c r="Q566" s="65"/>
      <c r="R566" s="66" t="str">
        <f t="shared" ca="1" si="17"/>
        <v/>
      </c>
      <c r="S566" s="63"/>
      <c r="T566" s="65"/>
      <c r="U566" s="65"/>
      <c r="V566" s="62"/>
      <c r="W566" s="62"/>
      <c r="X566" s="62"/>
      <c r="Y566" s="58"/>
      <c r="Z566" s="58"/>
      <c r="AA566" s="58"/>
    </row>
    <row r="567" spans="1:27" ht="15.75" customHeight="1" x14ac:dyDescent="0.2">
      <c r="A567" s="61" t="str">
        <f t="shared" si="16"/>
        <v/>
      </c>
      <c r="B567" s="62"/>
      <c r="C567" s="62"/>
      <c r="D567" s="62"/>
      <c r="E567" s="62"/>
      <c r="F567" s="63"/>
      <c r="G567" s="63"/>
      <c r="H567" s="63"/>
      <c r="I567" s="63"/>
      <c r="J567" s="63"/>
      <c r="K567" s="63"/>
      <c r="L567" s="64" t="str">
        <f>IF(OR($B567="", $H567="", $I567="", $J567="", $K567=""),"",ROUND((VLOOKUP($H567,Lists!$E$2:$F$5,2,FALSE())*VLOOKUP($I567,Lists!$H$2:$I$4,2,FALSE())*VLOOKUP($J567,Lists!$K$2:$L$4,2,FALSE()))/VLOOKUP($K567,Lists!$N$2:$O$6,2,FALSE()),2))</f>
        <v/>
      </c>
      <c r="M567" s="63"/>
      <c r="N567" s="63"/>
      <c r="O567" s="62"/>
      <c r="P567" s="63"/>
      <c r="Q567" s="65"/>
      <c r="R567" s="66" t="str">
        <f t="shared" ca="1" si="17"/>
        <v/>
      </c>
      <c r="S567" s="63"/>
      <c r="T567" s="65"/>
      <c r="U567" s="65"/>
      <c r="V567" s="62"/>
      <c r="W567" s="62"/>
      <c r="X567" s="62"/>
      <c r="Y567" s="58"/>
      <c r="Z567" s="58"/>
      <c r="AA567" s="58"/>
    </row>
    <row r="568" spans="1:27" ht="15.75" customHeight="1" x14ac:dyDescent="0.2">
      <c r="A568" s="61" t="str">
        <f t="shared" si="16"/>
        <v/>
      </c>
      <c r="B568" s="62"/>
      <c r="C568" s="62"/>
      <c r="D568" s="62"/>
      <c r="E568" s="62"/>
      <c r="F568" s="63"/>
      <c r="G568" s="63"/>
      <c r="H568" s="63"/>
      <c r="I568" s="63"/>
      <c r="J568" s="63"/>
      <c r="K568" s="63"/>
      <c r="L568" s="64" t="str">
        <f>IF(OR($B568="", $H568="", $I568="", $J568="", $K568=""),"",ROUND((VLOOKUP($H568,Lists!$E$2:$F$5,2,FALSE())*VLOOKUP($I568,Lists!$H$2:$I$4,2,FALSE())*VLOOKUP($J568,Lists!$K$2:$L$4,2,FALSE()))/VLOOKUP($K568,Lists!$N$2:$O$6,2,FALSE()),2))</f>
        <v/>
      </c>
      <c r="M568" s="63"/>
      <c r="N568" s="63"/>
      <c r="O568" s="62"/>
      <c r="P568" s="63"/>
      <c r="Q568" s="65"/>
      <c r="R568" s="66" t="str">
        <f t="shared" ca="1" si="17"/>
        <v/>
      </c>
      <c r="S568" s="63"/>
      <c r="T568" s="65"/>
      <c r="U568" s="65"/>
      <c r="V568" s="62"/>
      <c r="W568" s="62"/>
      <c r="X568" s="62"/>
      <c r="Y568" s="58"/>
      <c r="Z568" s="58"/>
      <c r="AA568" s="58"/>
    </row>
    <row r="569" spans="1:27" ht="15.75" customHeight="1" x14ac:dyDescent="0.2">
      <c r="A569" s="61" t="str">
        <f t="shared" si="16"/>
        <v/>
      </c>
      <c r="B569" s="62"/>
      <c r="C569" s="62"/>
      <c r="D569" s="62"/>
      <c r="E569" s="62"/>
      <c r="F569" s="63"/>
      <c r="G569" s="63"/>
      <c r="H569" s="63"/>
      <c r="I569" s="63"/>
      <c r="J569" s="63"/>
      <c r="K569" s="63"/>
      <c r="L569" s="64" t="str">
        <f>IF(OR($B569="", $H569="", $I569="", $J569="", $K569=""),"",ROUND((VLOOKUP($H569,Lists!$E$2:$F$5,2,FALSE())*VLOOKUP($I569,Lists!$H$2:$I$4,2,FALSE())*VLOOKUP($J569,Lists!$K$2:$L$4,2,FALSE()))/VLOOKUP($K569,Lists!$N$2:$O$6,2,FALSE()),2))</f>
        <v/>
      </c>
      <c r="M569" s="63"/>
      <c r="N569" s="63"/>
      <c r="O569" s="62"/>
      <c r="P569" s="63"/>
      <c r="Q569" s="65"/>
      <c r="R569" s="66" t="str">
        <f t="shared" ca="1" si="17"/>
        <v/>
      </c>
      <c r="S569" s="63"/>
      <c r="T569" s="65"/>
      <c r="U569" s="65"/>
      <c r="V569" s="62"/>
      <c r="W569" s="62"/>
      <c r="X569" s="62"/>
      <c r="Y569" s="58"/>
      <c r="Z569" s="58"/>
      <c r="AA569" s="58"/>
    </row>
    <row r="570" spans="1:27" ht="15.75" customHeight="1" x14ac:dyDescent="0.2">
      <c r="A570" s="61" t="str">
        <f t="shared" si="16"/>
        <v/>
      </c>
      <c r="B570" s="62"/>
      <c r="C570" s="62"/>
      <c r="D570" s="62"/>
      <c r="E570" s="62"/>
      <c r="F570" s="63"/>
      <c r="G570" s="63"/>
      <c r="H570" s="63"/>
      <c r="I570" s="63"/>
      <c r="J570" s="63"/>
      <c r="K570" s="63"/>
      <c r="L570" s="64" t="str">
        <f>IF(OR($B570="", $H570="", $I570="", $J570="", $K570=""),"",ROUND((VLOOKUP($H570,Lists!$E$2:$F$5,2,FALSE())*VLOOKUP($I570,Lists!$H$2:$I$4,2,FALSE())*VLOOKUP($J570,Lists!$K$2:$L$4,2,FALSE()))/VLOOKUP($K570,Lists!$N$2:$O$6,2,FALSE()),2))</f>
        <v/>
      </c>
      <c r="M570" s="63"/>
      <c r="N570" s="63"/>
      <c r="O570" s="62"/>
      <c r="P570" s="63"/>
      <c r="Q570" s="65"/>
      <c r="R570" s="66" t="str">
        <f t="shared" ca="1" si="17"/>
        <v/>
      </c>
      <c r="S570" s="63"/>
      <c r="T570" s="65"/>
      <c r="U570" s="65"/>
      <c r="V570" s="62"/>
      <c r="W570" s="62"/>
      <c r="X570" s="62"/>
      <c r="Y570" s="58"/>
      <c r="Z570" s="58"/>
      <c r="AA570" s="58"/>
    </row>
    <row r="571" spans="1:27" ht="15.75" customHeight="1" x14ac:dyDescent="0.2">
      <c r="A571" s="61" t="str">
        <f t="shared" si="16"/>
        <v/>
      </c>
      <c r="B571" s="62"/>
      <c r="C571" s="62"/>
      <c r="D571" s="62"/>
      <c r="E571" s="62"/>
      <c r="F571" s="63"/>
      <c r="G571" s="63"/>
      <c r="H571" s="63"/>
      <c r="I571" s="63"/>
      <c r="J571" s="63"/>
      <c r="K571" s="63"/>
      <c r="L571" s="64" t="str">
        <f>IF(OR($B571="", $H571="", $I571="", $J571="", $K571=""),"",ROUND((VLOOKUP($H571,Lists!$E$2:$F$5,2,FALSE())*VLOOKUP($I571,Lists!$H$2:$I$4,2,FALSE())*VLOOKUP($J571,Lists!$K$2:$L$4,2,FALSE()))/VLOOKUP($K571,Lists!$N$2:$O$6,2,FALSE()),2))</f>
        <v/>
      </c>
      <c r="M571" s="63"/>
      <c r="N571" s="63"/>
      <c r="O571" s="62"/>
      <c r="P571" s="63"/>
      <c r="Q571" s="65"/>
      <c r="R571" s="66" t="str">
        <f t="shared" ca="1" si="17"/>
        <v/>
      </c>
      <c r="S571" s="63"/>
      <c r="T571" s="65"/>
      <c r="U571" s="65"/>
      <c r="V571" s="62"/>
      <c r="W571" s="62"/>
      <c r="X571" s="62"/>
      <c r="Y571" s="58"/>
      <c r="Z571" s="58"/>
      <c r="AA571" s="58"/>
    </row>
    <row r="572" spans="1:27" ht="15.75" customHeight="1" x14ac:dyDescent="0.2">
      <c r="A572" s="61" t="str">
        <f t="shared" si="16"/>
        <v/>
      </c>
      <c r="B572" s="62"/>
      <c r="C572" s="62"/>
      <c r="D572" s="62"/>
      <c r="E572" s="62"/>
      <c r="F572" s="63"/>
      <c r="G572" s="63"/>
      <c r="H572" s="63"/>
      <c r="I572" s="63"/>
      <c r="J572" s="63"/>
      <c r="K572" s="63"/>
      <c r="L572" s="64" t="str">
        <f>IF(OR($B572="", $H572="", $I572="", $J572="", $K572=""),"",ROUND((VLOOKUP($H572,Lists!$E$2:$F$5,2,FALSE())*VLOOKUP($I572,Lists!$H$2:$I$4,2,FALSE())*VLOOKUP($J572,Lists!$K$2:$L$4,2,FALSE()))/VLOOKUP($K572,Lists!$N$2:$O$6,2,FALSE()),2))</f>
        <v/>
      </c>
      <c r="M572" s="63"/>
      <c r="N572" s="63"/>
      <c r="O572" s="62"/>
      <c r="P572" s="63"/>
      <c r="Q572" s="65"/>
      <c r="R572" s="66" t="str">
        <f t="shared" ca="1" si="17"/>
        <v/>
      </c>
      <c r="S572" s="63"/>
      <c r="T572" s="65"/>
      <c r="U572" s="65"/>
      <c r="V572" s="62"/>
      <c r="W572" s="62"/>
      <c r="X572" s="62"/>
      <c r="Y572" s="58"/>
      <c r="Z572" s="58"/>
      <c r="AA572" s="58"/>
    </row>
    <row r="573" spans="1:27" ht="15.75" customHeight="1" x14ac:dyDescent="0.2">
      <c r="A573" s="61" t="str">
        <f t="shared" si="16"/>
        <v/>
      </c>
      <c r="B573" s="62"/>
      <c r="C573" s="62"/>
      <c r="D573" s="62"/>
      <c r="E573" s="62"/>
      <c r="F573" s="63"/>
      <c r="G573" s="63"/>
      <c r="H573" s="63"/>
      <c r="I573" s="63"/>
      <c r="J573" s="63"/>
      <c r="K573" s="63"/>
      <c r="L573" s="64" t="str">
        <f>IF(OR($B573="", $H573="", $I573="", $J573="", $K573=""),"",ROUND((VLOOKUP($H573,Lists!$E$2:$F$5,2,FALSE())*VLOOKUP($I573,Lists!$H$2:$I$4,2,FALSE())*VLOOKUP($J573,Lists!$K$2:$L$4,2,FALSE()))/VLOOKUP($K573,Lists!$N$2:$O$6,2,FALSE()),2))</f>
        <v/>
      </c>
      <c r="M573" s="63"/>
      <c r="N573" s="63"/>
      <c r="O573" s="62"/>
      <c r="P573" s="63"/>
      <c r="Q573" s="65"/>
      <c r="R573" s="66" t="str">
        <f t="shared" ca="1" si="17"/>
        <v/>
      </c>
      <c r="S573" s="63"/>
      <c r="T573" s="65"/>
      <c r="U573" s="65"/>
      <c r="V573" s="62"/>
      <c r="W573" s="62"/>
      <c r="X573" s="62"/>
      <c r="Y573" s="58"/>
      <c r="Z573" s="58"/>
      <c r="AA573" s="58"/>
    </row>
    <row r="574" spans="1:27" ht="15.75" customHeight="1" x14ac:dyDescent="0.2">
      <c r="A574" s="61" t="str">
        <f t="shared" si="16"/>
        <v/>
      </c>
      <c r="B574" s="62"/>
      <c r="C574" s="62"/>
      <c r="D574" s="62"/>
      <c r="E574" s="62"/>
      <c r="F574" s="63"/>
      <c r="G574" s="63"/>
      <c r="H574" s="63"/>
      <c r="I574" s="63"/>
      <c r="J574" s="63"/>
      <c r="K574" s="63"/>
      <c r="L574" s="64" t="str">
        <f>IF(OR($B574="", $H574="", $I574="", $J574="", $K574=""),"",ROUND((VLOOKUP($H574,Lists!$E$2:$F$5,2,FALSE())*VLOOKUP($I574,Lists!$H$2:$I$4,2,FALSE())*VLOOKUP($J574,Lists!$K$2:$L$4,2,FALSE()))/VLOOKUP($K574,Lists!$N$2:$O$6,2,FALSE()),2))</f>
        <v/>
      </c>
      <c r="M574" s="63"/>
      <c r="N574" s="63"/>
      <c r="O574" s="62"/>
      <c r="P574" s="63"/>
      <c r="Q574" s="65"/>
      <c r="R574" s="66" t="str">
        <f t="shared" ca="1" si="17"/>
        <v/>
      </c>
      <c r="S574" s="63"/>
      <c r="T574" s="65"/>
      <c r="U574" s="65"/>
      <c r="V574" s="62"/>
      <c r="W574" s="62"/>
      <c r="X574" s="62"/>
      <c r="Y574" s="58"/>
      <c r="Z574" s="58"/>
      <c r="AA574" s="58"/>
    </row>
    <row r="575" spans="1:27" ht="15.75" customHeight="1" x14ac:dyDescent="0.2">
      <c r="A575" s="61" t="str">
        <f t="shared" si="16"/>
        <v/>
      </c>
      <c r="B575" s="62"/>
      <c r="C575" s="62"/>
      <c r="D575" s="62"/>
      <c r="E575" s="62"/>
      <c r="F575" s="63"/>
      <c r="G575" s="63"/>
      <c r="H575" s="63"/>
      <c r="I575" s="63"/>
      <c r="J575" s="63"/>
      <c r="K575" s="63"/>
      <c r="L575" s="64" t="str">
        <f>IF(OR($B575="", $H575="", $I575="", $J575="", $K575=""),"",ROUND((VLOOKUP($H575,Lists!$E$2:$F$5,2,FALSE())*VLOOKUP($I575,Lists!$H$2:$I$4,2,FALSE())*VLOOKUP($J575,Lists!$K$2:$L$4,2,FALSE()))/VLOOKUP($K575,Lists!$N$2:$O$6,2,FALSE()),2))</f>
        <v/>
      </c>
      <c r="M575" s="63"/>
      <c r="N575" s="63"/>
      <c r="O575" s="62"/>
      <c r="P575" s="63"/>
      <c r="Q575" s="65"/>
      <c r="R575" s="66" t="str">
        <f t="shared" ca="1" si="17"/>
        <v/>
      </c>
      <c r="S575" s="63"/>
      <c r="T575" s="65"/>
      <c r="U575" s="65"/>
      <c r="V575" s="62"/>
      <c r="W575" s="62"/>
      <c r="X575" s="62"/>
      <c r="Y575" s="58"/>
      <c r="Z575" s="58"/>
      <c r="AA575" s="58"/>
    </row>
    <row r="576" spans="1:27" ht="15.75" customHeight="1" x14ac:dyDescent="0.2">
      <c r="A576" s="61" t="str">
        <f t="shared" si="16"/>
        <v/>
      </c>
      <c r="B576" s="62"/>
      <c r="C576" s="62"/>
      <c r="D576" s="62"/>
      <c r="E576" s="62"/>
      <c r="F576" s="63"/>
      <c r="G576" s="63"/>
      <c r="H576" s="63"/>
      <c r="I576" s="63"/>
      <c r="J576" s="63"/>
      <c r="K576" s="63"/>
      <c r="L576" s="64" t="str">
        <f>IF(OR($B576="", $H576="", $I576="", $J576="", $K576=""),"",ROUND((VLOOKUP($H576,Lists!$E$2:$F$5,2,FALSE())*VLOOKUP($I576,Lists!$H$2:$I$4,2,FALSE())*VLOOKUP($J576,Lists!$K$2:$L$4,2,FALSE()))/VLOOKUP($K576,Lists!$N$2:$O$6,2,FALSE()),2))</f>
        <v/>
      </c>
      <c r="M576" s="63"/>
      <c r="N576" s="63"/>
      <c r="O576" s="62"/>
      <c r="P576" s="63"/>
      <c r="Q576" s="65"/>
      <c r="R576" s="66" t="str">
        <f t="shared" ca="1" si="17"/>
        <v/>
      </c>
      <c r="S576" s="63"/>
      <c r="T576" s="65"/>
      <c r="U576" s="65"/>
      <c r="V576" s="62"/>
      <c r="W576" s="62"/>
      <c r="X576" s="62"/>
      <c r="Y576" s="58"/>
      <c r="Z576" s="58"/>
      <c r="AA576" s="58"/>
    </row>
    <row r="577" spans="1:27" ht="15.75" customHeight="1" x14ac:dyDescent="0.2">
      <c r="A577" s="61" t="str">
        <f t="shared" si="16"/>
        <v/>
      </c>
      <c r="B577" s="62"/>
      <c r="C577" s="62"/>
      <c r="D577" s="62"/>
      <c r="E577" s="62"/>
      <c r="F577" s="63"/>
      <c r="G577" s="63"/>
      <c r="H577" s="63"/>
      <c r="I577" s="63"/>
      <c r="J577" s="63"/>
      <c r="K577" s="63"/>
      <c r="L577" s="64" t="str">
        <f>IF(OR($B577="", $H577="", $I577="", $J577="", $K577=""),"",ROUND((VLOOKUP($H577,Lists!$E$2:$F$5,2,FALSE())*VLOOKUP($I577,Lists!$H$2:$I$4,2,FALSE())*VLOOKUP($J577,Lists!$K$2:$L$4,2,FALSE()))/VLOOKUP($K577,Lists!$N$2:$O$6,2,FALSE()),2))</f>
        <v/>
      </c>
      <c r="M577" s="63"/>
      <c r="N577" s="63"/>
      <c r="O577" s="62"/>
      <c r="P577" s="63"/>
      <c r="Q577" s="65"/>
      <c r="R577" s="66" t="str">
        <f t="shared" ca="1" si="17"/>
        <v/>
      </c>
      <c r="S577" s="63"/>
      <c r="T577" s="65"/>
      <c r="U577" s="65"/>
      <c r="V577" s="62"/>
      <c r="W577" s="62"/>
      <c r="X577" s="62"/>
      <c r="Y577" s="58"/>
      <c r="Z577" s="58"/>
      <c r="AA577" s="58"/>
    </row>
    <row r="578" spans="1:27" ht="15.75" customHeight="1" x14ac:dyDescent="0.2">
      <c r="A578" s="61" t="str">
        <f t="shared" ref="A578:A641" si="18">IF($B578="","", "TD-" &amp; RIGHT("0000"&amp;ROW()-1,4))</f>
        <v/>
      </c>
      <c r="B578" s="62"/>
      <c r="C578" s="62"/>
      <c r="D578" s="62"/>
      <c r="E578" s="62"/>
      <c r="F578" s="63"/>
      <c r="G578" s="63"/>
      <c r="H578" s="63"/>
      <c r="I578" s="63"/>
      <c r="J578" s="63"/>
      <c r="K578" s="63"/>
      <c r="L578" s="64" t="str">
        <f>IF(OR($B578="", $H578="", $I578="", $J578="", $K578=""),"",ROUND((VLOOKUP($H578,Lists!$E$2:$F$5,2,FALSE())*VLOOKUP($I578,Lists!$H$2:$I$4,2,FALSE())*VLOOKUP($J578,Lists!$K$2:$L$4,2,FALSE()))/VLOOKUP($K578,Lists!$N$2:$O$6,2,FALSE()),2))</f>
        <v/>
      </c>
      <c r="M578" s="63"/>
      <c r="N578" s="63"/>
      <c r="O578" s="62"/>
      <c r="P578" s="63"/>
      <c r="Q578" s="65"/>
      <c r="R578" s="66" t="str">
        <f t="shared" ref="R578:R641" ca="1" si="19">IF($Q578="","", TODAY()-$Q578)</f>
        <v/>
      </c>
      <c r="S578" s="63"/>
      <c r="T578" s="65"/>
      <c r="U578" s="65"/>
      <c r="V578" s="62"/>
      <c r="W578" s="62"/>
      <c r="X578" s="62"/>
      <c r="Y578" s="58"/>
      <c r="Z578" s="58"/>
      <c r="AA578" s="58"/>
    </row>
    <row r="579" spans="1:27" ht="15.75" customHeight="1" x14ac:dyDescent="0.2">
      <c r="A579" s="61" t="str">
        <f t="shared" si="18"/>
        <v/>
      </c>
      <c r="B579" s="62"/>
      <c r="C579" s="62"/>
      <c r="D579" s="62"/>
      <c r="E579" s="62"/>
      <c r="F579" s="63"/>
      <c r="G579" s="63"/>
      <c r="H579" s="63"/>
      <c r="I579" s="63"/>
      <c r="J579" s="63"/>
      <c r="K579" s="63"/>
      <c r="L579" s="64" t="str">
        <f>IF(OR($B579="", $H579="", $I579="", $J579="", $K579=""),"",ROUND((VLOOKUP($H579,Lists!$E$2:$F$5,2,FALSE())*VLOOKUP($I579,Lists!$H$2:$I$4,2,FALSE())*VLOOKUP($J579,Lists!$K$2:$L$4,2,FALSE()))/VLOOKUP($K579,Lists!$N$2:$O$6,2,FALSE()),2))</f>
        <v/>
      </c>
      <c r="M579" s="63"/>
      <c r="N579" s="63"/>
      <c r="O579" s="62"/>
      <c r="P579" s="63"/>
      <c r="Q579" s="65"/>
      <c r="R579" s="66" t="str">
        <f t="shared" ca="1" si="19"/>
        <v/>
      </c>
      <c r="S579" s="63"/>
      <c r="T579" s="65"/>
      <c r="U579" s="65"/>
      <c r="V579" s="62"/>
      <c r="W579" s="62"/>
      <c r="X579" s="62"/>
      <c r="Y579" s="58"/>
      <c r="Z579" s="58"/>
      <c r="AA579" s="58"/>
    </row>
    <row r="580" spans="1:27" ht="15.75" customHeight="1" x14ac:dyDescent="0.2">
      <c r="A580" s="61" t="str">
        <f t="shared" si="18"/>
        <v/>
      </c>
      <c r="B580" s="62"/>
      <c r="C580" s="62"/>
      <c r="D580" s="62"/>
      <c r="E580" s="62"/>
      <c r="F580" s="63"/>
      <c r="G580" s="63"/>
      <c r="H580" s="63"/>
      <c r="I580" s="63"/>
      <c r="J580" s="63"/>
      <c r="K580" s="63"/>
      <c r="L580" s="64" t="str">
        <f>IF(OR($B580="", $H580="", $I580="", $J580="", $K580=""),"",ROUND((VLOOKUP($H580,Lists!$E$2:$F$5,2,FALSE())*VLOOKUP($I580,Lists!$H$2:$I$4,2,FALSE())*VLOOKUP($J580,Lists!$K$2:$L$4,2,FALSE()))/VLOOKUP($K580,Lists!$N$2:$O$6,2,FALSE()),2))</f>
        <v/>
      </c>
      <c r="M580" s="63"/>
      <c r="N580" s="63"/>
      <c r="O580" s="62"/>
      <c r="P580" s="63"/>
      <c r="Q580" s="65"/>
      <c r="R580" s="66" t="str">
        <f t="shared" ca="1" si="19"/>
        <v/>
      </c>
      <c r="S580" s="63"/>
      <c r="T580" s="65"/>
      <c r="U580" s="65"/>
      <c r="V580" s="62"/>
      <c r="W580" s="62"/>
      <c r="X580" s="62"/>
      <c r="Y580" s="58"/>
      <c r="Z580" s="58"/>
      <c r="AA580" s="58"/>
    </row>
    <row r="581" spans="1:27" ht="15.75" customHeight="1" x14ac:dyDescent="0.2">
      <c r="A581" s="61" t="str">
        <f t="shared" si="18"/>
        <v/>
      </c>
      <c r="B581" s="62"/>
      <c r="C581" s="62"/>
      <c r="D581" s="62"/>
      <c r="E581" s="62"/>
      <c r="F581" s="63"/>
      <c r="G581" s="63"/>
      <c r="H581" s="63"/>
      <c r="I581" s="63"/>
      <c r="J581" s="63"/>
      <c r="K581" s="63"/>
      <c r="L581" s="64" t="str">
        <f>IF(OR($B581="", $H581="", $I581="", $J581="", $K581=""),"",ROUND((VLOOKUP($H581,Lists!$E$2:$F$5,2,FALSE())*VLOOKUP($I581,Lists!$H$2:$I$4,2,FALSE())*VLOOKUP($J581,Lists!$K$2:$L$4,2,FALSE()))/VLOOKUP($K581,Lists!$N$2:$O$6,2,FALSE()),2))</f>
        <v/>
      </c>
      <c r="M581" s="63"/>
      <c r="N581" s="63"/>
      <c r="O581" s="62"/>
      <c r="P581" s="63"/>
      <c r="Q581" s="65"/>
      <c r="R581" s="66" t="str">
        <f t="shared" ca="1" si="19"/>
        <v/>
      </c>
      <c r="S581" s="63"/>
      <c r="T581" s="65"/>
      <c r="U581" s="65"/>
      <c r="V581" s="62"/>
      <c r="W581" s="62"/>
      <c r="X581" s="62"/>
      <c r="Y581" s="58"/>
      <c r="Z581" s="58"/>
      <c r="AA581" s="58"/>
    </row>
    <row r="582" spans="1:27" ht="15.75" customHeight="1" x14ac:dyDescent="0.2">
      <c r="A582" s="61" t="str">
        <f t="shared" si="18"/>
        <v/>
      </c>
      <c r="B582" s="62"/>
      <c r="C582" s="62"/>
      <c r="D582" s="62"/>
      <c r="E582" s="62"/>
      <c r="F582" s="63"/>
      <c r="G582" s="63"/>
      <c r="H582" s="63"/>
      <c r="I582" s="63"/>
      <c r="J582" s="63"/>
      <c r="K582" s="63"/>
      <c r="L582" s="64" t="str">
        <f>IF(OR($B582="", $H582="", $I582="", $J582="", $K582=""),"",ROUND((VLOOKUP($H582,Lists!$E$2:$F$5,2,FALSE())*VLOOKUP($I582,Lists!$H$2:$I$4,2,FALSE())*VLOOKUP($J582,Lists!$K$2:$L$4,2,FALSE()))/VLOOKUP($K582,Lists!$N$2:$O$6,2,FALSE()),2))</f>
        <v/>
      </c>
      <c r="M582" s="63"/>
      <c r="N582" s="63"/>
      <c r="O582" s="62"/>
      <c r="P582" s="63"/>
      <c r="Q582" s="65"/>
      <c r="R582" s="66" t="str">
        <f t="shared" ca="1" si="19"/>
        <v/>
      </c>
      <c r="S582" s="63"/>
      <c r="T582" s="65"/>
      <c r="U582" s="65"/>
      <c r="V582" s="62"/>
      <c r="W582" s="62"/>
      <c r="X582" s="62"/>
      <c r="Y582" s="58"/>
      <c r="Z582" s="58"/>
      <c r="AA582" s="58"/>
    </row>
    <row r="583" spans="1:27" ht="15.75" customHeight="1" x14ac:dyDescent="0.2">
      <c r="A583" s="61" t="str">
        <f t="shared" si="18"/>
        <v/>
      </c>
      <c r="B583" s="62"/>
      <c r="C583" s="62"/>
      <c r="D583" s="62"/>
      <c r="E583" s="62"/>
      <c r="F583" s="63"/>
      <c r="G583" s="63"/>
      <c r="H583" s="63"/>
      <c r="I583" s="63"/>
      <c r="J583" s="63"/>
      <c r="K583" s="63"/>
      <c r="L583" s="64" t="str">
        <f>IF(OR($B583="", $H583="", $I583="", $J583="", $K583=""),"",ROUND((VLOOKUP($H583,Lists!$E$2:$F$5,2,FALSE())*VLOOKUP($I583,Lists!$H$2:$I$4,2,FALSE())*VLOOKUP($J583,Lists!$K$2:$L$4,2,FALSE()))/VLOOKUP($K583,Lists!$N$2:$O$6,2,FALSE()),2))</f>
        <v/>
      </c>
      <c r="M583" s="63"/>
      <c r="N583" s="63"/>
      <c r="O583" s="62"/>
      <c r="P583" s="63"/>
      <c r="Q583" s="65"/>
      <c r="R583" s="66" t="str">
        <f t="shared" ca="1" si="19"/>
        <v/>
      </c>
      <c r="S583" s="63"/>
      <c r="T583" s="65"/>
      <c r="U583" s="65"/>
      <c r="V583" s="62"/>
      <c r="W583" s="62"/>
      <c r="X583" s="62"/>
      <c r="Y583" s="58"/>
      <c r="Z583" s="58"/>
      <c r="AA583" s="58"/>
    </row>
    <row r="584" spans="1:27" ht="15.75" customHeight="1" x14ac:dyDescent="0.2">
      <c r="A584" s="61" t="str">
        <f t="shared" si="18"/>
        <v/>
      </c>
      <c r="B584" s="62"/>
      <c r="C584" s="62"/>
      <c r="D584" s="62"/>
      <c r="E584" s="62"/>
      <c r="F584" s="63"/>
      <c r="G584" s="63"/>
      <c r="H584" s="63"/>
      <c r="I584" s="63"/>
      <c r="J584" s="63"/>
      <c r="K584" s="63"/>
      <c r="L584" s="64" t="str">
        <f>IF(OR($B584="", $H584="", $I584="", $J584="", $K584=""),"",ROUND((VLOOKUP($H584,Lists!$E$2:$F$5,2,FALSE())*VLOOKUP($I584,Lists!$H$2:$I$4,2,FALSE())*VLOOKUP($J584,Lists!$K$2:$L$4,2,FALSE()))/VLOOKUP($K584,Lists!$N$2:$O$6,2,FALSE()),2))</f>
        <v/>
      </c>
      <c r="M584" s="63"/>
      <c r="N584" s="63"/>
      <c r="O584" s="62"/>
      <c r="P584" s="63"/>
      <c r="Q584" s="65"/>
      <c r="R584" s="66" t="str">
        <f t="shared" ca="1" si="19"/>
        <v/>
      </c>
      <c r="S584" s="63"/>
      <c r="T584" s="65"/>
      <c r="U584" s="65"/>
      <c r="V584" s="62"/>
      <c r="W584" s="62"/>
      <c r="X584" s="62"/>
      <c r="Y584" s="58"/>
      <c r="Z584" s="58"/>
      <c r="AA584" s="58"/>
    </row>
    <row r="585" spans="1:27" ht="15.75" customHeight="1" x14ac:dyDescent="0.2">
      <c r="A585" s="61" t="str">
        <f t="shared" si="18"/>
        <v/>
      </c>
      <c r="B585" s="62"/>
      <c r="C585" s="62"/>
      <c r="D585" s="62"/>
      <c r="E585" s="62"/>
      <c r="F585" s="63"/>
      <c r="G585" s="63"/>
      <c r="H585" s="63"/>
      <c r="I585" s="63"/>
      <c r="J585" s="63"/>
      <c r="K585" s="63"/>
      <c r="L585" s="64" t="str">
        <f>IF(OR($B585="", $H585="", $I585="", $J585="", $K585=""),"",ROUND((VLOOKUP($H585,Lists!$E$2:$F$5,2,FALSE())*VLOOKUP($I585,Lists!$H$2:$I$4,2,FALSE())*VLOOKUP($J585,Lists!$K$2:$L$4,2,FALSE()))/VLOOKUP($K585,Lists!$N$2:$O$6,2,FALSE()),2))</f>
        <v/>
      </c>
      <c r="M585" s="63"/>
      <c r="N585" s="63"/>
      <c r="O585" s="62"/>
      <c r="P585" s="63"/>
      <c r="Q585" s="65"/>
      <c r="R585" s="66" t="str">
        <f t="shared" ca="1" si="19"/>
        <v/>
      </c>
      <c r="S585" s="63"/>
      <c r="T585" s="65"/>
      <c r="U585" s="65"/>
      <c r="V585" s="62"/>
      <c r="W585" s="62"/>
      <c r="X585" s="62"/>
      <c r="Y585" s="58"/>
      <c r="Z585" s="58"/>
      <c r="AA585" s="58"/>
    </row>
    <row r="586" spans="1:27" ht="15.75" customHeight="1" x14ac:dyDescent="0.2">
      <c r="A586" s="61" t="str">
        <f t="shared" si="18"/>
        <v/>
      </c>
      <c r="B586" s="62"/>
      <c r="C586" s="62"/>
      <c r="D586" s="62"/>
      <c r="E586" s="62"/>
      <c r="F586" s="63"/>
      <c r="G586" s="63"/>
      <c r="H586" s="63"/>
      <c r="I586" s="63"/>
      <c r="J586" s="63"/>
      <c r="K586" s="63"/>
      <c r="L586" s="64" t="str">
        <f>IF(OR($B586="", $H586="", $I586="", $J586="", $K586=""),"",ROUND((VLOOKUP($H586,Lists!$E$2:$F$5,2,FALSE())*VLOOKUP($I586,Lists!$H$2:$I$4,2,FALSE())*VLOOKUP($J586,Lists!$K$2:$L$4,2,FALSE()))/VLOOKUP($K586,Lists!$N$2:$O$6,2,FALSE()),2))</f>
        <v/>
      </c>
      <c r="M586" s="63"/>
      <c r="N586" s="63"/>
      <c r="O586" s="62"/>
      <c r="P586" s="63"/>
      <c r="Q586" s="65"/>
      <c r="R586" s="66" t="str">
        <f t="shared" ca="1" si="19"/>
        <v/>
      </c>
      <c r="S586" s="63"/>
      <c r="T586" s="65"/>
      <c r="U586" s="65"/>
      <c r="V586" s="62"/>
      <c r="W586" s="62"/>
      <c r="X586" s="62"/>
      <c r="Y586" s="58"/>
      <c r="Z586" s="58"/>
      <c r="AA586" s="58"/>
    </row>
    <row r="587" spans="1:27" ht="15.75" customHeight="1" x14ac:dyDescent="0.2">
      <c r="A587" s="61" t="str">
        <f t="shared" si="18"/>
        <v/>
      </c>
      <c r="B587" s="62"/>
      <c r="C587" s="62"/>
      <c r="D587" s="62"/>
      <c r="E587" s="62"/>
      <c r="F587" s="63"/>
      <c r="G587" s="63"/>
      <c r="H587" s="63"/>
      <c r="I587" s="63"/>
      <c r="J587" s="63"/>
      <c r="K587" s="63"/>
      <c r="L587" s="64" t="str">
        <f>IF(OR($B587="", $H587="", $I587="", $J587="", $K587=""),"",ROUND((VLOOKUP($H587,Lists!$E$2:$F$5,2,FALSE())*VLOOKUP($I587,Lists!$H$2:$I$4,2,FALSE())*VLOOKUP($J587,Lists!$K$2:$L$4,2,FALSE()))/VLOOKUP($K587,Lists!$N$2:$O$6,2,FALSE()),2))</f>
        <v/>
      </c>
      <c r="M587" s="63"/>
      <c r="N587" s="63"/>
      <c r="O587" s="62"/>
      <c r="P587" s="63"/>
      <c r="Q587" s="65"/>
      <c r="R587" s="66" t="str">
        <f t="shared" ca="1" si="19"/>
        <v/>
      </c>
      <c r="S587" s="63"/>
      <c r="T587" s="65"/>
      <c r="U587" s="65"/>
      <c r="V587" s="62"/>
      <c r="W587" s="62"/>
      <c r="X587" s="62"/>
      <c r="Y587" s="58"/>
      <c r="Z587" s="58"/>
      <c r="AA587" s="58"/>
    </row>
    <row r="588" spans="1:27" ht="15.75" customHeight="1" x14ac:dyDescent="0.2">
      <c r="A588" s="61" t="str">
        <f t="shared" si="18"/>
        <v/>
      </c>
      <c r="B588" s="62"/>
      <c r="C588" s="62"/>
      <c r="D588" s="62"/>
      <c r="E588" s="62"/>
      <c r="F588" s="63"/>
      <c r="G588" s="63"/>
      <c r="H588" s="63"/>
      <c r="I588" s="63"/>
      <c r="J588" s="63"/>
      <c r="K588" s="63"/>
      <c r="L588" s="64" t="str">
        <f>IF(OR($B588="", $H588="", $I588="", $J588="", $K588=""),"",ROUND((VLOOKUP($H588,Lists!$E$2:$F$5,2,FALSE())*VLOOKUP($I588,Lists!$H$2:$I$4,2,FALSE())*VLOOKUP($J588,Lists!$K$2:$L$4,2,FALSE()))/VLOOKUP($K588,Lists!$N$2:$O$6,2,FALSE()),2))</f>
        <v/>
      </c>
      <c r="M588" s="63"/>
      <c r="N588" s="63"/>
      <c r="O588" s="62"/>
      <c r="P588" s="63"/>
      <c r="Q588" s="65"/>
      <c r="R588" s="66" t="str">
        <f t="shared" ca="1" si="19"/>
        <v/>
      </c>
      <c r="S588" s="63"/>
      <c r="T588" s="65"/>
      <c r="U588" s="65"/>
      <c r="V588" s="62"/>
      <c r="W588" s="62"/>
      <c r="X588" s="62"/>
      <c r="Y588" s="58"/>
      <c r="Z588" s="58"/>
      <c r="AA588" s="58"/>
    </row>
    <row r="589" spans="1:27" ht="15.75" customHeight="1" x14ac:dyDescent="0.2">
      <c r="A589" s="61" t="str">
        <f t="shared" si="18"/>
        <v/>
      </c>
      <c r="B589" s="62"/>
      <c r="C589" s="62"/>
      <c r="D589" s="62"/>
      <c r="E589" s="62"/>
      <c r="F589" s="63"/>
      <c r="G589" s="63"/>
      <c r="H589" s="63"/>
      <c r="I589" s="63"/>
      <c r="J589" s="63"/>
      <c r="K589" s="63"/>
      <c r="L589" s="64" t="str">
        <f>IF(OR($B589="", $H589="", $I589="", $J589="", $K589=""),"",ROUND((VLOOKUP($H589,Lists!$E$2:$F$5,2,FALSE())*VLOOKUP($I589,Lists!$H$2:$I$4,2,FALSE())*VLOOKUP($J589,Lists!$K$2:$L$4,2,FALSE()))/VLOOKUP($K589,Lists!$N$2:$O$6,2,FALSE()),2))</f>
        <v/>
      </c>
      <c r="M589" s="63"/>
      <c r="N589" s="63"/>
      <c r="O589" s="62"/>
      <c r="P589" s="63"/>
      <c r="Q589" s="65"/>
      <c r="R589" s="66" t="str">
        <f t="shared" ca="1" si="19"/>
        <v/>
      </c>
      <c r="S589" s="63"/>
      <c r="T589" s="65"/>
      <c r="U589" s="65"/>
      <c r="V589" s="62"/>
      <c r="W589" s="62"/>
      <c r="X589" s="62"/>
      <c r="Y589" s="58"/>
      <c r="Z589" s="58"/>
      <c r="AA589" s="58"/>
    </row>
    <row r="590" spans="1:27" ht="15.75" customHeight="1" x14ac:dyDescent="0.2">
      <c r="A590" s="61" t="str">
        <f t="shared" si="18"/>
        <v/>
      </c>
      <c r="B590" s="62"/>
      <c r="C590" s="62"/>
      <c r="D590" s="62"/>
      <c r="E590" s="62"/>
      <c r="F590" s="63"/>
      <c r="G590" s="63"/>
      <c r="H590" s="63"/>
      <c r="I590" s="63"/>
      <c r="J590" s="63"/>
      <c r="K590" s="63"/>
      <c r="L590" s="64" t="str">
        <f>IF(OR($B590="", $H590="", $I590="", $J590="", $K590=""),"",ROUND((VLOOKUP($H590,Lists!$E$2:$F$5,2,FALSE())*VLOOKUP($I590,Lists!$H$2:$I$4,2,FALSE())*VLOOKUP($J590,Lists!$K$2:$L$4,2,FALSE()))/VLOOKUP($K590,Lists!$N$2:$O$6,2,FALSE()),2))</f>
        <v/>
      </c>
      <c r="M590" s="63"/>
      <c r="N590" s="63"/>
      <c r="O590" s="62"/>
      <c r="P590" s="63"/>
      <c r="Q590" s="65"/>
      <c r="R590" s="66" t="str">
        <f t="shared" ca="1" si="19"/>
        <v/>
      </c>
      <c r="S590" s="63"/>
      <c r="T590" s="65"/>
      <c r="U590" s="65"/>
      <c r="V590" s="62"/>
      <c r="W590" s="62"/>
      <c r="X590" s="62"/>
      <c r="Y590" s="58"/>
      <c r="Z590" s="58"/>
      <c r="AA590" s="58"/>
    </row>
    <row r="591" spans="1:27" ht="15.75" customHeight="1" x14ac:dyDescent="0.2">
      <c r="A591" s="61" t="str">
        <f t="shared" si="18"/>
        <v/>
      </c>
      <c r="B591" s="62"/>
      <c r="C591" s="62"/>
      <c r="D591" s="62"/>
      <c r="E591" s="62"/>
      <c r="F591" s="63"/>
      <c r="G591" s="63"/>
      <c r="H591" s="63"/>
      <c r="I591" s="63"/>
      <c r="J591" s="63"/>
      <c r="K591" s="63"/>
      <c r="L591" s="64" t="str">
        <f>IF(OR($B591="", $H591="", $I591="", $J591="", $K591=""),"",ROUND((VLOOKUP($H591,Lists!$E$2:$F$5,2,FALSE())*VLOOKUP($I591,Lists!$H$2:$I$4,2,FALSE())*VLOOKUP($J591,Lists!$K$2:$L$4,2,FALSE()))/VLOOKUP($K591,Lists!$N$2:$O$6,2,FALSE()),2))</f>
        <v/>
      </c>
      <c r="M591" s="63"/>
      <c r="N591" s="63"/>
      <c r="O591" s="62"/>
      <c r="P591" s="63"/>
      <c r="Q591" s="65"/>
      <c r="R591" s="66" t="str">
        <f t="shared" ca="1" si="19"/>
        <v/>
      </c>
      <c r="S591" s="63"/>
      <c r="T591" s="65"/>
      <c r="U591" s="65"/>
      <c r="V591" s="62"/>
      <c r="W591" s="62"/>
      <c r="X591" s="62"/>
      <c r="Y591" s="58"/>
      <c r="Z591" s="58"/>
      <c r="AA591" s="58"/>
    </row>
    <row r="592" spans="1:27" ht="15.75" customHeight="1" x14ac:dyDescent="0.2">
      <c r="A592" s="61" t="str">
        <f t="shared" si="18"/>
        <v/>
      </c>
      <c r="B592" s="62"/>
      <c r="C592" s="62"/>
      <c r="D592" s="62"/>
      <c r="E592" s="62"/>
      <c r="F592" s="63"/>
      <c r="G592" s="63"/>
      <c r="H592" s="63"/>
      <c r="I592" s="63"/>
      <c r="J592" s="63"/>
      <c r="K592" s="63"/>
      <c r="L592" s="64" t="str">
        <f>IF(OR($B592="", $H592="", $I592="", $J592="", $K592=""),"",ROUND((VLOOKUP($H592,Lists!$E$2:$F$5,2,FALSE())*VLOOKUP($I592,Lists!$H$2:$I$4,2,FALSE())*VLOOKUP($J592,Lists!$K$2:$L$4,2,FALSE()))/VLOOKUP($K592,Lists!$N$2:$O$6,2,FALSE()),2))</f>
        <v/>
      </c>
      <c r="M592" s="63"/>
      <c r="N592" s="63"/>
      <c r="O592" s="62"/>
      <c r="P592" s="63"/>
      <c r="Q592" s="65"/>
      <c r="R592" s="66" t="str">
        <f t="shared" ca="1" si="19"/>
        <v/>
      </c>
      <c r="S592" s="63"/>
      <c r="T592" s="65"/>
      <c r="U592" s="65"/>
      <c r="V592" s="62"/>
      <c r="W592" s="62"/>
      <c r="X592" s="62"/>
      <c r="Y592" s="58"/>
      <c r="Z592" s="58"/>
      <c r="AA592" s="58"/>
    </row>
    <row r="593" spans="1:27" ht="15.75" customHeight="1" x14ac:dyDescent="0.2">
      <c r="A593" s="61" t="str">
        <f t="shared" si="18"/>
        <v/>
      </c>
      <c r="B593" s="62"/>
      <c r="C593" s="62"/>
      <c r="D593" s="62"/>
      <c r="E593" s="62"/>
      <c r="F593" s="63"/>
      <c r="G593" s="63"/>
      <c r="H593" s="63"/>
      <c r="I593" s="63"/>
      <c r="J593" s="63"/>
      <c r="K593" s="63"/>
      <c r="L593" s="64" t="str">
        <f>IF(OR($B593="", $H593="", $I593="", $J593="", $K593=""),"",ROUND((VLOOKUP($H593,Lists!$E$2:$F$5,2,FALSE())*VLOOKUP($I593,Lists!$H$2:$I$4,2,FALSE())*VLOOKUP($J593,Lists!$K$2:$L$4,2,FALSE()))/VLOOKUP($K593,Lists!$N$2:$O$6,2,FALSE()),2))</f>
        <v/>
      </c>
      <c r="M593" s="63"/>
      <c r="N593" s="63"/>
      <c r="O593" s="62"/>
      <c r="P593" s="63"/>
      <c r="Q593" s="65"/>
      <c r="R593" s="66" t="str">
        <f t="shared" ca="1" si="19"/>
        <v/>
      </c>
      <c r="S593" s="63"/>
      <c r="T593" s="65"/>
      <c r="U593" s="65"/>
      <c r="V593" s="62"/>
      <c r="W593" s="62"/>
      <c r="X593" s="62"/>
      <c r="Y593" s="58"/>
      <c r="Z593" s="58"/>
      <c r="AA593" s="58"/>
    </row>
    <row r="594" spans="1:27" ht="15.75" customHeight="1" x14ac:dyDescent="0.2">
      <c r="A594" s="61" t="str">
        <f t="shared" si="18"/>
        <v/>
      </c>
      <c r="B594" s="62"/>
      <c r="C594" s="62"/>
      <c r="D594" s="62"/>
      <c r="E594" s="62"/>
      <c r="F594" s="63"/>
      <c r="G594" s="63"/>
      <c r="H594" s="63"/>
      <c r="I594" s="63"/>
      <c r="J594" s="63"/>
      <c r="K594" s="63"/>
      <c r="L594" s="64" t="str">
        <f>IF(OR($B594="", $H594="", $I594="", $J594="", $K594=""),"",ROUND((VLOOKUP($H594,Lists!$E$2:$F$5,2,FALSE())*VLOOKUP($I594,Lists!$H$2:$I$4,2,FALSE())*VLOOKUP($J594,Lists!$K$2:$L$4,2,FALSE()))/VLOOKUP($K594,Lists!$N$2:$O$6,2,FALSE()),2))</f>
        <v/>
      </c>
      <c r="M594" s="63"/>
      <c r="N594" s="63"/>
      <c r="O594" s="62"/>
      <c r="P594" s="63"/>
      <c r="Q594" s="65"/>
      <c r="R594" s="66" t="str">
        <f t="shared" ca="1" si="19"/>
        <v/>
      </c>
      <c r="S594" s="63"/>
      <c r="T594" s="65"/>
      <c r="U594" s="65"/>
      <c r="V594" s="62"/>
      <c r="W594" s="62"/>
      <c r="X594" s="62"/>
      <c r="Y594" s="58"/>
      <c r="Z594" s="58"/>
      <c r="AA594" s="58"/>
    </row>
    <row r="595" spans="1:27" ht="15.75" customHeight="1" x14ac:dyDescent="0.2">
      <c r="A595" s="61" t="str">
        <f t="shared" si="18"/>
        <v/>
      </c>
      <c r="B595" s="62"/>
      <c r="C595" s="62"/>
      <c r="D595" s="62"/>
      <c r="E595" s="62"/>
      <c r="F595" s="63"/>
      <c r="G595" s="63"/>
      <c r="H595" s="63"/>
      <c r="I595" s="63"/>
      <c r="J595" s="63"/>
      <c r="K595" s="63"/>
      <c r="L595" s="64" t="str">
        <f>IF(OR($B595="", $H595="", $I595="", $J595="", $K595=""),"",ROUND((VLOOKUP($H595,Lists!$E$2:$F$5,2,FALSE())*VLOOKUP($I595,Lists!$H$2:$I$4,2,FALSE())*VLOOKUP($J595,Lists!$K$2:$L$4,2,FALSE()))/VLOOKUP($K595,Lists!$N$2:$O$6,2,FALSE()),2))</f>
        <v/>
      </c>
      <c r="M595" s="63"/>
      <c r="N595" s="63"/>
      <c r="O595" s="62"/>
      <c r="P595" s="63"/>
      <c r="Q595" s="65"/>
      <c r="R595" s="66" t="str">
        <f t="shared" ca="1" si="19"/>
        <v/>
      </c>
      <c r="S595" s="63"/>
      <c r="T595" s="65"/>
      <c r="U595" s="65"/>
      <c r="V595" s="62"/>
      <c r="W595" s="62"/>
      <c r="X595" s="62"/>
      <c r="Y595" s="58"/>
      <c r="Z595" s="58"/>
      <c r="AA595" s="58"/>
    </row>
    <row r="596" spans="1:27" ht="15.75" customHeight="1" x14ac:dyDescent="0.2">
      <c r="A596" s="61" t="str">
        <f t="shared" si="18"/>
        <v/>
      </c>
      <c r="B596" s="62"/>
      <c r="C596" s="62"/>
      <c r="D596" s="62"/>
      <c r="E596" s="62"/>
      <c r="F596" s="63"/>
      <c r="G596" s="63"/>
      <c r="H596" s="63"/>
      <c r="I596" s="63"/>
      <c r="J596" s="63"/>
      <c r="K596" s="63"/>
      <c r="L596" s="64" t="str">
        <f>IF(OR($B596="", $H596="", $I596="", $J596="", $K596=""),"",ROUND((VLOOKUP($H596,Lists!$E$2:$F$5,2,FALSE())*VLOOKUP($I596,Lists!$H$2:$I$4,2,FALSE())*VLOOKUP($J596,Lists!$K$2:$L$4,2,FALSE()))/VLOOKUP($K596,Lists!$N$2:$O$6,2,FALSE()),2))</f>
        <v/>
      </c>
      <c r="M596" s="63"/>
      <c r="N596" s="63"/>
      <c r="O596" s="62"/>
      <c r="P596" s="63"/>
      <c r="Q596" s="65"/>
      <c r="R596" s="66" t="str">
        <f t="shared" ca="1" si="19"/>
        <v/>
      </c>
      <c r="S596" s="63"/>
      <c r="T596" s="65"/>
      <c r="U596" s="65"/>
      <c r="V596" s="62"/>
      <c r="W596" s="62"/>
      <c r="X596" s="62"/>
      <c r="Y596" s="58"/>
      <c r="Z596" s="58"/>
      <c r="AA596" s="58"/>
    </row>
    <row r="597" spans="1:27" ht="15.75" customHeight="1" x14ac:dyDescent="0.2">
      <c r="A597" s="61" t="str">
        <f t="shared" si="18"/>
        <v/>
      </c>
      <c r="B597" s="62"/>
      <c r="C597" s="62"/>
      <c r="D597" s="62"/>
      <c r="E597" s="62"/>
      <c r="F597" s="63"/>
      <c r="G597" s="63"/>
      <c r="H597" s="63"/>
      <c r="I597" s="63"/>
      <c r="J597" s="63"/>
      <c r="K597" s="63"/>
      <c r="L597" s="64" t="str">
        <f>IF(OR($B597="", $H597="", $I597="", $J597="", $K597=""),"",ROUND((VLOOKUP($H597,Lists!$E$2:$F$5,2,FALSE())*VLOOKUP($I597,Lists!$H$2:$I$4,2,FALSE())*VLOOKUP($J597,Lists!$K$2:$L$4,2,FALSE()))/VLOOKUP($K597,Lists!$N$2:$O$6,2,FALSE()),2))</f>
        <v/>
      </c>
      <c r="M597" s="63"/>
      <c r="N597" s="63"/>
      <c r="O597" s="62"/>
      <c r="P597" s="63"/>
      <c r="Q597" s="65"/>
      <c r="R597" s="66" t="str">
        <f t="shared" ca="1" si="19"/>
        <v/>
      </c>
      <c r="S597" s="63"/>
      <c r="T597" s="65"/>
      <c r="U597" s="65"/>
      <c r="V597" s="62"/>
      <c r="W597" s="62"/>
      <c r="X597" s="62"/>
      <c r="Y597" s="58"/>
      <c r="Z597" s="58"/>
      <c r="AA597" s="58"/>
    </row>
    <row r="598" spans="1:27" ht="15.75" customHeight="1" x14ac:dyDescent="0.2">
      <c r="A598" s="61" t="str">
        <f t="shared" si="18"/>
        <v/>
      </c>
      <c r="B598" s="62"/>
      <c r="C598" s="62"/>
      <c r="D598" s="62"/>
      <c r="E598" s="62"/>
      <c r="F598" s="63"/>
      <c r="G598" s="63"/>
      <c r="H598" s="63"/>
      <c r="I598" s="63"/>
      <c r="J598" s="63"/>
      <c r="K598" s="63"/>
      <c r="L598" s="64" t="str">
        <f>IF(OR($B598="", $H598="", $I598="", $J598="", $K598=""),"",ROUND((VLOOKUP($H598,Lists!$E$2:$F$5,2,FALSE())*VLOOKUP($I598,Lists!$H$2:$I$4,2,FALSE())*VLOOKUP($J598,Lists!$K$2:$L$4,2,FALSE()))/VLOOKUP($K598,Lists!$N$2:$O$6,2,FALSE()),2))</f>
        <v/>
      </c>
      <c r="M598" s="63"/>
      <c r="N598" s="63"/>
      <c r="O598" s="62"/>
      <c r="P598" s="63"/>
      <c r="Q598" s="65"/>
      <c r="R598" s="66" t="str">
        <f t="shared" ca="1" si="19"/>
        <v/>
      </c>
      <c r="S598" s="63"/>
      <c r="T598" s="65"/>
      <c r="U598" s="65"/>
      <c r="V598" s="62"/>
      <c r="W598" s="62"/>
      <c r="X598" s="62"/>
      <c r="Y598" s="58"/>
      <c r="Z598" s="58"/>
      <c r="AA598" s="58"/>
    </row>
    <row r="599" spans="1:27" ht="15.75" customHeight="1" x14ac:dyDescent="0.2">
      <c r="A599" s="61" t="str">
        <f t="shared" si="18"/>
        <v/>
      </c>
      <c r="B599" s="62"/>
      <c r="C599" s="62"/>
      <c r="D599" s="62"/>
      <c r="E599" s="62"/>
      <c r="F599" s="63"/>
      <c r="G599" s="63"/>
      <c r="H599" s="63"/>
      <c r="I599" s="63"/>
      <c r="J599" s="63"/>
      <c r="K599" s="63"/>
      <c r="L599" s="64" t="str">
        <f>IF(OR($B599="", $H599="", $I599="", $J599="", $K599=""),"",ROUND((VLOOKUP($H599,Lists!$E$2:$F$5,2,FALSE())*VLOOKUP($I599,Lists!$H$2:$I$4,2,FALSE())*VLOOKUP($J599,Lists!$K$2:$L$4,2,FALSE()))/VLOOKUP($K599,Lists!$N$2:$O$6,2,FALSE()),2))</f>
        <v/>
      </c>
      <c r="M599" s="63"/>
      <c r="N599" s="63"/>
      <c r="O599" s="62"/>
      <c r="P599" s="63"/>
      <c r="Q599" s="65"/>
      <c r="R599" s="66" t="str">
        <f t="shared" ca="1" si="19"/>
        <v/>
      </c>
      <c r="S599" s="63"/>
      <c r="T599" s="65"/>
      <c r="U599" s="65"/>
      <c r="V599" s="62"/>
      <c r="W599" s="62"/>
      <c r="X599" s="62"/>
      <c r="Y599" s="58"/>
      <c r="Z599" s="58"/>
      <c r="AA599" s="58"/>
    </row>
    <row r="600" spans="1:27" ht="15.75" customHeight="1" x14ac:dyDescent="0.2">
      <c r="A600" s="61" t="str">
        <f t="shared" si="18"/>
        <v/>
      </c>
      <c r="B600" s="62"/>
      <c r="C600" s="62"/>
      <c r="D600" s="62"/>
      <c r="E600" s="62"/>
      <c r="F600" s="63"/>
      <c r="G600" s="63"/>
      <c r="H600" s="63"/>
      <c r="I600" s="63"/>
      <c r="J600" s="63"/>
      <c r="K600" s="63"/>
      <c r="L600" s="64" t="str">
        <f>IF(OR($B600="", $H600="", $I600="", $J600="", $K600=""),"",ROUND((VLOOKUP($H600,Lists!$E$2:$F$5,2,FALSE())*VLOOKUP($I600,Lists!$H$2:$I$4,2,FALSE())*VLOOKUP($J600,Lists!$K$2:$L$4,2,FALSE()))/VLOOKUP($K600,Lists!$N$2:$O$6,2,FALSE()),2))</f>
        <v/>
      </c>
      <c r="M600" s="63"/>
      <c r="N600" s="63"/>
      <c r="O600" s="62"/>
      <c r="P600" s="63"/>
      <c r="Q600" s="65"/>
      <c r="R600" s="66" t="str">
        <f t="shared" ca="1" si="19"/>
        <v/>
      </c>
      <c r="S600" s="63"/>
      <c r="T600" s="65"/>
      <c r="U600" s="65"/>
      <c r="V600" s="62"/>
      <c r="W600" s="62"/>
      <c r="X600" s="62"/>
      <c r="Y600" s="58"/>
      <c r="Z600" s="58"/>
      <c r="AA600" s="58"/>
    </row>
    <row r="601" spans="1:27" ht="15.75" customHeight="1" x14ac:dyDescent="0.2">
      <c r="A601" s="61" t="str">
        <f t="shared" si="18"/>
        <v/>
      </c>
      <c r="B601" s="62"/>
      <c r="C601" s="62"/>
      <c r="D601" s="62"/>
      <c r="E601" s="62"/>
      <c r="F601" s="63"/>
      <c r="G601" s="63"/>
      <c r="H601" s="63"/>
      <c r="I601" s="63"/>
      <c r="J601" s="63"/>
      <c r="K601" s="63"/>
      <c r="L601" s="64" t="str">
        <f>IF(OR($B601="", $H601="", $I601="", $J601="", $K601=""),"",ROUND((VLOOKUP($H601,Lists!$E$2:$F$5,2,FALSE())*VLOOKUP($I601,Lists!$H$2:$I$4,2,FALSE())*VLOOKUP($J601,Lists!$K$2:$L$4,2,FALSE()))/VLOOKUP($K601,Lists!$N$2:$O$6,2,FALSE()),2))</f>
        <v/>
      </c>
      <c r="M601" s="63"/>
      <c r="N601" s="63"/>
      <c r="O601" s="62"/>
      <c r="P601" s="63"/>
      <c r="Q601" s="65"/>
      <c r="R601" s="66" t="str">
        <f t="shared" ca="1" si="19"/>
        <v/>
      </c>
      <c r="S601" s="63"/>
      <c r="T601" s="65"/>
      <c r="U601" s="65"/>
      <c r="V601" s="62"/>
      <c r="W601" s="62"/>
      <c r="X601" s="62"/>
      <c r="Y601" s="58"/>
      <c r="Z601" s="58"/>
      <c r="AA601" s="58"/>
    </row>
    <row r="602" spans="1:27" ht="15.75" customHeight="1" x14ac:dyDescent="0.2">
      <c r="A602" s="61" t="str">
        <f t="shared" si="18"/>
        <v/>
      </c>
      <c r="B602" s="62"/>
      <c r="C602" s="62"/>
      <c r="D602" s="62"/>
      <c r="E602" s="62"/>
      <c r="F602" s="63"/>
      <c r="G602" s="63"/>
      <c r="H602" s="63"/>
      <c r="I602" s="63"/>
      <c r="J602" s="63"/>
      <c r="K602" s="63"/>
      <c r="L602" s="64" t="str">
        <f>IF(OR($B602="", $H602="", $I602="", $J602="", $K602=""),"",ROUND((VLOOKUP($H602,Lists!$E$2:$F$5,2,FALSE())*VLOOKUP($I602,Lists!$H$2:$I$4,2,FALSE())*VLOOKUP($J602,Lists!$K$2:$L$4,2,FALSE()))/VLOOKUP($K602,Lists!$N$2:$O$6,2,FALSE()),2))</f>
        <v/>
      </c>
      <c r="M602" s="63"/>
      <c r="N602" s="63"/>
      <c r="O602" s="62"/>
      <c r="P602" s="63"/>
      <c r="Q602" s="65"/>
      <c r="R602" s="66" t="str">
        <f t="shared" ca="1" si="19"/>
        <v/>
      </c>
      <c r="S602" s="63"/>
      <c r="T602" s="65"/>
      <c r="U602" s="65"/>
      <c r="V602" s="62"/>
      <c r="W602" s="62"/>
      <c r="X602" s="62"/>
      <c r="Y602" s="58"/>
      <c r="Z602" s="58"/>
      <c r="AA602" s="58"/>
    </row>
    <row r="603" spans="1:27" ht="15.75" customHeight="1" x14ac:dyDescent="0.2">
      <c r="A603" s="61" t="str">
        <f t="shared" si="18"/>
        <v/>
      </c>
      <c r="B603" s="62"/>
      <c r="C603" s="62"/>
      <c r="D603" s="62"/>
      <c r="E603" s="62"/>
      <c r="F603" s="63"/>
      <c r="G603" s="63"/>
      <c r="H603" s="63"/>
      <c r="I603" s="63"/>
      <c r="J603" s="63"/>
      <c r="K603" s="63"/>
      <c r="L603" s="64" t="str">
        <f>IF(OR($B603="", $H603="", $I603="", $J603="", $K603=""),"",ROUND((VLOOKUP($H603,Lists!$E$2:$F$5,2,FALSE())*VLOOKUP($I603,Lists!$H$2:$I$4,2,FALSE())*VLOOKUP($J603,Lists!$K$2:$L$4,2,FALSE()))/VLOOKUP($K603,Lists!$N$2:$O$6,2,FALSE()),2))</f>
        <v/>
      </c>
      <c r="M603" s="63"/>
      <c r="N603" s="63"/>
      <c r="O603" s="62"/>
      <c r="P603" s="63"/>
      <c r="Q603" s="65"/>
      <c r="R603" s="66" t="str">
        <f t="shared" ca="1" si="19"/>
        <v/>
      </c>
      <c r="S603" s="63"/>
      <c r="T603" s="65"/>
      <c r="U603" s="65"/>
      <c r="V603" s="62"/>
      <c r="W603" s="62"/>
      <c r="X603" s="62"/>
      <c r="Y603" s="58"/>
      <c r="Z603" s="58"/>
      <c r="AA603" s="58"/>
    </row>
    <row r="604" spans="1:27" ht="15.75" customHeight="1" x14ac:dyDescent="0.2">
      <c r="A604" s="61" t="str">
        <f t="shared" si="18"/>
        <v/>
      </c>
      <c r="B604" s="62"/>
      <c r="C604" s="62"/>
      <c r="D604" s="62"/>
      <c r="E604" s="62"/>
      <c r="F604" s="63"/>
      <c r="G604" s="63"/>
      <c r="H604" s="63"/>
      <c r="I604" s="63"/>
      <c r="J604" s="63"/>
      <c r="K604" s="63"/>
      <c r="L604" s="64" t="str">
        <f>IF(OR($B604="", $H604="", $I604="", $J604="", $K604=""),"",ROUND((VLOOKUP($H604,Lists!$E$2:$F$5,2,FALSE())*VLOOKUP($I604,Lists!$H$2:$I$4,2,FALSE())*VLOOKUP($J604,Lists!$K$2:$L$4,2,FALSE()))/VLOOKUP($K604,Lists!$N$2:$O$6,2,FALSE()),2))</f>
        <v/>
      </c>
      <c r="M604" s="63"/>
      <c r="N604" s="63"/>
      <c r="O604" s="62"/>
      <c r="P604" s="63"/>
      <c r="Q604" s="65"/>
      <c r="R604" s="66" t="str">
        <f t="shared" ca="1" si="19"/>
        <v/>
      </c>
      <c r="S604" s="63"/>
      <c r="T604" s="65"/>
      <c r="U604" s="65"/>
      <c r="V604" s="62"/>
      <c r="W604" s="62"/>
      <c r="X604" s="62"/>
      <c r="Y604" s="58"/>
      <c r="Z604" s="58"/>
      <c r="AA604" s="58"/>
    </row>
    <row r="605" spans="1:27" ht="15.75" customHeight="1" x14ac:dyDescent="0.2">
      <c r="A605" s="61" t="str">
        <f t="shared" si="18"/>
        <v/>
      </c>
      <c r="B605" s="62"/>
      <c r="C605" s="62"/>
      <c r="D605" s="62"/>
      <c r="E605" s="62"/>
      <c r="F605" s="63"/>
      <c r="G605" s="63"/>
      <c r="H605" s="63"/>
      <c r="I605" s="63"/>
      <c r="J605" s="63"/>
      <c r="K605" s="63"/>
      <c r="L605" s="64" t="str">
        <f>IF(OR($B605="", $H605="", $I605="", $J605="", $K605=""),"",ROUND((VLOOKUP($H605,Lists!$E$2:$F$5,2,FALSE())*VLOOKUP($I605,Lists!$H$2:$I$4,2,FALSE())*VLOOKUP($J605,Lists!$K$2:$L$4,2,FALSE()))/VLOOKUP($K605,Lists!$N$2:$O$6,2,FALSE()),2))</f>
        <v/>
      </c>
      <c r="M605" s="63"/>
      <c r="N605" s="63"/>
      <c r="O605" s="62"/>
      <c r="P605" s="63"/>
      <c r="Q605" s="65"/>
      <c r="R605" s="66" t="str">
        <f t="shared" ca="1" si="19"/>
        <v/>
      </c>
      <c r="S605" s="63"/>
      <c r="T605" s="65"/>
      <c r="U605" s="65"/>
      <c r="V605" s="62"/>
      <c r="W605" s="62"/>
      <c r="X605" s="62"/>
      <c r="Y605" s="58"/>
      <c r="Z605" s="58"/>
      <c r="AA605" s="58"/>
    </row>
    <row r="606" spans="1:27" ht="15.75" customHeight="1" x14ac:dyDescent="0.2">
      <c r="A606" s="61" t="str">
        <f t="shared" si="18"/>
        <v/>
      </c>
      <c r="B606" s="62"/>
      <c r="C606" s="62"/>
      <c r="D606" s="62"/>
      <c r="E606" s="62"/>
      <c r="F606" s="63"/>
      <c r="G606" s="63"/>
      <c r="H606" s="63"/>
      <c r="I606" s="63"/>
      <c r="J606" s="63"/>
      <c r="K606" s="63"/>
      <c r="L606" s="64" t="str">
        <f>IF(OR($B606="", $H606="", $I606="", $J606="", $K606=""),"",ROUND((VLOOKUP($H606,Lists!$E$2:$F$5,2,FALSE())*VLOOKUP($I606,Lists!$H$2:$I$4,2,FALSE())*VLOOKUP($J606,Lists!$K$2:$L$4,2,FALSE()))/VLOOKUP($K606,Lists!$N$2:$O$6,2,FALSE()),2))</f>
        <v/>
      </c>
      <c r="M606" s="63"/>
      <c r="N606" s="63"/>
      <c r="O606" s="62"/>
      <c r="P606" s="63"/>
      <c r="Q606" s="65"/>
      <c r="R606" s="66" t="str">
        <f t="shared" ca="1" si="19"/>
        <v/>
      </c>
      <c r="S606" s="63"/>
      <c r="T606" s="65"/>
      <c r="U606" s="65"/>
      <c r="V606" s="62"/>
      <c r="W606" s="62"/>
      <c r="X606" s="62"/>
      <c r="Y606" s="58"/>
      <c r="Z606" s="58"/>
      <c r="AA606" s="58"/>
    </row>
    <row r="607" spans="1:27" ht="15.75" customHeight="1" x14ac:dyDescent="0.2">
      <c r="A607" s="61" t="str">
        <f t="shared" si="18"/>
        <v/>
      </c>
      <c r="B607" s="62"/>
      <c r="C607" s="62"/>
      <c r="D607" s="62"/>
      <c r="E607" s="62"/>
      <c r="F607" s="63"/>
      <c r="G607" s="63"/>
      <c r="H607" s="63"/>
      <c r="I607" s="63"/>
      <c r="J607" s="63"/>
      <c r="K607" s="63"/>
      <c r="L607" s="64" t="str">
        <f>IF(OR($B607="", $H607="", $I607="", $J607="", $K607=""),"",ROUND((VLOOKUP($H607,Lists!$E$2:$F$5,2,FALSE())*VLOOKUP($I607,Lists!$H$2:$I$4,2,FALSE())*VLOOKUP($J607,Lists!$K$2:$L$4,2,FALSE()))/VLOOKUP($K607,Lists!$N$2:$O$6,2,FALSE()),2))</f>
        <v/>
      </c>
      <c r="M607" s="63"/>
      <c r="N607" s="63"/>
      <c r="O607" s="62"/>
      <c r="P607" s="63"/>
      <c r="Q607" s="65"/>
      <c r="R607" s="66" t="str">
        <f t="shared" ca="1" si="19"/>
        <v/>
      </c>
      <c r="S607" s="63"/>
      <c r="T607" s="65"/>
      <c r="U607" s="65"/>
      <c r="V607" s="62"/>
      <c r="W607" s="62"/>
      <c r="X607" s="62"/>
      <c r="Y607" s="58"/>
      <c r="Z607" s="58"/>
      <c r="AA607" s="58"/>
    </row>
    <row r="608" spans="1:27" ht="15.75" customHeight="1" x14ac:dyDescent="0.2">
      <c r="A608" s="61" t="str">
        <f t="shared" si="18"/>
        <v/>
      </c>
      <c r="B608" s="62"/>
      <c r="C608" s="62"/>
      <c r="D608" s="62"/>
      <c r="E608" s="62"/>
      <c r="F608" s="63"/>
      <c r="G608" s="63"/>
      <c r="H608" s="63"/>
      <c r="I608" s="63"/>
      <c r="J608" s="63"/>
      <c r="K608" s="63"/>
      <c r="L608" s="64" t="str">
        <f>IF(OR($B608="", $H608="", $I608="", $J608="", $K608=""),"",ROUND((VLOOKUP($H608,Lists!$E$2:$F$5,2,FALSE())*VLOOKUP($I608,Lists!$H$2:$I$4,2,FALSE())*VLOOKUP($J608,Lists!$K$2:$L$4,2,FALSE()))/VLOOKUP($K608,Lists!$N$2:$O$6,2,FALSE()),2))</f>
        <v/>
      </c>
      <c r="M608" s="63"/>
      <c r="N608" s="63"/>
      <c r="O608" s="62"/>
      <c r="P608" s="63"/>
      <c r="Q608" s="65"/>
      <c r="R608" s="66" t="str">
        <f t="shared" ca="1" si="19"/>
        <v/>
      </c>
      <c r="S608" s="63"/>
      <c r="T608" s="65"/>
      <c r="U608" s="65"/>
      <c r="V608" s="62"/>
      <c r="W608" s="62"/>
      <c r="X608" s="62"/>
      <c r="Y608" s="58"/>
      <c r="Z608" s="58"/>
      <c r="AA608" s="58"/>
    </row>
    <row r="609" spans="1:27" ht="15.75" customHeight="1" x14ac:dyDescent="0.2">
      <c r="A609" s="61" t="str">
        <f t="shared" si="18"/>
        <v/>
      </c>
      <c r="B609" s="62"/>
      <c r="C609" s="62"/>
      <c r="D609" s="62"/>
      <c r="E609" s="62"/>
      <c r="F609" s="63"/>
      <c r="G609" s="63"/>
      <c r="H609" s="63"/>
      <c r="I609" s="63"/>
      <c r="J609" s="63"/>
      <c r="K609" s="63"/>
      <c r="L609" s="64" t="str">
        <f>IF(OR($B609="", $H609="", $I609="", $J609="", $K609=""),"",ROUND((VLOOKUP($H609,Lists!$E$2:$F$5,2,FALSE())*VLOOKUP($I609,Lists!$H$2:$I$4,2,FALSE())*VLOOKUP($J609,Lists!$K$2:$L$4,2,FALSE()))/VLOOKUP($K609,Lists!$N$2:$O$6,2,FALSE()),2))</f>
        <v/>
      </c>
      <c r="M609" s="63"/>
      <c r="N609" s="63"/>
      <c r="O609" s="62"/>
      <c r="P609" s="63"/>
      <c r="Q609" s="65"/>
      <c r="R609" s="66" t="str">
        <f t="shared" ca="1" si="19"/>
        <v/>
      </c>
      <c r="S609" s="63"/>
      <c r="T609" s="65"/>
      <c r="U609" s="65"/>
      <c r="V609" s="62"/>
      <c r="W609" s="62"/>
      <c r="X609" s="62"/>
      <c r="Y609" s="58"/>
      <c r="Z609" s="58"/>
      <c r="AA609" s="58"/>
    </row>
    <row r="610" spans="1:27" ht="15.75" customHeight="1" x14ac:dyDescent="0.2">
      <c r="A610" s="61" t="str">
        <f t="shared" si="18"/>
        <v/>
      </c>
      <c r="B610" s="62"/>
      <c r="C610" s="62"/>
      <c r="D610" s="62"/>
      <c r="E610" s="62"/>
      <c r="F610" s="63"/>
      <c r="G610" s="63"/>
      <c r="H610" s="63"/>
      <c r="I610" s="63"/>
      <c r="J610" s="63"/>
      <c r="K610" s="63"/>
      <c r="L610" s="64" t="str">
        <f>IF(OR($B610="", $H610="", $I610="", $J610="", $K610=""),"",ROUND((VLOOKUP($H610,Lists!$E$2:$F$5,2,FALSE())*VLOOKUP($I610,Lists!$H$2:$I$4,2,FALSE())*VLOOKUP($J610,Lists!$K$2:$L$4,2,FALSE()))/VLOOKUP($K610,Lists!$N$2:$O$6,2,FALSE()),2))</f>
        <v/>
      </c>
      <c r="M610" s="63"/>
      <c r="N610" s="63"/>
      <c r="O610" s="62"/>
      <c r="P610" s="63"/>
      <c r="Q610" s="65"/>
      <c r="R610" s="66" t="str">
        <f t="shared" ca="1" si="19"/>
        <v/>
      </c>
      <c r="S610" s="63"/>
      <c r="T610" s="65"/>
      <c r="U610" s="65"/>
      <c r="V610" s="62"/>
      <c r="W610" s="62"/>
      <c r="X610" s="62"/>
      <c r="Y610" s="58"/>
      <c r="Z610" s="58"/>
      <c r="AA610" s="58"/>
    </row>
    <row r="611" spans="1:27" ht="15.75" customHeight="1" x14ac:dyDescent="0.2">
      <c r="A611" s="61" t="str">
        <f t="shared" si="18"/>
        <v/>
      </c>
      <c r="B611" s="62"/>
      <c r="C611" s="62"/>
      <c r="D611" s="62"/>
      <c r="E611" s="62"/>
      <c r="F611" s="63"/>
      <c r="G611" s="63"/>
      <c r="H611" s="63"/>
      <c r="I611" s="63"/>
      <c r="J611" s="63"/>
      <c r="K611" s="63"/>
      <c r="L611" s="64" t="str">
        <f>IF(OR($B611="", $H611="", $I611="", $J611="", $K611=""),"",ROUND((VLOOKUP($H611,Lists!$E$2:$F$5,2,FALSE())*VLOOKUP($I611,Lists!$H$2:$I$4,2,FALSE())*VLOOKUP($J611,Lists!$K$2:$L$4,2,FALSE()))/VLOOKUP($K611,Lists!$N$2:$O$6,2,FALSE()),2))</f>
        <v/>
      </c>
      <c r="M611" s="63"/>
      <c r="N611" s="63"/>
      <c r="O611" s="62"/>
      <c r="P611" s="63"/>
      <c r="Q611" s="65"/>
      <c r="R611" s="66" t="str">
        <f t="shared" ca="1" si="19"/>
        <v/>
      </c>
      <c r="S611" s="63"/>
      <c r="T611" s="65"/>
      <c r="U611" s="65"/>
      <c r="V611" s="62"/>
      <c r="W611" s="62"/>
      <c r="X611" s="62"/>
      <c r="Y611" s="58"/>
      <c r="Z611" s="58"/>
      <c r="AA611" s="58"/>
    </row>
    <row r="612" spans="1:27" ht="15.75" customHeight="1" x14ac:dyDescent="0.2">
      <c r="A612" s="61" t="str">
        <f t="shared" si="18"/>
        <v/>
      </c>
      <c r="B612" s="62"/>
      <c r="C612" s="62"/>
      <c r="D612" s="62"/>
      <c r="E612" s="62"/>
      <c r="F612" s="63"/>
      <c r="G612" s="63"/>
      <c r="H612" s="63"/>
      <c r="I612" s="63"/>
      <c r="J612" s="63"/>
      <c r="K612" s="63"/>
      <c r="L612" s="64" t="str">
        <f>IF(OR($B612="", $H612="", $I612="", $J612="", $K612=""),"",ROUND((VLOOKUP($H612,Lists!$E$2:$F$5,2,FALSE())*VLOOKUP($I612,Lists!$H$2:$I$4,2,FALSE())*VLOOKUP($J612,Lists!$K$2:$L$4,2,FALSE()))/VLOOKUP($K612,Lists!$N$2:$O$6,2,FALSE()),2))</f>
        <v/>
      </c>
      <c r="M612" s="63"/>
      <c r="N612" s="63"/>
      <c r="O612" s="62"/>
      <c r="P612" s="63"/>
      <c r="Q612" s="65"/>
      <c r="R612" s="66" t="str">
        <f t="shared" ca="1" si="19"/>
        <v/>
      </c>
      <c r="S612" s="63"/>
      <c r="T612" s="65"/>
      <c r="U612" s="65"/>
      <c r="V612" s="62"/>
      <c r="W612" s="62"/>
      <c r="X612" s="62"/>
      <c r="Y612" s="58"/>
      <c r="Z612" s="58"/>
      <c r="AA612" s="58"/>
    </row>
    <row r="613" spans="1:27" ht="15.75" customHeight="1" x14ac:dyDescent="0.2">
      <c r="A613" s="61" t="str">
        <f t="shared" si="18"/>
        <v/>
      </c>
      <c r="B613" s="62"/>
      <c r="C613" s="62"/>
      <c r="D613" s="62"/>
      <c r="E613" s="62"/>
      <c r="F613" s="63"/>
      <c r="G613" s="63"/>
      <c r="H613" s="63"/>
      <c r="I613" s="63"/>
      <c r="J613" s="63"/>
      <c r="K613" s="63"/>
      <c r="L613" s="64" t="str">
        <f>IF(OR($B613="", $H613="", $I613="", $J613="", $K613=""),"",ROUND((VLOOKUP($H613,Lists!$E$2:$F$5,2,FALSE())*VLOOKUP($I613,Lists!$H$2:$I$4,2,FALSE())*VLOOKUP($J613,Lists!$K$2:$L$4,2,FALSE()))/VLOOKUP($K613,Lists!$N$2:$O$6,2,FALSE()),2))</f>
        <v/>
      </c>
      <c r="M613" s="63"/>
      <c r="N613" s="63"/>
      <c r="O613" s="62"/>
      <c r="P613" s="63"/>
      <c r="Q613" s="65"/>
      <c r="R613" s="66" t="str">
        <f t="shared" ca="1" si="19"/>
        <v/>
      </c>
      <c r="S613" s="63"/>
      <c r="T613" s="65"/>
      <c r="U613" s="65"/>
      <c r="V613" s="62"/>
      <c r="W613" s="62"/>
      <c r="X613" s="62"/>
      <c r="Y613" s="58"/>
      <c r="Z613" s="58"/>
      <c r="AA613" s="58"/>
    </row>
    <row r="614" spans="1:27" ht="15.75" customHeight="1" x14ac:dyDescent="0.2">
      <c r="A614" s="61" t="str">
        <f t="shared" si="18"/>
        <v/>
      </c>
      <c r="B614" s="62"/>
      <c r="C614" s="62"/>
      <c r="D614" s="62"/>
      <c r="E614" s="62"/>
      <c r="F614" s="63"/>
      <c r="G614" s="63"/>
      <c r="H614" s="63"/>
      <c r="I614" s="63"/>
      <c r="J614" s="63"/>
      <c r="K614" s="63"/>
      <c r="L614" s="64" t="str">
        <f>IF(OR($B614="", $H614="", $I614="", $J614="", $K614=""),"",ROUND((VLOOKUP($H614,Lists!$E$2:$F$5,2,FALSE())*VLOOKUP($I614,Lists!$H$2:$I$4,2,FALSE())*VLOOKUP($J614,Lists!$K$2:$L$4,2,FALSE()))/VLOOKUP($K614,Lists!$N$2:$O$6,2,FALSE()),2))</f>
        <v/>
      </c>
      <c r="M614" s="63"/>
      <c r="N614" s="63"/>
      <c r="O614" s="62"/>
      <c r="P614" s="63"/>
      <c r="Q614" s="65"/>
      <c r="R614" s="66" t="str">
        <f t="shared" ca="1" si="19"/>
        <v/>
      </c>
      <c r="S614" s="63"/>
      <c r="T614" s="65"/>
      <c r="U614" s="65"/>
      <c r="V614" s="62"/>
      <c r="W614" s="62"/>
      <c r="X614" s="62"/>
      <c r="Y614" s="58"/>
      <c r="Z614" s="58"/>
      <c r="AA614" s="58"/>
    </row>
    <row r="615" spans="1:27" ht="15.75" customHeight="1" x14ac:dyDescent="0.2">
      <c r="A615" s="61" t="str">
        <f t="shared" si="18"/>
        <v/>
      </c>
      <c r="B615" s="62"/>
      <c r="C615" s="62"/>
      <c r="D615" s="62"/>
      <c r="E615" s="62"/>
      <c r="F615" s="63"/>
      <c r="G615" s="63"/>
      <c r="H615" s="63"/>
      <c r="I615" s="63"/>
      <c r="J615" s="63"/>
      <c r="K615" s="63"/>
      <c r="L615" s="64" t="str">
        <f>IF(OR($B615="", $H615="", $I615="", $J615="", $K615=""),"",ROUND((VLOOKUP($H615,Lists!$E$2:$F$5,2,FALSE())*VLOOKUP($I615,Lists!$H$2:$I$4,2,FALSE())*VLOOKUP($J615,Lists!$K$2:$L$4,2,FALSE()))/VLOOKUP($K615,Lists!$N$2:$O$6,2,FALSE()),2))</f>
        <v/>
      </c>
      <c r="M615" s="63"/>
      <c r="N615" s="63"/>
      <c r="O615" s="62"/>
      <c r="P615" s="63"/>
      <c r="Q615" s="65"/>
      <c r="R615" s="66" t="str">
        <f t="shared" ca="1" si="19"/>
        <v/>
      </c>
      <c r="S615" s="63"/>
      <c r="T615" s="65"/>
      <c r="U615" s="65"/>
      <c r="V615" s="62"/>
      <c r="W615" s="62"/>
      <c r="X615" s="62"/>
      <c r="Y615" s="58"/>
      <c r="Z615" s="58"/>
      <c r="AA615" s="58"/>
    </row>
    <row r="616" spans="1:27" ht="15.75" customHeight="1" x14ac:dyDescent="0.2">
      <c r="A616" s="61" t="str">
        <f t="shared" si="18"/>
        <v/>
      </c>
      <c r="B616" s="62"/>
      <c r="C616" s="62"/>
      <c r="D616" s="62"/>
      <c r="E616" s="62"/>
      <c r="F616" s="63"/>
      <c r="G616" s="63"/>
      <c r="H616" s="63"/>
      <c r="I616" s="63"/>
      <c r="J616" s="63"/>
      <c r="K616" s="63"/>
      <c r="L616" s="64" t="str">
        <f>IF(OR($B616="", $H616="", $I616="", $J616="", $K616=""),"",ROUND((VLOOKUP($H616,Lists!$E$2:$F$5,2,FALSE())*VLOOKUP($I616,Lists!$H$2:$I$4,2,FALSE())*VLOOKUP($J616,Lists!$K$2:$L$4,2,FALSE()))/VLOOKUP($K616,Lists!$N$2:$O$6,2,FALSE()),2))</f>
        <v/>
      </c>
      <c r="M616" s="63"/>
      <c r="N616" s="63"/>
      <c r="O616" s="62"/>
      <c r="P616" s="63"/>
      <c r="Q616" s="65"/>
      <c r="R616" s="66" t="str">
        <f t="shared" ca="1" si="19"/>
        <v/>
      </c>
      <c r="S616" s="63"/>
      <c r="T616" s="65"/>
      <c r="U616" s="65"/>
      <c r="V616" s="62"/>
      <c r="W616" s="62"/>
      <c r="X616" s="62"/>
      <c r="Y616" s="58"/>
      <c r="Z616" s="58"/>
      <c r="AA616" s="58"/>
    </row>
    <row r="617" spans="1:27" ht="15.75" customHeight="1" x14ac:dyDescent="0.2">
      <c r="A617" s="61" t="str">
        <f t="shared" si="18"/>
        <v/>
      </c>
      <c r="B617" s="62"/>
      <c r="C617" s="62"/>
      <c r="D617" s="62"/>
      <c r="E617" s="62"/>
      <c r="F617" s="63"/>
      <c r="G617" s="63"/>
      <c r="H617" s="63"/>
      <c r="I617" s="63"/>
      <c r="J617" s="63"/>
      <c r="K617" s="63"/>
      <c r="L617" s="64" t="str">
        <f>IF(OR($B617="", $H617="", $I617="", $J617="", $K617=""),"",ROUND((VLOOKUP($H617,Lists!$E$2:$F$5,2,FALSE())*VLOOKUP($I617,Lists!$H$2:$I$4,2,FALSE())*VLOOKUP($J617,Lists!$K$2:$L$4,2,FALSE()))/VLOOKUP($K617,Lists!$N$2:$O$6,2,FALSE()),2))</f>
        <v/>
      </c>
      <c r="M617" s="63"/>
      <c r="N617" s="63"/>
      <c r="O617" s="62"/>
      <c r="P617" s="63"/>
      <c r="Q617" s="65"/>
      <c r="R617" s="66" t="str">
        <f t="shared" ca="1" si="19"/>
        <v/>
      </c>
      <c r="S617" s="63"/>
      <c r="T617" s="65"/>
      <c r="U617" s="65"/>
      <c r="V617" s="62"/>
      <c r="W617" s="62"/>
      <c r="X617" s="62"/>
      <c r="Y617" s="58"/>
      <c r="Z617" s="58"/>
      <c r="AA617" s="58"/>
    </row>
    <row r="618" spans="1:27" ht="15.75" customHeight="1" x14ac:dyDescent="0.2">
      <c r="A618" s="61" t="str">
        <f t="shared" si="18"/>
        <v/>
      </c>
      <c r="B618" s="62"/>
      <c r="C618" s="62"/>
      <c r="D618" s="62"/>
      <c r="E618" s="62"/>
      <c r="F618" s="63"/>
      <c r="G618" s="63"/>
      <c r="H618" s="63"/>
      <c r="I618" s="63"/>
      <c r="J618" s="63"/>
      <c r="K618" s="63"/>
      <c r="L618" s="64" t="str">
        <f>IF(OR($B618="", $H618="", $I618="", $J618="", $K618=""),"",ROUND((VLOOKUP($H618,Lists!$E$2:$F$5,2,FALSE())*VLOOKUP($I618,Lists!$H$2:$I$4,2,FALSE())*VLOOKUP($J618,Lists!$K$2:$L$4,2,FALSE()))/VLOOKUP($K618,Lists!$N$2:$O$6,2,FALSE()),2))</f>
        <v/>
      </c>
      <c r="M618" s="63"/>
      <c r="N618" s="63"/>
      <c r="O618" s="62"/>
      <c r="P618" s="63"/>
      <c r="Q618" s="65"/>
      <c r="R618" s="66" t="str">
        <f t="shared" ca="1" si="19"/>
        <v/>
      </c>
      <c r="S618" s="63"/>
      <c r="T618" s="65"/>
      <c r="U618" s="65"/>
      <c r="V618" s="62"/>
      <c r="W618" s="62"/>
      <c r="X618" s="62"/>
      <c r="Y618" s="58"/>
      <c r="Z618" s="58"/>
      <c r="AA618" s="58"/>
    </row>
    <row r="619" spans="1:27" ht="15.75" customHeight="1" x14ac:dyDescent="0.2">
      <c r="A619" s="61" t="str">
        <f t="shared" si="18"/>
        <v/>
      </c>
      <c r="B619" s="62"/>
      <c r="C619" s="62"/>
      <c r="D619" s="62"/>
      <c r="E619" s="62"/>
      <c r="F619" s="63"/>
      <c r="G619" s="63"/>
      <c r="H619" s="63"/>
      <c r="I619" s="63"/>
      <c r="J619" s="63"/>
      <c r="K619" s="63"/>
      <c r="L619" s="64" t="str">
        <f>IF(OR($B619="", $H619="", $I619="", $J619="", $K619=""),"",ROUND((VLOOKUP($H619,Lists!$E$2:$F$5,2,FALSE())*VLOOKUP($I619,Lists!$H$2:$I$4,2,FALSE())*VLOOKUP($J619,Lists!$K$2:$L$4,2,FALSE()))/VLOOKUP($K619,Lists!$N$2:$O$6,2,FALSE()),2))</f>
        <v/>
      </c>
      <c r="M619" s="63"/>
      <c r="N619" s="63"/>
      <c r="O619" s="62"/>
      <c r="P619" s="63"/>
      <c r="Q619" s="65"/>
      <c r="R619" s="66" t="str">
        <f t="shared" ca="1" si="19"/>
        <v/>
      </c>
      <c r="S619" s="63"/>
      <c r="T619" s="65"/>
      <c r="U619" s="65"/>
      <c r="V619" s="62"/>
      <c r="W619" s="62"/>
      <c r="X619" s="62"/>
      <c r="Y619" s="58"/>
      <c r="Z619" s="58"/>
      <c r="AA619" s="58"/>
    </row>
    <row r="620" spans="1:27" ht="15.75" customHeight="1" x14ac:dyDescent="0.2">
      <c r="A620" s="61" t="str">
        <f t="shared" si="18"/>
        <v/>
      </c>
      <c r="B620" s="62"/>
      <c r="C620" s="62"/>
      <c r="D620" s="62"/>
      <c r="E620" s="62"/>
      <c r="F620" s="63"/>
      <c r="G620" s="63"/>
      <c r="H620" s="63"/>
      <c r="I620" s="63"/>
      <c r="J620" s="63"/>
      <c r="K620" s="63"/>
      <c r="L620" s="64" t="str">
        <f>IF(OR($B620="", $H620="", $I620="", $J620="", $K620=""),"",ROUND((VLOOKUP($H620,Lists!$E$2:$F$5,2,FALSE())*VLOOKUP($I620,Lists!$H$2:$I$4,2,FALSE())*VLOOKUP($J620,Lists!$K$2:$L$4,2,FALSE()))/VLOOKUP($K620,Lists!$N$2:$O$6,2,FALSE()),2))</f>
        <v/>
      </c>
      <c r="M620" s="63"/>
      <c r="N620" s="63"/>
      <c r="O620" s="62"/>
      <c r="P620" s="63"/>
      <c r="Q620" s="65"/>
      <c r="R620" s="66" t="str">
        <f t="shared" ca="1" si="19"/>
        <v/>
      </c>
      <c r="S620" s="63"/>
      <c r="T620" s="65"/>
      <c r="U620" s="65"/>
      <c r="V620" s="62"/>
      <c r="W620" s="62"/>
      <c r="X620" s="62"/>
      <c r="Y620" s="58"/>
      <c r="Z620" s="58"/>
      <c r="AA620" s="58"/>
    </row>
    <row r="621" spans="1:27" ht="15.75" customHeight="1" x14ac:dyDescent="0.2">
      <c r="A621" s="61" t="str">
        <f t="shared" si="18"/>
        <v/>
      </c>
      <c r="B621" s="62"/>
      <c r="C621" s="62"/>
      <c r="D621" s="62"/>
      <c r="E621" s="62"/>
      <c r="F621" s="63"/>
      <c r="G621" s="63"/>
      <c r="H621" s="63"/>
      <c r="I621" s="63"/>
      <c r="J621" s="63"/>
      <c r="K621" s="63"/>
      <c r="L621" s="64" t="str">
        <f>IF(OR($B621="", $H621="", $I621="", $J621="", $K621=""),"",ROUND((VLOOKUP($H621,Lists!$E$2:$F$5,2,FALSE())*VLOOKUP($I621,Lists!$H$2:$I$4,2,FALSE())*VLOOKUP($J621,Lists!$K$2:$L$4,2,FALSE()))/VLOOKUP($K621,Lists!$N$2:$O$6,2,FALSE()),2))</f>
        <v/>
      </c>
      <c r="M621" s="63"/>
      <c r="N621" s="63"/>
      <c r="O621" s="62"/>
      <c r="P621" s="63"/>
      <c r="Q621" s="65"/>
      <c r="R621" s="66" t="str">
        <f t="shared" ca="1" si="19"/>
        <v/>
      </c>
      <c r="S621" s="63"/>
      <c r="T621" s="65"/>
      <c r="U621" s="65"/>
      <c r="V621" s="62"/>
      <c r="W621" s="62"/>
      <c r="X621" s="62"/>
      <c r="Y621" s="58"/>
      <c r="Z621" s="58"/>
      <c r="AA621" s="58"/>
    </row>
    <row r="622" spans="1:27" ht="15.75" customHeight="1" x14ac:dyDescent="0.2">
      <c r="A622" s="61" t="str">
        <f t="shared" si="18"/>
        <v/>
      </c>
      <c r="B622" s="62"/>
      <c r="C622" s="62"/>
      <c r="D622" s="62"/>
      <c r="E622" s="62"/>
      <c r="F622" s="63"/>
      <c r="G622" s="63"/>
      <c r="H622" s="63"/>
      <c r="I622" s="63"/>
      <c r="J622" s="63"/>
      <c r="K622" s="63"/>
      <c r="L622" s="64" t="str">
        <f>IF(OR($B622="", $H622="", $I622="", $J622="", $K622=""),"",ROUND((VLOOKUP($H622,Lists!$E$2:$F$5,2,FALSE())*VLOOKUP($I622,Lists!$H$2:$I$4,2,FALSE())*VLOOKUP($J622,Lists!$K$2:$L$4,2,FALSE()))/VLOOKUP($K622,Lists!$N$2:$O$6,2,FALSE()),2))</f>
        <v/>
      </c>
      <c r="M622" s="63"/>
      <c r="N622" s="63"/>
      <c r="O622" s="62"/>
      <c r="P622" s="63"/>
      <c r="Q622" s="65"/>
      <c r="R622" s="66" t="str">
        <f t="shared" ca="1" si="19"/>
        <v/>
      </c>
      <c r="S622" s="63"/>
      <c r="T622" s="65"/>
      <c r="U622" s="65"/>
      <c r="V622" s="62"/>
      <c r="W622" s="62"/>
      <c r="X622" s="62"/>
      <c r="Y622" s="58"/>
      <c r="Z622" s="58"/>
      <c r="AA622" s="58"/>
    </row>
    <row r="623" spans="1:27" ht="15.75" customHeight="1" x14ac:dyDescent="0.2">
      <c r="A623" s="61" t="str">
        <f t="shared" si="18"/>
        <v/>
      </c>
      <c r="B623" s="62"/>
      <c r="C623" s="62"/>
      <c r="D623" s="62"/>
      <c r="E623" s="62"/>
      <c r="F623" s="63"/>
      <c r="G623" s="63"/>
      <c r="H623" s="63"/>
      <c r="I623" s="63"/>
      <c r="J623" s="63"/>
      <c r="K623" s="63"/>
      <c r="L623" s="64" t="str">
        <f>IF(OR($B623="", $H623="", $I623="", $J623="", $K623=""),"",ROUND((VLOOKUP($H623,Lists!$E$2:$F$5,2,FALSE())*VLOOKUP($I623,Lists!$H$2:$I$4,2,FALSE())*VLOOKUP($J623,Lists!$K$2:$L$4,2,FALSE()))/VLOOKUP($K623,Lists!$N$2:$O$6,2,FALSE()),2))</f>
        <v/>
      </c>
      <c r="M623" s="63"/>
      <c r="N623" s="63"/>
      <c r="O623" s="62"/>
      <c r="P623" s="63"/>
      <c r="Q623" s="65"/>
      <c r="R623" s="66" t="str">
        <f t="shared" ca="1" si="19"/>
        <v/>
      </c>
      <c r="S623" s="63"/>
      <c r="T623" s="65"/>
      <c r="U623" s="65"/>
      <c r="V623" s="62"/>
      <c r="W623" s="62"/>
      <c r="X623" s="62"/>
      <c r="Y623" s="58"/>
      <c r="Z623" s="58"/>
      <c r="AA623" s="58"/>
    </row>
    <row r="624" spans="1:27" ht="15.75" customHeight="1" x14ac:dyDescent="0.2">
      <c r="A624" s="61" t="str">
        <f t="shared" si="18"/>
        <v/>
      </c>
      <c r="B624" s="62"/>
      <c r="C624" s="62"/>
      <c r="D624" s="62"/>
      <c r="E624" s="62"/>
      <c r="F624" s="63"/>
      <c r="G624" s="63"/>
      <c r="H624" s="63"/>
      <c r="I624" s="63"/>
      <c r="J624" s="63"/>
      <c r="K624" s="63"/>
      <c r="L624" s="64" t="str">
        <f>IF(OR($B624="", $H624="", $I624="", $J624="", $K624=""),"",ROUND((VLOOKUP($H624,Lists!$E$2:$F$5,2,FALSE())*VLOOKUP($I624,Lists!$H$2:$I$4,2,FALSE())*VLOOKUP($J624,Lists!$K$2:$L$4,2,FALSE()))/VLOOKUP($K624,Lists!$N$2:$O$6,2,FALSE()),2))</f>
        <v/>
      </c>
      <c r="M624" s="63"/>
      <c r="N624" s="63"/>
      <c r="O624" s="62"/>
      <c r="P624" s="63"/>
      <c r="Q624" s="65"/>
      <c r="R624" s="66" t="str">
        <f t="shared" ca="1" si="19"/>
        <v/>
      </c>
      <c r="S624" s="63"/>
      <c r="T624" s="65"/>
      <c r="U624" s="65"/>
      <c r="V624" s="62"/>
      <c r="W624" s="62"/>
      <c r="X624" s="62"/>
      <c r="Y624" s="58"/>
      <c r="Z624" s="58"/>
      <c r="AA624" s="58"/>
    </row>
    <row r="625" spans="1:27" ht="15.75" customHeight="1" x14ac:dyDescent="0.2">
      <c r="A625" s="61" t="str">
        <f t="shared" si="18"/>
        <v/>
      </c>
      <c r="B625" s="62"/>
      <c r="C625" s="62"/>
      <c r="D625" s="62"/>
      <c r="E625" s="62"/>
      <c r="F625" s="63"/>
      <c r="G625" s="63"/>
      <c r="H625" s="63"/>
      <c r="I625" s="63"/>
      <c r="J625" s="63"/>
      <c r="K625" s="63"/>
      <c r="L625" s="64" t="str">
        <f>IF(OR($B625="", $H625="", $I625="", $J625="", $K625=""),"",ROUND((VLOOKUP($H625,Lists!$E$2:$F$5,2,FALSE())*VLOOKUP($I625,Lists!$H$2:$I$4,2,FALSE())*VLOOKUP($J625,Lists!$K$2:$L$4,2,FALSE()))/VLOOKUP($K625,Lists!$N$2:$O$6,2,FALSE()),2))</f>
        <v/>
      </c>
      <c r="M625" s="63"/>
      <c r="N625" s="63"/>
      <c r="O625" s="62"/>
      <c r="P625" s="63"/>
      <c r="Q625" s="65"/>
      <c r="R625" s="66" t="str">
        <f t="shared" ca="1" si="19"/>
        <v/>
      </c>
      <c r="S625" s="63"/>
      <c r="T625" s="65"/>
      <c r="U625" s="65"/>
      <c r="V625" s="62"/>
      <c r="W625" s="62"/>
      <c r="X625" s="62"/>
      <c r="Y625" s="58"/>
      <c r="Z625" s="58"/>
      <c r="AA625" s="58"/>
    </row>
    <row r="626" spans="1:27" ht="15.75" customHeight="1" x14ac:dyDescent="0.2">
      <c r="A626" s="61" t="str">
        <f t="shared" si="18"/>
        <v/>
      </c>
      <c r="B626" s="62"/>
      <c r="C626" s="62"/>
      <c r="D626" s="62"/>
      <c r="E626" s="62"/>
      <c r="F626" s="63"/>
      <c r="G626" s="63"/>
      <c r="H626" s="63"/>
      <c r="I626" s="63"/>
      <c r="J626" s="63"/>
      <c r="K626" s="63"/>
      <c r="L626" s="64" t="str">
        <f>IF(OR($B626="", $H626="", $I626="", $J626="", $K626=""),"",ROUND((VLOOKUP($H626,Lists!$E$2:$F$5,2,FALSE())*VLOOKUP($I626,Lists!$H$2:$I$4,2,FALSE())*VLOOKUP($J626,Lists!$K$2:$L$4,2,FALSE()))/VLOOKUP($K626,Lists!$N$2:$O$6,2,FALSE()),2))</f>
        <v/>
      </c>
      <c r="M626" s="63"/>
      <c r="N626" s="63"/>
      <c r="O626" s="62"/>
      <c r="P626" s="63"/>
      <c r="Q626" s="65"/>
      <c r="R626" s="66" t="str">
        <f t="shared" ca="1" si="19"/>
        <v/>
      </c>
      <c r="S626" s="63"/>
      <c r="T626" s="65"/>
      <c r="U626" s="65"/>
      <c r="V626" s="62"/>
      <c r="W626" s="62"/>
      <c r="X626" s="62"/>
      <c r="Y626" s="58"/>
      <c r="Z626" s="58"/>
      <c r="AA626" s="58"/>
    </row>
    <row r="627" spans="1:27" ht="15.75" customHeight="1" x14ac:dyDescent="0.2">
      <c r="A627" s="61" t="str">
        <f t="shared" si="18"/>
        <v/>
      </c>
      <c r="B627" s="62"/>
      <c r="C627" s="62"/>
      <c r="D627" s="62"/>
      <c r="E627" s="62"/>
      <c r="F627" s="63"/>
      <c r="G627" s="63"/>
      <c r="H627" s="63"/>
      <c r="I627" s="63"/>
      <c r="J627" s="63"/>
      <c r="K627" s="63"/>
      <c r="L627" s="64" t="str">
        <f>IF(OR($B627="", $H627="", $I627="", $J627="", $K627=""),"",ROUND((VLOOKUP($H627,Lists!$E$2:$F$5,2,FALSE())*VLOOKUP($I627,Lists!$H$2:$I$4,2,FALSE())*VLOOKUP($J627,Lists!$K$2:$L$4,2,FALSE()))/VLOOKUP($K627,Lists!$N$2:$O$6,2,FALSE()),2))</f>
        <v/>
      </c>
      <c r="M627" s="63"/>
      <c r="N627" s="63"/>
      <c r="O627" s="62"/>
      <c r="P627" s="63"/>
      <c r="Q627" s="65"/>
      <c r="R627" s="66" t="str">
        <f t="shared" ca="1" si="19"/>
        <v/>
      </c>
      <c r="S627" s="63"/>
      <c r="T627" s="65"/>
      <c r="U627" s="65"/>
      <c r="V627" s="62"/>
      <c r="W627" s="62"/>
      <c r="X627" s="62"/>
      <c r="Y627" s="58"/>
      <c r="Z627" s="58"/>
      <c r="AA627" s="58"/>
    </row>
    <row r="628" spans="1:27" ht="15.75" customHeight="1" x14ac:dyDescent="0.2">
      <c r="A628" s="61" t="str">
        <f t="shared" si="18"/>
        <v/>
      </c>
      <c r="B628" s="62"/>
      <c r="C628" s="62"/>
      <c r="D628" s="62"/>
      <c r="E628" s="62"/>
      <c r="F628" s="63"/>
      <c r="G628" s="63"/>
      <c r="H628" s="63"/>
      <c r="I628" s="63"/>
      <c r="J628" s="63"/>
      <c r="K628" s="63"/>
      <c r="L628" s="64" t="str">
        <f>IF(OR($B628="", $H628="", $I628="", $J628="", $K628=""),"",ROUND((VLOOKUP($H628,Lists!$E$2:$F$5,2,FALSE())*VLOOKUP($I628,Lists!$H$2:$I$4,2,FALSE())*VLOOKUP($J628,Lists!$K$2:$L$4,2,FALSE()))/VLOOKUP($K628,Lists!$N$2:$O$6,2,FALSE()),2))</f>
        <v/>
      </c>
      <c r="M628" s="63"/>
      <c r="N628" s="63"/>
      <c r="O628" s="62"/>
      <c r="P628" s="63"/>
      <c r="Q628" s="65"/>
      <c r="R628" s="66" t="str">
        <f t="shared" ca="1" si="19"/>
        <v/>
      </c>
      <c r="S628" s="63"/>
      <c r="T628" s="65"/>
      <c r="U628" s="65"/>
      <c r="V628" s="62"/>
      <c r="W628" s="62"/>
      <c r="X628" s="62"/>
      <c r="Y628" s="58"/>
      <c r="Z628" s="58"/>
      <c r="AA628" s="58"/>
    </row>
    <row r="629" spans="1:27" ht="15.75" customHeight="1" x14ac:dyDescent="0.2">
      <c r="A629" s="61" t="str">
        <f t="shared" si="18"/>
        <v/>
      </c>
      <c r="B629" s="62"/>
      <c r="C629" s="62"/>
      <c r="D629" s="62"/>
      <c r="E629" s="62"/>
      <c r="F629" s="63"/>
      <c r="G629" s="63"/>
      <c r="H629" s="63"/>
      <c r="I629" s="63"/>
      <c r="J629" s="63"/>
      <c r="K629" s="63"/>
      <c r="L629" s="64" t="str">
        <f>IF(OR($B629="", $H629="", $I629="", $J629="", $K629=""),"",ROUND((VLOOKUP($H629,Lists!$E$2:$F$5,2,FALSE())*VLOOKUP($I629,Lists!$H$2:$I$4,2,FALSE())*VLOOKUP($J629,Lists!$K$2:$L$4,2,FALSE()))/VLOOKUP($K629,Lists!$N$2:$O$6,2,FALSE()),2))</f>
        <v/>
      </c>
      <c r="M629" s="63"/>
      <c r="N629" s="63"/>
      <c r="O629" s="62"/>
      <c r="P629" s="63"/>
      <c r="Q629" s="65"/>
      <c r="R629" s="66" t="str">
        <f t="shared" ca="1" si="19"/>
        <v/>
      </c>
      <c r="S629" s="63"/>
      <c r="T629" s="65"/>
      <c r="U629" s="65"/>
      <c r="V629" s="62"/>
      <c r="W629" s="62"/>
      <c r="X629" s="62"/>
      <c r="Y629" s="58"/>
      <c r="Z629" s="58"/>
      <c r="AA629" s="58"/>
    </row>
    <row r="630" spans="1:27" ht="15.75" customHeight="1" x14ac:dyDescent="0.2">
      <c r="A630" s="61" t="str">
        <f t="shared" si="18"/>
        <v/>
      </c>
      <c r="B630" s="62"/>
      <c r="C630" s="62"/>
      <c r="D630" s="62"/>
      <c r="E630" s="62"/>
      <c r="F630" s="63"/>
      <c r="G630" s="63"/>
      <c r="H630" s="63"/>
      <c r="I630" s="63"/>
      <c r="J630" s="63"/>
      <c r="K630" s="63"/>
      <c r="L630" s="64" t="str">
        <f>IF(OR($B630="", $H630="", $I630="", $J630="", $K630=""),"",ROUND((VLOOKUP($H630,Lists!$E$2:$F$5,2,FALSE())*VLOOKUP($I630,Lists!$H$2:$I$4,2,FALSE())*VLOOKUP($J630,Lists!$K$2:$L$4,2,FALSE()))/VLOOKUP($K630,Lists!$N$2:$O$6,2,FALSE()),2))</f>
        <v/>
      </c>
      <c r="M630" s="63"/>
      <c r="N630" s="63"/>
      <c r="O630" s="62"/>
      <c r="P630" s="63"/>
      <c r="Q630" s="65"/>
      <c r="R630" s="66" t="str">
        <f t="shared" ca="1" si="19"/>
        <v/>
      </c>
      <c r="S630" s="63"/>
      <c r="T630" s="65"/>
      <c r="U630" s="65"/>
      <c r="V630" s="62"/>
      <c r="W630" s="62"/>
      <c r="X630" s="62"/>
      <c r="Y630" s="58"/>
      <c r="Z630" s="58"/>
      <c r="AA630" s="58"/>
    </row>
    <row r="631" spans="1:27" ht="15.75" customHeight="1" x14ac:dyDescent="0.2">
      <c r="A631" s="61" t="str">
        <f t="shared" si="18"/>
        <v/>
      </c>
      <c r="B631" s="62"/>
      <c r="C631" s="62"/>
      <c r="D631" s="62"/>
      <c r="E631" s="62"/>
      <c r="F631" s="63"/>
      <c r="G631" s="63"/>
      <c r="H631" s="63"/>
      <c r="I631" s="63"/>
      <c r="J631" s="63"/>
      <c r="K631" s="63"/>
      <c r="L631" s="64" t="str">
        <f>IF(OR($B631="", $H631="", $I631="", $J631="", $K631=""),"",ROUND((VLOOKUP($H631,Lists!$E$2:$F$5,2,FALSE())*VLOOKUP($I631,Lists!$H$2:$I$4,2,FALSE())*VLOOKUP($J631,Lists!$K$2:$L$4,2,FALSE()))/VLOOKUP($K631,Lists!$N$2:$O$6,2,FALSE()),2))</f>
        <v/>
      </c>
      <c r="M631" s="63"/>
      <c r="N631" s="63"/>
      <c r="O631" s="62"/>
      <c r="P631" s="63"/>
      <c r="Q631" s="65"/>
      <c r="R631" s="66" t="str">
        <f t="shared" ca="1" si="19"/>
        <v/>
      </c>
      <c r="S631" s="63"/>
      <c r="T631" s="65"/>
      <c r="U631" s="65"/>
      <c r="V631" s="62"/>
      <c r="W631" s="62"/>
      <c r="X631" s="62"/>
      <c r="Y631" s="58"/>
      <c r="Z631" s="58"/>
      <c r="AA631" s="58"/>
    </row>
    <row r="632" spans="1:27" ht="15.75" customHeight="1" x14ac:dyDescent="0.2">
      <c r="A632" s="61" t="str">
        <f t="shared" si="18"/>
        <v/>
      </c>
      <c r="B632" s="62"/>
      <c r="C632" s="62"/>
      <c r="D632" s="62"/>
      <c r="E632" s="62"/>
      <c r="F632" s="63"/>
      <c r="G632" s="63"/>
      <c r="H632" s="63"/>
      <c r="I632" s="63"/>
      <c r="J632" s="63"/>
      <c r="K632" s="63"/>
      <c r="L632" s="64" t="str">
        <f>IF(OR($B632="", $H632="", $I632="", $J632="", $K632=""),"",ROUND((VLOOKUP($H632,Lists!$E$2:$F$5,2,FALSE())*VLOOKUP($I632,Lists!$H$2:$I$4,2,FALSE())*VLOOKUP($J632,Lists!$K$2:$L$4,2,FALSE()))/VLOOKUP($K632,Lists!$N$2:$O$6,2,FALSE()),2))</f>
        <v/>
      </c>
      <c r="M632" s="63"/>
      <c r="N632" s="63"/>
      <c r="O632" s="62"/>
      <c r="P632" s="63"/>
      <c r="Q632" s="65"/>
      <c r="R632" s="66" t="str">
        <f t="shared" ca="1" si="19"/>
        <v/>
      </c>
      <c r="S632" s="63"/>
      <c r="T632" s="65"/>
      <c r="U632" s="65"/>
      <c r="V632" s="62"/>
      <c r="W632" s="62"/>
      <c r="X632" s="62"/>
      <c r="Y632" s="58"/>
      <c r="Z632" s="58"/>
      <c r="AA632" s="58"/>
    </row>
    <row r="633" spans="1:27" ht="15.75" customHeight="1" x14ac:dyDescent="0.2">
      <c r="A633" s="61" t="str">
        <f t="shared" si="18"/>
        <v/>
      </c>
      <c r="B633" s="62"/>
      <c r="C633" s="62"/>
      <c r="D633" s="62"/>
      <c r="E633" s="62"/>
      <c r="F633" s="63"/>
      <c r="G633" s="63"/>
      <c r="H633" s="63"/>
      <c r="I633" s="63"/>
      <c r="J633" s="63"/>
      <c r="K633" s="63"/>
      <c r="L633" s="64" t="str">
        <f>IF(OR($B633="", $H633="", $I633="", $J633="", $K633=""),"",ROUND((VLOOKUP($H633,Lists!$E$2:$F$5,2,FALSE())*VLOOKUP($I633,Lists!$H$2:$I$4,2,FALSE())*VLOOKUP($J633,Lists!$K$2:$L$4,2,FALSE()))/VLOOKUP($K633,Lists!$N$2:$O$6,2,FALSE()),2))</f>
        <v/>
      </c>
      <c r="M633" s="63"/>
      <c r="N633" s="63"/>
      <c r="O633" s="62"/>
      <c r="P633" s="63"/>
      <c r="Q633" s="65"/>
      <c r="R633" s="66" t="str">
        <f t="shared" ca="1" si="19"/>
        <v/>
      </c>
      <c r="S633" s="63"/>
      <c r="T633" s="65"/>
      <c r="U633" s="65"/>
      <c r="V633" s="62"/>
      <c r="W633" s="62"/>
      <c r="X633" s="62"/>
      <c r="Y633" s="58"/>
      <c r="Z633" s="58"/>
      <c r="AA633" s="58"/>
    </row>
    <row r="634" spans="1:27" ht="15.75" customHeight="1" x14ac:dyDescent="0.2">
      <c r="A634" s="61" t="str">
        <f t="shared" si="18"/>
        <v/>
      </c>
      <c r="B634" s="62"/>
      <c r="C634" s="62"/>
      <c r="D634" s="62"/>
      <c r="E634" s="62"/>
      <c r="F634" s="63"/>
      <c r="G634" s="63"/>
      <c r="H634" s="63"/>
      <c r="I634" s="63"/>
      <c r="J634" s="63"/>
      <c r="K634" s="63"/>
      <c r="L634" s="64" t="str">
        <f>IF(OR($B634="", $H634="", $I634="", $J634="", $K634=""),"",ROUND((VLOOKUP($H634,Lists!$E$2:$F$5,2,FALSE())*VLOOKUP($I634,Lists!$H$2:$I$4,2,FALSE())*VLOOKUP($J634,Lists!$K$2:$L$4,2,FALSE()))/VLOOKUP($K634,Lists!$N$2:$O$6,2,FALSE()),2))</f>
        <v/>
      </c>
      <c r="M634" s="63"/>
      <c r="N634" s="63"/>
      <c r="O634" s="62"/>
      <c r="P634" s="63"/>
      <c r="Q634" s="65"/>
      <c r="R634" s="66" t="str">
        <f t="shared" ca="1" si="19"/>
        <v/>
      </c>
      <c r="S634" s="63"/>
      <c r="T634" s="65"/>
      <c r="U634" s="65"/>
      <c r="V634" s="62"/>
      <c r="W634" s="62"/>
      <c r="X634" s="62"/>
      <c r="Y634" s="58"/>
      <c r="Z634" s="58"/>
      <c r="AA634" s="58"/>
    </row>
    <row r="635" spans="1:27" ht="15.75" customHeight="1" x14ac:dyDescent="0.2">
      <c r="A635" s="61" t="str">
        <f t="shared" si="18"/>
        <v/>
      </c>
      <c r="B635" s="62"/>
      <c r="C635" s="62"/>
      <c r="D635" s="62"/>
      <c r="E635" s="62"/>
      <c r="F635" s="63"/>
      <c r="G635" s="63"/>
      <c r="H635" s="63"/>
      <c r="I635" s="63"/>
      <c r="J635" s="63"/>
      <c r="K635" s="63"/>
      <c r="L635" s="64" t="str">
        <f>IF(OR($B635="", $H635="", $I635="", $J635="", $K635=""),"",ROUND((VLOOKUP($H635,Lists!$E$2:$F$5,2,FALSE())*VLOOKUP($I635,Lists!$H$2:$I$4,2,FALSE())*VLOOKUP($J635,Lists!$K$2:$L$4,2,FALSE()))/VLOOKUP($K635,Lists!$N$2:$O$6,2,FALSE()),2))</f>
        <v/>
      </c>
      <c r="M635" s="63"/>
      <c r="N635" s="63"/>
      <c r="O635" s="62"/>
      <c r="P635" s="63"/>
      <c r="Q635" s="65"/>
      <c r="R635" s="66" t="str">
        <f t="shared" ca="1" si="19"/>
        <v/>
      </c>
      <c r="S635" s="63"/>
      <c r="T635" s="65"/>
      <c r="U635" s="65"/>
      <c r="V635" s="62"/>
      <c r="W635" s="62"/>
      <c r="X635" s="62"/>
      <c r="Y635" s="58"/>
      <c r="Z635" s="58"/>
      <c r="AA635" s="58"/>
    </row>
    <row r="636" spans="1:27" ht="15.75" customHeight="1" x14ac:dyDescent="0.2">
      <c r="A636" s="61" t="str">
        <f t="shared" si="18"/>
        <v/>
      </c>
      <c r="B636" s="62"/>
      <c r="C636" s="62"/>
      <c r="D636" s="62"/>
      <c r="E636" s="62"/>
      <c r="F636" s="63"/>
      <c r="G636" s="63"/>
      <c r="H636" s="63"/>
      <c r="I636" s="63"/>
      <c r="J636" s="63"/>
      <c r="K636" s="63"/>
      <c r="L636" s="64" t="str">
        <f>IF(OR($B636="", $H636="", $I636="", $J636="", $K636=""),"",ROUND((VLOOKUP($H636,Lists!$E$2:$F$5,2,FALSE())*VLOOKUP($I636,Lists!$H$2:$I$4,2,FALSE())*VLOOKUP($J636,Lists!$K$2:$L$4,2,FALSE()))/VLOOKUP($K636,Lists!$N$2:$O$6,2,FALSE()),2))</f>
        <v/>
      </c>
      <c r="M636" s="63"/>
      <c r="N636" s="63"/>
      <c r="O636" s="62"/>
      <c r="P636" s="63"/>
      <c r="Q636" s="65"/>
      <c r="R636" s="66" t="str">
        <f t="shared" ca="1" si="19"/>
        <v/>
      </c>
      <c r="S636" s="63"/>
      <c r="T636" s="65"/>
      <c r="U636" s="65"/>
      <c r="V636" s="62"/>
      <c r="W636" s="62"/>
      <c r="X636" s="62"/>
      <c r="Y636" s="58"/>
      <c r="Z636" s="58"/>
      <c r="AA636" s="58"/>
    </row>
    <row r="637" spans="1:27" ht="15.75" customHeight="1" x14ac:dyDescent="0.2">
      <c r="A637" s="61" t="str">
        <f t="shared" si="18"/>
        <v/>
      </c>
      <c r="B637" s="62"/>
      <c r="C637" s="62"/>
      <c r="D637" s="62"/>
      <c r="E637" s="62"/>
      <c r="F637" s="63"/>
      <c r="G637" s="63"/>
      <c r="H637" s="63"/>
      <c r="I637" s="63"/>
      <c r="J637" s="63"/>
      <c r="K637" s="63"/>
      <c r="L637" s="64" t="str">
        <f>IF(OR($B637="", $H637="", $I637="", $J637="", $K637=""),"",ROUND((VLOOKUP($H637,Lists!$E$2:$F$5,2,FALSE())*VLOOKUP($I637,Lists!$H$2:$I$4,2,FALSE())*VLOOKUP($J637,Lists!$K$2:$L$4,2,FALSE()))/VLOOKUP($K637,Lists!$N$2:$O$6,2,FALSE()),2))</f>
        <v/>
      </c>
      <c r="M637" s="63"/>
      <c r="N637" s="63"/>
      <c r="O637" s="62"/>
      <c r="P637" s="63"/>
      <c r="Q637" s="65"/>
      <c r="R637" s="66" t="str">
        <f t="shared" ca="1" si="19"/>
        <v/>
      </c>
      <c r="S637" s="63"/>
      <c r="T637" s="65"/>
      <c r="U637" s="65"/>
      <c r="V637" s="62"/>
      <c r="W637" s="62"/>
      <c r="X637" s="62"/>
      <c r="Y637" s="58"/>
      <c r="Z637" s="58"/>
      <c r="AA637" s="58"/>
    </row>
    <row r="638" spans="1:27" ht="15.75" customHeight="1" x14ac:dyDescent="0.2">
      <c r="A638" s="61" t="str">
        <f t="shared" si="18"/>
        <v/>
      </c>
      <c r="B638" s="62"/>
      <c r="C638" s="62"/>
      <c r="D638" s="62"/>
      <c r="E638" s="62"/>
      <c r="F638" s="63"/>
      <c r="G638" s="63"/>
      <c r="H638" s="63"/>
      <c r="I638" s="63"/>
      <c r="J638" s="63"/>
      <c r="K638" s="63"/>
      <c r="L638" s="64" t="str">
        <f>IF(OR($B638="", $H638="", $I638="", $J638="", $K638=""),"",ROUND((VLOOKUP($H638,Lists!$E$2:$F$5,2,FALSE())*VLOOKUP($I638,Lists!$H$2:$I$4,2,FALSE())*VLOOKUP($J638,Lists!$K$2:$L$4,2,FALSE()))/VLOOKUP($K638,Lists!$N$2:$O$6,2,FALSE()),2))</f>
        <v/>
      </c>
      <c r="M638" s="63"/>
      <c r="N638" s="63"/>
      <c r="O638" s="62"/>
      <c r="P638" s="63"/>
      <c r="Q638" s="65"/>
      <c r="R638" s="66" t="str">
        <f t="shared" ca="1" si="19"/>
        <v/>
      </c>
      <c r="S638" s="63"/>
      <c r="T638" s="65"/>
      <c r="U638" s="65"/>
      <c r="V638" s="62"/>
      <c r="W638" s="62"/>
      <c r="X638" s="62"/>
      <c r="Y638" s="58"/>
      <c r="Z638" s="58"/>
      <c r="AA638" s="58"/>
    </row>
    <row r="639" spans="1:27" ht="15.75" customHeight="1" x14ac:dyDescent="0.2">
      <c r="A639" s="61" t="str">
        <f t="shared" si="18"/>
        <v/>
      </c>
      <c r="B639" s="62"/>
      <c r="C639" s="62"/>
      <c r="D639" s="62"/>
      <c r="E639" s="62"/>
      <c r="F639" s="63"/>
      <c r="G639" s="63"/>
      <c r="H639" s="63"/>
      <c r="I639" s="63"/>
      <c r="J639" s="63"/>
      <c r="K639" s="63"/>
      <c r="L639" s="64" t="str">
        <f>IF(OR($B639="", $H639="", $I639="", $J639="", $K639=""),"",ROUND((VLOOKUP($H639,Lists!$E$2:$F$5,2,FALSE())*VLOOKUP($I639,Lists!$H$2:$I$4,2,FALSE())*VLOOKUP($J639,Lists!$K$2:$L$4,2,FALSE()))/VLOOKUP($K639,Lists!$N$2:$O$6,2,FALSE()),2))</f>
        <v/>
      </c>
      <c r="M639" s="63"/>
      <c r="N639" s="63"/>
      <c r="O639" s="62"/>
      <c r="P639" s="63"/>
      <c r="Q639" s="65"/>
      <c r="R639" s="66" t="str">
        <f t="shared" ca="1" si="19"/>
        <v/>
      </c>
      <c r="S639" s="63"/>
      <c r="T639" s="65"/>
      <c r="U639" s="65"/>
      <c r="V639" s="62"/>
      <c r="W639" s="62"/>
      <c r="X639" s="62"/>
      <c r="Y639" s="58"/>
      <c r="Z639" s="58"/>
      <c r="AA639" s="58"/>
    </row>
    <row r="640" spans="1:27" ht="15.75" customHeight="1" x14ac:dyDescent="0.2">
      <c r="A640" s="61" t="str">
        <f t="shared" si="18"/>
        <v/>
      </c>
      <c r="B640" s="62"/>
      <c r="C640" s="62"/>
      <c r="D640" s="62"/>
      <c r="E640" s="62"/>
      <c r="F640" s="63"/>
      <c r="G640" s="63"/>
      <c r="H640" s="63"/>
      <c r="I640" s="63"/>
      <c r="J640" s="63"/>
      <c r="K640" s="63"/>
      <c r="L640" s="64" t="str">
        <f>IF(OR($B640="", $H640="", $I640="", $J640="", $K640=""),"",ROUND((VLOOKUP($H640,Lists!$E$2:$F$5,2,FALSE())*VLOOKUP($I640,Lists!$H$2:$I$4,2,FALSE())*VLOOKUP($J640,Lists!$K$2:$L$4,2,FALSE()))/VLOOKUP($K640,Lists!$N$2:$O$6,2,FALSE()),2))</f>
        <v/>
      </c>
      <c r="M640" s="63"/>
      <c r="N640" s="63"/>
      <c r="O640" s="62"/>
      <c r="P640" s="63"/>
      <c r="Q640" s="65"/>
      <c r="R640" s="66" t="str">
        <f t="shared" ca="1" si="19"/>
        <v/>
      </c>
      <c r="S640" s="63"/>
      <c r="T640" s="65"/>
      <c r="U640" s="65"/>
      <c r="V640" s="62"/>
      <c r="W640" s="62"/>
      <c r="X640" s="62"/>
      <c r="Y640" s="58"/>
      <c r="Z640" s="58"/>
      <c r="AA640" s="58"/>
    </row>
    <row r="641" spans="1:27" ht="15.75" customHeight="1" x14ac:dyDescent="0.2">
      <c r="A641" s="61" t="str">
        <f t="shared" si="18"/>
        <v/>
      </c>
      <c r="B641" s="62"/>
      <c r="C641" s="62"/>
      <c r="D641" s="62"/>
      <c r="E641" s="62"/>
      <c r="F641" s="63"/>
      <c r="G641" s="63"/>
      <c r="H641" s="63"/>
      <c r="I641" s="63"/>
      <c r="J641" s="63"/>
      <c r="K641" s="63"/>
      <c r="L641" s="64" t="str">
        <f>IF(OR($B641="", $H641="", $I641="", $J641="", $K641=""),"",ROUND((VLOOKUP($H641,Lists!$E$2:$F$5,2,FALSE())*VLOOKUP($I641,Lists!$H$2:$I$4,2,FALSE())*VLOOKUP($J641,Lists!$K$2:$L$4,2,FALSE()))/VLOOKUP($K641,Lists!$N$2:$O$6,2,FALSE()),2))</f>
        <v/>
      </c>
      <c r="M641" s="63"/>
      <c r="N641" s="63"/>
      <c r="O641" s="62"/>
      <c r="P641" s="63"/>
      <c r="Q641" s="65"/>
      <c r="R641" s="66" t="str">
        <f t="shared" ca="1" si="19"/>
        <v/>
      </c>
      <c r="S641" s="63"/>
      <c r="T641" s="65"/>
      <c r="U641" s="65"/>
      <c r="V641" s="62"/>
      <c r="W641" s="62"/>
      <c r="X641" s="62"/>
      <c r="Y641" s="58"/>
      <c r="Z641" s="58"/>
      <c r="AA641" s="58"/>
    </row>
    <row r="642" spans="1:27" ht="15.75" customHeight="1" x14ac:dyDescent="0.2">
      <c r="A642" s="61" t="str">
        <f t="shared" ref="A642:A705" si="20">IF($B642="","", "TD-" &amp; RIGHT("0000"&amp;ROW()-1,4))</f>
        <v/>
      </c>
      <c r="B642" s="62"/>
      <c r="C642" s="62"/>
      <c r="D642" s="62"/>
      <c r="E642" s="62"/>
      <c r="F642" s="63"/>
      <c r="G642" s="63"/>
      <c r="H642" s="63"/>
      <c r="I642" s="63"/>
      <c r="J642" s="63"/>
      <c r="K642" s="63"/>
      <c r="L642" s="64" t="str">
        <f>IF(OR($B642="", $H642="", $I642="", $J642="", $K642=""),"",ROUND((VLOOKUP($H642,Lists!$E$2:$F$5,2,FALSE())*VLOOKUP($I642,Lists!$H$2:$I$4,2,FALSE())*VLOOKUP($J642,Lists!$K$2:$L$4,2,FALSE()))/VLOOKUP($K642,Lists!$N$2:$O$6,2,FALSE()),2))</f>
        <v/>
      </c>
      <c r="M642" s="63"/>
      <c r="N642" s="63"/>
      <c r="O642" s="62"/>
      <c r="P642" s="63"/>
      <c r="Q642" s="65"/>
      <c r="R642" s="66" t="str">
        <f t="shared" ref="R642:R705" ca="1" si="21">IF($Q642="","", TODAY()-$Q642)</f>
        <v/>
      </c>
      <c r="S642" s="63"/>
      <c r="T642" s="65"/>
      <c r="U642" s="65"/>
      <c r="V642" s="62"/>
      <c r="W642" s="62"/>
      <c r="X642" s="62"/>
      <c r="Y642" s="58"/>
      <c r="Z642" s="58"/>
      <c r="AA642" s="58"/>
    </row>
    <row r="643" spans="1:27" ht="15.75" customHeight="1" x14ac:dyDescent="0.2">
      <c r="A643" s="61" t="str">
        <f t="shared" si="20"/>
        <v/>
      </c>
      <c r="B643" s="62"/>
      <c r="C643" s="62"/>
      <c r="D643" s="62"/>
      <c r="E643" s="62"/>
      <c r="F643" s="63"/>
      <c r="G643" s="63"/>
      <c r="H643" s="63"/>
      <c r="I643" s="63"/>
      <c r="J643" s="63"/>
      <c r="K643" s="63"/>
      <c r="L643" s="64" t="str">
        <f>IF(OR($B643="", $H643="", $I643="", $J643="", $K643=""),"",ROUND((VLOOKUP($H643,Lists!$E$2:$F$5,2,FALSE())*VLOOKUP($I643,Lists!$H$2:$I$4,2,FALSE())*VLOOKUP($J643,Lists!$K$2:$L$4,2,FALSE()))/VLOOKUP($K643,Lists!$N$2:$O$6,2,FALSE()),2))</f>
        <v/>
      </c>
      <c r="M643" s="63"/>
      <c r="N643" s="63"/>
      <c r="O643" s="62"/>
      <c r="P643" s="63"/>
      <c r="Q643" s="65"/>
      <c r="R643" s="66" t="str">
        <f t="shared" ca="1" si="21"/>
        <v/>
      </c>
      <c r="S643" s="63"/>
      <c r="T643" s="65"/>
      <c r="U643" s="65"/>
      <c r="V643" s="62"/>
      <c r="W643" s="62"/>
      <c r="X643" s="62"/>
      <c r="Y643" s="58"/>
      <c r="Z643" s="58"/>
      <c r="AA643" s="58"/>
    </row>
    <row r="644" spans="1:27" ht="15.75" customHeight="1" x14ac:dyDescent="0.2">
      <c r="A644" s="61" t="str">
        <f t="shared" si="20"/>
        <v/>
      </c>
      <c r="B644" s="62"/>
      <c r="C644" s="62"/>
      <c r="D644" s="62"/>
      <c r="E644" s="62"/>
      <c r="F644" s="63"/>
      <c r="G644" s="63"/>
      <c r="H644" s="63"/>
      <c r="I644" s="63"/>
      <c r="J644" s="63"/>
      <c r="K644" s="63"/>
      <c r="L644" s="64" t="str">
        <f>IF(OR($B644="", $H644="", $I644="", $J644="", $K644=""),"",ROUND((VLOOKUP($H644,Lists!$E$2:$F$5,2,FALSE())*VLOOKUP($I644,Lists!$H$2:$I$4,2,FALSE())*VLOOKUP($J644,Lists!$K$2:$L$4,2,FALSE()))/VLOOKUP($K644,Lists!$N$2:$O$6,2,FALSE()),2))</f>
        <v/>
      </c>
      <c r="M644" s="63"/>
      <c r="N644" s="63"/>
      <c r="O644" s="62"/>
      <c r="P644" s="63"/>
      <c r="Q644" s="65"/>
      <c r="R644" s="66" t="str">
        <f t="shared" ca="1" si="21"/>
        <v/>
      </c>
      <c r="S644" s="63"/>
      <c r="T644" s="65"/>
      <c r="U644" s="65"/>
      <c r="V644" s="62"/>
      <c r="W644" s="62"/>
      <c r="X644" s="62"/>
      <c r="Y644" s="58"/>
      <c r="Z644" s="58"/>
      <c r="AA644" s="58"/>
    </row>
    <row r="645" spans="1:27" ht="15.75" customHeight="1" x14ac:dyDescent="0.2">
      <c r="A645" s="61" t="str">
        <f t="shared" si="20"/>
        <v/>
      </c>
      <c r="B645" s="62"/>
      <c r="C645" s="62"/>
      <c r="D645" s="62"/>
      <c r="E645" s="62"/>
      <c r="F645" s="63"/>
      <c r="G645" s="63"/>
      <c r="H645" s="63"/>
      <c r="I645" s="63"/>
      <c r="J645" s="63"/>
      <c r="K645" s="63"/>
      <c r="L645" s="64" t="str">
        <f>IF(OR($B645="", $H645="", $I645="", $J645="", $K645=""),"",ROUND((VLOOKUP($H645,Lists!$E$2:$F$5,2,FALSE())*VLOOKUP($I645,Lists!$H$2:$I$4,2,FALSE())*VLOOKUP($J645,Lists!$K$2:$L$4,2,FALSE()))/VLOOKUP($K645,Lists!$N$2:$O$6,2,FALSE()),2))</f>
        <v/>
      </c>
      <c r="M645" s="63"/>
      <c r="N645" s="63"/>
      <c r="O645" s="62"/>
      <c r="P645" s="63"/>
      <c r="Q645" s="65"/>
      <c r="R645" s="66" t="str">
        <f t="shared" ca="1" si="21"/>
        <v/>
      </c>
      <c r="S645" s="63"/>
      <c r="T645" s="65"/>
      <c r="U645" s="65"/>
      <c r="V645" s="62"/>
      <c r="W645" s="62"/>
      <c r="X645" s="62"/>
      <c r="Y645" s="58"/>
      <c r="Z645" s="58"/>
      <c r="AA645" s="58"/>
    </row>
    <row r="646" spans="1:27" ht="15.75" customHeight="1" x14ac:dyDescent="0.2">
      <c r="A646" s="61" t="str">
        <f t="shared" si="20"/>
        <v/>
      </c>
      <c r="B646" s="62"/>
      <c r="C646" s="62"/>
      <c r="D646" s="62"/>
      <c r="E646" s="62"/>
      <c r="F646" s="63"/>
      <c r="G646" s="63"/>
      <c r="H646" s="63"/>
      <c r="I646" s="63"/>
      <c r="J646" s="63"/>
      <c r="K646" s="63"/>
      <c r="L646" s="64" t="str">
        <f>IF(OR($B646="", $H646="", $I646="", $J646="", $K646=""),"",ROUND((VLOOKUP($H646,Lists!$E$2:$F$5,2,FALSE())*VLOOKUP($I646,Lists!$H$2:$I$4,2,FALSE())*VLOOKUP($J646,Lists!$K$2:$L$4,2,FALSE()))/VLOOKUP($K646,Lists!$N$2:$O$6,2,FALSE()),2))</f>
        <v/>
      </c>
      <c r="M646" s="63"/>
      <c r="N646" s="63"/>
      <c r="O646" s="62"/>
      <c r="P646" s="63"/>
      <c r="Q646" s="65"/>
      <c r="R646" s="66" t="str">
        <f t="shared" ca="1" si="21"/>
        <v/>
      </c>
      <c r="S646" s="63"/>
      <c r="T646" s="65"/>
      <c r="U646" s="65"/>
      <c r="V646" s="62"/>
      <c r="W646" s="62"/>
      <c r="X646" s="62"/>
      <c r="Y646" s="58"/>
      <c r="Z646" s="58"/>
      <c r="AA646" s="58"/>
    </row>
    <row r="647" spans="1:27" ht="15.75" customHeight="1" x14ac:dyDescent="0.2">
      <c r="A647" s="61" t="str">
        <f t="shared" si="20"/>
        <v/>
      </c>
      <c r="B647" s="62"/>
      <c r="C647" s="62"/>
      <c r="D647" s="62"/>
      <c r="E647" s="62"/>
      <c r="F647" s="63"/>
      <c r="G647" s="63"/>
      <c r="H647" s="63"/>
      <c r="I647" s="63"/>
      <c r="J647" s="63"/>
      <c r="K647" s="63"/>
      <c r="L647" s="64" t="str">
        <f>IF(OR($B647="", $H647="", $I647="", $J647="", $K647=""),"",ROUND((VLOOKUP($H647,Lists!$E$2:$F$5,2,FALSE())*VLOOKUP($I647,Lists!$H$2:$I$4,2,FALSE())*VLOOKUP($J647,Lists!$K$2:$L$4,2,FALSE()))/VLOOKUP($K647,Lists!$N$2:$O$6,2,FALSE()),2))</f>
        <v/>
      </c>
      <c r="M647" s="63"/>
      <c r="N647" s="63"/>
      <c r="O647" s="62"/>
      <c r="P647" s="63"/>
      <c r="Q647" s="65"/>
      <c r="R647" s="66" t="str">
        <f t="shared" ca="1" si="21"/>
        <v/>
      </c>
      <c r="S647" s="63"/>
      <c r="T647" s="65"/>
      <c r="U647" s="65"/>
      <c r="V647" s="62"/>
      <c r="W647" s="62"/>
      <c r="X647" s="62"/>
      <c r="Y647" s="58"/>
      <c r="Z647" s="58"/>
      <c r="AA647" s="58"/>
    </row>
    <row r="648" spans="1:27" ht="15.75" customHeight="1" x14ac:dyDescent="0.2">
      <c r="A648" s="61" t="str">
        <f t="shared" si="20"/>
        <v/>
      </c>
      <c r="B648" s="62"/>
      <c r="C648" s="62"/>
      <c r="D648" s="62"/>
      <c r="E648" s="62"/>
      <c r="F648" s="63"/>
      <c r="G648" s="63"/>
      <c r="H648" s="63"/>
      <c r="I648" s="63"/>
      <c r="J648" s="63"/>
      <c r="K648" s="63"/>
      <c r="L648" s="64" t="str">
        <f>IF(OR($B648="", $H648="", $I648="", $J648="", $K648=""),"",ROUND((VLOOKUP($H648,Lists!$E$2:$F$5,2,FALSE())*VLOOKUP($I648,Lists!$H$2:$I$4,2,FALSE())*VLOOKUP($J648,Lists!$K$2:$L$4,2,FALSE()))/VLOOKUP($K648,Lists!$N$2:$O$6,2,FALSE()),2))</f>
        <v/>
      </c>
      <c r="M648" s="63"/>
      <c r="N648" s="63"/>
      <c r="O648" s="62"/>
      <c r="P648" s="63"/>
      <c r="Q648" s="65"/>
      <c r="R648" s="66" t="str">
        <f t="shared" ca="1" si="21"/>
        <v/>
      </c>
      <c r="S648" s="63"/>
      <c r="T648" s="65"/>
      <c r="U648" s="65"/>
      <c r="V648" s="62"/>
      <c r="W648" s="62"/>
      <c r="X648" s="62"/>
      <c r="Y648" s="58"/>
      <c r="Z648" s="58"/>
      <c r="AA648" s="58"/>
    </row>
    <row r="649" spans="1:27" ht="15.75" customHeight="1" x14ac:dyDescent="0.2">
      <c r="A649" s="61" t="str">
        <f t="shared" si="20"/>
        <v/>
      </c>
      <c r="B649" s="62"/>
      <c r="C649" s="62"/>
      <c r="D649" s="62"/>
      <c r="E649" s="62"/>
      <c r="F649" s="63"/>
      <c r="G649" s="63"/>
      <c r="H649" s="63"/>
      <c r="I649" s="63"/>
      <c r="J649" s="63"/>
      <c r="K649" s="63"/>
      <c r="L649" s="64" t="str">
        <f>IF(OR($B649="", $H649="", $I649="", $J649="", $K649=""),"",ROUND((VLOOKUP($H649,Lists!$E$2:$F$5,2,FALSE())*VLOOKUP($I649,Lists!$H$2:$I$4,2,FALSE())*VLOOKUP($J649,Lists!$K$2:$L$4,2,FALSE()))/VLOOKUP($K649,Lists!$N$2:$O$6,2,FALSE()),2))</f>
        <v/>
      </c>
      <c r="M649" s="63"/>
      <c r="N649" s="63"/>
      <c r="O649" s="62"/>
      <c r="P649" s="63"/>
      <c r="Q649" s="65"/>
      <c r="R649" s="66" t="str">
        <f t="shared" ca="1" si="21"/>
        <v/>
      </c>
      <c r="S649" s="63"/>
      <c r="T649" s="65"/>
      <c r="U649" s="65"/>
      <c r="V649" s="62"/>
      <c r="W649" s="62"/>
      <c r="X649" s="62"/>
      <c r="Y649" s="58"/>
      <c r="Z649" s="58"/>
      <c r="AA649" s="58"/>
    </row>
    <row r="650" spans="1:27" ht="15.75" customHeight="1" x14ac:dyDescent="0.2">
      <c r="A650" s="61" t="str">
        <f t="shared" si="20"/>
        <v/>
      </c>
      <c r="B650" s="62"/>
      <c r="C650" s="62"/>
      <c r="D650" s="62"/>
      <c r="E650" s="62"/>
      <c r="F650" s="63"/>
      <c r="G650" s="63"/>
      <c r="H650" s="63"/>
      <c r="I650" s="63"/>
      <c r="J650" s="63"/>
      <c r="K650" s="63"/>
      <c r="L650" s="64" t="str">
        <f>IF(OR($B650="", $H650="", $I650="", $J650="", $K650=""),"",ROUND((VLOOKUP($H650,Lists!$E$2:$F$5,2,FALSE())*VLOOKUP($I650,Lists!$H$2:$I$4,2,FALSE())*VLOOKUP($J650,Lists!$K$2:$L$4,2,FALSE()))/VLOOKUP($K650,Lists!$N$2:$O$6,2,FALSE()),2))</f>
        <v/>
      </c>
      <c r="M650" s="63"/>
      <c r="N650" s="63"/>
      <c r="O650" s="62"/>
      <c r="P650" s="63"/>
      <c r="Q650" s="65"/>
      <c r="R650" s="66" t="str">
        <f t="shared" ca="1" si="21"/>
        <v/>
      </c>
      <c r="S650" s="63"/>
      <c r="T650" s="65"/>
      <c r="U650" s="65"/>
      <c r="V650" s="62"/>
      <c r="W650" s="62"/>
      <c r="X650" s="62"/>
      <c r="Y650" s="58"/>
      <c r="Z650" s="58"/>
      <c r="AA650" s="58"/>
    </row>
    <row r="651" spans="1:27" ht="15.75" customHeight="1" x14ac:dyDescent="0.2">
      <c r="A651" s="61" t="str">
        <f t="shared" si="20"/>
        <v/>
      </c>
      <c r="B651" s="62"/>
      <c r="C651" s="62"/>
      <c r="D651" s="62"/>
      <c r="E651" s="62"/>
      <c r="F651" s="63"/>
      <c r="G651" s="63"/>
      <c r="H651" s="63"/>
      <c r="I651" s="63"/>
      <c r="J651" s="63"/>
      <c r="K651" s="63"/>
      <c r="L651" s="64" t="str">
        <f>IF(OR($B651="", $H651="", $I651="", $J651="", $K651=""),"",ROUND((VLOOKUP($H651,Lists!$E$2:$F$5,2,FALSE())*VLOOKUP($I651,Lists!$H$2:$I$4,2,FALSE())*VLOOKUP($J651,Lists!$K$2:$L$4,2,FALSE()))/VLOOKUP($K651,Lists!$N$2:$O$6,2,FALSE()),2))</f>
        <v/>
      </c>
      <c r="M651" s="63"/>
      <c r="N651" s="63"/>
      <c r="O651" s="62"/>
      <c r="P651" s="63"/>
      <c r="Q651" s="65"/>
      <c r="R651" s="66" t="str">
        <f t="shared" ca="1" si="21"/>
        <v/>
      </c>
      <c r="S651" s="63"/>
      <c r="T651" s="65"/>
      <c r="U651" s="65"/>
      <c r="V651" s="62"/>
      <c r="W651" s="62"/>
      <c r="X651" s="62"/>
      <c r="Y651" s="58"/>
      <c r="Z651" s="58"/>
      <c r="AA651" s="58"/>
    </row>
    <row r="652" spans="1:27" ht="15.75" customHeight="1" x14ac:dyDescent="0.2">
      <c r="A652" s="61" t="str">
        <f t="shared" si="20"/>
        <v/>
      </c>
      <c r="B652" s="62"/>
      <c r="C652" s="62"/>
      <c r="D652" s="62"/>
      <c r="E652" s="62"/>
      <c r="F652" s="63"/>
      <c r="G652" s="63"/>
      <c r="H652" s="63"/>
      <c r="I652" s="63"/>
      <c r="J652" s="63"/>
      <c r="K652" s="63"/>
      <c r="L652" s="64" t="str">
        <f>IF(OR($B652="", $H652="", $I652="", $J652="", $K652=""),"",ROUND((VLOOKUP($H652,Lists!$E$2:$F$5,2,FALSE())*VLOOKUP($I652,Lists!$H$2:$I$4,2,FALSE())*VLOOKUP($J652,Lists!$K$2:$L$4,2,FALSE()))/VLOOKUP($K652,Lists!$N$2:$O$6,2,FALSE()),2))</f>
        <v/>
      </c>
      <c r="M652" s="63"/>
      <c r="N652" s="63"/>
      <c r="O652" s="62"/>
      <c r="P652" s="63"/>
      <c r="Q652" s="65"/>
      <c r="R652" s="66" t="str">
        <f t="shared" ca="1" si="21"/>
        <v/>
      </c>
      <c r="S652" s="63"/>
      <c r="T652" s="65"/>
      <c r="U652" s="65"/>
      <c r="V652" s="62"/>
      <c r="W652" s="62"/>
      <c r="X652" s="62"/>
      <c r="Y652" s="58"/>
      <c r="Z652" s="58"/>
      <c r="AA652" s="58"/>
    </row>
    <row r="653" spans="1:27" ht="15.75" customHeight="1" x14ac:dyDescent="0.2">
      <c r="A653" s="61" t="str">
        <f t="shared" si="20"/>
        <v/>
      </c>
      <c r="B653" s="62"/>
      <c r="C653" s="62"/>
      <c r="D653" s="62"/>
      <c r="E653" s="62"/>
      <c r="F653" s="63"/>
      <c r="G653" s="63"/>
      <c r="H653" s="63"/>
      <c r="I653" s="63"/>
      <c r="J653" s="63"/>
      <c r="K653" s="63"/>
      <c r="L653" s="64" t="str">
        <f>IF(OR($B653="", $H653="", $I653="", $J653="", $K653=""),"",ROUND((VLOOKUP($H653,Lists!$E$2:$F$5,2,FALSE())*VLOOKUP($I653,Lists!$H$2:$I$4,2,FALSE())*VLOOKUP($J653,Lists!$K$2:$L$4,2,FALSE()))/VLOOKUP($K653,Lists!$N$2:$O$6,2,FALSE()),2))</f>
        <v/>
      </c>
      <c r="M653" s="63"/>
      <c r="N653" s="63"/>
      <c r="O653" s="62"/>
      <c r="P653" s="63"/>
      <c r="Q653" s="65"/>
      <c r="R653" s="66" t="str">
        <f t="shared" ca="1" si="21"/>
        <v/>
      </c>
      <c r="S653" s="63"/>
      <c r="T653" s="65"/>
      <c r="U653" s="65"/>
      <c r="V653" s="62"/>
      <c r="W653" s="62"/>
      <c r="X653" s="62"/>
      <c r="Y653" s="58"/>
      <c r="Z653" s="58"/>
      <c r="AA653" s="58"/>
    </row>
    <row r="654" spans="1:27" ht="15.75" customHeight="1" x14ac:dyDescent="0.2">
      <c r="A654" s="61" t="str">
        <f t="shared" si="20"/>
        <v/>
      </c>
      <c r="B654" s="62"/>
      <c r="C654" s="62"/>
      <c r="D654" s="62"/>
      <c r="E654" s="62"/>
      <c r="F654" s="63"/>
      <c r="G654" s="63"/>
      <c r="H654" s="63"/>
      <c r="I654" s="63"/>
      <c r="J654" s="63"/>
      <c r="K654" s="63"/>
      <c r="L654" s="64" t="str">
        <f>IF(OR($B654="", $H654="", $I654="", $J654="", $K654=""),"",ROUND((VLOOKUP($H654,Lists!$E$2:$F$5,2,FALSE())*VLOOKUP($I654,Lists!$H$2:$I$4,2,FALSE())*VLOOKUP($J654,Lists!$K$2:$L$4,2,FALSE()))/VLOOKUP($K654,Lists!$N$2:$O$6,2,FALSE()),2))</f>
        <v/>
      </c>
      <c r="M654" s="63"/>
      <c r="N654" s="63"/>
      <c r="O654" s="62"/>
      <c r="P654" s="63"/>
      <c r="Q654" s="65"/>
      <c r="R654" s="66" t="str">
        <f t="shared" ca="1" si="21"/>
        <v/>
      </c>
      <c r="S654" s="63"/>
      <c r="T654" s="65"/>
      <c r="U654" s="65"/>
      <c r="V654" s="62"/>
      <c r="W654" s="62"/>
      <c r="X654" s="62"/>
      <c r="Y654" s="58"/>
      <c r="Z654" s="58"/>
      <c r="AA654" s="58"/>
    </row>
    <row r="655" spans="1:27" ht="15.75" customHeight="1" x14ac:dyDescent="0.2">
      <c r="A655" s="61" t="str">
        <f t="shared" si="20"/>
        <v/>
      </c>
      <c r="B655" s="62"/>
      <c r="C655" s="62"/>
      <c r="D655" s="62"/>
      <c r="E655" s="62"/>
      <c r="F655" s="63"/>
      <c r="G655" s="63"/>
      <c r="H655" s="63"/>
      <c r="I655" s="63"/>
      <c r="J655" s="63"/>
      <c r="K655" s="63"/>
      <c r="L655" s="64" t="str">
        <f>IF(OR($B655="", $H655="", $I655="", $J655="", $K655=""),"",ROUND((VLOOKUP($H655,Lists!$E$2:$F$5,2,FALSE())*VLOOKUP($I655,Lists!$H$2:$I$4,2,FALSE())*VLOOKUP($J655,Lists!$K$2:$L$4,2,FALSE()))/VLOOKUP($K655,Lists!$N$2:$O$6,2,FALSE()),2))</f>
        <v/>
      </c>
      <c r="M655" s="63"/>
      <c r="N655" s="63"/>
      <c r="O655" s="62"/>
      <c r="P655" s="63"/>
      <c r="Q655" s="65"/>
      <c r="R655" s="66" t="str">
        <f t="shared" ca="1" si="21"/>
        <v/>
      </c>
      <c r="S655" s="63"/>
      <c r="T655" s="65"/>
      <c r="U655" s="65"/>
      <c r="V655" s="62"/>
      <c r="W655" s="62"/>
      <c r="X655" s="62"/>
      <c r="Y655" s="58"/>
      <c r="Z655" s="58"/>
      <c r="AA655" s="58"/>
    </row>
    <row r="656" spans="1:27" ht="15.75" customHeight="1" x14ac:dyDescent="0.2">
      <c r="A656" s="61" t="str">
        <f t="shared" si="20"/>
        <v/>
      </c>
      <c r="B656" s="62"/>
      <c r="C656" s="62"/>
      <c r="D656" s="62"/>
      <c r="E656" s="62"/>
      <c r="F656" s="63"/>
      <c r="G656" s="63"/>
      <c r="H656" s="63"/>
      <c r="I656" s="63"/>
      <c r="J656" s="63"/>
      <c r="K656" s="63"/>
      <c r="L656" s="64" t="str">
        <f>IF(OR($B656="", $H656="", $I656="", $J656="", $K656=""),"",ROUND((VLOOKUP($H656,Lists!$E$2:$F$5,2,FALSE())*VLOOKUP($I656,Lists!$H$2:$I$4,2,FALSE())*VLOOKUP($J656,Lists!$K$2:$L$4,2,FALSE()))/VLOOKUP($K656,Lists!$N$2:$O$6,2,FALSE()),2))</f>
        <v/>
      </c>
      <c r="M656" s="63"/>
      <c r="N656" s="63"/>
      <c r="O656" s="62"/>
      <c r="P656" s="63"/>
      <c r="Q656" s="65"/>
      <c r="R656" s="66" t="str">
        <f t="shared" ca="1" si="21"/>
        <v/>
      </c>
      <c r="S656" s="63"/>
      <c r="T656" s="65"/>
      <c r="U656" s="65"/>
      <c r="V656" s="62"/>
      <c r="W656" s="62"/>
      <c r="X656" s="62"/>
      <c r="Y656" s="58"/>
      <c r="Z656" s="58"/>
      <c r="AA656" s="58"/>
    </row>
    <row r="657" spans="1:27" ht="15.75" customHeight="1" x14ac:dyDescent="0.2">
      <c r="A657" s="61" t="str">
        <f t="shared" si="20"/>
        <v/>
      </c>
      <c r="B657" s="62"/>
      <c r="C657" s="62"/>
      <c r="D657" s="62"/>
      <c r="E657" s="62"/>
      <c r="F657" s="63"/>
      <c r="G657" s="63"/>
      <c r="H657" s="63"/>
      <c r="I657" s="63"/>
      <c r="J657" s="63"/>
      <c r="K657" s="63"/>
      <c r="L657" s="64" t="str">
        <f>IF(OR($B657="", $H657="", $I657="", $J657="", $K657=""),"",ROUND((VLOOKUP($H657,Lists!$E$2:$F$5,2,FALSE())*VLOOKUP($I657,Lists!$H$2:$I$4,2,FALSE())*VLOOKUP($J657,Lists!$K$2:$L$4,2,FALSE()))/VLOOKUP($K657,Lists!$N$2:$O$6,2,FALSE()),2))</f>
        <v/>
      </c>
      <c r="M657" s="63"/>
      <c r="N657" s="63"/>
      <c r="O657" s="62"/>
      <c r="P657" s="63"/>
      <c r="Q657" s="65"/>
      <c r="R657" s="66" t="str">
        <f t="shared" ca="1" si="21"/>
        <v/>
      </c>
      <c r="S657" s="63"/>
      <c r="T657" s="65"/>
      <c r="U657" s="65"/>
      <c r="V657" s="62"/>
      <c r="W657" s="62"/>
      <c r="X657" s="62"/>
      <c r="Y657" s="58"/>
      <c r="Z657" s="58"/>
      <c r="AA657" s="58"/>
    </row>
    <row r="658" spans="1:27" ht="15.75" customHeight="1" x14ac:dyDescent="0.2">
      <c r="A658" s="61" t="str">
        <f t="shared" si="20"/>
        <v/>
      </c>
      <c r="B658" s="62"/>
      <c r="C658" s="62"/>
      <c r="D658" s="62"/>
      <c r="E658" s="62"/>
      <c r="F658" s="63"/>
      <c r="G658" s="63"/>
      <c r="H658" s="63"/>
      <c r="I658" s="63"/>
      <c r="J658" s="63"/>
      <c r="K658" s="63"/>
      <c r="L658" s="64" t="str">
        <f>IF(OR($B658="", $H658="", $I658="", $J658="", $K658=""),"",ROUND((VLOOKUP($H658,Lists!$E$2:$F$5,2,FALSE())*VLOOKUP($I658,Lists!$H$2:$I$4,2,FALSE())*VLOOKUP($J658,Lists!$K$2:$L$4,2,FALSE()))/VLOOKUP($K658,Lists!$N$2:$O$6,2,FALSE()),2))</f>
        <v/>
      </c>
      <c r="M658" s="63"/>
      <c r="N658" s="63"/>
      <c r="O658" s="62"/>
      <c r="P658" s="63"/>
      <c r="Q658" s="65"/>
      <c r="R658" s="66" t="str">
        <f t="shared" ca="1" si="21"/>
        <v/>
      </c>
      <c r="S658" s="63"/>
      <c r="T658" s="65"/>
      <c r="U658" s="65"/>
      <c r="V658" s="62"/>
      <c r="W658" s="62"/>
      <c r="X658" s="62"/>
      <c r="Y658" s="58"/>
      <c r="Z658" s="58"/>
      <c r="AA658" s="58"/>
    </row>
    <row r="659" spans="1:27" ht="15.75" customHeight="1" x14ac:dyDescent="0.2">
      <c r="A659" s="61" t="str">
        <f t="shared" si="20"/>
        <v/>
      </c>
      <c r="B659" s="62"/>
      <c r="C659" s="62"/>
      <c r="D659" s="62"/>
      <c r="E659" s="62"/>
      <c r="F659" s="63"/>
      <c r="G659" s="63"/>
      <c r="H659" s="63"/>
      <c r="I659" s="63"/>
      <c r="J659" s="63"/>
      <c r="K659" s="63"/>
      <c r="L659" s="64" t="str">
        <f>IF(OR($B659="", $H659="", $I659="", $J659="", $K659=""),"",ROUND((VLOOKUP($H659,Lists!$E$2:$F$5,2,FALSE())*VLOOKUP($I659,Lists!$H$2:$I$4,2,FALSE())*VLOOKUP($J659,Lists!$K$2:$L$4,2,FALSE()))/VLOOKUP($K659,Lists!$N$2:$O$6,2,FALSE()),2))</f>
        <v/>
      </c>
      <c r="M659" s="63"/>
      <c r="N659" s="63"/>
      <c r="O659" s="62"/>
      <c r="P659" s="63"/>
      <c r="Q659" s="65"/>
      <c r="R659" s="66" t="str">
        <f t="shared" ca="1" si="21"/>
        <v/>
      </c>
      <c r="S659" s="63"/>
      <c r="T659" s="65"/>
      <c r="U659" s="65"/>
      <c r="V659" s="62"/>
      <c r="W659" s="62"/>
      <c r="X659" s="62"/>
      <c r="Y659" s="58"/>
      <c r="Z659" s="58"/>
      <c r="AA659" s="58"/>
    </row>
    <row r="660" spans="1:27" ht="15.75" customHeight="1" x14ac:dyDescent="0.2">
      <c r="A660" s="61" t="str">
        <f t="shared" si="20"/>
        <v/>
      </c>
      <c r="B660" s="62"/>
      <c r="C660" s="62"/>
      <c r="D660" s="62"/>
      <c r="E660" s="62"/>
      <c r="F660" s="63"/>
      <c r="G660" s="63"/>
      <c r="H660" s="63"/>
      <c r="I660" s="63"/>
      <c r="J660" s="63"/>
      <c r="K660" s="63"/>
      <c r="L660" s="64" t="str">
        <f>IF(OR($B660="", $H660="", $I660="", $J660="", $K660=""),"",ROUND((VLOOKUP($H660,Lists!$E$2:$F$5,2,FALSE())*VLOOKUP($I660,Lists!$H$2:$I$4,2,FALSE())*VLOOKUP($J660,Lists!$K$2:$L$4,2,FALSE()))/VLOOKUP($K660,Lists!$N$2:$O$6,2,FALSE()),2))</f>
        <v/>
      </c>
      <c r="M660" s="63"/>
      <c r="N660" s="63"/>
      <c r="O660" s="62"/>
      <c r="P660" s="63"/>
      <c r="Q660" s="65"/>
      <c r="R660" s="66" t="str">
        <f t="shared" ca="1" si="21"/>
        <v/>
      </c>
      <c r="S660" s="63"/>
      <c r="T660" s="65"/>
      <c r="U660" s="65"/>
      <c r="V660" s="62"/>
      <c r="W660" s="62"/>
      <c r="X660" s="62"/>
      <c r="Y660" s="58"/>
      <c r="Z660" s="58"/>
      <c r="AA660" s="58"/>
    </row>
    <row r="661" spans="1:27" ht="15.75" customHeight="1" x14ac:dyDescent="0.2">
      <c r="A661" s="61" t="str">
        <f t="shared" si="20"/>
        <v/>
      </c>
      <c r="B661" s="62"/>
      <c r="C661" s="62"/>
      <c r="D661" s="62"/>
      <c r="E661" s="62"/>
      <c r="F661" s="63"/>
      <c r="G661" s="63"/>
      <c r="H661" s="63"/>
      <c r="I661" s="63"/>
      <c r="J661" s="63"/>
      <c r="K661" s="63"/>
      <c r="L661" s="64" t="str">
        <f>IF(OR($B661="", $H661="", $I661="", $J661="", $K661=""),"",ROUND((VLOOKUP($H661,Lists!$E$2:$F$5,2,FALSE())*VLOOKUP($I661,Lists!$H$2:$I$4,2,FALSE())*VLOOKUP($J661,Lists!$K$2:$L$4,2,FALSE()))/VLOOKUP($K661,Lists!$N$2:$O$6,2,FALSE()),2))</f>
        <v/>
      </c>
      <c r="M661" s="63"/>
      <c r="N661" s="63"/>
      <c r="O661" s="62"/>
      <c r="P661" s="63"/>
      <c r="Q661" s="65"/>
      <c r="R661" s="66" t="str">
        <f t="shared" ca="1" si="21"/>
        <v/>
      </c>
      <c r="S661" s="63"/>
      <c r="T661" s="65"/>
      <c r="U661" s="65"/>
      <c r="V661" s="62"/>
      <c r="W661" s="62"/>
      <c r="X661" s="62"/>
      <c r="Y661" s="58"/>
      <c r="Z661" s="58"/>
      <c r="AA661" s="58"/>
    </row>
    <row r="662" spans="1:27" ht="15.75" customHeight="1" x14ac:dyDescent="0.2">
      <c r="A662" s="61" t="str">
        <f t="shared" si="20"/>
        <v/>
      </c>
      <c r="B662" s="62"/>
      <c r="C662" s="62"/>
      <c r="D662" s="62"/>
      <c r="E662" s="62"/>
      <c r="F662" s="63"/>
      <c r="G662" s="63"/>
      <c r="H662" s="63"/>
      <c r="I662" s="63"/>
      <c r="J662" s="63"/>
      <c r="K662" s="63"/>
      <c r="L662" s="64" t="str">
        <f>IF(OR($B662="", $H662="", $I662="", $J662="", $K662=""),"",ROUND((VLOOKUP($H662,Lists!$E$2:$F$5,2,FALSE())*VLOOKUP($I662,Lists!$H$2:$I$4,2,FALSE())*VLOOKUP($J662,Lists!$K$2:$L$4,2,FALSE()))/VLOOKUP($K662,Lists!$N$2:$O$6,2,FALSE()),2))</f>
        <v/>
      </c>
      <c r="M662" s="63"/>
      <c r="N662" s="63"/>
      <c r="O662" s="62"/>
      <c r="P662" s="63"/>
      <c r="Q662" s="65"/>
      <c r="R662" s="66" t="str">
        <f t="shared" ca="1" si="21"/>
        <v/>
      </c>
      <c r="S662" s="63"/>
      <c r="T662" s="65"/>
      <c r="U662" s="65"/>
      <c r="V662" s="62"/>
      <c r="W662" s="62"/>
      <c r="X662" s="62"/>
      <c r="Y662" s="58"/>
      <c r="Z662" s="58"/>
      <c r="AA662" s="58"/>
    </row>
    <row r="663" spans="1:27" ht="15.75" customHeight="1" x14ac:dyDescent="0.2">
      <c r="A663" s="61" t="str">
        <f t="shared" si="20"/>
        <v/>
      </c>
      <c r="B663" s="62"/>
      <c r="C663" s="62"/>
      <c r="D663" s="62"/>
      <c r="E663" s="62"/>
      <c r="F663" s="63"/>
      <c r="G663" s="63"/>
      <c r="H663" s="63"/>
      <c r="I663" s="63"/>
      <c r="J663" s="63"/>
      <c r="K663" s="63"/>
      <c r="L663" s="64" t="str">
        <f>IF(OR($B663="", $H663="", $I663="", $J663="", $K663=""),"",ROUND((VLOOKUP($H663,Lists!$E$2:$F$5,2,FALSE())*VLOOKUP($I663,Lists!$H$2:$I$4,2,FALSE())*VLOOKUP($J663,Lists!$K$2:$L$4,2,FALSE()))/VLOOKUP($K663,Lists!$N$2:$O$6,2,FALSE()),2))</f>
        <v/>
      </c>
      <c r="M663" s="63"/>
      <c r="N663" s="63"/>
      <c r="O663" s="62"/>
      <c r="P663" s="63"/>
      <c r="Q663" s="65"/>
      <c r="R663" s="66" t="str">
        <f t="shared" ca="1" si="21"/>
        <v/>
      </c>
      <c r="S663" s="63"/>
      <c r="T663" s="65"/>
      <c r="U663" s="65"/>
      <c r="V663" s="62"/>
      <c r="W663" s="62"/>
      <c r="X663" s="62"/>
      <c r="Y663" s="58"/>
      <c r="Z663" s="58"/>
      <c r="AA663" s="58"/>
    </row>
    <row r="664" spans="1:27" ht="15.75" customHeight="1" x14ac:dyDescent="0.2">
      <c r="A664" s="61" t="str">
        <f t="shared" si="20"/>
        <v/>
      </c>
      <c r="B664" s="62"/>
      <c r="C664" s="62"/>
      <c r="D664" s="62"/>
      <c r="E664" s="62"/>
      <c r="F664" s="63"/>
      <c r="G664" s="63"/>
      <c r="H664" s="63"/>
      <c r="I664" s="63"/>
      <c r="J664" s="63"/>
      <c r="K664" s="63"/>
      <c r="L664" s="64" t="str">
        <f>IF(OR($B664="", $H664="", $I664="", $J664="", $K664=""),"",ROUND((VLOOKUP($H664,Lists!$E$2:$F$5,2,FALSE())*VLOOKUP($I664,Lists!$H$2:$I$4,2,FALSE())*VLOOKUP($J664,Lists!$K$2:$L$4,2,FALSE()))/VLOOKUP($K664,Lists!$N$2:$O$6,2,FALSE()),2))</f>
        <v/>
      </c>
      <c r="M664" s="63"/>
      <c r="N664" s="63"/>
      <c r="O664" s="62"/>
      <c r="P664" s="63"/>
      <c r="Q664" s="65"/>
      <c r="R664" s="66" t="str">
        <f t="shared" ca="1" si="21"/>
        <v/>
      </c>
      <c r="S664" s="63"/>
      <c r="T664" s="65"/>
      <c r="U664" s="65"/>
      <c r="V664" s="62"/>
      <c r="W664" s="62"/>
      <c r="X664" s="62"/>
      <c r="Y664" s="58"/>
      <c r="Z664" s="58"/>
      <c r="AA664" s="58"/>
    </row>
    <row r="665" spans="1:27" ht="15.75" customHeight="1" x14ac:dyDescent="0.2">
      <c r="A665" s="61" t="str">
        <f t="shared" si="20"/>
        <v/>
      </c>
      <c r="B665" s="62"/>
      <c r="C665" s="62"/>
      <c r="D665" s="62"/>
      <c r="E665" s="62"/>
      <c r="F665" s="63"/>
      <c r="G665" s="63"/>
      <c r="H665" s="63"/>
      <c r="I665" s="63"/>
      <c r="J665" s="63"/>
      <c r="K665" s="63"/>
      <c r="L665" s="64" t="str">
        <f>IF(OR($B665="", $H665="", $I665="", $J665="", $K665=""),"",ROUND((VLOOKUP($H665,Lists!$E$2:$F$5,2,FALSE())*VLOOKUP($I665,Lists!$H$2:$I$4,2,FALSE())*VLOOKUP($J665,Lists!$K$2:$L$4,2,FALSE()))/VLOOKUP($K665,Lists!$N$2:$O$6,2,FALSE()),2))</f>
        <v/>
      </c>
      <c r="M665" s="63"/>
      <c r="N665" s="63"/>
      <c r="O665" s="62"/>
      <c r="P665" s="63"/>
      <c r="Q665" s="65"/>
      <c r="R665" s="66" t="str">
        <f t="shared" ca="1" si="21"/>
        <v/>
      </c>
      <c r="S665" s="63"/>
      <c r="T665" s="65"/>
      <c r="U665" s="65"/>
      <c r="V665" s="62"/>
      <c r="W665" s="62"/>
      <c r="X665" s="62"/>
      <c r="Y665" s="58"/>
      <c r="Z665" s="58"/>
      <c r="AA665" s="58"/>
    </row>
    <row r="666" spans="1:27" ht="15.75" customHeight="1" x14ac:dyDescent="0.2">
      <c r="A666" s="61" t="str">
        <f t="shared" si="20"/>
        <v/>
      </c>
      <c r="B666" s="62"/>
      <c r="C666" s="62"/>
      <c r="D666" s="62"/>
      <c r="E666" s="62"/>
      <c r="F666" s="63"/>
      <c r="G666" s="63"/>
      <c r="H666" s="63"/>
      <c r="I666" s="63"/>
      <c r="J666" s="63"/>
      <c r="K666" s="63"/>
      <c r="L666" s="64" t="str">
        <f>IF(OR($B666="", $H666="", $I666="", $J666="", $K666=""),"",ROUND((VLOOKUP($H666,Lists!$E$2:$F$5,2,FALSE())*VLOOKUP($I666,Lists!$H$2:$I$4,2,FALSE())*VLOOKUP($J666,Lists!$K$2:$L$4,2,FALSE()))/VLOOKUP($K666,Lists!$N$2:$O$6,2,FALSE()),2))</f>
        <v/>
      </c>
      <c r="M666" s="63"/>
      <c r="N666" s="63"/>
      <c r="O666" s="62"/>
      <c r="P666" s="63"/>
      <c r="Q666" s="65"/>
      <c r="R666" s="66" t="str">
        <f t="shared" ca="1" si="21"/>
        <v/>
      </c>
      <c r="S666" s="63"/>
      <c r="T666" s="65"/>
      <c r="U666" s="65"/>
      <c r="V666" s="62"/>
      <c r="W666" s="62"/>
      <c r="X666" s="62"/>
      <c r="Y666" s="58"/>
      <c r="Z666" s="58"/>
      <c r="AA666" s="58"/>
    </row>
    <row r="667" spans="1:27" ht="15.75" customHeight="1" x14ac:dyDescent="0.2">
      <c r="A667" s="61" t="str">
        <f t="shared" si="20"/>
        <v/>
      </c>
      <c r="B667" s="62"/>
      <c r="C667" s="62"/>
      <c r="D667" s="62"/>
      <c r="E667" s="62"/>
      <c r="F667" s="63"/>
      <c r="G667" s="63"/>
      <c r="H667" s="63"/>
      <c r="I667" s="63"/>
      <c r="J667" s="63"/>
      <c r="K667" s="63"/>
      <c r="L667" s="64" t="str">
        <f>IF(OR($B667="", $H667="", $I667="", $J667="", $K667=""),"",ROUND((VLOOKUP($H667,Lists!$E$2:$F$5,2,FALSE())*VLOOKUP($I667,Lists!$H$2:$I$4,2,FALSE())*VLOOKUP($J667,Lists!$K$2:$L$4,2,FALSE()))/VLOOKUP($K667,Lists!$N$2:$O$6,2,FALSE()),2))</f>
        <v/>
      </c>
      <c r="M667" s="63"/>
      <c r="N667" s="63"/>
      <c r="O667" s="62"/>
      <c r="P667" s="63"/>
      <c r="Q667" s="65"/>
      <c r="R667" s="66" t="str">
        <f t="shared" ca="1" si="21"/>
        <v/>
      </c>
      <c r="S667" s="63"/>
      <c r="T667" s="65"/>
      <c r="U667" s="65"/>
      <c r="V667" s="62"/>
      <c r="W667" s="62"/>
      <c r="X667" s="62"/>
      <c r="Y667" s="58"/>
      <c r="Z667" s="58"/>
      <c r="AA667" s="58"/>
    </row>
    <row r="668" spans="1:27" ht="15.75" customHeight="1" x14ac:dyDescent="0.2">
      <c r="A668" s="61" t="str">
        <f t="shared" si="20"/>
        <v/>
      </c>
      <c r="B668" s="62"/>
      <c r="C668" s="62"/>
      <c r="D668" s="62"/>
      <c r="E668" s="62"/>
      <c r="F668" s="63"/>
      <c r="G668" s="63"/>
      <c r="H668" s="63"/>
      <c r="I668" s="63"/>
      <c r="J668" s="63"/>
      <c r="K668" s="63"/>
      <c r="L668" s="64" t="str">
        <f>IF(OR($B668="", $H668="", $I668="", $J668="", $K668=""),"",ROUND((VLOOKUP($H668,Lists!$E$2:$F$5,2,FALSE())*VLOOKUP($I668,Lists!$H$2:$I$4,2,FALSE())*VLOOKUP($J668,Lists!$K$2:$L$4,2,FALSE()))/VLOOKUP($K668,Lists!$N$2:$O$6,2,FALSE()),2))</f>
        <v/>
      </c>
      <c r="M668" s="63"/>
      <c r="N668" s="63"/>
      <c r="O668" s="62"/>
      <c r="P668" s="63"/>
      <c r="Q668" s="65"/>
      <c r="R668" s="66" t="str">
        <f t="shared" ca="1" si="21"/>
        <v/>
      </c>
      <c r="S668" s="63"/>
      <c r="T668" s="65"/>
      <c r="U668" s="65"/>
      <c r="V668" s="62"/>
      <c r="W668" s="62"/>
      <c r="X668" s="62"/>
      <c r="Y668" s="58"/>
      <c r="Z668" s="58"/>
      <c r="AA668" s="58"/>
    </row>
    <row r="669" spans="1:27" ht="15.75" customHeight="1" x14ac:dyDescent="0.2">
      <c r="A669" s="61" t="str">
        <f t="shared" si="20"/>
        <v/>
      </c>
      <c r="B669" s="62"/>
      <c r="C669" s="62"/>
      <c r="D669" s="62"/>
      <c r="E669" s="62"/>
      <c r="F669" s="63"/>
      <c r="G669" s="63"/>
      <c r="H669" s="63"/>
      <c r="I669" s="63"/>
      <c r="J669" s="63"/>
      <c r="K669" s="63"/>
      <c r="L669" s="64" t="str">
        <f>IF(OR($B669="", $H669="", $I669="", $J669="", $K669=""),"",ROUND((VLOOKUP($H669,Lists!$E$2:$F$5,2,FALSE())*VLOOKUP($I669,Lists!$H$2:$I$4,2,FALSE())*VLOOKUP($J669,Lists!$K$2:$L$4,2,FALSE()))/VLOOKUP($K669,Lists!$N$2:$O$6,2,FALSE()),2))</f>
        <v/>
      </c>
      <c r="M669" s="63"/>
      <c r="N669" s="63"/>
      <c r="O669" s="62"/>
      <c r="P669" s="63"/>
      <c r="Q669" s="65"/>
      <c r="R669" s="66" t="str">
        <f t="shared" ca="1" si="21"/>
        <v/>
      </c>
      <c r="S669" s="63"/>
      <c r="T669" s="65"/>
      <c r="U669" s="65"/>
      <c r="V669" s="62"/>
      <c r="W669" s="62"/>
      <c r="X669" s="62"/>
      <c r="Y669" s="58"/>
      <c r="Z669" s="58"/>
      <c r="AA669" s="58"/>
    </row>
    <row r="670" spans="1:27" ht="15.75" customHeight="1" x14ac:dyDescent="0.2">
      <c r="A670" s="61" t="str">
        <f t="shared" si="20"/>
        <v/>
      </c>
      <c r="B670" s="62"/>
      <c r="C670" s="62"/>
      <c r="D670" s="62"/>
      <c r="E670" s="62"/>
      <c r="F670" s="63"/>
      <c r="G670" s="63"/>
      <c r="H670" s="63"/>
      <c r="I670" s="63"/>
      <c r="J670" s="63"/>
      <c r="K670" s="63"/>
      <c r="L670" s="64" t="str">
        <f>IF(OR($B670="", $H670="", $I670="", $J670="", $K670=""),"",ROUND((VLOOKUP($H670,Lists!$E$2:$F$5,2,FALSE())*VLOOKUP($I670,Lists!$H$2:$I$4,2,FALSE())*VLOOKUP($J670,Lists!$K$2:$L$4,2,FALSE()))/VLOOKUP($K670,Lists!$N$2:$O$6,2,FALSE()),2))</f>
        <v/>
      </c>
      <c r="M670" s="63"/>
      <c r="N670" s="63"/>
      <c r="O670" s="62"/>
      <c r="P670" s="63"/>
      <c r="Q670" s="65"/>
      <c r="R670" s="66" t="str">
        <f t="shared" ca="1" si="21"/>
        <v/>
      </c>
      <c r="S670" s="63"/>
      <c r="T670" s="65"/>
      <c r="U670" s="65"/>
      <c r="V670" s="62"/>
      <c r="W670" s="62"/>
      <c r="X670" s="62"/>
      <c r="Y670" s="58"/>
      <c r="Z670" s="58"/>
      <c r="AA670" s="58"/>
    </row>
    <row r="671" spans="1:27" ht="15.75" customHeight="1" x14ac:dyDescent="0.2">
      <c r="A671" s="61" t="str">
        <f t="shared" si="20"/>
        <v/>
      </c>
      <c r="B671" s="62"/>
      <c r="C671" s="62"/>
      <c r="D671" s="62"/>
      <c r="E671" s="62"/>
      <c r="F671" s="63"/>
      <c r="G671" s="63"/>
      <c r="H671" s="63"/>
      <c r="I671" s="63"/>
      <c r="J671" s="63"/>
      <c r="K671" s="63"/>
      <c r="L671" s="64" t="str">
        <f>IF(OR($B671="", $H671="", $I671="", $J671="", $K671=""),"",ROUND((VLOOKUP($H671,Lists!$E$2:$F$5,2,FALSE())*VLOOKUP($I671,Lists!$H$2:$I$4,2,FALSE())*VLOOKUP($J671,Lists!$K$2:$L$4,2,FALSE()))/VLOOKUP($K671,Lists!$N$2:$O$6,2,FALSE()),2))</f>
        <v/>
      </c>
      <c r="M671" s="63"/>
      <c r="N671" s="63"/>
      <c r="O671" s="62"/>
      <c r="P671" s="63"/>
      <c r="Q671" s="65"/>
      <c r="R671" s="66" t="str">
        <f t="shared" ca="1" si="21"/>
        <v/>
      </c>
      <c r="S671" s="63"/>
      <c r="T671" s="65"/>
      <c r="U671" s="65"/>
      <c r="V671" s="62"/>
      <c r="W671" s="62"/>
      <c r="X671" s="62"/>
      <c r="Y671" s="58"/>
      <c r="Z671" s="58"/>
      <c r="AA671" s="58"/>
    </row>
    <row r="672" spans="1:27" ht="15.75" customHeight="1" x14ac:dyDescent="0.2">
      <c r="A672" s="61" t="str">
        <f t="shared" si="20"/>
        <v/>
      </c>
      <c r="B672" s="62"/>
      <c r="C672" s="62"/>
      <c r="D672" s="62"/>
      <c r="E672" s="62"/>
      <c r="F672" s="63"/>
      <c r="G672" s="63"/>
      <c r="H672" s="63"/>
      <c r="I672" s="63"/>
      <c r="J672" s="63"/>
      <c r="K672" s="63"/>
      <c r="L672" s="64" t="str">
        <f>IF(OR($B672="", $H672="", $I672="", $J672="", $K672=""),"",ROUND((VLOOKUP($H672,Lists!$E$2:$F$5,2,FALSE())*VLOOKUP($I672,Lists!$H$2:$I$4,2,FALSE())*VLOOKUP($J672,Lists!$K$2:$L$4,2,FALSE()))/VLOOKUP($K672,Lists!$N$2:$O$6,2,FALSE()),2))</f>
        <v/>
      </c>
      <c r="M672" s="63"/>
      <c r="N672" s="63"/>
      <c r="O672" s="62"/>
      <c r="P672" s="63"/>
      <c r="Q672" s="65"/>
      <c r="R672" s="66" t="str">
        <f t="shared" ca="1" si="21"/>
        <v/>
      </c>
      <c r="S672" s="63"/>
      <c r="T672" s="65"/>
      <c r="U672" s="65"/>
      <c r="V672" s="62"/>
      <c r="W672" s="62"/>
      <c r="X672" s="62"/>
      <c r="Y672" s="58"/>
      <c r="Z672" s="58"/>
      <c r="AA672" s="58"/>
    </row>
    <row r="673" spans="1:27" ht="15.75" customHeight="1" x14ac:dyDescent="0.2">
      <c r="A673" s="61" t="str">
        <f t="shared" si="20"/>
        <v/>
      </c>
      <c r="B673" s="62"/>
      <c r="C673" s="62"/>
      <c r="D673" s="62"/>
      <c r="E673" s="62"/>
      <c r="F673" s="63"/>
      <c r="G673" s="63"/>
      <c r="H673" s="63"/>
      <c r="I673" s="63"/>
      <c r="J673" s="63"/>
      <c r="K673" s="63"/>
      <c r="L673" s="64" t="str">
        <f>IF(OR($B673="", $H673="", $I673="", $J673="", $K673=""),"",ROUND((VLOOKUP($H673,Lists!$E$2:$F$5,2,FALSE())*VLOOKUP($I673,Lists!$H$2:$I$4,2,FALSE())*VLOOKUP($J673,Lists!$K$2:$L$4,2,FALSE()))/VLOOKUP($K673,Lists!$N$2:$O$6,2,FALSE()),2))</f>
        <v/>
      </c>
      <c r="M673" s="63"/>
      <c r="N673" s="63"/>
      <c r="O673" s="62"/>
      <c r="P673" s="63"/>
      <c r="Q673" s="65"/>
      <c r="R673" s="66" t="str">
        <f t="shared" ca="1" si="21"/>
        <v/>
      </c>
      <c r="S673" s="63"/>
      <c r="T673" s="65"/>
      <c r="U673" s="65"/>
      <c r="V673" s="62"/>
      <c r="W673" s="62"/>
      <c r="X673" s="62"/>
      <c r="Y673" s="58"/>
      <c r="Z673" s="58"/>
      <c r="AA673" s="58"/>
    </row>
    <row r="674" spans="1:27" ht="15.75" customHeight="1" x14ac:dyDescent="0.2">
      <c r="A674" s="61" t="str">
        <f t="shared" si="20"/>
        <v/>
      </c>
      <c r="B674" s="62"/>
      <c r="C674" s="62"/>
      <c r="D674" s="62"/>
      <c r="E674" s="62"/>
      <c r="F674" s="63"/>
      <c r="G674" s="63"/>
      <c r="H674" s="63"/>
      <c r="I674" s="63"/>
      <c r="J674" s="63"/>
      <c r="K674" s="63"/>
      <c r="L674" s="64" t="str">
        <f>IF(OR($B674="", $H674="", $I674="", $J674="", $K674=""),"",ROUND((VLOOKUP($H674,Lists!$E$2:$F$5,2,FALSE())*VLOOKUP($I674,Lists!$H$2:$I$4,2,FALSE())*VLOOKUP($J674,Lists!$K$2:$L$4,2,FALSE()))/VLOOKUP($K674,Lists!$N$2:$O$6,2,FALSE()),2))</f>
        <v/>
      </c>
      <c r="M674" s="63"/>
      <c r="N674" s="63"/>
      <c r="O674" s="62"/>
      <c r="P674" s="63"/>
      <c r="Q674" s="65"/>
      <c r="R674" s="66" t="str">
        <f t="shared" ca="1" si="21"/>
        <v/>
      </c>
      <c r="S674" s="63"/>
      <c r="T674" s="65"/>
      <c r="U674" s="65"/>
      <c r="V674" s="62"/>
      <c r="W674" s="62"/>
      <c r="X674" s="62"/>
      <c r="Y674" s="58"/>
      <c r="Z674" s="58"/>
      <c r="AA674" s="58"/>
    </row>
    <row r="675" spans="1:27" ht="15.75" customHeight="1" x14ac:dyDescent="0.2">
      <c r="A675" s="61" t="str">
        <f t="shared" si="20"/>
        <v/>
      </c>
      <c r="B675" s="62"/>
      <c r="C675" s="62"/>
      <c r="D675" s="62"/>
      <c r="E675" s="62"/>
      <c r="F675" s="63"/>
      <c r="G675" s="63"/>
      <c r="H675" s="63"/>
      <c r="I675" s="63"/>
      <c r="J675" s="63"/>
      <c r="K675" s="63"/>
      <c r="L675" s="64" t="str">
        <f>IF(OR($B675="", $H675="", $I675="", $J675="", $K675=""),"",ROUND((VLOOKUP($H675,Lists!$E$2:$F$5,2,FALSE())*VLOOKUP($I675,Lists!$H$2:$I$4,2,FALSE())*VLOOKUP($J675,Lists!$K$2:$L$4,2,FALSE()))/VLOOKUP($K675,Lists!$N$2:$O$6,2,FALSE()),2))</f>
        <v/>
      </c>
      <c r="M675" s="63"/>
      <c r="N675" s="63"/>
      <c r="O675" s="62"/>
      <c r="P675" s="63"/>
      <c r="Q675" s="65"/>
      <c r="R675" s="66" t="str">
        <f t="shared" ca="1" si="21"/>
        <v/>
      </c>
      <c r="S675" s="63"/>
      <c r="T675" s="65"/>
      <c r="U675" s="65"/>
      <c r="V675" s="62"/>
      <c r="W675" s="62"/>
      <c r="X675" s="62"/>
      <c r="Y675" s="58"/>
      <c r="Z675" s="58"/>
      <c r="AA675" s="58"/>
    </row>
    <row r="676" spans="1:27" ht="15.75" customHeight="1" x14ac:dyDescent="0.2">
      <c r="A676" s="61" t="str">
        <f t="shared" si="20"/>
        <v/>
      </c>
      <c r="B676" s="62"/>
      <c r="C676" s="62"/>
      <c r="D676" s="62"/>
      <c r="E676" s="62"/>
      <c r="F676" s="63"/>
      <c r="G676" s="63"/>
      <c r="H676" s="63"/>
      <c r="I676" s="63"/>
      <c r="J676" s="63"/>
      <c r="K676" s="63"/>
      <c r="L676" s="64" t="str">
        <f>IF(OR($B676="", $H676="", $I676="", $J676="", $K676=""),"",ROUND((VLOOKUP($H676,Lists!$E$2:$F$5,2,FALSE())*VLOOKUP($I676,Lists!$H$2:$I$4,2,FALSE())*VLOOKUP($J676,Lists!$K$2:$L$4,2,FALSE()))/VLOOKUP($K676,Lists!$N$2:$O$6,2,FALSE()),2))</f>
        <v/>
      </c>
      <c r="M676" s="63"/>
      <c r="N676" s="63"/>
      <c r="O676" s="62"/>
      <c r="P676" s="63"/>
      <c r="Q676" s="65"/>
      <c r="R676" s="66" t="str">
        <f t="shared" ca="1" si="21"/>
        <v/>
      </c>
      <c r="S676" s="63"/>
      <c r="T676" s="65"/>
      <c r="U676" s="65"/>
      <c r="V676" s="62"/>
      <c r="W676" s="62"/>
      <c r="X676" s="62"/>
      <c r="Y676" s="58"/>
      <c r="Z676" s="58"/>
      <c r="AA676" s="58"/>
    </row>
    <row r="677" spans="1:27" ht="15.75" customHeight="1" x14ac:dyDescent="0.2">
      <c r="A677" s="61" t="str">
        <f t="shared" si="20"/>
        <v/>
      </c>
      <c r="B677" s="62"/>
      <c r="C677" s="62"/>
      <c r="D677" s="62"/>
      <c r="E677" s="62"/>
      <c r="F677" s="63"/>
      <c r="G677" s="63"/>
      <c r="H677" s="63"/>
      <c r="I677" s="63"/>
      <c r="J677" s="63"/>
      <c r="K677" s="63"/>
      <c r="L677" s="64" t="str">
        <f>IF(OR($B677="", $H677="", $I677="", $J677="", $K677=""),"",ROUND((VLOOKUP($H677,Lists!$E$2:$F$5,2,FALSE())*VLOOKUP($I677,Lists!$H$2:$I$4,2,FALSE())*VLOOKUP($J677,Lists!$K$2:$L$4,2,FALSE()))/VLOOKUP($K677,Lists!$N$2:$O$6,2,FALSE()),2))</f>
        <v/>
      </c>
      <c r="M677" s="63"/>
      <c r="N677" s="63"/>
      <c r="O677" s="62"/>
      <c r="P677" s="63"/>
      <c r="Q677" s="65"/>
      <c r="R677" s="66" t="str">
        <f t="shared" ca="1" si="21"/>
        <v/>
      </c>
      <c r="S677" s="63"/>
      <c r="T677" s="65"/>
      <c r="U677" s="65"/>
      <c r="V677" s="62"/>
      <c r="W677" s="62"/>
      <c r="X677" s="62"/>
      <c r="Y677" s="58"/>
      <c r="Z677" s="58"/>
      <c r="AA677" s="58"/>
    </row>
    <row r="678" spans="1:27" ht="15.75" customHeight="1" x14ac:dyDescent="0.2">
      <c r="A678" s="61" t="str">
        <f t="shared" si="20"/>
        <v/>
      </c>
      <c r="B678" s="62"/>
      <c r="C678" s="62"/>
      <c r="D678" s="62"/>
      <c r="E678" s="62"/>
      <c r="F678" s="63"/>
      <c r="G678" s="63"/>
      <c r="H678" s="63"/>
      <c r="I678" s="63"/>
      <c r="J678" s="63"/>
      <c r="K678" s="63"/>
      <c r="L678" s="64" t="str">
        <f>IF(OR($B678="", $H678="", $I678="", $J678="", $K678=""),"",ROUND((VLOOKUP($H678,Lists!$E$2:$F$5,2,FALSE())*VLOOKUP($I678,Lists!$H$2:$I$4,2,FALSE())*VLOOKUP($J678,Lists!$K$2:$L$4,2,FALSE()))/VLOOKUP($K678,Lists!$N$2:$O$6,2,FALSE()),2))</f>
        <v/>
      </c>
      <c r="M678" s="63"/>
      <c r="N678" s="63"/>
      <c r="O678" s="62"/>
      <c r="P678" s="63"/>
      <c r="Q678" s="65"/>
      <c r="R678" s="66" t="str">
        <f t="shared" ca="1" si="21"/>
        <v/>
      </c>
      <c r="S678" s="63"/>
      <c r="T678" s="65"/>
      <c r="U678" s="65"/>
      <c r="V678" s="62"/>
      <c r="W678" s="62"/>
      <c r="X678" s="62"/>
      <c r="Y678" s="58"/>
      <c r="Z678" s="58"/>
      <c r="AA678" s="58"/>
    </row>
    <row r="679" spans="1:27" ht="15.75" customHeight="1" x14ac:dyDescent="0.2">
      <c r="A679" s="61" t="str">
        <f t="shared" si="20"/>
        <v/>
      </c>
      <c r="B679" s="62"/>
      <c r="C679" s="62"/>
      <c r="D679" s="62"/>
      <c r="E679" s="62"/>
      <c r="F679" s="63"/>
      <c r="G679" s="63"/>
      <c r="H679" s="63"/>
      <c r="I679" s="63"/>
      <c r="J679" s="63"/>
      <c r="K679" s="63"/>
      <c r="L679" s="64" t="str">
        <f>IF(OR($B679="", $H679="", $I679="", $J679="", $K679=""),"",ROUND((VLOOKUP($H679,Lists!$E$2:$F$5,2,FALSE())*VLOOKUP($I679,Lists!$H$2:$I$4,2,FALSE())*VLOOKUP($J679,Lists!$K$2:$L$4,2,FALSE()))/VLOOKUP($K679,Lists!$N$2:$O$6,2,FALSE()),2))</f>
        <v/>
      </c>
      <c r="M679" s="63"/>
      <c r="N679" s="63"/>
      <c r="O679" s="62"/>
      <c r="P679" s="63"/>
      <c r="Q679" s="65"/>
      <c r="R679" s="66" t="str">
        <f t="shared" ca="1" si="21"/>
        <v/>
      </c>
      <c r="S679" s="63"/>
      <c r="T679" s="65"/>
      <c r="U679" s="65"/>
      <c r="V679" s="62"/>
      <c r="W679" s="62"/>
      <c r="X679" s="62"/>
      <c r="Y679" s="58"/>
      <c r="Z679" s="58"/>
      <c r="AA679" s="58"/>
    </row>
    <row r="680" spans="1:27" ht="15.75" customHeight="1" x14ac:dyDescent="0.2">
      <c r="A680" s="61" t="str">
        <f t="shared" si="20"/>
        <v/>
      </c>
      <c r="B680" s="62"/>
      <c r="C680" s="62"/>
      <c r="D680" s="62"/>
      <c r="E680" s="62"/>
      <c r="F680" s="63"/>
      <c r="G680" s="63"/>
      <c r="H680" s="63"/>
      <c r="I680" s="63"/>
      <c r="J680" s="63"/>
      <c r="K680" s="63"/>
      <c r="L680" s="64" t="str">
        <f>IF(OR($B680="", $H680="", $I680="", $J680="", $K680=""),"",ROUND((VLOOKUP($H680,Lists!$E$2:$F$5,2,FALSE())*VLOOKUP($I680,Lists!$H$2:$I$4,2,FALSE())*VLOOKUP($J680,Lists!$K$2:$L$4,2,FALSE()))/VLOOKUP($K680,Lists!$N$2:$O$6,2,FALSE()),2))</f>
        <v/>
      </c>
      <c r="M680" s="63"/>
      <c r="N680" s="63"/>
      <c r="O680" s="62"/>
      <c r="P680" s="63"/>
      <c r="Q680" s="65"/>
      <c r="R680" s="66" t="str">
        <f t="shared" ca="1" si="21"/>
        <v/>
      </c>
      <c r="S680" s="63"/>
      <c r="T680" s="65"/>
      <c r="U680" s="65"/>
      <c r="V680" s="62"/>
      <c r="W680" s="62"/>
      <c r="X680" s="62"/>
      <c r="Y680" s="58"/>
      <c r="Z680" s="58"/>
      <c r="AA680" s="58"/>
    </row>
    <row r="681" spans="1:27" ht="15.75" customHeight="1" x14ac:dyDescent="0.2">
      <c r="A681" s="61" t="str">
        <f t="shared" si="20"/>
        <v/>
      </c>
      <c r="B681" s="62"/>
      <c r="C681" s="62"/>
      <c r="D681" s="62"/>
      <c r="E681" s="62"/>
      <c r="F681" s="63"/>
      <c r="G681" s="63"/>
      <c r="H681" s="63"/>
      <c r="I681" s="63"/>
      <c r="J681" s="63"/>
      <c r="K681" s="63"/>
      <c r="L681" s="64" t="str">
        <f>IF(OR($B681="", $H681="", $I681="", $J681="", $K681=""),"",ROUND((VLOOKUP($H681,Lists!$E$2:$F$5,2,FALSE())*VLOOKUP($I681,Lists!$H$2:$I$4,2,FALSE())*VLOOKUP($J681,Lists!$K$2:$L$4,2,FALSE()))/VLOOKUP($K681,Lists!$N$2:$O$6,2,FALSE()),2))</f>
        <v/>
      </c>
      <c r="M681" s="63"/>
      <c r="N681" s="63"/>
      <c r="O681" s="62"/>
      <c r="P681" s="63"/>
      <c r="Q681" s="65"/>
      <c r="R681" s="66" t="str">
        <f t="shared" ca="1" si="21"/>
        <v/>
      </c>
      <c r="S681" s="63"/>
      <c r="T681" s="65"/>
      <c r="U681" s="65"/>
      <c r="V681" s="62"/>
      <c r="W681" s="62"/>
      <c r="X681" s="62"/>
      <c r="Y681" s="58"/>
      <c r="Z681" s="58"/>
      <c r="AA681" s="58"/>
    </row>
    <row r="682" spans="1:27" ht="15.75" customHeight="1" x14ac:dyDescent="0.2">
      <c r="A682" s="61" t="str">
        <f t="shared" si="20"/>
        <v/>
      </c>
      <c r="B682" s="62"/>
      <c r="C682" s="62"/>
      <c r="D682" s="62"/>
      <c r="E682" s="62"/>
      <c r="F682" s="63"/>
      <c r="G682" s="63"/>
      <c r="H682" s="63"/>
      <c r="I682" s="63"/>
      <c r="J682" s="63"/>
      <c r="K682" s="63"/>
      <c r="L682" s="64" t="str">
        <f>IF(OR($B682="", $H682="", $I682="", $J682="", $K682=""),"",ROUND((VLOOKUP($H682,Lists!$E$2:$F$5,2,FALSE())*VLOOKUP($I682,Lists!$H$2:$I$4,2,FALSE())*VLOOKUP($J682,Lists!$K$2:$L$4,2,FALSE()))/VLOOKUP($K682,Lists!$N$2:$O$6,2,FALSE()),2))</f>
        <v/>
      </c>
      <c r="M682" s="63"/>
      <c r="N682" s="63"/>
      <c r="O682" s="62"/>
      <c r="P682" s="63"/>
      <c r="Q682" s="65"/>
      <c r="R682" s="66" t="str">
        <f t="shared" ca="1" si="21"/>
        <v/>
      </c>
      <c r="S682" s="63"/>
      <c r="T682" s="65"/>
      <c r="U682" s="65"/>
      <c r="V682" s="62"/>
      <c r="W682" s="62"/>
      <c r="X682" s="62"/>
      <c r="Y682" s="58"/>
      <c r="Z682" s="58"/>
      <c r="AA682" s="58"/>
    </row>
    <row r="683" spans="1:27" ht="15.75" customHeight="1" x14ac:dyDescent="0.2">
      <c r="A683" s="61" t="str">
        <f t="shared" si="20"/>
        <v/>
      </c>
      <c r="B683" s="62"/>
      <c r="C683" s="62"/>
      <c r="D683" s="62"/>
      <c r="E683" s="62"/>
      <c r="F683" s="63"/>
      <c r="G683" s="63"/>
      <c r="H683" s="63"/>
      <c r="I683" s="63"/>
      <c r="J683" s="63"/>
      <c r="K683" s="63"/>
      <c r="L683" s="64" t="str">
        <f>IF(OR($B683="", $H683="", $I683="", $J683="", $K683=""),"",ROUND((VLOOKUP($H683,Lists!$E$2:$F$5,2,FALSE())*VLOOKUP($I683,Lists!$H$2:$I$4,2,FALSE())*VLOOKUP($J683,Lists!$K$2:$L$4,2,FALSE()))/VLOOKUP($K683,Lists!$N$2:$O$6,2,FALSE()),2))</f>
        <v/>
      </c>
      <c r="M683" s="63"/>
      <c r="N683" s="63"/>
      <c r="O683" s="62"/>
      <c r="P683" s="63"/>
      <c r="Q683" s="65"/>
      <c r="R683" s="66" t="str">
        <f t="shared" ca="1" si="21"/>
        <v/>
      </c>
      <c r="S683" s="63"/>
      <c r="T683" s="65"/>
      <c r="U683" s="65"/>
      <c r="V683" s="62"/>
      <c r="W683" s="62"/>
      <c r="X683" s="62"/>
      <c r="Y683" s="58"/>
      <c r="Z683" s="58"/>
      <c r="AA683" s="58"/>
    </row>
    <row r="684" spans="1:27" ht="15.75" customHeight="1" x14ac:dyDescent="0.2">
      <c r="A684" s="61" t="str">
        <f t="shared" si="20"/>
        <v/>
      </c>
      <c r="B684" s="62"/>
      <c r="C684" s="62"/>
      <c r="D684" s="62"/>
      <c r="E684" s="62"/>
      <c r="F684" s="63"/>
      <c r="G684" s="63"/>
      <c r="H684" s="63"/>
      <c r="I684" s="63"/>
      <c r="J684" s="63"/>
      <c r="K684" s="63"/>
      <c r="L684" s="64" t="str">
        <f>IF(OR($B684="", $H684="", $I684="", $J684="", $K684=""),"",ROUND((VLOOKUP($H684,Lists!$E$2:$F$5,2,FALSE())*VLOOKUP($I684,Lists!$H$2:$I$4,2,FALSE())*VLOOKUP($J684,Lists!$K$2:$L$4,2,FALSE()))/VLOOKUP($K684,Lists!$N$2:$O$6,2,FALSE()),2))</f>
        <v/>
      </c>
      <c r="M684" s="63"/>
      <c r="N684" s="63"/>
      <c r="O684" s="62"/>
      <c r="P684" s="63"/>
      <c r="Q684" s="65"/>
      <c r="R684" s="66" t="str">
        <f t="shared" ca="1" si="21"/>
        <v/>
      </c>
      <c r="S684" s="63"/>
      <c r="T684" s="65"/>
      <c r="U684" s="65"/>
      <c r="V684" s="62"/>
      <c r="W684" s="62"/>
      <c r="X684" s="62"/>
      <c r="Y684" s="58"/>
      <c r="Z684" s="58"/>
      <c r="AA684" s="58"/>
    </row>
    <row r="685" spans="1:27" ht="15.75" customHeight="1" x14ac:dyDescent="0.2">
      <c r="A685" s="61" t="str">
        <f t="shared" si="20"/>
        <v/>
      </c>
      <c r="B685" s="62"/>
      <c r="C685" s="62"/>
      <c r="D685" s="62"/>
      <c r="E685" s="62"/>
      <c r="F685" s="63"/>
      <c r="G685" s="63"/>
      <c r="H685" s="63"/>
      <c r="I685" s="63"/>
      <c r="J685" s="63"/>
      <c r="K685" s="63"/>
      <c r="L685" s="64" t="str">
        <f>IF(OR($B685="", $H685="", $I685="", $J685="", $K685=""),"",ROUND((VLOOKUP($H685,Lists!$E$2:$F$5,2,FALSE())*VLOOKUP($I685,Lists!$H$2:$I$4,2,FALSE())*VLOOKUP($J685,Lists!$K$2:$L$4,2,FALSE()))/VLOOKUP($K685,Lists!$N$2:$O$6,2,FALSE()),2))</f>
        <v/>
      </c>
      <c r="M685" s="63"/>
      <c r="N685" s="63"/>
      <c r="O685" s="62"/>
      <c r="P685" s="63"/>
      <c r="Q685" s="65"/>
      <c r="R685" s="66" t="str">
        <f t="shared" ca="1" si="21"/>
        <v/>
      </c>
      <c r="S685" s="63"/>
      <c r="T685" s="65"/>
      <c r="U685" s="65"/>
      <c r="V685" s="62"/>
      <c r="W685" s="62"/>
      <c r="X685" s="62"/>
      <c r="Y685" s="58"/>
      <c r="Z685" s="58"/>
      <c r="AA685" s="58"/>
    </row>
    <row r="686" spans="1:27" ht="15.75" customHeight="1" x14ac:dyDescent="0.2">
      <c r="A686" s="61" t="str">
        <f t="shared" si="20"/>
        <v/>
      </c>
      <c r="B686" s="62"/>
      <c r="C686" s="62"/>
      <c r="D686" s="62"/>
      <c r="E686" s="62"/>
      <c r="F686" s="63"/>
      <c r="G686" s="63"/>
      <c r="H686" s="63"/>
      <c r="I686" s="63"/>
      <c r="J686" s="63"/>
      <c r="K686" s="63"/>
      <c r="L686" s="64" t="str">
        <f>IF(OR($B686="", $H686="", $I686="", $J686="", $K686=""),"",ROUND((VLOOKUP($H686,Lists!$E$2:$F$5,2,FALSE())*VLOOKUP($I686,Lists!$H$2:$I$4,2,FALSE())*VLOOKUP($J686,Lists!$K$2:$L$4,2,FALSE()))/VLOOKUP($K686,Lists!$N$2:$O$6,2,FALSE()),2))</f>
        <v/>
      </c>
      <c r="M686" s="63"/>
      <c r="N686" s="63"/>
      <c r="O686" s="62"/>
      <c r="P686" s="63"/>
      <c r="Q686" s="65"/>
      <c r="R686" s="66" t="str">
        <f t="shared" ca="1" si="21"/>
        <v/>
      </c>
      <c r="S686" s="63"/>
      <c r="T686" s="65"/>
      <c r="U686" s="65"/>
      <c r="V686" s="62"/>
      <c r="W686" s="62"/>
      <c r="X686" s="62"/>
      <c r="Y686" s="58"/>
      <c r="Z686" s="58"/>
      <c r="AA686" s="58"/>
    </row>
    <row r="687" spans="1:27" ht="15.75" customHeight="1" x14ac:dyDescent="0.2">
      <c r="A687" s="61" t="str">
        <f t="shared" si="20"/>
        <v/>
      </c>
      <c r="B687" s="62"/>
      <c r="C687" s="62"/>
      <c r="D687" s="62"/>
      <c r="E687" s="62"/>
      <c r="F687" s="63"/>
      <c r="G687" s="63"/>
      <c r="H687" s="63"/>
      <c r="I687" s="63"/>
      <c r="J687" s="63"/>
      <c r="K687" s="63"/>
      <c r="L687" s="64" t="str">
        <f>IF(OR($B687="", $H687="", $I687="", $J687="", $K687=""),"",ROUND((VLOOKUP($H687,Lists!$E$2:$F$5,2,FALSE())*VLOOKUP($I687,Lists!$H$2:$I$4,2,FALSE())*VLOOKUP($J687,Lists!$K$2:$L$4,2,FALSE()))/VLOOKUP($K687,Lists!$N$2:$O$6,2,FALSE()),2))</f>
        <v/>
      </c>
      <c r="M687" s="63"/>
      <c r="N687" s="63"/>
      <c r="O687" s="62"/>
      <c r="P687" s="63"/>
      <c r="Q687" s="65"/>
      <c r="R687" s="66" t="str">
        <f t="shared" ca="1" si="21"/>
        <v/>
      </c>
      <c r="S687" s="63"/>
      <c r="T687" s="65"/>
      <c r="U687" s="65"/>
      <c r="V687" s="62"/>
      <c r="W687" s="62"/>
      <c r="X687" s="62"/>
      <c r="Y687" s="58"/>
      <c r="Z687" s="58"/>
      <c r="AA687" s="58"/>
    </row>
    <row r="688" spans="1:27" ht="15.75" customHeight="1" x14ac:dyDescent="0.2">
      <c r="A688" s="61" t="str">
        <f t="shared" si="20"/>
        <v/>
      </c>
      <c r="B688" s="62"/>
      <c r="C688" s="62"/>
      <c r="D688" s="62"/>
      <c r="E688" s="62"/>
      <c r="F688" s="63"/>
      <c r="G688" s="63"/>
      <c r="H688" s="63"/>
      <c r="I688" s="63"/>
      <c r="J688" s="63"/>
      <c r="K688" s="63"/>
      <c r="L688" s="64" t="str">
        <f>IF(OR($B688="", $H688="", $I688="", $J688="", $K688=""),"",ROUND((VLOOKUP($H688,Lists!$E$2:$F$5,2,FALSE())*VLOOKUP($I688,Lists!$H$2:$I$4,2,FALSE())*VLOOKUP($J688,Lists!$K$2:$L$4,2,FALSE()))/VLOOKUP($K688,Lists!$N$2:$O$6,2,FALSE()),2))</f>
        <v/>
      </c>
      <c r="M688" s="63"/>
      <c r="N688" s="63"/>
      <c r="O688" s="62"/>
      <c r="P688" s="63"/>
      <c r="Q688" s="65"/>
      <c r="R688" s="66" t="str">
        <f t="shared" ca="1" si="21"/>
        <v/>
      </c>
      <c r="S688" s="63"/>
      <c r="T688" s="65"/>
      <c r="U688" s="65"/>
      <c r="V688" s="62"/>
      <c r="W688" s="62"/>
      <c r="X688" s="62"/>
      <c r="Y688" s="58"/>
      <c r="Z688" s="58"/>
      <c r="AA688" s="58"/>
    </row>
    <row r="689" spans="1:27" ht="15.75" customHeight="1" x14ac:dyDescent="0.2">
      <c r="A689" s="61" t="str">
        <f t="shared" si="20"/>
        <v/>
      </c>
      <c r="B689" s="62"/>
      <c r="C689" s="62"/>
      <c r="D689" s="62"/>
      <c r="E689" s="62"/>
      <c r="F689" s="63"/>
      <c r="G689" s="63"/>
      <c r="H689" s="63"/>
      <c r="I689" s="63"/>
      <c r="J689" s="63"/>
      <c r="K689" s="63"/>
      <c r="L689" s="64" t="str">
        <f>IF(OR($B689="", $H689="", $I689="", $J689="", $K689=""),"",ROUND((VLOOKUP($H689,Lists!$E$2:$F$5,2,FALSE())*VLOOKUP($I689,Lists!$H$2:$I$4,2,FALSE())*VLOOKUP($J689,Lists!$K$2:$L$4,2,FALSE()))/VLOOKUP($K689,Lists!$N$2:$O$6,2,FALSE()),2))</f>
        <v/>
      </c>
      <c r="M689" s="63"/>
      <c r="N689" s="63"/>
      <c r="O689" s="62"/>
      <c r="P689" s="63"/>
      <c r="Q689" s="65"/>
      <c r="R689" s="66" t="str">
        <f t="shared" ca="1" si="21"/>
        <v/>
      </c>
      <c r="S689" s="63"/>
      <c r="T689" s="65"/>
      <c r="U689" s="65"/>
      <c r="V689" s="62"/>
      <c r="W689" s="62"/>
      <c r="X689" s="62"/>
      <c r="Y689" s="58"/>
      <c r="Z689" s="58"/>
      <c r="AA689" s="58"/>
    </row>
    <row r="690" spans="1:27" ht="15.75" customHeight="1" x14ac:dyDescent="0.2">
      <c r="A690" s="61" t="str">
        <f t="shared" si="20"/>
        <v/>
      </c>
      <c r="B690" s="62"/>
      <c r="C690" s="62"/>
      <c r="D690" s="62"/>
      <c r="E690" s="62"/>
      <c r="F690" s="63"/>
      <c r="G690" s="63"/>
      <c r="H690" s="63"/>
      <c r="I690" s="63"/>
      <c r="J690" s="63"/>
      <c r="K690" s="63"/>
      <c r="L690" s="64" t="str">
        <f>IF(OR($B690="", $H690="", $I690="", $J690="", $K690=""),"",ROUND((VLOOKUP($H690,Lists!$E$2:$F$5,2,FALSE())*VLOOKUP($I690,Lists!$H$2:$I$4,2,FALSE())*VLOOKUP($J690,Lists!$K$2:$L$4,2,FALSE()))/VLOOKUP($K690,Lists!$N$2:$O$6,2,FALSE()),2))</f>
        <v/>
      </c>
      <c r="M690" s="63"/>
      <c r="N690" s="63"/>
      <c r="O690" s="62"/>
      <c r="P690" s="63"/>
      <c r="Q690" s="65"/>
      <c r="R690" s="66" t="str">
        <f t="shared" ca="1" si="21"/>
        <v/>
      </c>
      <c r="S690" s="63"/>
      <c r="T690" s="65"/>
      <c r="U690" s="65"/>
      <c r="V690" s="62"/>
      <c r="W690" s="62"/>
      <c r="X690" s="62"/>
      <c r="Y690" s="58"/>
      <c r="Z690" s="58"/>
      <c r="AA690" s="58"/>
    </row>
    <row r="691" spans="1:27" ht="15.75" customHeight="1" x14ac:dyDescent="0.2">
      <c r="A691" s="61" t="str">
        <f t="shared" si="20"/>
        <v/>
      </c>
      <c r="B691" s="62"/>
      <c r="C691" s="62"/>
      <c r="D691" s="62"/>
      <c r="E691" s="62"/>
      <c r="F691" s="63"/>
      <c r="G691" s="63"/>
      <c r="H691" s="63"/>
      <c r="I691" s="63"/>
      <c r="J691" s="63"/>
      <c r="K691" s="63"/>
      <c r="L691" s="64" t="str">
        <f>IF(OR($B691="", $H691="", $I691="", $J691="", $K691=""),"",ROUND((VLOOKUP($H691,Lists!$E$2:$F$5,2,FALSE())*VLOOKUP($I691,Lists!$H$2:$I$4,2,FALSE())*VLOOKUP($J691,Lists!$K$2:$L$4,2,FALSE()))/VLOOKUP($K691,Lists!$N$2:$O$6,2,FALSE()),2))</f>
        <v/>
      </c>
      <c r="M691" s="63"/>
      <c r="N691" s="63"/>
      <c r="O691" s="62"/>
      <c r="P691" s="63"/>
      <c r="Q691" s="65"/>
      <c r="R691" s="66" t="str">
        <f t="shared" ca="1" si="21"/>
        <v/>
      </c>
      <c r="S691" s="63"/>
      <c r="T691" s="65"/>
      <c r="U691" s="65"/>
      <c r="V691" s="62"/>
      <c r="W691" s="62"/>
      <c r="X691" s="62"/>
      <c r="Y691" s="58"/>
      <c r="Z691" s="58"/>
      <c r="AA691" s="58"/>
    </row>
    <row r="692" spans="1:27" ht="15.75" customHeight="1" x14ac:dyDescent="0.2">
      <c r="A692" s="61" t="str">
        <f t="shared" si="20"/>
        <v/>
      </c>
      <c r="B692" s="62"/>
      <c r="C692" s="62"/>
      <c r="D692" s="62"/>
      <c r="E692" s="62"/>
      <c r="F692" s="63"/>
      <c r="G692" s="63"/>
      <c r="H692" s="63"/>
      <c r="I692" s="63"/>
      <c r="J692" s="63"/>
      <c r="K692" s="63"/>
      <c r="L692" s="64" t="str">
        <f>IF(OR($B692="", $H692="", $I692="", $J692="", $K692=""),"",ROUND((VLOOKUP($H692,Lists!$E$2:$F$5,2,FALSE())*VLOOKUP($I692,Lists!$H$2:$I$4,2,FALSE())*VLOOKUP($J692,Lists!$K$2:$L$4,2,FALSE()))/VLOOKUP($K692,Lists!$N$2:$O$6,2,FALSE()),2))</f>
        <v/>
      </c>
      <c r="M692" s="63"/>
      <c r="N692" s="63"/>
      <c r="O692" s="62"/>
      <c r="P692" s="63"/>
      <c r="Q692" s="65"/>
      <c r="R692" s="66" t="str">
        <f t="shared" ca="1" si="21"/>
        <v/>
      </c>
      <c r="S692" s="63"/>
      <c r="T692" s="65"/>
      <c r="U692" s="65"/>
      <c r="V692" s="62"/>
      <c r="W692" s="62"/>
      <c r="X692" s="62"/>
      <c r="Y692" s="58"/>
      <c r="Z692" s="58"/>
      <c r="AA692" s="58"/>
    </row>
    <row r="693" spans="1:27" ht="15.75" customHeight="1" x14ac:dyDescent="0.2">
      <c r="A693" s="61" t="str">
        <f t="shared" si="20"/>
        <v/>
      </c>
      <c r="B693" s="62"/>
      <c r="C693" s="62"/>
      <c r="D693" s="62"/>
      <c r="E693" s="62"/>
      <c r="F693" s="63"/>
      <c r="G693" s="63"/>
      <c r="H693" s="63"/>
      <c r="I693" s="63"/>
      <c r="J693" s="63"/>
      <c r="K693" s="63"/>
      <c r="L693" s="64" t="str">
        <f>IF(OR($B693="", $H693="", $I693="", $J693="", $K693=""),"",ROUND((VLOOKUP($H693,Lists!$E$2:$F$5,2,FALSE())*VLOOKUP($I693,Lists!$H$2:$I$4,2,FALSE())*VLOOKUP($J693,Lists!$K$2:$L$4,2,FALSE()))/VLOOKUP($K693,Lists!$N$2:$O$6,2,FALSE()),2))</f>
        <v/>
      </c>
      <c r="M693" s="63"/>
      <c r="N693" s="63"/>
      <c r="O693" s="62"/>
      <c r="P693" s="63"/>
      <c r="Q693" s="65"/>
      <c r="R693" s="66" t="str">
        <f t="shared" ca="1" si="21"/>
        <v/>
      </c>
      <c r="S693" s="63"/>
      <c r="T693" s="65"/>
      <c r="U693" s="65"/>
      <c r="V693" s="62"/>
      <c r="W693" s="62"/>
      <c r="X693" s="62"/>
      <c r="Y693" s="58"/>
      <c r="Z693" s="58"/>
      <c r="AA693" s="58"/>
    </row>
    <row r="694" spans="1:27" ht="15.75" customHeight="1" x14ac:dyDescent="0.2">
      <c r="A694" s="61" t="str">
        <f t="shared" si="20"/>
        <v/>
      </c>
      <c r="B694" s="62"/>
      <c r="C694" s="62"/>
      <c r="D694" s="62"/>
      <c r="E694" s="62"/>
      <c r="F694" s="63"/>
      <c r="G694" s="63"/>
      <c r="H694" s="63"/>
      <c r="I694" s="63"/>
      <c r="J694" s="63"/>
      <c r="K694" s="63"/>
      <c r="L694" s="64" t="str">
        <f>IF(OR($B694="", $H694="", $I694="", $J694="", $K694=""),"",ROUND((VLOOKUP($H694,Lists!$E$2:$F$5,2,FALSE())*VLOOKUP($I694,Lists!$H$2:$I$4,2,FALSE())*VLOOKUP($J694,Lists!$K$2:$L$4,2,FALSE()))/VLOOKUP($K694,Lists!$N$2:$O$6,2,FALSE()),2))</f>
        <v/>
      </c>
      <c r="M694" s="63"/>
      <c r="N694" s="63"/>
      <c r="O694" s="62"/>
      <c r="P694" s="63"/>
      <c r="Q694" s="65"/>
      <c r="R694" s="66" t="str">
        <f t="shared" ca="1" si="21"/>
        <v/>
      </c>
      <c r="S694" s="63"/>
      <c r="T694" s="65"/>
      <c r="U694" s="65"/>
      <c r="V694" s="62"/>
      <c r="W694" s="62"/>
      <c r="X694" s="62"/>
      <c r="Y694" s="58"/>
      <c r="Z694" s="58"/>
      <c r="AA694" s="58"/>
    </row>
    <row r="695" spans="1:27" ht="15.75" customHeight="1" x14ac:dyDescent="0.2">
      <c r="A695" s="61" t="str">
        <f t="shared" si="20"/>
        <v/>
      </c>
      <c r="B695" s="62"/>
      <c r="C695" s="62"/>
      <c r="D695" s="62"/>
      <c r="E695" s="62"/>
      <c r="F695" s="63"/>
      <c r="G695" s="63"/>
      <c r="H695" s="63"/>
      <c r="I695" s="63"/>
      <c r="J695" s="63"/>
      <c r="K695" s="63"/>
      <c r="L695" s="64" t="str">
        <f>IF(OR($B695="", $H695="", $I695="", $J695="", $K695=""),"",ROUND((VLOOKUP($H695,Lists!$E$2:$F$5,2,FALSE())*VLOOKUP($I695,Lists!$H$2:$I$4,2,FALSE())*VLOOKUP($J695,Lists!$K$2:$L$4,2,FALSE()))/VLOOKUP($K695,Lists!$N$2:$O$6,2,FALSE()),2))</f>
        <v/>
      </c>
      <c r="M695" s="63"/>
      <c r="N695" s="63"/>
      <c r="O695" s="62"/>
      <c r="P695" s="63"/>
      <c r="Q695" s="65"/>
      <c r="R695" s="66" t="str">
        <f t="shared" ca="1" si="21"/>
        <v/>
      </c>
      <c r="S695" s="63"/>
      <c r="T695" s="65"/>
      <c r="U695" s="65"/>
      <c r="V695" s="62"/>
      <c r="W695" s="62"/>
      <c r="X695" s="62"/>
      <c r="Y695" s="58"/>
      <c r="Z695" s="58"/>
      <c r="AA695" s="58"/>
    </row>
    <row r="696" spans="1:27" ht="15.75" customHeight="1" x14ac:dyDescent="0.2">
      <c r="A696" s="61" t="str">
        <f t="shared" si="20"/>
        <v/>
      </c>
      <c r="B696" s="62"/>
      <c r="C696" s="62"/>
      <c r="D696" s="62"/>
      <c r="E696" s="62"/>
      <c r="F696" s="63"/>
      <c r="G696" s="63"/>
      <c r="H696" s="63"/>
      <c r="I696" s="63"/>
      <c r="J696" s="63"/>
      <c r="K696" s="63"/>
      <c r="L696" s="64" t="str">
        <f>IF(OR($B696="", $H696="", $I696="", $J696="", $K696=""),"",ROUND((VLOOKUP($H696,Lists!$E$2:$F$5,2,FALSE())*VLOOKUP($I696,Lists!$H$2:$I$4,2,FALSE())*VLOOKUP($J696,Lists!$K$2:$L$4,2,FALSE()))/VLOOKUP($K696,Lists!$N$2:$O$6,2,FALSE()),2))</f>
        <v/>
      </c>
      <c r="M696" s="63"/>
      <c r="N696" s="63"/>
      <c r="O696" s="62"/>
      <c r="P696" s="63"/>
      <c r="Q696" s="65"/>
      <c r="R696" s="66" t="str">
        <f t="shared" ca="1" si="21"/>
        <v/>
      </c>
      <c r="S696" s="63"/>
      <c r="T696" s="65"/>
      <c r="U696" s="65"/>
      <c r="V696" s="62"/>
      <c r="W696" s="62"/>
      <c r="X696" s="62"/>
      <c r="Y696" s="58"/>
      <c r="Z696" s="58"/>
      <c r="AA696" s="58"/>
    </row>
    <row r="697" spans="1:27" ht="15.75" customHeight="1" x14ac:dyDescent="0.2">
      <c r="A697" s="61" t="str">
        <f t="shared" si="20"/>
        <v/>
      </c>
      <c r="B697" s="62"/>
      <c r="C697" s="62"/>
      <c r="D697" s="62"/>
      <c r="E697" s="62"/>
      <c r="F697" s="63"/>
      <c r="G697" s="63"/>
      <c r="H697" s="63"/>
      <c r="I697" s="63"/>
      <c r="J697" s="63"/>
      <c r="K697" s="63"/>
      <c r="L697" s="64" t="str">
        <f>IF(OR($B697="", $H697="", $I697="", $J697="", $K697=""),"",ROUND((VLOOKUP($H697,Lists!$E$2:$F$5,2,FALSE())*VLOOKUP($I697,Lists!$H$2:$I$4,2,FALSE())*VLOOKUP($J697,Lists!$K$2:$L$4,2,FALSE()))/VLOOKUP($K697,Lists!$N$2:$O$6,2,FALSE()),2))</f>
        <v/>
      </c>
      <c r="M697" s="63"/>
      <c r="N697" s="63"/>
      <c r="O697" s="62"/>
      <c r="P697" s="63"/>
      <c r="Q697" s="65"/>
      <c r="R697" s="66" t="str">
        <f t="shared" ca="1" si="21"/>
        <v/>
      </c>
      <c r="S697" s="63"/>
      <c r="T697" s="65"/>
      <c r="U697" s="65"/>
      <c r="V697" s="62"/>
      <c r="W697" s="62"/>
      <c r="X697" s="62"/>
      <c r="Y697" s="58"/>
      <c r="Z697" s="58"/>
      <c r="AA697" s="58"/>
    </row>
    <row r="698" spans="1:27" ht="15.75" customHeight="1" x14ac:dyDescent="0.2">
      <c r="A698" s="61" t="str">
        <f t="shared" si="20"/>
        <v/>
      </c>
      <c r="B698" s="62"/>
      <c r="C698" s="62"/>
      <c r="D698" s="62"/>
      <c r="E698" s="62"/>
      <c r="F698" s="63"/>
      <c r="G698" s="63"/>
      <c r="H698" s="63"/>
      <c r="I698" s="63"/>
      <c r="J698" s="63"/>
      <c r="K698" s="63"/>
      <c r="L698" s="64" t="str">
        <f>IF(OR($B698="", $H698="", $I698="", $J698="", $K698=""),"",ROUND((VLOOKUP($H698,Lists!$E$2:$F$5,2,FALSE())*VLOOKUP($I698,Lists!$H$2:$I$4,2,FALSE())*VLOOKUP($J698,Lists!$K$2:$L$4,2,FALSE()))/VLOOKUP($K698,Lists!$N$2:$O$6,2,FALSE()),2))</f>
        <v/>
      </c>
      <c r="M698" s="63"/>
      <c r="N698" s="63"/>
      <c r="O698" s="62"/>
      <c r="P698" s="63"/>
      <c r="Q698" s="65"/>
      <c r="R698" s="66" t="str">
        <f t="shared" ca="1" si="21"/>
        <v/>
      </c>
      <c r="S698" s="63"/>
      <c r="T698" s="65"/>
      <c r="U698" s="65"/>
      <c r="V698" s="62"/>
      <c r="W698" s="62"/>
      <c r="X698" s="62"/>
      <c r="Y698" s="58"/>
      <c r="Z698" s="58"/>
      <c r="AA698" s="58"/>
    </row>
    <row r="699" spans="1:27" ht="15.75" customHeight="1" x14ac:dyDescent="0.2">
      <c r="A699" s="61" t="str">
        <f t="shared" si="20"/>
        <v/>
      </c>
      <c r="B699" s="62"/>
      <c r="C699" s="62"/>
      <c r="D699" s="62"/>
      <c r="E699" s="62"/>
      <c r="F699" s="63"/>
      <c r="G699" s="63"/>
      <c r="H699" s="63"/>
      <c r="I699" s="63"/>
      <c r="J699" s="63"/>
      <c r="K699" s="63"/>
      <c r="L699" s="64" t="str">
        <f>IF(OR($B699="", $H699="", $I699="", $J699="", $K699=""),"",ROUND((VLOOKUP($H699,Lists!$E$2:$F$5,2,FALSE())*VLOOKUP($I699,Lists!$H$2:$I$4,2,FALSE())*VLOOKUP($J699,Lists!$K$2:$L$4,2,FALSE()))/VLOOKUP($K699,Lists!$N$2:$O$6,2,FALSE()),2))</f>
        <v/>
      </c>
      <c r="M699" s="63"/>
      <c r="N699" s="63"/>
      <c r="O699" s="62"/>
      <c r="P699" s="63"/>
      <c r="Q699" s="65"/>
      <c r="R699" s="66" t="str">
        <f t="shared" ca="1" si="21"/>
        <v/>
      </c>
      <c r="S699" s="63"/>
      <c r="T699" s="65"/>
      <c r="U699" s="65"/>
      <c r="V699" s="62"/>
      <c r="W699" s="62"/>
      <c r="X699" s="62"/>
      <c r="Y699" s="58"/>
      <c r="Z699" s="58"/>
      <c r="AA699" s="58"/>
    </row>
    <row r="700" spans="1:27" ht="15.75" customHeight="1" x14ac:dyDescent="0.2">
      <c r="A700" s="61" t="str">
        <f t="shared" si="20"/>
        <v/>
      </c>
      <c r="B700" s="62"/>
      <c r="C700" s="62"/>
      <c r="D700" s="62"/>
      <c r="E700" s="62"/>
      <c r="F700" s="63"/>
      <c r="G700" s="63"/>
      <c r="H700" s="63"/>
      <c r="I700" s="63"/>
      <c r="J700" s="63"/>
      <c r="K700" s="63"/>
      <c r="L700" s="64" t="str">
        <f>IF(OR($B700="", $H700="", $I700="", $J700="", $K700=""),"",ROUND((VLOOKUP($H700,Lists!$E$2:$F$5,2,FALSE())*VLOOKUP($I700,Lists!$H$2:$I$4,2,FALSE())*VLOOKUP($J700,Lists!$K$2:$L$4,2,FALSE()))/VLOOKUP($K700,Lists!$N$2:$O$6,2,FALSE()),2))</f>
        <v/>
      </c>
      <c r="M700" s="63"/>
      <c r="N700" s="63"/>
      <c r="O700" s="62"/>
      <c r="P700" s="63"/>
      <c r="Q700" s="65"/>
      <c r="R700" s="66" t="str">
        <f t="shared" ca="1" si="21"/>
        <v/>
      </c>
      <c r="S700" s="63"/>
      <c r="T700" s="65"/>
      <c r="U700" s="65"/>
      <c r="V700" s="62"/>
      <c r="W700" s="62"/>
      <c r="X700" s="62"/>
      <c r="Y700" s="58"/>
      <c r="Z700" s="58"/>
      <c r="AA700" s="58"/>
    </row>
    <row r="701" spans="1:27" ht="15.75" customHeight="1" x14ac:dyDescent="0.2">
      <c r="A701" s="61" t="str">
        <f t="shared" si="20"/>
        <v/>
      </c>
      <c r="B701" s="62"/>
      <c r="C701" s="62"/>
      <c r="D701" s="62"/>
      <c r="E701" s="62"/>
      <c r="F701" s="63"/>
      <c r="G701" s="63"/>
      <c r="H701" s="63"/>
      <c r="I701" s="63"/>
      <c r="J701" s="63"/>
      <c r="K701" s="63"/>
      <c r="L701" s="64" t="str">
        <f>IF(OR($B701="", $H701="", $I701="", $J701="", $K701=""),"",ROUND((VLOOKUP($H701,Lists!$E$2:$F$5,2,FALSE())*VLOOKUP($I701,Lists!$H$2:$I$4,2,FALSE())*VLOOKUP($J701,Lists!$K$2:$L$4,2,FALSE()))/VLOOKUP($K701,Lists!$N$2:$O$6,2,FALSE()),2))</f>
        <v/>
      </c>
      <c r="M701" s="63"/>
      <c r="N701" s="63"/>
      <c r="O701" s="62"/>
      <c r="P701" s="63"/>
      <c r="Q701" s="65"/>
      <c r="R701" s="66" t="str">
        <f t="shared" ca="1" si="21"/>
        <v/>
      </c>
      <c r="S701" s="63"/>
      <c r="T701" s="65"/>
      <c r="U701" s="65"/>
      <c r="V701" s="62"/>
      <c r="W701" s="62"/>
      <c r="X701" s="62"/>
      <c r="Y701" s="58"/>
      <c r="Z701" s="58"/>
      <c r="AA701" s="58"/>
    </row>
    <row r="702" spans="1:27" ht="15.75" customHeight="1" x14ac:dyDescent="0.2">
      <c r="A702" s="61" t="str">
        <f t="shared" si="20"/>
        <v/>
      </c>
      <c r="B702" s="62"/>
      <c r="C702" s="62"/>
      <c r="D702" s="62"/>
      <c r="E702" s="62"/>
      <c r="F702" s="63"/>
      <c r="G702" s="63"/>
      <c r="H702" s="63"/>
      <c r="I702" s="63"/>
      <c r="J702" s="63"/>
      <c r="K702" s="63"/>
      <c r="L702" s="64" t="str">
        <f>IF(OR($B702="", $H702="", $I702="", $J702="", $K702=""),"",ROUND((VLOOKUP($H702,Lists!$E$2:$F$5,2,FALSE())*VLOOKUP($I702,Lists!$H$2:$I$4,2,FALSE())*VLOOKUP($J702,Lists!$K$2:$L$4,2,FALSE()))/VLOOKUP($K702,Lists!$N$2:$O$6,2,FALSE()),2))</f>
        <v/>
      </c>
      <c r="M702" s="63"/>
      <c r="N702" s="63"/>
      <c r="O702" s="62"/>
      <c r="P702" s="63"/>
      <c r="Q702" s="65"/>
      <c r="R702" s="66" t="str">
        <f t="shared" ca="1" si="21"/>
        <v/>
      </c>
      <c r="S702" s="63"/>
      <c r="T702" s="65"/>
      <c r="U702" s="65"/>
      <c r="V702" s="62"/>
      <c r="W702" s="62"/>
      <c r="X702" s="62"/>
      <c r="Y702" s="58"/>
      <c r="Z702" s="58"/>
      <c r="AA702" s="58"/>
    </row>
    <row r="703" spans="1:27" ht="15.75" customHeight="1" x14ac:dyDescent="0.2">
      <c r="A703" s="61" t="str">
        <f t="shared" si="20"/>
        <v/>
      </c>
      <c r="B703" s="62"/>
      <c r="C703" s="62"/>
      <c r="D703" s="62"/>
      <c r="E703" s="62"/>
      <c r="F703" s="63"/>
      <c r="G703" s="63"/>
      <c r="H703" s="63"/>
      <c r="I703" s="63"/>
      <c r="J703" s="63"/>
      <c r="K703" s="63"/>
      <c r="L703" s="64" t="str">
        <f>IF(OR($B703="", $H703="", $I703="", $J703="", $K703=""),"",ROUND((VLOOKUP($H703,Lists!$E$2:$F$5,2,FALSE())*VLOOKUP($I703,Lists!$H$2:$I$4,2,FALSE())*VLOOKUP($J703,Lists!$K$2:$L$4,2,FALSE()))/VLOOKUP($K703,Lists!$N$2:$O$6,2,FALSE()),2))</f>
        <v/>
      </c>
      <c r="M703" s="63"/>
      <c r="N703" s="63"/>
      <c r="O703" s="62"/>
      <c r="P703" s="63"/>
      <c r="Q703" s="65"/>
      <c r="R703" s="66" t="str">
        <f t="shared" ca="1" si="21"/>
        <v/>
      </c>
      <c r="S703" s="63"/>
      <c r="T703" s="65"/>
      <c r="U703" s="65"/>
      <c r="V703" s="62"/>
      <c r="W703" s="62"/>
      <c r="X703" s="62"/>
      <c r="Y703" s="58"/>
      <c r="Z703" s="58"/>
      <c r="AA703" s="58"/>
    </row>
    <row r="704" spans="1:27" ht="15.75" customHeight="1" x14ac:dyDescent="0.2">
      <c r="A704" s="61" t="str">
        <f t="shared" si="20"/>
        <v/>
      </c>
      <c r="B704" s="62"/>
      <c r="C704" s="62"/>
      <c r="D704" s="62"/>
      <c r="E704" s="62"/>
      <c r="F704" s="63"/>
      <c r="G704" s="63"/>
      <c r="H704" s="63"/>
      <c r="I704" s="63"/>
      <c r="J704" s="63"/>
      <c r="K704" s="63"/>
      <c r="L704" s="64" t="str">
        <f>IF(OR($B704="", $H704="", $I704="", $J704="", $K704=""),"",ROUND((VLOOKUP($H704,Lists!$E$2:$F$5,2,FALSE())*VLOOKUP($I704,Lists!$H$2:$I$4,2,FALSE())*VLOOKUP($J704,Lists!$K$2:$L$4,2,FALSE()))/VLOOKUP($K704,Lists!$N$2:$O$6,2,FALSE()),2))</f>
        <v/>
      </c>
      <c r="M704" s="63"/>
      <c r="N704" s="63"/>
      <c r="O704" s="62"/>
      <c r="P704" s="63"/>
      <c r="Q704" s="65"/>
      <c r="R704" s="66" t="str">
        <f t="shared" ca="1" si="21"/>
        <v/>
      </c>
      <c r="S704" s="63"/>
      <c r="T704" s="65"/>
      <c r="U704" s="65"/>
      <c r="V704" s="62"/>
      <c r="W704" s="62"/>
      <c r="X704" s="62"/>
      <c r="Y704" s="58"/>
      <c r="Z704" s="58"/>
      <c r="AA704" s="58"/>
    </row>
    <row r="705" spans="1:27" ht="15.75" customHeight="1" x14ac:dyDescent="0.2">
      <c r="A705" s="61" t="str">
        <f t="shared" si="20"/>
        <v/>
      </c>
      <c r="B705" s="62"/>
      <c r="C705" s="62"/>
      <c r="D705" s="62"/>
      <c r="E705" s="62"/>
      <c r="F705" s="63"/>
      <c r="G705" s="63"/>
      <c r="H705" s="63"/>
      <c r="I705" s="63"/>
      <c r="J705" s="63"/>
      <c r="K705" s="63"/>
      <c r="L705" s="64" t="str">
        <f>IF(OR($B705="", $H705="", $I705="", $J705="", $K705=""),"",ROUND((VLOOKUP($H705,Lists!$E$2:$F$5,2,FALSE())*VLOOKUP($I705,Lists!$H$2:$I$4,2,FALSE())*VLOOKUP($J705,Lists!$K$2:$L$4,2,FALSE()))/VLOOKUP($K705,Lists!$N$2:$O$6,2,FALSE()),2))</f>
        <v/>
      </c>
      <c r="M705" s="63"/>
      <c r="N705" s="63"/>
      <c r="O705" s="62"/>
      <c r="P705" s="63"/>
      <c r="Q705" s="65"/>
      <c r="R705" s="66" t="str">
        <f t="shared" ca="1" si="21"/>
        <v/>
      </c>
      <c r="S705" s="63"/>
      <c r="T705" s="65"/>
      <c r="U705" s="65"/>
      <c r="V705" s="62"/>
      <c r="W705" s="62"/>
      <c r="X705" s="62"/>
      <c r="Y705" s="58"/>
      <c r="Z705" s="58"/>
      <c r="AA705" s="58"/>
    </row>
    <row r="706" spans="1:27" ht="15.75" customHeight="1" x14ac:dyDescent="0.2">
      <c r="A706" s="61" t="str">
        <f t="shared" ref="A706:A769" si="22">IF($B706="","", "TD-" &amp; RIGHT("0000"&amp;ROW()-1,4))</f>
        <v/>
      </c>
      <c r="B706" s="62"/>
      <c r="C706" s="62"/>
      <c r="D706" s="62"/>
      <c r="E706" s="62"/>
      <c r="F706" s="63"/>
      <c r="G706" s="63"/>
      <c r="H706" s="63"/>
      <c r="I706" s="63"/>
      <c r="J706" s="63"/>
      <c r="K706" s="63"/>
      <c r="L706" s="64" t="str">
        <f>IF(OR($B706="", $H706="", $I706="", $J706="", $K706=""),"",ROUND((VLOOKUP($H706,Lists!$E$2:$F$5,2,FALSE())*VLOOKUP($I706,Lists!$H$2:$I$4,2,FALSE())*VLOOKUP($J706,Lists!$K$2:$L$4,2,FALSE()))/VLOOKUP($K706,Lists!$N$2:$O$6,2,FALSE()),2))</f>
        <v/>
      </c>
      <c r="M706" s="63"/>
      <c r="N706" s="63"/>
      <c r="O706" s="62"/>
      <c r="P706" s="63"/>
      <c r="Q706" s="65"/>
      <c r="R706" s="66" t="str">
        <f t="shared" ref="R706:R769" ca="1" si="23">IF($Q706="","", TODAY()-$Q706)</f>
        <v/>
      </c>
      <c r="S706" s="63"/>
      <c r="T706" s="65"/>
      <c r="U706" s="65"/>
      <c r="V706" s="62"/>
      <c r="W706" s="62"/>
      <c r="X706" s="62"/>
      <c r="Y706" s="58"/>
      <c r="Z706" s="58"/>
      <c r="AA706" s="58"/>
    </row>
    <row r="707" spans="1:27" ht="15.75" customHeight="1" x14ac:dyDescent="0.2">
      <c r="A707" s="61" t="str">
        <f t="shared" si="22"/>
        <v/>
      </c>
      <c r="B707" s="62"/>
      <c r="C707" s="62"/>
      <c r="D707" s="62"/>
      <c r="E707" s="62"/>
      <c r="F707" s="63"/>
      <c r="G707" s="63"/>
      <c r="H707" s="63"/>
      <c r="I707" s="63"/>
      <c r="J707" s="63"/>
      <c r="K707" s="63"/>
      <c r="L707" s="64" t="str">
        <f>IF(OR($B707="", $H707="", $I707="", $J707="", $K707=""),"",ROUND((VLOOKUP($H707,Lists!$E$2:$F$5,2,FALSE())*VLOOKUP($I707,Lists!$H$2:$I$4,2,FALSE())*VLOOKUP($J707,Lists!$K$2:$L$4,2,FALSE()))/VLOOKUP($K707,Lists!$N$2:$O$6,2,FALSE()),2))</f>
        <v/>
      </c>
      <c r="M707" s="63"/>
      <c r="N707" s="63"/>
      <c r="O707" s="62"/>
      <c r="P707" s="63"/>
      <c r="Q707" s="65"/>
      <c r="R707" s="66" t="str">
        <f t="shared" ca="1" si="23"/>
        <v/>
      </c>
      <c r="S707" s="63"/>
      <c r="T707" s="65"/>
      <c r="U707" s="65"/>
      <c r="V707" s="62"/>
      <c r="W707" s="62"/>
      <c r="X707" s="62"/>
      <c r="Y707" s="58"/>
      <c r="Z707" s="58"/>
      <c r="AA707" s="58"/>
    </row>
    <row r="708" spans="1:27" ht="15.75" customHeight="1" x14ac:dyDescent="0.2">
      <c r="A708" s="61" t="str">
        <f t="shared" si="22"/>
        <v/>
      </c>
      <c r="B708" s="62"/>
      <c r="C708" s="62"/>
      <c r="D708" s="62"/>
      <c r="E708" s="62"/>
      <c r="F708" s="63"/>
      <c r="G708" s="63"/>
      <c r="H708" s="63"/>
      <c r="I708" s="63"/>
      <c r="J708" s="63"/>
      <c r="K708" s="63"/>
      <c r="L708" s="64" t="str">
        <f>IF(OR($B708="", $H708="", $I708="", $J708="", $K708=""),"",ROUND((VLOOKUP($H708,Lists!$E$2:$F$5,2,FALSE())*VLOOKUP($I708,Lists!$H$2:$I$4,2,FALSE())*VLOOKUP($J708,Lists!$K$2:$L$4,2,FALSE()))/VLOOKUP($K708,Lists!$N$2:$O$6,2,FALSE()),2))</f>
        <v/>
      </c>
      <c r="M708" s="63"/>
      <c r="N708" s="63"/>
      <c r="O708" s="62"/>
      <c r="P708" s="63"/>
      <c r="Q708" s="65"/>
      <c r="R708" s="66" t="str">
        <f t="shared" ca="1" si="23"/>
        <v/>
      </c>
      <c r="S708" s="63"/>
      <c r="T708" s="65"/>
      <c r="U708" s="65"/>
      <c r="V708" s="62"/>
      <c r="W708" s="62"/>
      <c r="X708" s="62"/>
      <c r="Y708" s="58"/>
      <c r="Z708" s="58"/>
      <c r="AA708" s="58"/>
    </row>
    <row r="709" spans="1:27" ht="15.75" customHeight="1" x14ac:dyDescent="0.2">
      <c r="A709" s="61" t="str">
        <f t="shared" si="22"/>
        <v/>
      </c>
      <c r="B709" s="62"/>
      <c r="C709" s="62"/>
      <c r="D709" s="62"/>
      <c r="E709" s="62"/>
      <c r="F709" s="63"/>
      <c r="G709" s="63"/>
      <c r="H709" s="63"/>
      <c r="I709" s="63"/>
      <c r="J709" s="63"/>
      <c r="K709" s="63"/>
      <c r="L709" s="64" t="str">
        <f>IF(OR($B709="", $H709="", $I709="", $J709="", $K709=""),"",ROUND((VLOOKUP($H709,Lists!$E$2:$F$5,2,FALSE())*VLOOKUP($I709,Lists!$H$2:$I$4,2,FALSE())*VLOOKUP($J709,Lists!$K$2:$L$4,2,FALSE()))/VLOOKUP($K709,Lists!$N$2:$O$6,2,FALSE()),2))</f>
        <v/>
      </c>
      <c r="M709" s="63"/>
      <c r="N709" s="63"/>
      <c r="O709" s="62"/>
      <c r="P709" s="63"/>
      <c r="Q709" s="65"/>
      <c r="R709" s="66" t="str">
        <f t="shared" ca="1" si="23"/>
        <v/>
      </c>
      <c r="S709" s="63"/>
      <c r="T709" s="65"/>
      <c r="U709" s="65"/>
      <c r="V709" s="62"/>
      <c r="W709" s="62"/>
      <c r="X709" s="62"/>
      <c r="Y709" s="58"/>
      <c r="Z709" s="58"/>
      <c r="AA709" s="58"/>
    </row>
    <row r="710" spans="1:27" ht="15.75" customHeight="1" x14ac:dyDescent="0.2">
      <c r="A710" s="61" t="str">
        <f t="shared" si="22"/>
        <v/>
      </c>
      <c r="B710" s="62"/>
      <c r="C710" s="62"/>
      <c r="D710" s="62"/>
      <c r="E710" s="62"/>
      <c r="F710" s="63"/>
      <c r="G710" s="63"/>
      <c r="H710" s="63"/>
      <c r="I710" s="63"/>
      <c r="J710" s="63"/>
      <c r="K710" s="63"/>
      <c r="L710" s="64" t="str">
        <f>IF(OR($B710="", $H710="", $I710="", $J710="", $K710=""),"",ROUND((VLOOKUP($H710,Lists!$E$2:$F$5,2,FALSE())*VLOOKUP($I710,Lists!$H$2:$I$4,2,FALSE())*VLOOKUP($J710,Lists!$K$2:$L$4,2,FALSE()))/VLOOKUP($K710,Lists!$N$2:$O$6,2,FALSE()),2))</f>
        <v/>
      </c>
      <c r="M710" s="63"/>
      <c r="N710" s="63"/>
      <c r="O710" s="62"/>
      <c r="P710" s="63"/>
      <c r="Q710" s="65"/>
      <c r="R710" s="66" t="str">
        <f t="shared" ca="1" si="23"/>
        <v/>
      </c>
      <c r="S710" s="63"/>
      <c r="T710" s="65"/>
      <c r="U710" s="65"/>
      <c r="V710" s="62"/>
      <c r="W710" s="62"/>
      <c r="X710" s="62"/>
      <c r="Y710" s="58"/>
      <c r="Z710" s="58"/>
      <c r="AA710" s="58"/>
    </row>
    <row r="711" spans="1:27" ht="15.75" customHeight="1" x14ac:dyDescent="0.2">
      <c r="A711" s="61" t="str">
        <f t="shared" si="22"/>
        <v/>
      </c>
      <c r="B711" s="62"/>
      <c r="C711" s="62"/>
      <c r="D711" s="62"/>
      <c r="E711" s="62"/>
      <c r="F711" s="63"/>
      <c r="G711" s="63"/>
      <c r="H711" s="63"/>
      <c r="I711" s="63"/>
      <c r="J711" s="63"/>
      <c r="K711" s="63"/>
      <c r="L711" s="64" t="str">
        <f>IF(OR($B711="", $H711="", $I711="", $J711="", $K711=""),"",ROUND((VLOOKUP($H711,Lists!$E$2:$F$5,2,FALSE())*VLOOKUP($I711,Lists!$H$2:$I$4,2,FALSE())*VLOOKUP($J711,Lists!$K$2:$L$4,2,FALSE()))/VLOOKUP($K711,Lists!$N$2:$O$6,2,FALSE()),2))</f>
        <v/>
      </c>
      <c r="M711" s="63"/>
      <c r="N711" s="63"/>
      <c r="O711" s="62"/>
      <c r="P711" s="63"/>
      <c r="Q711" s="65"/>
      <c r="R711" s="66" t="str">
        <f t="shared" ca="1" si="23"/>
        <v/>
      </c>
      <c r="S711" s="63"/>
      <c r="T711" s="65"/>
      <c r="U711" s="65"/>
      <c r="V711" s="62"/>
      <c r="W711" s="62"/>
      <c r="X711" s="62"/>
      <c r="Y711" s="58"/>
      <c r="Z711" s="58"/>
      <c r="AA711" s="58"/>
    </row>
    <row r="712" spans="1:27" ht="15.75" customHeight="1" x14ac:dyDescent="0.2">
      <c r="A712" s="61" t="str">
        <f t="shared" si="22"/>
        <v/>
      </c>
      <c r="B712" s="62"/>
      <c r="C712" s="62"/>
      <c r="D712" s="62"/>
      <c r="E712" s="62"/>
      <c r="F712" s="63"/>
      <c r="G712" s="63"/>
      <c r="H712" s="63"/>
      <c r="I712" s="63"/>
      <c r="J712" s="63"/>
      <c r="K712" s="63"/>
      <c r="L712" s="64" t="str">
        <f>IF(OR($B712="", $H712="", $I712="", $J712="", $K712=""),"",ROUND((VLOOKUP($H712,Lists!$E$2:$F$5,2,FALSE())*VLOOKUP($I712,Lists!$H$2:$I$4,2,FALSE())*VLOOKUP($J712,Lists!$K$2:$L$4,2,FALSE()))/VLOOKUP($K712,Lists!$N$2:$O$6,2,FALSE()),2))</f>
        <v/>
      </c>
      <c r="M712" s="63"/>
      <c r="N712" s="63"/>
      <c r="O712" s="62"/>
      <c r="P712" s="63"/>
      <c r="Q712" s="65"/>
      <c r="R712" s="66" t="str">
        <f t="shared" ca="1" si="23"/>
        <v/>
      </c>
      <c r="S712" s="63"/>
      <c r="T712" s="65"/>
      <c r="U712" s="65"/>
      <c r="V712" s="62"/>
      <c r="W712" s="62"/>
      <c r="X712" s="62"/>
      <c r="Y712" s="58"/>
      <c r="Z712" s="58"/>
      <c r="AA712" s="58"/>
    </row>
    <row r="713" spans="1:27" ht="15.75" customHeight="1" x14ac:dyDescent="0.2">
      <c r="A713" s="61" t="str">
        <f t="shared" si="22"/>
        <v/>
      </c>
      <c r="B713" s="62"/>
      <c r="C713" s="62"/>
      <c r="D713" s="62"/>
      <c r="E713" s="62"/>
      <c r="F713" s="63"/>
      <c r="G713" s="63"/>
      <c r="H713" s="63"/>
      <c r="I713" s="63"/>
      <c r="J713" s="63"/>
      <c r="K713" s="63"/>
      <c r="L713" s="64" t="str">
        <f>IF(OR($B713="", $H713="", $I713="", $J713="", $K713=""),"",ROUND((VLOOKUP($H713,Lists!$E$2:$F$5,2,FALSE())*VLOOKUP($I713,Lists!$H$2:$I$4,2,FALSE())*VLOOKUP($J713,Lists!$K$2:$L$4,2,FALSE()))/VLOOKUP($K713,Lists!$N$2:$O$6,2,FALSE()),2))</f>
        <v/>
      </c>
      <c r="M713" s="63"/>
      <c r="N713" s="63"/>
      <c r="O713" s="62"/>
      <c r="P713" s="63"/>
      <c r="Q713" s="65"/>
      <c r="R713" s="66" t="str">
        <f t="shared" ca="1" si="23"/>
        <v/>
      </c>
      <c r="S713" s="63"/>
      <c r="T713" s="65"/>
      <c r="U713" s="65"/>
      <c r="V713" s="62"/>
      <c r="W713" s="62"/>
      <c r="X713" s="62"/>
      <c r="Y713" s="58"/>
      <c r="Z713" s="58"/>
      <c r="AA713" s="58"/>
    </row>
    <row r="714" spans="1:27" ht="15.75" customHeight="1" x14ac:dyDescent="0.2">
      <c r="A714" s="61" t="str">
        <f t="shared" si="22"/>
        <v/>
      </c>
      <c r="B714" s="62"/>
      <c r="C714" s="62"/>
      <c r="D714" s="62"/>
      <c r="E714" s="62"/>
      <c r="F714" s="63"/>
      <c r="G714" s="63"/>
      <c r="H714" s="63"/>
      <c r="I714" s="63"/>
      <c r="J714" s="63"/>
      <c r="K714" s="63"/>
      <c r="L714" s="64" t="str">
        <f>IF(OR($B714="", $H714="", $I714="", $J714="", $K714=""),"",ROUND((VLOOKUP($H714,Lists!$E$2:$F$5,2,FALSE())*VLOOKUP($I714,Lists!$H$2:$I$4,2,FALSE())*VLOOKUP($J714,Lists!$K$2:$L$4,2,FALSE()))/VLOOKUP($K714,Lists!$N$2:$O$6,2,FALSE()),2))</f>
        <v/>
      </c>
      <c r="M714" s="63"/>
      <c r="N714" s="63"/>
      <c r="O714" s="62"/>
      <c r="P714" s="63"/>
      <c r="Q714" s="65"/>
      <c r="R714" s="66" t="str">
        <f t="shared" ca="1" si="23"/>
        <v/>
      </c>
      <c r="S714" s="63"/>
      <c r="T714" s="65"/>
      <c r="U714" s="65"/>
      <c r="V714" s="62"/>
      <c r="W714" s="62"/>
      <c r="X714" s="62"/>
      <c r="Y714" s="58"/>
      <c r="Z714" s="58"/>
      <c r="AA714" s="58"/>
    </row>
    <row r="715" spans="1:27" ht="15.75" customHeight="1" x14ac:dyDescent="0.2">
      <c r="A715" s="61" t="str">
        <f t="shared" si="22"/>
        <v/>
      </c>
      <c r="B715" s="62"/>
      <c r="C715" s="62"/>
      <c r="D715" s="62"/>
      <c r="E715" s="62"/>
      <c r="F715" s="63"/>
      <c r="G715" s="63"/>
      <c r="H715" s="63"/>
      <c r="I715" s="63"/>
      <c r="J715" s="63"/>
      <c r="K715" s="63"/>
      <c r="L715" s="64" t="str">
        <f>IF(OR($B715="", $H715="", $I715="", $J715="", $K715=""),"",ROUND((VLOOKUP($H715,Lists!$E$2:$F$5,2,FALSE())*VLOOKUP($I715,Lists!$H$2:$I$4,2,FALSE())*VLOOKUP($J715,Lists!$K$2:$L$4,2,FALSE()))/VLOOKUP($K715,Lists!$N$2:$O$6,2,FALSE()),2))</f>
        <v/>
      </c>
      <c r="M715" s="63"/>
      <c r="N715" s="63"/>
      <c r="O715" s="62"/>
      <c r="P715" s="63"/>
      <c r="Q715" s="65"/>
      <c r="R715" s="66" t="str">
        <f t="shared" ca="1" si="23"/>
        <v/>
      </c>
      <c r="S715" s="63"/>
      <c r="T715" s="65"/>
      <c r="U715" s="65"/>
      <c r="V715" s="62"/>
      <c r="W715" s="62"/>
      <c r="X715" s="62"/>
      <c r="Y715" s="58"/>
      <c r="Z715" s="58"/>
      <c r="AA715" s="58"/>
    </row>
    <row r="716" spans="1:27" ht="15.75" customHeight="1" x14ac:dyDescent="0.2">
      <c r="A716" s="61" t="str">
        <f t="shared" si="22"/>
        <v/>
      </c>
      <c r="B716" s="62"/>
      <c r="C716" s="62"/>
      <c r="D716" s="62"/>
      <c r="E716" s="62"/>
      <c r="F716" s="63"/>
      <c r="G716" s="63"/>
      <c r="H716" s="63"/>
      <c r="I716" s="63"/>
      <c r="J716" s="63"/>
      <c r="K716" s="63"/>
      <c r="L716" s="64" t="str">
        <f>IF(OR($B716="", $H716="", $I716="", $J716="", $K716=""),"",ROUND((VLOOKUP($H716,Lists!$E$2:$F$5,2,FALSE())*VLOOKUP($I716,Lists!$H$2:$I$4,2,FALSE())*VLOOKUP($J716,Lists!$K$2:$L$4,2,FALSE()))/VLOOKUP($K716,Lists!$N$2:$O$6,2,FALSE()),2))</f>
        <v/>
      </c>
      <c r="M716" s="63"/>
      <c r="N716" s="63"/>
      <c r="O716" s="62"/>
      <c r="P716" s="63"/>
      <c r="Q716" s="65"/>
      <c r="R716" s="66" t="str">
        <f t="shared" ca="1" si="23"/>
        <v/>
      </c>
      <c r="S716" s="63"/>
      <c r="T716" s="65"/>
      <c r="U716" s="65"/>
      <c r="V716" s="62"/>
      <c r="W716" s="62"/>
      <c r="X716" s="62"/>
      <c r="Y716" s="58"/>
      <c r="Z716" s="58"/>
      <c r="AA716" s="58"/>
    </row>
    <row r="717" spans="1:27" ht="15.75" customHeight="1" x14ac:dyDescent="0.2">
      <c r="A717" s="61" t="str">
        <f t="shared" si="22"/>
        <v/>
      </c>
      <c r="B717" s="62"/>
      <c r="C717" s="62"/>
      <c r="D717" s="62"/>
      <c r="E717" s="62"/>
      <c r="F717" s="63"/>
      <c r="G717" s="63"/>
      <c r="H717" s="63"/>
      <c r="I717" s="63"/>
      <c r="J717" s="63"/>
      <c r="K717" s="63"/>
      <c r="L717" s="64" t="str">
        <f>IF(OR($B717="", $H717="", $I717="", $J717="", $K717=""),"",ROUND((VLOOKUP($H717,Lists!$E$2:$F$5,2,FALSE())*VLOOKUP($I717,Lists!$H$2:$I$4,2,FALSE())*VLOOKUP($J717,Lists!$K$2:$L$4,2,FALSE()))/VLOOKUP($K717,Lists!$N$2:$O$6,2,FALSE()),2))</f>
        <v/>
      </c>
      <c r="M717" s="63"/>
      <c r="N717" s="63"/>
      <c r="O717" s="62"/>
      <c r="P717" s="63"/>
      <c r="Q717" s="65"/>
      <c r="R717" s="66" t="str">
        <f t="shared" ca="1" si="23"/>
        <v/>
      </c>
      <c r="S717" s="63"/>
      <c r="T717" s="65"/>
      <c r="U717" s="65"/>
      <c r="V717" s="62"/>
      <c r="W717" s="62"/>
      <c r="X717" s="62"/>
      <c r="Y717" s="58"/>
      <c r="Z717" s="58"/>
      <c r="AA717" s="58"/>
    </row>
    <row r="718" spans="1:27" ht="15.75" customHeight="1" x14ac:dyDescent="0.2">
      <c r="A718" s="61" t="str">
        <f t="shared" si="22"/>
        <v/>
      </c>
      <c r="B718" s="62"/>
      <c r="C718" s="62"/>
      <c r="D718" s="62"/>
      <c r="E718" s="62"/>
      <c r="F718" s="63"/>
      <c r="G718" s="63"/>
      <c r="H718" s="63"/>
      <c r="I718" s="63"/>
      <c r="J718" s="63"/>
      <c r="K718" s="63"/>
      <c r="L718" s="64" t="str">
        <f>IF(OR($B718="", $H718="", $I718="", $J718="", $K718=""),"",ROUND((VLOOKUP($H718,Lists!$E$2:$F$5,2,FALSE())*VLOOKUP($I718,Lists!$H$2:$I$4,2,FALSE())*VLOOKUP($J718,Lists!$K$2:$L$4,2,FALSE()))/VLOOKUP($K718,Lists!$N$2:$O$6,2,FALSE()),2))</f>
        <v/>
      </c>
      <c r="M718" s="63"/>
      <c r="N718" s="63"/>
      <c r="O718" s="62"/>
      <c r="P718" s="63"/>
      <c r="Q718" s="65"/>
      <c r="R718" s="66" t="str">
        <f t="shared" ca="1" si="23"/>
        <v/>
      </c>
      <c r="S718" s="63"/>
      <c r="T718" s="65"/>
      <c r="U718" s="65"/>
      <c r="V718" s="62"/>
      <c r="W718" s="62"/>
      <c r="X718" s="62"/>
      <c r="Y718" s="58"/>
      <c r="Z718" s="58"/>
      <c r="AA718" s="58"/>
    </row>
    <row r="719" spans="1:27" ht="15.75" customHeight="1" x14ac:dyDescent="0.2">
      <c r="A719" s="61" t="str">
        <f t="shared" si="22"/>
        <v/>
      </c>
      <c r="B719" s="62"/>
      <c r="C719" s="62"/>
      <c r="D719" s="62"/>
      <c r="E719" s="62"/>
      <c r="F719" s="63"/>
      <c r="G719" s="63"/>
      <c r="H719" s="63"/>
      <c r="I719" s="63"/>
      <c r="J719" s="63"/>
      <c r="K719" s="63"/>
      <c r="L719" s="64" t="str">
        <f>IF(OR($B719="", $H719="", $I719="", $J719="", $K719=""),"",ROUND((VLOOKUP($H719,Lists!$E$2:$F$5,2,FALSE())*VLOOKUP($I719,Lists!$H$2:$I$4,2,FALSE())*VLOOKUP($J719,Lists!$K$2:$L$4,2,FALSE()))/VLOOKUP($K719,Lists!$N$2:$O$6,2,FALSE()),2))</f>
        <v/>
      </c>
      <c r="M719" s="63"/>
      <c r="N719" s="63"/>
      <c r="O719" s="62"/>
      <c r="P719" s="63"/>
      <c r="Q719" s="65"/>
      <c r="R719" s="66" t="str">
        <f t="shared" ca="1" si="23"/>
        <v/>
      </c>
      <c r="S719" s="63"/>
      <c r="T719" s="65"/>
      <c r="U719" s="65"/>
      <c r="V719" s="62"/>
      <c r="W719" s="62"/>
      <c r="X719" s="62"/>
      <c r="Y719" s="58"/>
      <c r="Z719" s="58"/>
      <c r="AA719" s="58"/>
    </row>
    <row r="720" spans="1:27" ht="15.75" customHeight="1" x14ac:dyDescent="0.2">
      <c r="A720" s="61" t="str">
        <f t="shared" si="22"/>
        <v/>
      </c>
      <c r="B720" s="62"/>
      <c r="C720" s="62"/>
      <c r="D720" s="62"/>
      <c r="E720" s="62"/>
      <c r="F720" s="63"/>
      <c r="G720" s="63"/>
      <c r="H720" s="63"/>
      <c r="I720" s="63"/>
      <c r="J720" s="63"/>
      <c r="K720" s="63"/>
      <c r="L720" s="64" t="str">
        <f>IF(OR($B720="", $H720="", $I720="", $J720="", $K720=""),"",ROUND((VLOOKUP($H720,Lists!$E$2:$F$5,2,FALSE())*VLOOKUP($I720,Lists!$H$2:$I$4,2,FALSE())*VLOOKUP($J720,Lists!$K$2:$L$4,2,FALSE()))/VLOOKUP($K720,Lists!$N$2:$O$6,2,FALSE()),2))</f>
        <v/>
      </c>
      <c r="M720" s="63"/>
      <c r="N720" s="63"/>
      <c r="O720" s="62"/>
      <c r="P720" s="63"/>
      <c r="Q720" s="65"/>
      <c r="R720" s="66" t="str">
        <f t="shared" ca="1" si="23"/>
        <v/>
      </c>
      <c r="S720" s="63"/>
      <c r="T720" s="65"/>
      <c r="U720" s="65"/>
      <c r="V720" s="62"/>
      <c r="W720" s="62"/>
      <c r="X720" s="62"/>
      <c r="Y720" s="58"/>
      <c r="Z720" s="58"/>
      <c r="AA720" s="58"/>
    </row>
    <row r="721" spans="1:27" ht="15.75" customHeight="1" x14ac:dyDescent="0.2">
      <c r="A721" s="61" t="str">
        <f t="shared" si="22"/>
        <v/>
      </c>
      <c r="B721" s="62"/>
      <c r="C721" s="62"/>
      <c r="D721" s="62"/>
      <c r="E721" s="62"/>
      <c r="F721" s="63"/>
      <c r="G721" s="63"/>
      <c r="H721" s="63"/>
      <c r="I721" s="63"/>
      <c r="J721" s="63"/>
      <c r="K721" s="63"/>
      <c r="L721" s="64" t="str">
        <f>IF(OR($B721="", $H721="", $I721="", $J721="", $K721=""),"",ROUND((VLOOKUP($H721,Lists!$E$2:$F$5,2,FALSE())*VLOOKUP($I721,Lists!$H$2:$I$4,2,FALSE())*VLOOKUP($J721,Lists!$K$2:$L$4,2,FALSE()))/VLOOKUP($K721,Lists!$N$2:$O$6,2,FALSE()),2))</f>
        <v/>
      </c>
      <c r="M721" s="63"/>
      <c r="N721" s="63"/>
      <c r="O721" s="62"/>
      <c r="P721" s="63"/>
      <c r="Q721" s="65"/>
      <c r="R721" s="66" t="str">
        <f t="shared" ca="1" si="23"/>
        <v/>
      </c>
      <c r="S721" s="63"/>
      <c r="T721" s="65"/>
      <c r="U721" s="65"/>
      <c r="V721" s="62"/>
      <c r="W721" s="62"/>
      <c r="X721" s="62"/>
      <c r="Y721" s="58"/>
      <c r="Z721" s="58"/>
      <c r="AA721" s="58"/>
    </row>
    <row r="722" spans="1:27" ht="15.75" customHeight="1" x14ac:dyDescent="0.2">
      <c r="A722" s="61" t="str">
        <f t="shared" si="22"/>
        <v/>
      </c>
      <c r="B722" s="62"/>
      <c r="C722" s="62"/>
      <c r="D722" s="62"/>
      <c r="E722" s="62"/>
      <c r="F722" s="63"/>
      <c r="G722" s="63"/>
      <c r="H722" s="63"/>
      <c r="I722" s="63"/>
      <c r="J722" s="63"/>
      <c r="K722" s="63"/>
      <c r="L722" s="64" t="str">
        <f>IF(OR($B722="", $H722="", $I722="", $J722="", $K722=""),"",ROUND((VLOOKUP($H722,Lists!$E$2:$F$5,2,FALSE())*VLOOKUP($I722,Lists!$H$2:$I$4,2,FALSE())*VLOOKUP($J722,Lists!$K$2:$L$4,2,FALSE()))/VLOOKUP($K722,Lists!$N$2:$O$6,2,FALSE()),2))</f>
        <v/>
      </c>
      <c r="M722" s="63"/>
      <c r="N722" s="63"/>
      <c r="O722" s="62"/>
      <c r="P722" s="63"/>
      <c r="Q722" s="65"/>
      <c r="R722" s="66" t="str">
        <f t="shared" ca="1" si="23"/>
        <v/>
      </c>
      <c r="S722" s="63"/>
      <c r="T722" s="65"/>
      <c r="U722" s="65"/>
      <c r="V722" s="62"/>
      <c r="W722" s="62"/>
      <c r="X722" s="62"/>
      <c r="Y722" s="58"/>
      <c r="Z722" s="58"/>
      <c r="AA722" s="58"/>
    </row>
    <row r="723" spans="1:27" ht="15.75" customHeight="1" x14ac:dyDescent="0.2">
      <c r="A723" s="61" t="str">
        <f t="shared" si="22"/>
        <v/>
      </c>
      <c r="B723" s="62"/>
      <c r="C723" s="62"/>
      <c r="D723" s="62"/>
      <c r="E723" s="62"/>
      <c r="F723" s="63"/>
      <c r="G723" s="63"/>
      <c r="H723" s="63"/>
      <c r="I723" s="63"/>
      <c r="J723" s="63"/>
      <c r="K723" s="63"/>
      <c r="L723" s="64" t="str">
        <f>IF(OR($B723="", $H723="", $I723="", $J723="", $K723=""),"",ROUND((VLOOKUP($H723,Lists!$E$2:$F$5,2,FALSE())*VLOOKUP($I723,Lists!$H$2:$I$4,2,FALSE())*VLOOKUP($J723,Lists!$K$2:$L$4,2,FALSE()))/VLOOKUP($K723,Lists!$N$2:$O$6,2,FALSE()),2))</f>
        <v/>
      </c>
      <c r="M723" s="63"/>
      <c r="N723" s="63"/>
      <c r="O723" s="62"/>
      <c r="P723" s="63"/>
      <c r="Q723" s="65"/>
      <c r="R723" s="66" t="str">
        <f t="shared" ca="1" si="23"/>
        <v/>
      </c>
      <c r="S723" s="63"/>
      <c r="T723" s="65"/>
      <c r="U723" s="65"/>
      <c r="V723" s="62"/>
      <c r="W723" s="62"/>
      <c r="X723" s="62"/>
      <c r="Y723" s="58"/>
      <c r="Z723" s="58"/>
      <c r="AA723" s="58"/>
    </row>
    <row r="724" spans="1:27" ht="15.75" customHeight="1" x14ac:dyDescent="0.2">
      <c r="A724" s="61" t="str">
        <f t="shared" si="22"/>
        <v/>
      </c>
      <c r="B724" s="62"/>
      <c r="C724" s="62"/>
      <c r="D724" s="62"/>
      <c r="E724" s="62"/>
      <c r="F724" s="63"/>
      <c r="G724" s="63"/>
      <c r="H724" s="63"/>
      <c r="I724" s="63"/>
      <c r="J724" s="63"/>
      <c r="K724" s="63"/>
      <c r="L724" s="64" t="str">
        <f>IF(OR($B724="", $H724="", $I724="", $J724="", $K724=""),"",ROUND((VLOOKUP($H724,Lists!$E$2:$F$5,2,FALSE())*VLOOKUP($I724,Lists!$H$2:$I$4,2,FALSE())*VLOOKUP($J724,Lists!$K$2:$L$4,2,FALSE()))/VLOOKUP($K724,Lists!$N$2:$O$6,2,FALSE()),2))</f>
        <v/>
      </c>
      <c r="M724" s="63"/>
      <c r="N724" s="63"/>
      <c r="O724" s="62"/>
      <c r="P724" s="63"/>
      <c r="Q724" s="65"/>
      <c r="R724" s="66" t="str">
        <f t="shared" ca="1" si="23"/>
        <v/>
      </c>
      <c r="S724" s="63"/>
      <c r="T724" s="65"/>
      <c r="U724" s="65"/>
      <c r="V724" s="62"/>
      <c r="W724" s="62"/>
      <c r="X724" s="62"/>
      <c r="Y724" s="58"/>
      <c r="Z724" s="58"/>
      <c r="AA724" s="58"/>
    </row>
    <row r="725" spans="1:27" ht="15.75" customHeight="1" x14ac:dyDescent="0.2">
      <c r="A725" s="61" t="str">
        <f t="shared" si="22"/>
        <v/>
      </c>
      <c r="B725" s="62"/>
      <c r="C725" s="62"/>
      <c r="D725" s="62"/>
      <c r="E725" s="62"/>
      <c r="F725" s="63"/>
      <c r="G725" s="63"/>
      <c r="H725" s="63"/>
      <c r="I725" s="63"/>
      <c r="J725" s="63"/>
      <c r="K725" s="63"/>
      <c r="L725" s="64" t="str">
        <f>IF(OR($B725="", $H725="", $I725="", $J725="", $K725=""),"",ROUND((VLOOKUP($H725,Lists!$E$2:$F$5,2,FALSE())*VLOOKUP($I725,Lists!$H$2:$I$4,2,FALSE())*VLOOKUP($J725,Lists!$K$2:$L$4,2,FALSE()))/VLOOKUP($K725,Lists!$N$2:$O$6,2,FALSE()),2))</f>
        <v/>
      </c>
      <c r="M725" s="63"/>
      <c r="N725" s="63"/>
      <c r="O725" s="62"/>
      <c r="P725" s="63"/>
      <c r="Q725" s="65"/>
      <c r="R725" s="66" t="str">
        <f t="shared" ca="1" si="23"/>
        <v/>
      </c>
      <c r="S725" s="63"/>
      <c r="T725" s="65"/>
      <c r="U725" s="65"/>
      <c r="V725" s="62"/>
      <c r="W725" s="62"/>
      <c r="X725" s="62"/>
      <c r="Y725" s="58"/>
      <c r="Z725" s="58"/>
      <c r="AA725" s="58"/>
    </row>
    <row r="726" spans="1:27" ht="15.75" customHeight="1" x14ac:dyDescent="0.2">
      <c r="A726" s="61" t="str">
        <f t="shared" si="22"/>
        <v/>
      </c>
      <c r="B726" s="62"/>
      <c r="C726" s="62"/>
      <c r="D726" s="62"/>
      <c r="E726" s="62"/>
      <c r="F726" s="63"/>
      <c r="G726" s="63"/>
      <c r="H726" s="63"/>
      <c r="I726" s="63"/>
      <c r="J726" s="63"/>
      <c r="K726" s="63"/>
      <c r="L726" s="64" t="str">
        <f>IF(OR($B726="", $H726="", $I726="", $J726="", $K726=""),"",ROUND((VLOOKUP($H726,Lists!$E$2:$F$5,2,FALSE())*VLOOKUP($I726,Lists!$H$2:$I$4,2,FALSE())*VLOOKUP($J726,Lists!$K$2:$L$4,2,FALSE()))/VLOOKUP($K726,Lists!$N$2:$O$6,2,FALSE()),2))</f>
        <v/>
      </c>
      <c r="M726" s="63"/>
      <c r="N726" s="63"/>
      <c r="O726" s="62"/>
      <c r="P726" s="63"/>
      <c r="Q726" s="65"/>
      <c r="R726" s="66" t="str">
        <f t="shared" ca="1" si="23"/>
        <v/>
      </c>
      <c r="S726" s="63"/>
      <c r="T726" s="65"/>
      <c r="U726" s="65"/>
      <c r="V726" s="62"/>
      <c r="W726" s="62"/>
      <c r="X726" s="62"/>
      <c r="Y726" s="58"/>
      <c r="Z726" s="58"/>
      <c r="AA726" s="58"/>
    </row>
    <row r="727" spans="1:27" ht="15.75" customHeight="1" x14ac:dyDescent="0.2">
      <c r="A727" s="61" t="str">
        <f t="shared" si="22"/>
        <v/>
      </c>
      <c r="B727" s="62"/>
      <c r="C727" s="62"/>
      <c r="D727" s="62"/>
      <c r="E727" s="62"/>
      <c r="F727" s="63"/>
      <c r="G727" s="63"/>
      <c r="H727" s="63"/>
      <c r="I727" s="63"/>
      <c r="J727" s="63"/>
      <c r="K727" s="63"/>
      <c r="L727" s="64" t="str">
        <f>IF(OR($B727="", $H727="", $I727="", $J727="", $K727=""),"",ROUND((VLOOKUP($H727,Lists!$E$2:$F$5,2,FALSE())*VLOOKUP($I727,Lists!$H$2:$I$4,2,FALSE())*VLOOKUP($J727,Lists!$K$2:$L$4,2,FALSE()))/VLOOKUP($K727,Lists!$N$2:$O$6,2,FALSE()),2))</f>
        <v/>
      </c>
      <c r="M727" s="63"/>
      <c r="N727" s="63"/>
      <c r="O727" s="62"/>
      <c r="P727" s="63"/>
      <c r="Q727" s="65"/>
      <c r="R727" s="66" t="str">
        <f t="shared" ca="1" si="23"/>
        <v/>
      </c>
      <c r="S727" s="63"/>
      <c r="T727" s="65"/>
      <c r="U727" s="65"/>
      <c r="V727" s="62"/>
      <c r="W727" s="62"/>
      <c r="X727" s="62"/>
      <c r="Y727" s="58"/>
      <c r="Z727" s="58"/>
      <c r="AA727" s="58"/>
    </row>
    <row r="728" spans="1:27" ht="15.75" customHeight="1" x14ac:dyDescent="0.2">
      <c r="A728" s="61" t="str">
        <f t="shared" si="22"/>
        <v/>
      </c>
      <c r="B728" s="62"/>
      <c r="C728" s="62"/>
      <c r="D728" s="62"/>
      <c r="E728" s="62"/>
      <c r="F728" s="63"/>
      <c r="G728" s="63"/>
      <c r="H728" s="63"/>
      <c r="I728" s="63"/>
      <c r="J728" s="63"/>
      <c r="K728" s="63"/>
      <c r="L728" s="64" t="str">
        <f>IF(OR($B728="", $H728="", $I728="", $J728="", $K728=""),"",ROUND((VLOOKUP($H728,Lists!$E$2:$F$5,2,FALSE())*VLOOKUP($I728,Lists!$H$2:$I$4,2,FALSE())*VLOOKUP($J728,Lists!$K$2:$L$4,2,FALSE()))/VLOOKUP($K728,Lists!$N$2:$O$6,2,FALSE()),2))</f>
        <v/>
      </c>
      <c r="M728" s="63"/>
      <c r="N728" s="63"/>
      <c r="O728" s="62"/>
      <c r="P728" s="63"/>
      <c r="Q728" s="65"/>
      <c r="R728" s="66" t="str">
        <f t="shared" ca="1" si="23"/>
        <v/>
      </c>
      <c r="S728" s="63"/>
      <c r="T728" s="65"/>
      <c r="U728" s="65"/>
      <c r="V728" s="62"/>
      <c r="W728" s="62"/>
      <c r="X728" s="62"/>
      <c r="Y728" s="58"/>
      <c r="Z728" s="58"/>
      <c r="AA728" s="58"/>
    </row>
    <row r="729" spans="1:27" ht="15.75" customHeight="1" x14ac:dyDescent="0.2">
      <c r="A729" s="61" t="str">
        <f t="shared" si="22"/>
        <v/>
      </c>
      <c r="B729" s="62"/>
      <c r="C729" s="62"/>
      <c r="D729" s="62"/>
      <c r="E729" s="62"/>
      <c r="F729" s="63"/>
      <c r="G729" s="63"/>
      <c r="H729" s="63"/>
      <c r="I729" s="63"/>
      <c r="J729" s="63"/>
      <c r="K729" s="63"/>
      <c r="L729" s="64" t="str">
        <f>IF(OR($B729="", $H729="", $I729="", $J729="", $K729=""),"",ROUND((VLOOKUP($H729,Lists!$E$2:$F$5,2,FALSE())*VLOOKUP($I729,Lists!$H$2:$I$4,2,FALSE())*VLOOKUP($J729,Lists!$K$2:$L$4,2,FALSE()))/VLOOKUP($K729,Lists!$N$2:$O$6,2,FALSE()),2))</f>
        <v/>
      </c>
      <c r="M729" s="63"/>
      <c r="N729" s="63"/>
      <c r="O729" s="62"/>
      <c r="P729" s="63"/>
      <c r="Q729" s="65"/>
      <c r="R729" s="66" t="str">
        <f t="shared" ca="1" si="23"/>
        <v/>
      </c>
      <c r="S729" s="63"/>
      <c r="T729" s="65"/>
      <c r="U729" s="65"/>
      <c r="V729" s="62"/>
      <c r="W729" s="62"/>
      <c r="X729" s="62"/>
      <c r="Y729" s="58"/>
      <c r="Z729" s="58"/>
      <c r="AA729" s="58"/>
    </row>
    <row r="730" spans="1:27" ht="15.75" customHeight="1" x14ac:dyDescent="0.2">
      <c r="A730" s="61" t="str">
        <f t="shared" si="22"/>
        <v/>
      </c>
      <c r="B730" s="62"/>
      <c r="C730" s="62"/>
      <c r="D730" s="62"/>
      <c r="E730" s="62"/>
      <c r="F730" s="63"/>
      <c r="G730" s="63"/>
      <c r="H730" s="63"/>
      <c r="I730" s="63"/>
      <c r="J730" s="63"/>
      <c r="K730" s="63"/>
      <c r="L730" s="64" t="str">
        <f>IF(OR($B730="", $H730="", $I730="", $J730="", $K730=""),"",ROUND((VLOOKUP($H730,Lists!$E$2:$F$5,2,FALSE())*VLOOKUP($I730,Lists!$H$2:$I$4,2,FALSE())*VLOOKUP($J730,Lists!$K$2:$L$4,2,FALSE()))/VLOOKUP($K730,Lists!$N$2:$O$6,2,FALSE()),2))</f>
        <v/>
      </c>
      <c r="M730" s="63"/>
      <c r="N730" s="63"/>
      <c r="O730" s="62"/>
      <c r="P730" s="63"/>
      <c r="Q730" s="65"/>
      <c r="R730" s="66" t="str">
        <f t="shared" ca="1" si="23"/>
        <v/>
      </c>
      <c r="S730" s="63"/>
      <c r="T730" s="65"/>
      <c r="U730" s="65"/>
      <c r="V730" s="62"/>
      <c r="W730" s="62"/>
      <c r="X730" s="62"/>
      <c r="Y730" s="58"/>
      <c r="Z730" s="58"/>
      <c r="AA730" s="58"/>
    </row>
    <row r="731" spans="1:27" ht="15.75" customHeight="1" x14ac:dyDescent="0.2">
      <c r="A731" s="61" t="str">
        <f t="shared" si="22"/>
        <v/>
      </c>
      <c r="B731" s="62"/>
      <c r="C731" s="62"/>
      <c r="D731" s="62"/>
      <c r="E731" s="62"/>
      <c r="F731" s="63"/>
      <c r="G731" s="63"/>
      <c r="H731" s="63"/>
      <c r="I731" s="63"/>
      <c r="J731" s="63"/>
      <c r="K731" s="63"/>
      <c r="L731" s="64" t="str">
        <f>IF(OR($B731="", $H731="", $I731="", $J731="", $K731=""),"",ROUND((VLOOKUP($H731,Lists!$E$2:$F$5,2,FALSE())*VLOOKUP($I731,Lists!$H$2:$I$4,2,FALSE())*VLOOKUP($J731,Lists!$K$2:$L$4,2,FALSE()))/VLOOKUP($K731,Lists!$N$2:$O$6,2,FALSE()),2))</f>
        <v/>
      </c>
      <c r="M731" s="63"/>
      <c r="N731" s="63"/>
      <c r="O731" s="62"/>
      <c r="P731" s="63"/>
      <c r="Q731" s="65"/>
      <c r="R731" s="66" t="str">
        <f t="shared" ca="1" si="23"/>
        <v/>
      </c>
      <c r="S731" s="63"/>
      <c r="T731" s="65"/>
      <c r="U731" s="65"/>
      <c r="V731" s="62"/>
      <c r="W731" s="62"/>
      <c r="X731" s="62"/>
      <c r="Y731" s="58"/>
      <c r="Z731" s="58"/>
      <c r="AA731" s="58"/>
    </row>
    <row r="732" spans="1:27" ht="15.75" customHeight="1" x14ac:dyDescent="0.2">
      <c r="A732" s="61" t="str">
        <f t="shared" si="22"/>
        <v/>
      </c>
      <c r="B732" s="62"/>
      <c r="C732" s="62"/>
      <c r="D732" s="62"/>
      <c r="E732" s="62"/>
      <c r="F732" s="63"/>
      <c r="G732" s="63"/>
      <c r="H732" s="63"/>
      <c r="I732" s="63"/>
      <c r="J732" s="63"/>
      <c r="K732" s="63"/>
      <c r="L732" s="64" t="str">
        <f>IF(OR($B732="", $H732="", $I732="", $J732="", $K732=""),"",ROUND((VLOOKUP($H732,Lists!$E$2:$F$5,2,FALSE())*VLOOKUP($I732,Lists!$H$2:$I$4,2,FALSE())*VLOOKUP($J732,Lists!$K$2:$L$4,2,FALSE()))/VLOOKUP($K732,Lists!$N$2:$O$6,2,FALSE()),2))</f>
        <v/>
      </c>
      <c r="M732" s="63"/>
      <c r="N732" s="63"/>
      <c r="O732" s="62"/>
      <c r="P732" s="63"/>
      <c r="Q732" s="65"/>
      <c r="R732" s="66" t="str">
        <f t="shared" ca="1" si="23"/>
        <v/>
      </c>
      <c r="S732" s="63"/>
      <c r="T732" s="65"/>
      <c r="U732" s="65"/>
      <c r="V732" s="62"/>
      <c r="W732" s="62"/>
      <c r="X732" s="62"/>
      <c r="Y732" s="58"/>
      <c r="Z732" s="58"/>
      <c r="AA732" s="58"/>
    </row>
    <row r="733" spans="1:27" ht="15.75" customHeight="1" x14ac:dyDescent="0.2">
      <c r="A733" s="61" t="str">
        <f t="shared" si="22"/>
        <v/>
      </c>
      <c r="B733" s="62"/>
      <c r="C733" s="62"/>
      <c r="D733" s="62"/>
      <c r="E733" s="62"/>
      <c r="F733" s="63"/>
      <c r="G733" s="63"/>
      <c r="H733" s="63"/>
      <c r="I733" s="63"/>
      <c r="J733" s="63"/>
      <c r="K733" s="63"/>
      <c r="L733" s="64" t="str">
        <f>IF(OR($B733="", $H733="", $I733="", $J733="", $K733=""),"",ROUND((VLOOKUP($H733,Lists!$E$2:$F$5,2,FALSE())*VLOOKUP($I733,Lists!$H$2:$I$4,2,FALSE())*VLOOKUP($J733,Lists!$K$2:$L$4,2,FALSE()))/VLOOKUP($K733,Lists!$N$2:$O$6,2,FALSE()),2))</f>
        <v/>
      </c>
      <c r="M733" s="63"/>
      <c r="N733" s="63"/>
      <c r="O733" s="62"/>
      <c r="P733" s="63"/>
      <c r="Q733" s="65"/>
      <c r="R733" s="66" t="str">
        <f t="shared" ca="1" si="23"/>
        <v/>
      </c>
      <c r="S733" s="63"/>
      <c r="T733" s="65"/>
      <c r="U733" s="65"/>
      <c r="V733" s="62"/>
      <c r="W733" s="62"/>
      <c r="X733" s="62"/>
      <c r="Y733" s="58"/>
      <c r="Z733" s="58"/>
      <c r="AA733" s="58"/>
    </row>
    <row r="734" spans="1:27" ht="15.75" customHeight="1" x14ac:dyDescent="0.2">
      <c r="A734" s="61" t="str">
        <f t="shared" si="22"/>
        <v/>
      </c>
      <c r="B734" s="62"/>
      <c r="C734" s="62"/>
      <c r="D734" s="62"/>
      <c r="E734" s="62"/>
      <c r="F734" s="63"/>
      <c r="G734" s="63"/>
      <c r="H734" s="63"/>
      <c r="I734" s="63"/>
      <c r="J734" s="63"/>
      <c r="K734" s="63"/>
      <c r="L734" s="64" t="str">
        <f>IF(OR($B734="", $H734="", $I734="", $J734="", $K734=""),"",ROUND((VLOOKUP($H734,Lists!$E$2:$F$5,2,FALSE())*VLOOKUP($I734,Lists!$H$2:$I$4,2,FALSE())*VLOOKUP($J734,Lists!$K$2:$L$4,2,FALSE()))/VLOOKUP($K734,Lists!$N$2:$O$6,2,FALSE()),2))</f>
        <v/>
      </c>
      <c r="M734" s="63"/>
      <c r="N734" s="63"/>
      <c r="O734" s="62"/>
      <c r="P734" s="63"/>
      <c r="Q734" s="65"/>
      <c r="R734" s="66" t="str">
        <f t="shared" ca="1" si="23"/>
        <v/>
      </c>
      <c r="S734" s="63"/>
      <c r="T734" s="65"/>
      <c r="U734" s="65"/>
      <c r="V734" s="62"/>
      <c r="W734" s="62"/>
      <c r="X734" s="62"/>
      <c r="Y734" s="58"/>
      <c r="Z734" s="58"/>
      <c r="AA734" s="58"/>
    </row>
    <row r="735" spans="1:27" ht="15.75" customHeight="1" x14ac:dyDescent="0.2">
      <c r="A735" s="61" t="str">
        <f t="shared" si="22"/>
        <v/>
      </c>
      <c r="B735" s="62"/>
      <c r="C735" s="62"/>
      <c r="D735" s="62"/>
      <c r="E735" s="62"/>
      <c r="F735" s="63"/>
      <c r="G735" s="63"/>
      <c r="H735" s="63"/>
      <c r="I735" s="63"/>
      <c r="J735" s="63"/>
      <c r="K735" s="63"/>
      <c r="L735" s="64" t="str">
        <f>IF(OR($B735="", $H735="", $I735="", $J735="", $K735=""),"",ROUND((VLOOKUP($H735,Lists!$E$2:$F$5,2,FALSE())*VLOOKUP($I735,Lists!$H$2:$I$4,2,FALSE())*VLOOKUP($J735,Lists!$K$2:$L$4,2,FALSE()))/VLOOKUP($K735,Lists!$N$2:$O$6,2,FALSE()),2))</f>
        <v/>
      </c>
      <c r="M735" s="63"/>
      <c r="N735" s="63"/>
      <c r="O735" s="62"/>
      <c r="P735" s="63"/>
      <c r="Q735" s="65"/>
      <c r="R735" s="66" t="str">
        <f t="shared" ca="1" si="23"/>
        <v/>
      </c>
      <c r="S735" s="63"/>
      <c r="T735" s="65"/>
      <c r="U735" s="65"/>
      <c r="V735" s="62"/>
      <c r="W735" s="62"/>
      <c r="X735" s="62"/>
      <c r="Y735" s="58"/>
      <c r="Z735" s="58"/>
      <c r="AA735" s="58"/>
    </row>
    <row r="736" spans="1:27" ht="15.75" customHeight="1" x14ac:dyDescent="0.2">
      <c r="A736" s="61" t="str">
        <f t="shared" si="22"/>
        <v/>
      </c>
      <c r="B736" s="62"/>
      <c r="C736" s="62"/>
      <c r="D736" s="62"/>
      <c r="E736" s="62"/>
      <c r="F736" s="63"/>
      <c r="G736" s="63"/>
      <c r="H736" s="63"/>
      <c r="I736" s="63"/>
      <c r="J736" s="63"/>
      <c r="K736" s="63"/>
      <c r="L736" s="64" t="str">
        <f>IF(OR($B736="", $H736="", $I736="", $J736="", $K736=""),"",ROUND((VLOOKUP($H736,Lists!$E$2:$F$5,2,FALSE())*VLOOKUP($I736,Lists!$H$2:$I$4,2,FALSE())*VLOOKUP($J736,Lists!$K$2:$L$4,2,FALSE()))/VLOOKUP($K736,Lists!$N$2:$O$6,2,FALSE()),2))</f>
        <v/>
      </c>
      <c r="M736" s="63"/>
      <c r="N736" s="63"/>
      <c r="O736" s="62"/>
      <c r="P736" s="63"/>
      <c r="Q736" s="65"/>
      <c r="R736" s="66" t="str">
        <f t="shared" ca="1" si="23"/>
        <v/>
      </c>
      <c r="S736" s="63"/>
      <c r="T736" s="65"/>
      <c r="U736" s="65"/>
      <c r="V736" s="62"/>
      <c r="W736" s="62"/>
      <c r="X736" s="62"/>
      <c r="Y736" s="58"/>
      <c r="Z736" s="58"/>
      <c r="AA736" s="58"/>
    </row>
    <row r="737" spans="1:27" ht="15.75" customHeight="1" x14ac:dyDescent="0.2">
      <c r="A737" s="61" t="str">
        <f t="shared" si="22"/>
        <v/>
      </c>
      <c r="B737" s="62"/>
      <c r="C737" s="62"/>
      <c r="D737" s="62"/>
      <c r="E737" s="62"/>
      <c r="F737" s="63"/>
      <c r="G737" s="63"/>
      <c r="H737" s="63"/>
      <c r="I737" s="63"/>
      <c r="J737" s="63"/>
      <c r="K737" s="63"/>
      <c r="L737" s="64" t="str">
        <f>IF(OR($B737="", $H737="", $I737="", $J737="", $K737=""),"",ROUND((VLOOKUP($H737,Lists!$E$2:$F$5,2,FALSE())*VLOOKUP($I737,Lists!$H$2:$I$4,2,FALSE())*VLOOKUP($J737,Lists!$K$2:$L$4,2,FALSE()))/VLOOKUP($K737,Lists!$N$2:$O$6,2,FALSE()),2))</f>
        <v/>
      </c>
      <c r="M737" s="63"/>
      <c r="N737" s="63"/>
      <c r="O737" s="62"/>
      <c r="P737" s="63"/>
      <c r="Q737" s="65"/>
      <c r="R737" s="66" t="str">
        <f t="shared" ca="1" si="23"/>
        <v/>
      </c>
      <c r="S737" s="63"/>
      <c r="T737" s="65"/>
      <c r="U737" s="65"/>
      <c r="V737" s="62"/>
      <c r="W737" s="62"/>
      <c r="X737" s="62"/>
      <c r="Y737" s="58"/>
      <c r="Z737" s="58"/>
      <c r="AA737" s="58"/>
    </row>
    <row r="738" spans="1:27" ht="15.75" customHeight="1" x14ac:dyDescent="0.2">
      <c r="A738" s="61" t="str">
        <f t="shared" si="22"/>
        <v/>
      </c>
      <c r="B738" s="62"/>
      <c r="C738" s="62"/>
      <c r="D738" s="62"/>
      <c r="E738" s="62"/>
      <c r="F738" s="63"/>
      <c r="G738" s="63"/>
      <c r="H738" s="63"/>
      <c r="I738" s="63"/>
      <c r="J738" s="63"/>
      <c r="K738" s="63"/>
      <c r="L738" s="64" t="str">
        <f>IF(OR($B738="", $H738="", $I738="", $J738="", $K738=""),"",ROUND((VLOOKUP($H738,Lists!$E$2:$F$5,2,FALSE())*VLOOKUP($I738,Lists!$H$2:$I$4,2,FALSE())*VLOOKUP($J738,Lists!$K$2:$L$4,2,FALSE()))/VLOOKUP($K738,Lists!$N$2:$O$6,2,FALSE()),2))</f>
        <v/>
      </c>
      <c r="M738" s="63"/>
      <c r="N738" s="63"/>
      <c r="O738" s="62"/>
      <c r="P738" s="63"/>
      <c r="Q738" s="65"/>
      <c r="R738" s="66" t="str">
        <f t="shared" ca="1" si="23"/>
        <v/>
      </c>
      <c r="S738" s="63"/>
      <c r="T738" s="65"/>
      <c r="U738" s="65"/>
      <c r="V738" s="62"/>
      <c r="W738" s="62"/>
      <c r="X738" s="62"/>
      <c r="Y738" s="58"/>
      <c r="Z738" s="58"/>
      <c r="AA738" s="58"/>
    </row>
    <row r="739" spans="1:27" ht="15.75" customHeight="1" x14ac:dyDescent="0.2">
      <c r="A739" s="61" t="str">
        <f t="shared" si="22"/>
        <v/>
      </c>
      <c r="B739" s="62"/>
      <c r="C739" s="62"/>
      <c r="D739" s="62"/>
      <c r="E739" s="62"/>
      <c r="F739" s="63"/>
      <c r="G739" s="63"/>
      <c r="H739" s="63"/>
      <c r="I739" s="63"/>
      <c r="J739" s="63"/>
      <c r="K739" s="63"/>
      <c r="L739" s="64" t="str">
        <f>IF(OR($B739="", $H739="", $I739="", $J739="", $K739=""),"",ROUND((VLOOKUP($H739,Lists!$E$2:$F$5,2,FALSE())*VLOOKUP($I739,Lists!$H$2:$I$4,2,FALSE())*VLOOKUP($J739,Lists!$K$2:$L$4,2,FALSE()))/VLOOKUP($K739,Lists!$N$2:$O$6,2,FALSE()),2))</f>
        <v/>
      </c>
      <c r="M739" s="63"/>
      <c r="N739" s="63"/>
      <c r="O739" s="62"/>
      <c r="P739" s="63"/>
      <c r="Q739" s="65"/>
      <c r="R739" s="66" t="str">
        <f t="shared" ca="1" si="23"/>
        <v/>
      </c>
      <c r="S739" s="63"/>
      <c r="T739" s="65"/>
      <c r="U739" s="65"/>
      <c r="V739" s="62"/>
      <c r="W739" s="62"/>
      <c r="X739" s="62"/>
      <c r="Y739" s="58"/>
      <c r="Z739" s="58"/>
      <c r="AA739" s="58"/>
    </row>
    <row r="740" spans="1:27" ht="15.75" customHeight="1" x14ac:dyDescent="0.2">
      <c r="A740" s="61" t="str">
        <f t="shared" si="22"/>
        <v/>
      </c>
      <c r="B740" s="62"/>
      <c r="C740" s="62"/>
      <c r="D740" s="62"/>
      <c r="E740" s="62"/>
      <c r="F740" s="63"/>
      <c r="G740" s="63"/>
      <c r="H740" s="63"/>
      <c r="I740" s="63"/>
      <c r="J740" s="63"/>
      <c r="K740" s="63"/>
      <c r="L740" s="64" t="str">
        <f>IF(OR($B740="", $H740="", $I740="", $J740="", $K740=""),"",ROUND((VLOOKUP($H740,Lists!$E$2:$F$5,2,FALSE())*VLOOKUP($I740,Lists!$H$2:$I$4,2,FALSE())*VLOOKUP($J740,Lists!$K$2:$L$4,2,FALSE()))/VLOOKUP($K740,Lists!$N$2:$O$6,2,FALSE()),2))</f>
        <v/>
      </c>
      <c r="M740" s="63"/>
      <c r="N740" s="63"/>
      <c r="O740" s="62"/>
      <c r="P740" s="63"/>
      <c r="Q740" s="65"/>
      <c r="R740" s="66" t="str">
        <f t="shared" ca="1" si="23"/>
        <v/>
      </c>
      <c r="S740" s="63"/>
      <c r="T740" s="65"/>
      <c r="U740" s="65"/>
      <c r="V740" s="62"/>
      <c r="W740" s="62"/>
      <c r="X740" s="62"/>
      <c r="Y740" s="58"/>
      <c r="Z740" s="58"/>
      <c r="AA740" s="58"/>
    </row>
    <row r="741" spans="1:27" ht="15.75" customHeight="1" x14ac:dyDescent="0.2">
      <c r="A741" s="61" t="str">
        <f t="shared" si="22"/>
        <v/>
      </c>
      <c r="B741" s="62"/>
      <c r="C741" s="62"/>
      <c r="D741" s="62"/>
      <c r="E741" s="62"/>
      <c r="F741" s="63"/>
      <c r="G741" s="63"/>
      <c r="H741" s="63"/>
      <c r="I741" s="63"/>
      <c r="J741" s="63"/>
      <c r="K741" s="63"/>
      <c r="L741" s="64" t="str">
        <f>IF(OR($B741="", $H741="", $I741="", $J741="", $K741=""),"",ROUND((VLOOKUP($H741,Lists!$E$2:$F$5,2,FALSE())*VLOOKUP($I741,Lists!$H$2:$I$4,2,FALSE())*VLOOKUP($J741,Lists!$K$2:$L$4,2,FALSE()))/VLOOKUP($K741,Lists!$N$2:$O$6,2,FALSE()),2))</f>
        <v/>
      </c>
      <c r="M741" s="63"/>
      <c r="N741" s="63"/>
      <c r="O741" s="62"/>
      <c r="P741" s="63"/>
      <c r="Q741" s="65"/>
      <c r="R741" s="66" t="str">
        <f t="shared" ca="1" si="23"/>
        <v/>
      </c>
      <c r="S741" s="63"/>
      <c r="T741" s="65"/>
      <c r="U741" s="65"/>
      <c r="V741" s="62"/>
      <c r="W741" s="62"/>
      <c r="X741" s="62"/>
      <c r="Y741" s="58"/>
      <c r="Z741" s="58"/>
      <c r="AA741" s="58"/>
    </row>
    <row r="742" spans="1:27" ht="15.75" customHeight="1" x14ac:dyDescent="0.2">
      <c r="A742" s="61" t="str">
        <f t="shared" si="22"/>
        <v/>
      </c>
      <c r="B742" s="62"/>
      <c r="C742" s="62"/>
      <c r="D742" s="62"/>
      <c r="E742" s="62"/>
      <c r="F742" s="63"/>
      <c r="G742" s="63"/>
      <c r="H742" s="63"/>
      <c r="I742" s="63"/>
      <c r="J742" s="63"/>
      <c r="K742" s="63"/>
      <c r="L742" s="64" t="str">
        <f>IF(OR($B742="", $H742="", $I742="", $J742="", $K742=""),"",ROUND((VLOOKUP($H742,Lists!$E$2:$F$5,2,FALSE())*VLOOKUP($I742,Lists!$H$2:$I$4,2,FALSE())*VLOOKUP($J742,Lists!$K$2:$L$4,2,FALSE()))/VLOOKUP($K742,Lists!$N$2:$O$6,2,FALSE()),2))</f>
        <v/>
      </c>
      <c r="M742" s="63"/>
      <c r="N742" s="63"/>
      <c r="O742" s="62"/>
      <c r="P742" s="63"/>
      <c r="Q742" s="65"/>
      <c r="R742" s="66" t="str">
        <f t="shared" ca="1" si="23"/>
        <v/>
      </c>
      <c r="S742" s="63"/>
      <c r="T742" s="65"/>
      <c r="U742" s="65"/>
      <c r="V742" s="62"/>
      <c r="W742" s="62"/>
      <c r="X742" s="62"/>
      <c r="Y742" s="58"/>
      <c r="Z742" s="58"/>
      <c r="AA742" s="58"/>
    </row>
    <row r="743" spans="1:27" ht="15.75" customHeight="1" x14ac:dyDescent="0.2">
      <c r="A743" s="61" t="str">
        <f t="shared" si="22"/>
        <v/>
      </c>
      <c r="B743" s="62"/>
      <c r="C743" s="62"/>
      <c r="D743" s="62"/>
      <c r="E743" s="62"/>
      <c r="F743" s="63"/>
      <c r="G743" s="63"/>
      <c r="H743" s="63"/>
      <c r="I743" s="63"/>
      <c r="J743" s="63"/>
      <c r="K743" s="63"/>
      <c r="L743" s="64" t="str">
        <f>IF(OR($B743="", $H743="", $I743="", $J743="", $K743=""),"",ROUND((VLOOKUP($H743,Lists!$E$2:$F$5,2,FALSE())*VLOOKUP($I743,Lists!$H$2:$I$4,2,FALSE())*VLOOKUP($J743,Lists!$K$2:$L$4,2,FALSE()))/VLOOKUP($K743,Lists!$N$2:$O$6,2,FALSE()),2))</f>
        <v/>
      </c>
      <c r="M743" s="63"/>
      <c r="N743" s="63"/>
      <c r="O743" s="62"/>
      <c r="P743" s="63"/>
      <c r="Q743" s="65"/>
      <c r="R743" s="66" t="str">
        <f t="shared" ca="1" si="23"/>
        <v/>
      </c>
      <c r="S743" s="63"/>
      <c r="T743" s="65"/>
      <c r="U743" s="65"/>
      <c r="V743" s="62"/>
      <c r="W743" s="62"/>
      <c r="X743" s="62"/>
      <c r="Y743" s="58"/>
      <c r="Z743" s="58"/>
      <c r="AA743" s="58"/>
    </row>
    <row r="744" spans="1:27" ht="15.75" customHeight="1" x14ac:dyDescent="0.2">
      <c r="A744" s="61" t="str">
        <f t="shared" si="22"/>
        <v/>
      </c>
      <c r="B744" s="62"/>
      <c r="C744" s="62"/>
      <c r="D744" s="62"/>
      <c r="E744" s="62"/>
      <c r="F744" s="63"/>
      <c r="G744" s="63"/>
      <c r="H744" s="63"/>
      <c r="I744" s="63"/>
      <c r="J744" s="63"/>
      <c r="K744" s="63"/>
      <c r="L744" s="64" t="str">
        <f>IF(OR($B744="", $H744="", $I744="", $J744="", $K744=""),"",ROUND((VLOOKUP($H744,Lists!$E$2:$F$5,2,FALSE())*VLOOKUP($I744,Lists!$H$2:$I$4,2,FALSE())*VLOOKUP($J744,Lists!$K$2:$L$4,2,FALSE()))/VLOOKUP($K744,Lists!$N$2:$O$6,2,FALSE()),2))</f>
        <v/>
      </c>
      <c r="M744" s="63"/>
      <c r="N744" s="63"/>
      <c r="O744" s="62"/>
      <c r="P744" s="63"/>
      <c r="Q744" s="65"/>
      <c r="R744" s="66" t="str">
        <f t="shared" ca="1" si="23"/>
        <v/>
      </c>
      <c r="S744" s="63"/>
      <c r="T744" s="65"/>
      <c r="U744" s="65"/>
      <c r="V744" s="62"/>
      <c r="W744" s="62"/>
      <c r="X744" s="62"/>
      <c r="Y744" s="58"/>
      <c r="Z744" s="58"/>
      <c r="AA744" s="58"/>
    </row>
    <row r="745" spans="1:27" ht="15.75" customHeight="1" x14ac:dyDescent="0.2">
      <c r="A745" s="61" t="str">
        <f t="shared" si="22"/>
        <v/>
      </c>
      <c r="B745" s="62"/>
      <c r="C745" s="62"/>
      <c r="D745" s="62"/>
      <c r="E745" s="62"/>
      <c r="F745" s="63"/>
      <c r="G745" s="63"/>
      <c r="H745" s="63"/>
      <c r="I745" s="63"/>
      <c r="J745" s="63"/>
      <c r="K745" s="63"/>
      <c r="L745" s="64" t="str">
        <f>IF(OR($B745="", $H745="", $I745="", $J745="", $K745=""),"",ROUND((VLOOKUP($H745,Lists!$E$2:$F$5,2,FALSE())*VLOOKUP($I745,Lists!$H$2:$I$4,2,FALSE())*VLOOKUP($J745,Lists!$K$2:$L$4,2,FALSE()))/VLOOKUP($K745,Lists!$N$2:$O$6,2,FALSE()),2))</f>
        <v/>
      </c>
      <c r="M745" s="63"/>
      <c r="N745" s="63"/>
      <c r="O745" s="62"/>
      <c r="P745" s="63"/>
      <c r="Q745" s="65"/>
      <c r="R745" s="66" t="str">
        <f t="shared" ca="1" si="23"/>
        <v/>
      </c>
      <c r="S745" s="63"/>
      <c r="T745" s="65"/>
      <c r="U745" s="65"/>
      <c r="V745" s="62"/>
      <c r="W745" s="62"/>
      <c r="X745" s="62"/>
      <c r="Y745" s="58"/>
      <c r="Z745" s="58"/>
      <c r="AA745" s="58"/>
    </row>
    <row r="746" spans="1:27" ht="15.75" customHeight="1" x14ac:dyDescent="0.2">
      <c r="A746" s="61" t="str">
        <f t="shared" si="22"/>
        <v/>
      </c>
      <c r="B746" s="62"/>
      <c r="C746" s="62"/>
      <c r="D746" s="62"/>
      <c r="E746" s="62"/>
      <c r="F746" s="63"/>
      <c r="G746" s="63"/>
      <c r="H746" s="63"/>
      <c r="I746" s="63"/>
      <c r="J746" s="63"/>
      <c r="K746" s="63"/>
      <c r="L746" s="64" t="str">
        <f>IF(OR($B746="", $H746="", $I746="", $J746="", $K746=""),"",ROUND((VLOOKUP($H746,Lists!$E$2:$F$5,2,FALSE())*VLOOKUP($I746,Lists!$H$2:$I$4,2,FALSE())*VLOOKUP($J746,Lists!$K$2:$L$4,2,FALSE()))/VLOOKUP($K746,Lists!$N$2:$O$6,2,FALSE()),2))</f>
        <v/>
      </c>
      <c r="M746" s="63"/>
      <c r="N746" s="63"/>
      <c r="O746" s="62"/>
      <c r="P746" s="63"/>
      <c r="Q746" s="65"/>
      <c r="R746" s="66" t="str">
        <f t="shared" ca="1" si="23"/>
        <v/>
      </c>
      <c r="S746" s="63"/>
      <c r="T746" s="65"/>
      <c r="U746" s="65"/>
      <c r="V746" s="62"/>
      <c r="W746" s="62"/>
      <c r="X746" s="62"/>
      <c r="Y746" s="58"/>
      <c r="Z746" s="58"/>
      <c r="AA746" s="58"/>
    </row>
    <row r="747" spans="1:27" ht="15.75" customHeight="1" x14ac:dyDescent="0.2">
      <c r="A747" s="61" t="str">
        <f t="shared" si="22"/>
        <v/>
      </c>
      <c r="B747" s="62"/>
      <c r="C747" s="62"/>
      <c r="D747" s="62"/>
      <c r="E747" s="62"/>
      <c r="F747" s="63"/>
      <c r="G747" s="63"/>
      <c r="H747" s="63"/>
      <c r="I747" s="63"/>
      <c r="J747" s="63"/>
      <c r="K747" s="63"/>
      <c r="L747" s="64" t="str">
        <f>IF(OR($B747="", $H747="", $I747="", $J747="", $K747=""),"",ROUND((VLOOKUP($H747,Lists!$E$2:$F$5,2,FALSE())*VLOOKUP($I747,Lists!$H$2:$I$4,2,FALSE())*VLOOKUP($J747,Lists!$K$2:$L$4,2,FALSE()))/VLOOKUP($K747,Lists!$N$2:$O$6,2,FALSE()),2))</f>
        <v/>
      </c>
      <c r="M747" s="63"/>
      <c r="N747" s="63"/>
      <c r="O747" s="62"/>
      <c r="P747" s="63"/>
      <c r="Q747" s="65"/>
      <c r="R747" s="66" t="str">
        <f t="shared" ca="1" si="23"/>
        <v/>
      </c>
      <c r="S747" s="63"/>
      <c r="T747" s="65"/>
      <c r="U747" s="65"/>
      <c r="V747" s="62"/>
      <c r="W747" s="62"/>
      <c r="X747" s="62"/>
      <c r="Y747" s="58"/>
      <c r="Z747" s="58"/>
      <c r="AA747" s="58"/>
    </row>
    <row r="748" spans="1:27" ht="15.75" customHeight="1" x14ac:dyDescent="0.2">
      <c r="A748" s="61" t="str">
        <f t="shared" si="22"/>
        <v/>
      </c>
      <c r="B748" s="62"/>
      <c r="C748" s="62"/>
      <c r="D748" s="62"/>
      <c r="E748" s="62"/>
      <c r="F748" s="63"/>
      <c r="G748" s="63"/>
      <c r="H748" s="63"/>
      <c r="I748" s="63"/>
      <c r="J748" s="63"/>
      <c r="K748" s="63"/>
      <c r="L748" s="64" t="str">
        <f>IF(OR($B748="", $H748="", $I748="", $J748="", $K748=""),"",ROUND((VLOOKUP($H748,Lists!$E$2:$F$5,2,FALSE())*VLOOKUP($I748,Lists!$H$2:$I$4,2,FALSE())*VLOOKUP($J748,Lists!$K$2:$L$4,2,FALSE()))/VLOOKUP($K748,Lists!$N$2:$O$6,2,FALSE()),2))</f>
        <v/>
      </c>
      <c r="M748" s="63"/>
      <c r="N748" s="63"/>
      <c r="O748" s="62"/>
      <c r="P748" s="63"/>
      <c r="Q748" s="65"/>
      <c r="R748" s="66" t="str">
        <f t="shared" ca="1" si="23"/>
        <v/>
      </c>
      <c r="S748" s="63"/>
      <c r="T748" s="65"/>
      <c r="U748" s="65"/>
      <c r="V748" s="62"/>
      <c r="W748" s="62"/>
      <c r="X748" s="62"/>
      <c r="Y748" s="58"/>
      <c r="Z748" s="58"/>
      <c r="AA748" s="58"/>
    </row>
    <row r="749" spans="1:27" ht="15.75" customHeight="1" x14ac:dyDescent="0.2">
      <c r="A749" s="61" t="str">
        <f t="shared" si="22"/>
        <v/>
      </c>
      <c r="B749" s="62"/>
      <c r="C749" s="62"/>
      <c r="D749" s="62"/>
      <c r="E749" s="62"/>
      <c r="F749" s="63"/>
      <c r="G749" s="63"/>
      <c r="H749" s="63"/>
      <c r="I749" s="63"/>
      <c r="J749" s="63"/>
      <c r="K749" s="63"/>
      <c r="L749" s="64" t="str">
        <f>IF(OR($B749="", $H749="", $I749="", $J749="", $K749=""),"",ROUND((VLOOKUP($H749,Lists!$E$2:$F$5,2,FALSE())*VLOOKUP($I749,Lists!$H$2:$I$4,2,FALSE())*VLOOKUP($J749,Lists!$K$2:$L$4,2,FALSE()))/VLOOKUP($K749,Lists!$N$2:$O$6,2,FALSE()),2))</f>
        <v/>
      </c>
      <c r="M749" s="63"/>
      <c r="N749" s="63"/>
      <c r="O749" s="62"/>
      <c r="P749" s="63"/>
      <c r="Q749" s="65"/>
      <c r="R749" s="66" t="str">
        <f t="shared" ca="1" si="23"/>
        <v/>
      </c>
      <c r="S749" s="63"/>
      <c r="T749" s="65"/>
      <c r="U749" s="65"/>
      <c r="V749" s="62"/>
      <c r="W749" s="62"/>
      <c r="X749" s="62"/>
      <c r="Y749" s="58"/>
      <c r="Z749" s="58"/>
      <c r="AA749" s="58"/>
    </row>
    <row r="750" spans="1:27" ht="15.75" customHeight="1" x14ac:dyDescent="0.2">
      <c r="A750" s="61" t="str">
        <f t="shared" si="22"/>
        <v/>
      </c>
      <c r="B750" s="62"/>
      <c r="C750" s="62"/>
      <c r="D750" s="62"/>
      <c r="E750" s="62"/>
      <c r="F750" s="63"/>
      <c r="G750" s="63"/>
      <c r="H750" s="63"/>
      <c r="I750" s="63"/>
      <c r="J750" s="63"/>
      <c r="K750" s="63"/>
      <c r="L750" s="64" t="str">
        <f>IF(OR($B750="", $H750="", $I750="", $J750="", $K750=""),"",ROUND((VLOOKUP($H750,Lists!$E$2:$F$5,2,FALSE())*VLOOKUP($I750,Lists!$H$2:$I$4,2,FALSE())*VLOOKUP($J750,Lists!$K$2:$L$4,2,FALSE()))/VLOOKUP($K750,Lists!$N$2:$O$6,2,FALSE()),2))</f>
        <v/>
      </c>
      <c r="M750" s="63"/>
      <c r="N750" s="63"/>
      <c r="O750" s="62"/>
      <c r="P750" s="63"/>
      <c r="Q750" s="65"/>
      <c r="R750" s="66" t="str">
        <f t="shared" ca="1" si="23"/>
        <v/>
      </c>
      <c r="S750" s="63"/>
      <c r="T750" s="65"/>
      <c r="U750" s="65"/>
      <c r="V750" s="62"/>
      <c r="W750" s="62"/>
      <c r="X750" s="62"/>
      <c r="Y750" s="58"/>
      <c r="Z750" s="58"/>
      <c r="AA750" s="58"/>
    </row>
    <row r="751" spans="1:27" ht="15.75" customHeight="1" x14ac:dyDescent="0.2">
      <c r="A751" s="61" t="str">
        <f t="shared" si="22"/>
        <v/>
      </c>
      <c r="B751" s="62"/>
      <c r="C751" s="62"/>
      <c r="D751" s="62"/>
      <c r="E751" s="62"/>
      <c r="F751" s="63"/>
      <c r="G751" s="63"/>
      <c r="H751" s="63"/>
      <c r="I751" s="63"/>
      <c r="J751" s="63"/>
      <c r="K751" s="63"/>
      <c r="L751" s="64" t="str">
        <f>IF(OR($B751="", $H751="", $I751="", $J751="", $K751=""),"",ROUND((VLOOKUP($H751,Lists!$E$2:$F$5,2,FALSE())*VLOOKUP($I751,Lists!$H$2:$I$4,2,FALSE())*VLOOKUP($J751,Lists!$K$2:$L$4,2,FALSE()))/VLOOKUP($K751,Lists!$N$2:$O$6,2,FALSE()),2))</f>
        <v/>
      </c>
      <c r="M751" s="63"/>
      <c r="N751" s="63"/>
      <c r="O751" s="62"/>
      <c r="P751" s="63"/>
      <c r="Q751" s="65"/>
      <c r="R751" s="66" t="str">
        <f t="shared" ca="1" si="23"/>
        <v/>
      </c>
      <c r="S751" s="63"/>
      <c r="T751" s="65"/>
      <c r="U751" s="65"/>
      <c r="V751" s="62"/>
      <c r="W751" s="62"/>
      <c r="X751" s="62"/>
      <c r="Y751" s="58"/>
      <c r="Z751" s="58"/>
      <c r="AA751" s="58"/>
    </row>
    <row r="752" spans="1:27" ht="15.75" customHeight="1" x14ac:dyDescent="0.2">
      <c r="A752" s="61" t="str">
        <f t="shared" si="22"/>
        <v/>
      </c>
      <c r="B752" s="62"/>
      <c r="C752" s="62"/>
      <c r="D752" s="62"/>
      <c r="E752" s="62"/>
      <c r="F752" s="63"/>
      <c r="G752" s="63"/>
      <c r="H752" s="63"/>
      <c r="I752" s="63"/>
      <c r="J752" s="63"/>
      <c r="K752" s="63"/>
      <c r="L752" s="64" t="str">
        <f>IF(OR($B752="", $H752="", $I752="", $J752="", $K752=""),"",ROUND((VLOOKUP($H752,Lists!$E$2:$F$5,2,FALSE())*VLOOKUP($I752,Lists!$H$2:$I$4,2,FALSE())*VLOOKUP($J752,Lists!$K$2:$L$4,2,FALSE()))/VLOOKUP($K752,Lists!$N$2:$O$6,2,FALSE()),2))</f>
        <v/>
      </c>
      <c r="M752" s="63"/>
      <c r="N752" s="63"/>
      <c r="O752" s="62"/>
      <c r="P752" s="63"/>
      <c r="Q752" s="65"/>
      <c r="R752" s="66" t="str">
        <f t="shared" ca="1" si="23"/>
        <v/>
      </c>
      <c r="S752" s="63"/>
      <c r="T752" s="65"/>
      <c r="U752" s="65"/>
      <c r="V752" s="62"/>
      <c r="W752" s="62"/>
      <c r="X752" s="62"/>
      <c r="Y752" s="58"/>
      <c r="Z752" s="58"/>
      <c r="AA752" s="58"/>
    </row>
    <row r="753" spans="1:27" ht="15.75" customHeight="1" x14ac:dyDescent="0.2">
      <c r="A753" s="61" t="str">
        <f t="shared" si="22"/>
        <v/>
      </c>
      <c r="B753" s="62"/>
      <c r="C753" s="62"/>
      <c r="D753" s="62"/>
      <c r="E753" s="62"/>
      <c r="F753" s="63"/>
      <c r="G753" s="63"/>
      <c r="H753" s="63"/>
      <c r="I753" s="63"/>
      <c r="J753" s="63"/>
      <c r="K753" s="63"/>
      <c r="L753" s="64" t="str">
        <f>IF(OR($B753="", $H753="", $I753="", $J753="", $K753=""),"",ROUND((VLOOKUP($H753,Lists!$E$2:$F$5,2,FALSE())*VLOOKUP($I753,Lists!$H$2:$I$4,2,FALSE())*VLOOKUP($J753,Lists!$K$2:$L$4,2,FALSE()))/VLOOKUP($K753,Lists!$N$2:$O$6,2,FALSE()),2))</f>
        <v/>
      </c>
      <c r="M753" s="63"/>
      <c r="N753" s="63"/>
      <c r="O753" s="62"/>
      <c r="P753" s="63"/>
      <c r="Q753" s="65"/>
      <c r="R753" s="66" t="str">
        <f t="shared" ca="1" si="23"/>
        <v/>
      </c>
      <c r="S753" s="63"/>
      <c r="T753" s="65"/>
      <c r="U753" s="65"/>
      <c r="V753" s="62"/>
      <c r="W753" s="62"/>
      <c r="X753" s="62"/>
      <c r="Y753" s="58"/>
      <c r="Z753" s="58"/>
      <c r="AA753" s="58"/>
    </row>
    <row r="754" spans="1:27" ht="15.75" customHeight="1" x14ac:dyDescent="0.2">
      <c r="A754" s="61" t="str">
        <f t="shared" si="22"/>
        <v/>
      </c>
      <c r="B754" s="62"/>
      <c r="C754" s="62"/>
      <c r="D754" s="62"/>
      <c r="E754" s="62"/>
      <c r="F754" s="63"/>
      <c r="G754" s="63"/>
      <c r="H754" s="63"/>
      <c r="I754" s="63"/>
      <c r="J754" s="63"/>
      <c r="K754" s="63"/>
      <c r="L754" s="64" t="str">
        <f>IF(OR($B754="", $H754="", $I754="", $J754="", $K754=""),"",ROUND((VLOOKUP($H754,Lists!$E$2:$F$5,2,FALSE())*VLOOKUP($I754,Lists!$H$2:$I$4,2,FALSE())*VLOOKUP($J754,Lists!$K$2:$L$4,2,FALSE()))/VLOOKUP($K754,Lists!$N$2:$O$6,2,FALSE()),2))</f>
        <v/>
      </c>
      <c r="M754" s="63"/>
      <c r="N754" s="63"/>
      <c r="O754" s="62"/>
      <c r="P754" s="63"/>
      <c r="Q754" s="65"/>
      <c r="R754" s="66" t="str">
        <f t="shared" ca="1" si="23"/>
        <v/>
      </c>
      <c r="S754" s="63"/>
      <c r="T754" s="65"/>
      <c r="U754" s="65"/>
      <c r="V754" s="62"/>
      <c r="W754" s="62"/>
      <c r="X754" s="62"/>
      <c r="Y754" s="58"/>
      <c r="Z754" s="58"/>
      <c r="AA754" s="58"/>
    </row>
    <row r="755" spans="1:27" ht="15.75" customHeight="1" x14ac:dyDescent="0.2">
      <c r="A755" s="61" t="str">
        <f t="shared" si="22"/>
        <v/>
      </c>
      <c r="B755" s="62"/>
      <c r="C755" s="62"/>
      <c r="D755" s="62"/>
      <c r="E755" s="62"/>
      <c r="F755" s="63"/>
      <c r="G755" s="63"/>
      <c r="H755" s="63"/>
      <c r="I755" s="63"/>
      <c r="J755" s="63"/>
      <c r="K755" s="63"/>
      <c r="L755" s="64" t="str">
        <f>IF(OR($B755="", $H755="", $I755="", $J755="", $K755=""),"",ROUND((VLOOKUP($H755,Lists!$E$2:$F$5,2,FALSE())*VLOOKUP($I755,Lists!$H$2:$I$4,2,FALSE())*VLOOKUP($J755,Lists!$K$2:$L$4,2,FALSE()))/VLOOKUP($K755,Lists!$N$2:$O$6,2,FALSE()),2))</f>
        <v/>
      </c>
      <c r="M755" s="63"/>
      <c r="N755" s="63"/>
      <c r="O755" s="62"/>
      <c r="P755" s="63"/>
      <c r="Q755" s="65"/>
      <c r="R755" s="66" t="str">
        <f t="shared" ca="1" si="23"/>
        <v/>
      </c>
      <c r="S755" s="63"/>
      <c r="T755" s="65"/>
      <c r="U755" s="65"/>
      <c r="V755" s="62"/>
      <c r="W755" s="62"/>
      <c r="X755" s="62"/>
      <c r="Y755" s="58"/>
      <c r="Z755" s="58"/>
      <c r="AA755" s="58"/>
    </row>
    <row r="756" spans="1:27" ht="15.75" customHeight="1" x14ac:dyDescent="0.2">
      <c r="A756" s="61" t="str">
        <f t="shared" si="22"/>
        <v/>
      </c>
      <c r="B756" s="62"/>
      <c r="C756" s="62"/>
      <c r="D756" s="62"/>
      <c r="E756" s="62"/>
      <c r="F756" s="63"/>
      <c r="G756" s="63"/>
      <c r="H756" s="63"/>
      <c r="I756" s="63"/>
      <c r="J756" s="63"/>
      <c r="K756" s="63"/>
      <c r="L756" s="64" t="str">
        <f>IF(OR($B756="", $H756="", $I756="", $J756="", $K756=""),"",ROUND((VLOOKUP($H756,Lists!$E$2:$F$5,2,FALSE())*VLOOKUP($I756,Lists!$H$2:$I$4,2,FALSE())*VLOOKUP($J756,Lists!$K$2:$L$4,2,FALSE()))/VLOOKUP($K756,Lists!$N$2:$O$6,2,FALSE()),2))</f>
        <v/>
      </c>
      <c r="M756" s="63"/>
      <c r="N756" s="63"/>
      <c r="O756" s="62"/>
      <c r="P756" s="63"/>
      <c r="Q756" s="65"/>
      <c r="R756" s="66" t="str">
        <f t="shared" ca="1" si="23"/>
        <v/>
      </c>
      <c r="S756" s="63"/>
      <c r="T756" s="65"/>
      <c r="U756" s="65"/>
      <c r="V756" s="62"/>
      <c r="W756" s="62"/>
      <c r="X756" s="62"/>
      <c r="Y756" s="58"/>
      <c r="Z756" s="58"/>
      <c r="AA756" s="58"/>
    </row>
    <row r="757" spans="1:27" ht="15.75" customHeight="1" x14ac:dyDescent="0.2">
      <c r="A757" s="61" t="str">
        <f t="shared" si="22"/>
        <v/>
      </c>
      <c r="B757" s="62"/>
      <c r="C757" s="62"/>
      <c r="D757" s="62"/>
      <c r="E757" s="62"/>
      <c r="F757" s="63"/>
      <c r="G757" s="63"/>
      <c r="H757" s="63"/>
      <c r="I757" s="63"/>
      <c r="J757" s="63"/>
      <c r="K757" s="63"/>
      <c r="L757" s="64" t="str">
        <f>IF(OR($B757="", $H757="", $I757="", $J757="", $K757=""),"",ROUND((VLOOKUP($H757,Lists!$E$2:$F$5,2,FALSE())*VLOOKUP($I757,Lists!$H$2:$I$4,2,FALSE())*VLOOKUP($J757,Lists!$K$2:$L$4,2,FALSE()))/VLOOKUP($K757,Lists!$N$2:$O$6,2,FALSE()),2))</f>
        <v/>
      </c>
      <c r="M757" s="63"/>
      <c r="N757" s="63"/>
      <c r="O757" s="62"/>
      <c r="P757" s="63"/>
      <c r="Q757" s="65"/>
      <c r="R757" s="66" t="str">
        <f t="shared" ca="1" si="23"/>
        <v/>
      </c>
      <c r="S757" s="63"/>
      <c r="T757" s="65"/>
      <c r="U757" s="65"/>
      <c r="V757" s="62"/>
      <c r="W757" s="62"/>
      <c r="X757" s="62"/>
      <c r="Y757" s="58"/>
      <c r="Z757" s="58"/>
      <c r="AA757" s="58"/>
    </row>
    <row r="758" spans="1:27" ht="15.75" customHeight="1" x14ac:dyDescent="0.2">
      <c r="A758" s="61" t="str">
        <f t="shared" si="22"/>
        <v/>
      </c>
      <c r="B758" s="62"/>
      <c r="C758" s="62"/>
      <c r="D758" s="62"/>
      <c r="E758" s="62"/>
      <c r="F758" s="63"/>
      <c r="G758" s="63"/>
      <c r="H758" s="63"/>
      <c r="I758" s="63"/>
      <c r="J758" s="63"/>
      <c r="K758" s="63"/>
      <c r="L758" s="64" t="str">
        <f>IF(OR($B758="", $H758="", $I758="", $J758="", $K758=""),"",ROUND((VLOOKUP($H758,Lists!$E$2:$F$5,2,FALSE())*VLOOKUP($I758,Lists!$H$2:$I$4,2,FALSE())*VLOOKUP($J758,Lists!$K$2:$L$4,2,FALSE()))/VLOOKUP($K758,Lists!$N$2:$O$6,2,FALSE()),2))</f>
        <v/>
      </c>
      <c r="M758" s="63"/>
      <c r="N758" s="63"/>
      <c r="O758" s="62"/>
      <c r="P758" s="63"/>
      <c r="Q758" s="65"/>
      <c r="R758" s="66" t="str">
        <f t="shared" ca="1" si="23"/>
        <v/>
      </c>
      <c r="S758" s="63"/>
      <c r="T758" s="65"/>
      <c r="U758" s="65"/>
      <c r="V758" s="62"/>
      <c r="W758" s="62"/>
      <c r="X758" s="62"/>
      <c r="Y758" s="58"/>
      <c r="Z758" s="58"/>
      <c r="AA758" s="58"/>
    </row>
    <row r="759" spans="1:27" ht="15.75" customHeight="1" x14ac:dyDescent="0.2">
      <c r="A759" s="61" t="str">
        <f t="shared" si="22"/>
        <v/>
      </c>
      <c r="B759" s="62"/>
      <c r="C759" s="62"/>
      <c r="D759" s="62"/>
      <c r="E759" s="62"/>
      <c r="F759" s="63"/>
      <c r="G759" s="63"/>
      <c r="H759" s="63"/>
      <c r="I759" s="63"/>
      <c r="J759" s="63"/>
      <c r="K759" s="63"/>
      <c r="L759" s="64" t="str">
        <f>IF(OR($B759="", $H759="", $I759="", $J759="", $K759=""),"",ROUND((VLOOKUP($H759,Lists!$E$2:$F$5,2,FALSE())*VLOOKUP($I759,Lists!$H$2:$I$4,2,FALSE())*VLOOKUP($J759,Lists!$K$2:$L$4,2,FALSE()))/VLOOKUP($K759,Lists!$N$2:$O$6,2,FALSE()),2))</f>
        <v/>
      </c>
      <c r="M759" s="63"/>
      <c r="N759" s="63"/>
      <c r="O759" s="62"/>
      <c r="P759" s="63"/>
      <c r="Q759" s="65"/>
      <c r="R759" s="66" t="str">
        <f t="shared" ca="1" si="23"/>
        <v/>
      </c>
      <c r="S759" s="63"/>
      <c r="T759" s="65"/>
      <c r="U759" s="65"/>
      <c r="V759" s="62"/>
      <c r="W759" s="62"/>
      <c r="X759" s="62"/>
      <c r="Y759" s="58"/>
      <c r="Z759" s="58"/>
      <c r="AA759" s="58"/>
    </row>
    <row r="760" spans="1:27" ht="15.75" customHeight="1" x14ac:dyDescent="0.2">
      <c r="A760" s="61" t="str">
        <f t="shared" si="22"/>
        <v/>
      </c>
      <c r="B760" s="62"/>
      <c r="C760" s="62"/>
      <c r="D760" s="62"/>
      <c r="E760" s="62"/>
      <c r="F760" s="63"/>
      <c r="G760" s="63"/>
      <c r="H760" s="63"/>
      <c r="I760" s="63"/>
      <c r="J760" s="63"/>
      <c r="K760" s="63"/>
      <c r="L760" s="64" t="str">
        <f>IF(OR($B760="", $H760="", $I760="", $J760="", $K760=""),"",ROUND((VLOOKUP($H760,Lists!$E$2:$F$5,2,FALSE())*VLOOKUP($I760,Lists!$H$2:$I$4,2,FALSE())*VLOOKUP($J760,Lists!$K$2:$L$4,2,FALSE()))/VLOOKUP($K760,Lists!$N$2:$O$6,2,FALSE()),2))</f>
        <v/>
      </c>
      <c r="M760" s="63"/>
      <c r="N760" s="63"/>
      <c r="O760" s="62"/>
      <c r="P760" s="63"/>
      <c r="Q760" s="65"/>
      <c r="R760" s="66" t="str">
        <f t="shared" ca="1" si="23"/>
        <v/>
      </c>
      <c r="S760" s="63"/>
      <c r="T760" s="65"/>
      <c r="U760" s="65"/>
      <c r="V760" s="62"/>
      <c r="W760" s="62"/>
      <c r="X760" s="62"/>
      <c r="Y760" s="58"/>
      <c r="Z760" s="58"/>
      <c r="AA760" s="58"/>
    </row>
    <row r="761" spans="1:27" ht="15.75" customHeight="1" x14ac:dyDescent="0.2">
      <c r="A761" s="61" t="str">
        <f t="shared" si="22"/>
        <v/>
      </c>
      <c r="B761" s="62"/>
      <c r="C761" s="62"/>
      <c r="D761" s="62"/>
      <c r="E761" s="62"/>
      <c r="F761" s="63"/>
      <c r="G761" s="63"/>
      <c r="H761" s="63"/>
      <c r="I761" s="63"/>
      <c r="J761" s="63"/>
      <c r="K761" s="63"/>
      <c r="L761" s="64" t="str">
        <f>IF(OR($B761="", $H761="", $I761="", $J761="", $K761=""),"",ROUND((VLOOKUP($H761,Lists!$E$2:$F$5,2,FALSE())*VLOOKUP($I761,Lists!$H$2:$I$4,2,FALSE())*VLOOKUP($J761,Lists!$K$2:$L$4,2,FALSE()))/VLOOKUP($K761,Lists!$N$2:$O$6,2,FALSE()),2))</f>
        <v/>
      </c>
      <c r="M761" s="63"/>
      <c r="N761" s="63"/>
      <c r="O761" s="62"/>
      <c r="P761" s="63"/>
      <c r="Q761" s="65"/>
      <c r="R761" s="66" t="str">
        <f t="shared" ca="1" si="23"/>
        <v/>
      </c>
      <c r="S761" s="63"/>
      <c r="T761" s="65"/>
      <c r="U761" s="65"/>
      <c r="V761" s="62"/>
      <c r="W761" s="62"/>
      <c r="X761" s="62"/>
      <c r="Y761" s="58"/>
      <c r="Z761" s="58"/>
      <c r="AA761" s="58"/>
    </row>
    <row r="762" spans="1:27" ht="15.75" customHeight="1" x14ac:dyDescent="0.2">
      <c r="A762" s="61" t="str">
        <f t="shared" si="22"/>
        <v/>
      </c>
      <c r="B762" s="62"/>
      <c r="C762" s="62"/>
      <c r="D762" s="62"/>
      <c r="E762" s="62"/>
      <c r="F762" s="63"/>
      <c r="G762" s="63"/>
      <c r="H762" s="63"/>
      <c r="I762" s="63"/>
      <c r="J762" s="63"/>
      <c r="K762" s="63"/>
      <c r="L762" s="64" t="str">
        <f>IF(OR($B762="", $H762="", $I762="", $J762="", $K762=""),"",ROUND((VLOOKUP($H762,Lists!$E$2:$F$5,2,FALSE())*VLOOKUP($I762,Lists!$H$2:$I$4,2,FALSE())*VLOOKUP($J762,Lists!$K$2:$L$4,2,FALSE()))/VLOOKUP($K762,Lists!$N$2:$O$6,2,FALSE()),2))</f>
        <v/>
      </c>
      <c r="M762" s="63"/>
      <c r="N762" s="63"/>
      <c r="O762" s="62"/>
      <c r="P762" s="63"/>
      <c r="Q762" s="65"/>
      <c r="R762" s="66" t="str">
        <f t="shared" ca="1" si="23"/>
        <v/>
      </c>
      <c r="S762" s="63"/>
      <c r="T762" s="65"/>
      <c r="U762" s="65"/>
      <c r="V762" s="62"/>
      <c r="W762" s="62"/>
      <c r="X762" s="62"/>
      <c r="Y762" s="58"/>
      <c r="Z762" s="58"/>
      <c r="AA762" s="58"/>
    </row>
    <row r="763" spans="1:27" ht="15.75" customHeight="1" x14ac:dyDescent="0.2">
      <c r="A763" s="61" t="str">
        <f t="shared" si="22"/>
        <v/>
      </c>
      <c r="B763" s="62"/>
      <c r="C763" s="62"/>
      <c r="D763" s="62"/>
      <c r="E763" s="62"/>
      <c r="F763" s="63"/>
      <c r="G763" s="63"/>
      <c r="H763" s="63"/>
      <c r="I763" s="63"/>
      <c r="J763" s="63"/>
      <c r="K763" s="63"/>
      <c r="L763" s="64" t="str">
        <f>IF(OR($B763="", $H763="", $I763="", $J763="", $K763=""),"",ROUND((VLOOKUP($H763,Lists!$E$2:$F$5,2,FALSE())*VLOOKUP($I763,Lists!$H$2:$I$4,2,FALSE())*VLOOKUP($J763,Lists!$K$2:$L$4,2,FALSE()))/VLOOKUP($K763,Lists!$N$2:$O$6,2,FALSE()),2))</f>
        <v/>
      </c>
      <c r="M763" s="63"/>
      <c r="N763" s="63"/>
      <c r="O763" s="62"/>
      <c r="P763" s="63"/>
      <c r="Q763" s="65"/>
      <c r="R763" s="66" t="str">
        <f t="shared" ca="1" si="23"/>
        <v/>
      </c>
      <c r="S763" s="63"/>
      <c r="T763" s="65"/>
      <c r="U763" s="65"/>
      <c r="V763" s="62"/>
      <c r="W763" s="62"/>
      <c r="X763" s="62"/>
      <c r="Y763" s="58"/>
      <c r="Z763" s="58"/>
      <c r="AA763" s="58"/>
    </row>
    <row r="764" spans="1:27" ht="15.75" customHeight="1" x14ac:dyDescent="0.2">
      <c r="A764" s="61" t="str">
        <f t="shared" si="22"/>
        <v/>
      </c>
      <c r="B764" s="62"/>
      <c r="C764" s="62"/>
      <c r="D764" s="62"/>
      <c r="E764" s="62"/>
      <c r="F764" s="63"/>
      <c r="G764" s="63"/>
      <c r="H764" s="63"/>
      <c r="I764" s="63"/>
      <c r="J764" s="63"/>
      <c r="K764" s="63"/>
      <c r="L764" s="64" t="str">
        <f>IF(OR($B764="", $H764="", $I764="", $J764="", $K764=""),"",ROUND((VLOOKUP($H764,Lists!$E$2:$F$5,2,FALSE())*VLOOKUP($I764,Lists!$H$2:$I$4,2,FALSE())*VLOOKUP($J764,Lists!$K$2:$L$4,2,FALSE()))/VLOOKUP($K764,Lists!$N$2:$O$6,2,FALSE()),2))</f>
        <v/>
      </c>
      <c r="M764" s="63"/>
      <c r="N764" s="63"/>
      <c r="O764" s="62"/>
      <c r="P764" s="63"/>
      <c r="Q764" s="65"/>
      <c r="R764" s="66" t="str">
        <f t="shared" ca="1" si="23"/>
        <v/>
      </c>
      <c r="S764" s="63"/>
      <c r="T764" s="65"/>
      <c r="U764" s="65"/>
      <c r="V764" s="62"/>
      <c r="W764" s="62"/>
      <c r="X764" s="62"/>
      <c r="Y764" s="58"/>
      <c r="Z764" s="58"/>
      <c r="AA764" s="58"/>
    </row>
    <row r="765" spans="1:27" ht="15.75" customHeight="1" x14ac:dyDescent="0.2">
      <c r="A765" s="61" t="str">
        <f t="shared" si="22"/>
        <v/>
      </c>
      <c r="B765" s="62"/>
      <c r="C765" s="62"/>
      <c r="D765" s="62"/>
      <c r="E765" s="62"/>
      <c r="F765" s="63"/>
      <c r="G765" s="63"/>
      <c r="H765" s="63"/>
      <c r="I765" s="63"/>
      <c r="J765" s="63"/>
      <c r="K765" s="63"/>
      <c r="L765" s="64" t="str">
        <f>IF(OR($B765="", $H765="", $I765="", $J765="", $K765=""),"",ROUND((VLOOKUP($H765,Lists!$E$2:$F$5,2,FALSE())*VLOOKUP($I765,Lists!$H$2:$I$4,2,FALSE())*VLOOKUP($J765,Lists!$K$2:$L$4,2,FALSE()))/VLOOKUP($K765,Lists!$N$2:$O$6,2,FALSE()),2))</f>
        <v/>
      </c>
      <c r="M765" s="63"/>
      <c r="N765" s="63"/>
      <c r="O765" s="62"/>
      <c r="P765" s="63"/>
      <c r="Q765" s="65"/>
      <c r="R765" s="66" t="str">
        <f t="shared" ca="1" si="23"/>
        <v/>
      </c>
      <c r="S765" s="63"/>
      <c r="T765" s="65"/>
      <c r="U765" s="65"/>
      <c r="V765" s="62"/>
      <c r="W765" s="62"/>
      <c r="X765" s="62"/>
      <c r="Y765" s="58"/>
      <c r="Z765" s="58"/>
      <c r="AA765" s="58"/>
    </row>
    <row r="766" spans="1:27" ht="15.75" customHeight="1" x14ac:dyDescent="0.2">
      <c r="A766" s="61" t="str">
        <f t="shared" si="22"/>
        <v/>
      </c>
      <c r="B766" s="62"/>
      <c r="C766" s="62"/>
      <c r="D766" s="62"/>
      <c r="E766" s="62"/>
      <c r="F766" s="63"/>
      <c r="G766" s="63"/>
      <c r="H766" s="63"/>
      <c r="I766" s="63"/>
      <c r="J766" s="63"/>
      <c r="K766" s="63"/>
      <c r="L766" s="64" t="str">
        <f>IF(OR($B766="", $H766="", $I766="", $J766="", $K766=""),"",ROUND((VLOOKUP($H766,Lists!$E$2:$F$5,2,FALSE())*VLOOKUP($I766,Lists!$H$2:$I$4,2,FALSE())*VLOOKUP($J766,Lists!$K$2:$L$4,2,FALSE()))/VLOOKUP($K766,Lists!$N$2:$O$6,2,FALSE()),2))</f>
        <v/>
      </c>
      <c r="M766" s="63"/>
      <c r="N766" s="63"/>
      <c r="O766" s="62"/>
      <c r="P766" s="63"/>
      <c r="Q766" s="65"/>
      <c r="R766" s="66" t="str">
        <f t="shared" ca="1" si="23"/>
        <v/>
      </c>
      <c r="S766" s="63"/>
      <c r="T766" s="65"/>
      <c r="U766" s="65"/>
      <c r="V766" s="62"/>
      <c r="W766" s="62"/>
      <c r="X766" s="62"/>
      <c r="Y766" s="58"/>
      <c r="Z766" s="58"/>
      <c r="AA766" s="58"/>
    </row>
    <row r="767" spans="1:27" ht="15.75" customHeight="1" x14ac:dyDescent="0.2">
      <c r="A767" s="61" t="str">
        <f t="shared" si="22"/>
        <v/>
      </c>
      <c r="B767" s="62"/>
      <c r="C767" s="62"/>
      <c r="D767" s="62"/>
      <c r="E767" s="62"/>
      <c r="F767" s="63"/>
      <c r="G767" s="63"/>
      <c r="H767" s="63"/>
      <c r="I767" s="63"/>
      <c r="J767" s="63"/>
      <c r="K767" s="63"/>
      <c r="L767" s="64" t="str">
        <f>IF(OR($B767="", $H767="", $I767="", $J767="", $K767=""),"",ROUND((VLOOKUP($H767,Lists!$E$2:$F$5,2,FALSE())*VLOOKUP($I767,Lists!$H$2:$I$4,2,FALSE())*VLOOKUP($J767,Lists!$K$2:$L$4,2,FALSE()))/VLOOKUP($K767,Lists!$N$2:$O$6,2,FALSE()),2))</f>
        <v/>
      </c>
      <c r="M767" s="63"/>
      <c r="N767" s="63"/>
      <c r="O767" s="62"/>
      <c r="P767" s="63"/>
      <c r="Q767" s="65"/>
      <c r="R767" s="66" t="str">
        <f t="shared" ca="1" si="23"/>
        <v/>
      </c>
      <c r="S767" s="63"/>
      <c r="T767" s="65"/>
      <c r="U767" s="65"/>
      <c r="V767" s="62"/>
      <c r="W767" s="62"/>
      <c r="X767" s="62"/>
      <c r="Y767" s="58"/>
      <c r="Z767" s="58"/>
      <c r="AA767" s="58"/>
    </row>
    <row r="768" spans="1:27" ht="15.75" customHeight="1" x14ac:dyDescent="0.2">
      <c r="A768" s="61" t="str">
        <f t="shared" si="22"/>
        <v/>
      </c>
      <c r="B768" s="62"/>
      <c r="C768" s="62"/>
      <c r="D768" s="62"/>
      <c r="E768" s="62"/>
      <c r="F768" s="63"/>
      <c r="G768" s="63"/>
      <c r="H768" s="63"/>
      <c r="I768" s="63"/>
      <c r="J768" s="63"/>
      <c r="K768" s="63"/>
      <c r="L768" s="64" t="str">
        <f>IF(OR($B768="", $H768="", $I768="", $J768="", $K768=""),"",ROUND((VLOOKUP($H768,Lists!$E$2:$F$5,2,FALSE())*VLOOKUP($I768,Lists!$H$2:$I$4,2,FALSE())*VLOOKUP($J768,Lists!$K$2:$L$4,2,FALSE()))/VLOOKUP($K768,Lists!$N$2:$O$6,2,FALSE()),2))</f>
        <v/>
      </c>
      <c r="M768" s="63"/>
      <c r="N768" s="63"/>
      <c r="O768" s="62"/>
      <c r="P768" s="63"/>
      <c r="Q768" s="65"/>
      <c r="R768" s="66" t="str">
        <f t="shared" ca="1" si="23"/>
        <v/>
      </c>
      <c r="S768" s="63"/>
      <c r="T768" s="65"/>
      <c r="U768" s="65"/>
      <c r="V768" s="62"/>
      <c r="W768" s="62"/>
      <c r="X768" s="62"/>
      <c r="Y768" s="58"/>
      <c r="Z768" s="58"/>
      <c r="AA768" s="58"/>
    </row>
    <row r="769" spans="1:27" ht="15.75" customHeight="1" x14ac:dyDescent="0.2">
      <c r="A769" s="61" t="str">
        <f t="shared" si="22"/>
        <v/>
      </c>
      <c r="B769" s="62"/>
      <c r="C769" s="62"/>
      <c r="D769" s="62"/>
      <c r="E769" s="62"/>
      <c r="F769" s="63"/>
      <c r="G769" s="63"/>
      <c r="H769" s="63"/>
      <c r="I769" s="63"/>
      <c r="J769" s="63"/>
      <c r="K769" s="63"/>
      <c r="L769" s="64" t="str">
        <f>IF(OR($B769="", $H769="", $I769="", $J769="", $K769=""),"",ROUND((VLOOKUP($H769,Lists!$E$2:$F$5,2,FALSE())*VLOOKUP($I769,Lists!$H$2:$I$4,2,FALSE())*VLOOKUP($J769,Lists!$K$2:$L$4,2,FALSE()))/VLOOKUP($K769,Lists!$N$2:$O$6,2,FALSE()),2))</f>
        <v/>
      </c>
      <c r="M769" s="63"/>
      <c r="N769" s="63"/>
      <c r="O769" s="62"/>
      <c r="P769" s="63"/>
      <c r="Q769" s="65"/>
      <c r="R769" s="66" t="str">
        <f t="shared" ca="1" si="23"/>
        <v/>
      </c>
      <c r="S769" s="63"/>
      <c r="T769" s="65"/>
      <c r="U769" s="65"/>
      <c r="V769" s="62"/>
      <c r="W769" s="62"/>
      <c r="X769" s="62"/>
      <c r="Y769" s="58"/>
      <c r="Z769" s="58"/>
      <c r="AA769" s="58"/>
    </row>
    <row r="770" spans="1:27" ht="15.75" customHeight="1" x14ac:dyDescent="0.2">
      <c r="A770" s="61" t="str">
        <f t="shared" ref="A770:A833" si="24">IF($B770="","", "TD-" &amp; RIGHT("0000"&amp;ROW()-1,4))</f>
        <v/>
      </c>
      <c r="B770" s="62"/>
      <c r="C770" s="62"/>
      <c r="D770" s="62"/>
      <c r="E770" s="62"/>
      <c r="F770" s="63"/>
      <c r="G770" s="63"/>
      <c r="H770" s="63"/>
      <c r="I770" s="63"/>
      <c r="J770" s="63"/>
      <c r="K770" s="63"/>
      <c r="L770" s="64" t="str">
        <f>IF(OR($B770="", $H770="", $I770="", $J770="", $K770=""),"",ROUND((VLOOKUP($H770,Lists!$E$2:$F$5,2,FALSE())*VLOOKUP($I770,Lists!$H$2:$I$4,2,FALSE())*VLOOKUP($J770,Lists!$K$2:$L$4,2,FALSE()))/VLOOKUP($K770,Lists!$N$2:$O$6,2,FALSE()),2))</f>
        <v/>
      </c>
      <c r="M770" s="63"/>
      <c r="N770" s="63"/>
      <c r="O770" s="62"/>
      <c r="P770" s="63"/>
      <c r="Q770" s="65"/>
      <c r="R770" s="66" t="str">
        <f t="shared" ref="R770:R833" ca="1" si="25">IF($Q770="","", TODAY()-$Q770)</f>
        <v/>
      </c>
      <c r="S770" s="63"/>
      <c r="T770" s="65"/>
      <c r="U770" s="65"/>
      <c r="V770" s="62"/>
      <c r="W770" s="62"/>
      <c r="X770" s="62"/>
      <c r="Y770" s="58"/>
      <c r="Z770" s="58"/>
      <c r="AA770" s="58"/>
    </row>
    <row r="771" spans="1:27" ht="15.75" customHeight="1" x14ac:dyDescent="0.2">
      <c r="A771" s="61" t="str">
        <f t="shared" si="24"/>
        <v/>
      </c>
      <c r="B771" s="62"/>
      <c r="C771" s="62"/>
      <c r="D771" s="62"/>
      <c r="E771" s="62"/>
      <c r="F771" s="63"/>
      <c r="G771" s="63"/>
      <c r="H771" s="63"/>
      <c r="I771" s="63"/>
      <c r="J771" s="63"/>
      <c r="K771" s="63"/>
      <c r="L771" s="64" t="str">
        <f>IF(OR($B771="", $H771="", $I771="", $J771="", $K771=""),"",ROUND((VLOOKUP($H771,Lists!$E$2:$F$5,2,FALSE())*VLOOKUP($I771,Lists!$H$2:$I$4,2,FALSE())*VLOOKUP($J771,Lists!$K$2:$L$4,2,FALSE()))/VLOOKUP($K771,Lists!$N$2:$O$6,2,FALSE()),2))</f>
        <v/>
      </c>
      <c r="M771" s="63"/>
      <c r="N771" s="63"/>
      <c r="O771" s="62"/>
      <c r="P771" s="63"/>
      <c r="Q771" s="65"/>
      <c r="R771" s="66" t="str">
        <f t="shared" ca="1" si="25"/>
        <v/>
      </c>
      <c r="S771" s="63"/>
      <c r="T771" s="65"/>
      <c r="U771" s="65"/>
      <c r="V771" s="62"/>
      <c r="W771" s="62"/>
      <c r="X771" s="62"/>
      <c r="Y771" s="58"/>
      <c r="Z771" s="58"/>
      <c r="AA771" s="58"/>
    </row>
    <row r="772" spans="1:27" ht="15.75" customHeight="1" x14ac:dyDescent="0.2">
      <c r="A772" s="61" t="str">
        <f t="shared" si="24"/>
        <v/>
      </c>
      <c r="B772" s="62"/>
      <c r="C772" s="62"/>
      <c r="D772" s="62"/>
      <c r="E772" s="62"/>
      <c r="F772" s="63"/>
      <c r="G772" s="63"/>
      <c r="H772" s="63"/>
      <c r="I772" s="63"/>
      <c r="J772" s="63"/>
      <c r="K772" s="63"/>
      <c r="L772" s="64" t="str">
        <f>IF(OR($B772="", $H772="", $I772="", $J772="", $K772=""),"",ROUND((VLOOKUP($H772,Lists!$E$2:$F$5,2,FALSE())*VLOOKUP($I772,Lists!$H$2:$I$4,2,FALSE())*VLOOKUP($J772,Lists!$K$2:$L$4,2,FALSE()))/VLOOKUP($K772,Lists!$N$2:$O$6,2,FALSE()),2))</f>
        <v/>
      </c>
      <c r="M772" s="63"/>
      <c r="N772" s="63"/>
      <c r="O772" s="62"/>
      <c r="P772" s="63"/>
      <c r="Q772" s="65"/>
      <c r="R772" s="66" t="str">
        <f t="shared" ca="1" si="25"/>
        <v/>
      </c>
      <c r="S772" s="63"/>
      <c r="T772" s="65"/>
      <c r="U772" s="65"/>
      <c r="V772" s="62"/>
      <c r="W772" s="62"/>
      <c r="X772" s="62"/>
      <c r="Y772" s="58"/>
      <c r="Z772" s="58"/>
      <c r="AA772" s="58"/>
    </row>
    <row r="773" spans="1:27" ht="15.75" customHeight="1" x14ac:dyDescent="0.2">
      <c r="A773" s="61" t="str">
        <f t="shared" si="24"/>
        <v/>
      </c>
      <c r="B773" s="62"/>
      <c r="C773" s="62"/>
      <c r="D773" s="62"/>
      <c r="E773" s="62"/>
      <c r="F773" s="63"/>
      <c r="G773" s="63"/>
      <c r="H773" s="63"/>
      <c r="I773" s="63"/>
      <c r="J773" s="63"/>
      <c r="K773" s="63"/>
      <c r="L773" s="64" t="str">
        <f>IF(OR($B773="", $H773="", $I773="", $J773="", $K773=""),"",ROUND((VLOOKUP($H773,Lists!$E$2:$F$5,2,FALSE())*VLOOKUP($I773,Lists!$H$2:$I$4,2,FALSE())*VLOOKUP($J773,Lists!$K$2:$L$4,2,FALSE()))/VLOOKUP($K773,Lists!$N$2:$O$6,2,FALSE()),2))</f>
        <v/>
      </c>
      <c r="M773" s="63"/>
      <c r="N773" s="63"/>
      <c r="O773" s="62"/>
      <c r="P773" s="63"/>
      <c r="Q773" s="65"/>
      <c r="R773" s="66" t="str">
        <f t="shared" ca="1" si="25"/>
        <v/>
      </c>
      <c r="S773" s="63"/>
      <c r="T773" s="65"/>
      <c r="U773" s="65"/>
      <c r="V773" s="62"/>
      <c r="W773" s="62"/>
      <c r="X773" s="62"/>
      <c r="Y773" s="58"/>
      <c r="Z773" s="58"/>
      <c r="AA773" s="58"/>
    </row>
    <row r="774" spans="1:27" ht="15.75" customHeight="1" x14ac:dyDescent="0.2">
      <c r="A774" s="61" t="str">
        <f t="shared" si="24"/>
        <v/>
      </c>
      <c r="B774" s="62"/>
      <c r="C774" s="62"/>
      <c r="D774" s="62"/>
      <c r="E774" s="62"/>
      <c r="F774" s="63"/>
      <c r="G774" s="63"/>
      <c r="H774" s="63"/>
      <c r="I774" s="63"/>
      <c r="J774" s="63"/>
      <c r="K774" s="63"/>
      <c r="L774" s="64" t="str">
        <f>IF(OR($B774="", $H774="", $I774="", $J774="", $K774=""),"",ROUND((VLOOKUP($H774,Lists!$E$2:$F$5,2,FALSE())*VLOOKUP($I774,Lists!$H$2:$I$4,2,FALSE())*VLOOKUP($J774,Lists!$K$2:$L$4,2,FALSE()))/VLOOKUP($K774,Lists!$N$2:$O$6,2,FALSE()),2))</f>
        <v/>
      </c>
      <c r="M774" s="63"/>
      <c r="N774" s="63"/>
      <c r="O774" s="62"/>
      <c r="P774" s="63"/>
      <c r="Q774" s="65"/>
      <c r="R774" s="66" t="str">
        <f t="shared" ca="1" si="25"/>
        <v/>
      </c>
      <c r="S774" s="63"/>
      <c r="T774" s="65"/>
      <c r="U774" s="65"/>
      <c r="V774" s="62"/>
      <c r="W774" s="62"/>
      <c r="X774" s="62"/>
      <c r="Y774" s="58"/>
      <c r="Z774" s="58"/>
      <c r="AA774" s="58"/>
    </row>
    <row r="775" spans="1:27" ht="15.75" customHeight="1" x14ac:dyDescent="0.2">
      <c r="A775" s="61" t="str">
        <f t="shared" si="24"/>
        <v/>
      </c>
      <c r="B775" s="62"/>
      <c r="C775" s="62"/>
      <c r="D775" s="62"/>
      <c r="E775" s="62"/>
      <c r="F775" s="63"/>
      <c r="G775" s="63"/>
      <c r="H775" s="63"/>
      <c r="I775" s="63"/>
      <c r="J775" s="63"/>
      <c r="K775" s="63"/>
      <c r="L775" s="64" t="str">
        <f>IF(OR($B775="", $H775="", $I775="", $J775="", $K775=""),"",ROUND((VLOOKUP($H775,Lists!$E$2:$F$5,2,FALSE())*VLOOKUP($I775,Lists!$H$2:$I$4,2,FALSE())*VLOOKUP($J775,Lists!$K$2:$L$4,2,FALSE()))/VLOOKUP($K775,Lists!$N$2:$O$6,2,FALSE()),2))</f>
        <v/>
      </c>
      <c r="M775" s="63"/>
      <c r="N775" s="63"/>
      <c r="O775" s="62"/>
      <c r="P775" s="63"/>
      <c r="Q775" s="65"/>
      <c r="R775" s="66" t="str">
        <f t="shared" ca="1" si="25"/>
        <v/>
      </c>
      <c r="S775" s="63"/>
      <c r="T775" s="65"/>
      <c r="U775" s="65"/>
      <c r="V775" s="62"/>
      <c r="W775" s="62"/>
      <c r="X775" s="62"/>
      <c r="Y775" s="58"/>
      <c r="Z775" s="58"/>
      <c r="AA775" s="58"/>
    </row>
    <row r="776" spans="1:27" ht="15.75" customHeight="1" x14ac:dyDescent="0.2">
      <c r="A776" s="61" t="str">
        <f t="shared" si="24"/>
        <v/>
      </c>
      <c r="B776" s="62"/>
      <c r="C776" s="62"/>
      <c r="D776" s="62"/>
      <c r="E776" s="62"/>
      <c r="F776" s="63"/>
      <c r="G776" s="63"/>
      <c r="H776" s="63"/>
      <c r="I776" s="63"/>
      <c r="J776" s="63"/>
      <c r="K776" s="63"/>
      <c r="L776" s="64" t="str">
        <f>IF(OR($B776="", $H776="", $I776="", $J776="", $K776=""),"",ROUND((VLOOKUP($H776,Lists!$E$2:$F$5,2,FALSE())*VLOOKUP($I776,Lists!$H$2:$I$4,2,FALSE())*VLOOKUP($J776,Lists!$K$2:$L$4,2,FALSE()))/VLOOKUP($K776,Lists!$N$2:$O$6,2,FALSE()),2))</f>
        <v/>
      </c>
      <c r="M776" s="63"/>
      <c r="N776" s="63"/>
      <c r="O776" s="62"/>
      <c r="P776" s="63"/>
      <c r="Q776" s="65"/>
      <c r="R776" s="66" t="str">
        <f t="shared" ca="1" si="25"/>
        <v/>
      </c>
      <c r="S776" s="63"/>
      <c r="T776" s="65"/>
      <c r="U776" s="65"/>
      <c r="V776" s="62"/>
      <c r="W776" s="62"/>
      <c r="X776" s="62"/>
      <c r="Y776" s="58"/>
      <c r="Z776" s="58"/>
      <c r="AA776" s="58"/>
    </row>
    <row r="777" spans="1:27" ht="15.75" customHeight="1" x14ac:dyDescent="0.2">
      <c r="A777" s="61" t="str">
        <f t="shared" si="24"/>
        <v/>
      </c>
      <c r="B777" s="62"/>
      <c r="C777" s="62"/>
      <c r="D777" s="62"/>
      <c r="E777" s="62"/>
      <c r="F777" s="63"/>
      <c r="G777" s="63"/>
      <c r="H777" s="63"/>
      <c r="I777" s="63"/>
      <c r="J777" s="63"/>
      <c r="K777" s="63"/>
      <c r="L777" s="64" t="str">
        <f>IF(OR($B777="", $H777="", $I777="", $J777="", $K777=""),"",ROUND((VLOOKUP($H777,Lists!$E$2:$F$5,2,FALSE())*VLOOKUP($I777,Lists!$H$2:$I$4,2,FALSE())*VLOOKUP($J777,Lists!$K$2:$L$4,2,FALSE()))/VLOOKUP($K777,Lists!$N$2:$O$6,2,FALSE()),2))</f>
        <v/>
      </c>
      <c r="M777" s="63"/>
      <c r="N777" s="63"/>
      <c r="O777" s="62"/>
      <c r="P777" s="63"/>
      <c r="Q777" s="65"/>
      <c r="R777" s="66" t="str">
        <f t="shared" ca="1" si="25"/>
        <v/>
      </c>
      <c r="S777" s="63"/>
      <c r="T777" s="65"/>
      <c r="U777" s="65"/>
      <c r="V777" s="62"/>
      <c r="W777" s="62"/>
      <c r="X777" s="62"/>
      <c r="Y777" s="58"/>
      <c r="Z777" s="58"/>
      <c r="AA777" s="58"/>
    </row>
    <row r="778" spans="1:27" ht="15.75" customHeight="1" x14ac:dyDescent="0.2">
      <c r="A778" s="61" t="str">
        <f t="shared" si="24"/>
        <v/>
      </c>
      <c r="B778" s="62"/>
      <c r="C778" s="62"/>
      <c r="D778" s="62"/>
      <c r="E778" s="62"/>
      <c r="F778" s="63"/>
      <c r="G778" s="63"/>
      <c r="H778" s="63"/>
      <c r="I778" s="63"/>
      <c r="J778" s="63"/>
      <c r="K778" s="63"/>
      <c r="L778" s="64" t="str">
        <f>IF(OR($B778="", $H778="", $I778="", $J778="", $K778=""),"",ROUND((VLOOKUP($H778,Lists!$E$2:$F$5,2,FALSE())*VLOOKUP($I778,Lists!$H$2:$I$4,2,FALSE())*VLOOKUP($J778,Lists!$K$2:$L$4,2,FALSE()))/VLOOKUP($K778,Lists!$N$2:$O$6,2,FALSE()),2))</f>
        <v/>
      </c>
      <c r="M778" s="63"/>
      <c r="N778" s="63"/>
      <c r="O778" s="62"/>
      <c r="P778" s="63"/>
      <c r="Q778" s="65"/>
      <c r="R778" s="66" t="str">
        <f t="shared" ca="1" si="25"/>
        <v/>
      </c>
      <c r="S778" s="63"/>
      <c r="T778" s="65"/>
      <c r="U778" s="65"/>
      <c r="V778" s="62"/>
      <c r="W778" s="62"/>
      <c r="X778" s="62"/>
      <c r="Y778" s="58"/>
      <c r="Z778" s="58"/>
      <c r="AA778" s="58"/>
    </row>
    <row r="779" spans="1:27" ht="15.75" customHeight="1" x14ac:dyDescent="0.2">
      <c r="A779" s="61" t="str">
        <f t="shared" si="24"/>
        <v/>
      </c>
      <c r="B779" s="62"/>
      <c r="C779" s="62"/>
      <c r="D779" s="62"/>
      <c r="E779" s="62"/>
      <c r="F779" s="63"/>
      <c r="G779" s="63"/>
      <c r="H779" s="63"/>
      <c r="I779" s="63"/>
      <c r="J779" s="63"/>
      <c r="K779" s="63"/>
      <c r="L779" s="64" t="str">
        <f>IF(OR($B779="", $H779="", $I779="", $J779="", $K779=""),"",ROUND((VLOOKUP($H779,Lists!$E$2:$F$5,2,FALSE())*VLOOKUP($I779,Lists!$H$2:$I$4,2,FALSE())*VLOOKUP($J779,Lists!$K$2:$L$4,2,FALSE()))/VLOOKUP($K779,Lists!$N$2:$O$6,2,FALSE()),2))</f>
        <v/>
      </c>
      <c r="M779" s="63"/>
      <c r="N779" s="63"/>
      <c r="O779" s="62"/>
      <c r="P779" s="63"/>
      <c r="Q779" s="65"/>
      <c r="R779" s="66" t="str">
        <f t="shared" ca="1" si="25"/>
        <v/>
      </c>
      <c r="S779" s="63"/>
      <c r="T779" s="65"/>
      <c r="U779" s="65"/>
      <c r="V779" s="62"/>
      <c r="W779" s="62"/>
      <c r="X779" s="62"/>
      <c r="Y779" s="58"/>
      <c r="Z779" s="58"/>
      <c r="AA779" s="58"/>
    </row>
    <row r="780" spans="1:27" ht="15.75" customHeight="1" x14ac:dyDescent="0.2">
      <c r="A780" s="61" t="str">
        <f t="shared" si="24"/>
        <v/>
      </c>
      <c r="B780" s="62"/>
      <c r="C780" s="62"/>
      <c r="D780" s="62"/>
      <c r="E780" s="62"/>
      <c r="F780" s="63"/>
      <c r="G780" s="63"/>
      <c r="H780" s="63"/>
      <c r="I780" s="63"/>
      <c r="J780" s="63"/>
      <c r="K780" s="63"/>
      <c r="L780" s="64" t="str">
        <f>IF(OR($B780="", $H780="", $I780="", $J780="", $K780=""),"",ROUND((VLOOKUP($H780,Lists!$E$2:$F$5,2,FALSE())*VLOOKUP($I780,Lists!$H$2:$I$4,2,FALSE())*VLOOKUP($J780,Lists!$K$2:$L$4,2,FALSE()))/VLOOKUP($K780,Lists!$N$2:$O$6,2,FALSE()),2))</f>
        <v/>
      </c>
      <c r="M780" s="63"/>
      <c r="N780" s="63"/>
      <c r="O780" s="62"/>
      <c r="P780" s="63"/>
      <c r="Q780" s="65"/>
      <c r="R780" s="66" t="str">
        <f t="shared" ca="1" si="25"/>
        <v/>
      </c>
      <c r="S780" s="63"/>
      <c r="T780" s="65"/>
      <c r="U780" s="65"/>
      <c r="V780" s="62"/>
      <c r="W780" s="62"/>
      <c r="X780" s="62"/>
      <c r="Y780" s="58"/>
      <c r="Z780" s="58"/>
      <c r="AA780" s="58"/>
    </row>
    <row r="781" spans="1:27" ht="15.75" customHeight="1" x14ac:dyDescent="0.2">
      <c r="A781" s="61" t="str">
        <f t="shared" si="24"/>
        <v/>
      </c>
      <c r="B781" s="62"/>
      <c r="C781" s="62"/>
      <c r="D781" s="62"/>
      <c r="E781" s="62"/>
      <c r="F781" s="63"/>
      <c r="G781" s="63"/>
      <c r="H781" s="63"/>
      <c r="I781" s="63"/>
      <c r="J781" s="63"/>
      <c r="K781" s="63"/>
      <c r="L781" s="64" t="str">
        <f>IF(OR($B781="", $H781="", $I781="", $J781="", $K781=""),"",ROUND((VLOOKUP($H781,Lists!$E$2:$F$5,2,FALSE())*VLOOKUP($I781,Lists!$H$2:$I$4,2,FALSE())*VLOOKUP($J781,Lists!$K$2:$L$4,2,FALSE()))/VLOOKUP($K781,Lists!$N$2:$O$6,2,FALSE()),2))</f>
        <v/>
      </c>
      <c r="M781" s="63"/>
      <c r="N781" s="63"/>
      <c r="O781" s="62"/>
      <c r="P781" s="63"/>
      <c r="Q781" s="65"/>
      <c r="R781" s="66" t="str">
        <f t="shared" ca="1" si="25"/>
        <v/>
      </c>
      <c r="S781" s="63"/>
      <c r="T781" s="65"/>
      <c r="U781" s="65"/>
      <c r="V781" s="62"/>
      <c r="W781" s="62"/>
      <c r="X781" s="62"/>
      <c r="Y781" s="58"/>
      <c r="Z781" s="58"/>
      <c r="AA781" s="58"/>
    </row>
    <row r="782" spans="1:27" ht="15.75" customHeight="1" x14ac:dyDescent="0.2">
      <c r="A782" s="61" t="str">
        <f t="shared" si="24"/>
        <v/>
      </c>
      <c r="B782" s="62"/>
      <c r="C782" s="62"/>
      <c r="D782" s="62"/>
      <c r="E782" s="62"/>
      <c r="F782" s="63"/>
      <c r="G782" s="63"/>
      <c r="H782" s="63"/>
      <c r="I782" s="63"/>
      <c r="J782" s="63"/>
      <c r="K782" s="63"/>
      <c r="L782" s="64" t="str">
        <f>IF(OR($B782="", $H782="", $I782="", $J782="", $K782=""),"",ROUND((VLOOKUP($H782,Lists!$E$2:$F$5,2,FALSE())*VLOOKUP($I782,Lists!$H$2:$I$4,2,FALSE())*VLOOKUP($J782,Lists!$K$2:$L$4,2,FALSE()))/VLOOKUP($K782,Lists!$N$2:$O$6,2,FALSE()),2))</f>
        <v/>
      </c>
      <c r="M782" s="63"/>
      <c r="N782" s="63"/>
      <c r="O782" s="62"/>
      <c r="P782" s="63"/>
      <c r="Q782" s="65"/>
      <c r="R782" s="66" t="str">
        <f t="shared" ca="1" si="25"/>
        <v/>
      </c>
      <c r="S782" s="63"/>
      <c r="T782" s="65"/>
      <c r="U782" s="65"/>
      <c r="V782" s="62"/>
      <c r="W782" s="62"/>
      <c r="X782" s="62"/>
      <c r="Y782" s="58"/>
      <c r="Z782" s="58"/>
      <c r="AA782" s="58"/>
    </row>
    <row r="783" spans="1:27" ht="15.75" customHeight="1" x14ac:dyDescent="0.2">
      <c r="A783" s="61" t="str">
        <f t="shared" si="24"/>
        <v/>
      </c>
      <c r="B783" s="62"/>
      <c r="C783" s="62"/>
      <c r="D783" s="62"/>
      <c r="E783" s="62"/>
      <c r="F783" s="63"/>
      <c r="G783" s="63"/>
      <c r="H783" s="63"/>
      <c r="I783" s="63"/>
      <c r="J783" s="63"/>
      <c r="K783" s="63"/>
      <c r="L783" s="64" t="str">
        <f>IF(OR($B783="", $H783="", $I783="", $J783="", $K783=""),"",ROUND((VLOOKUP($H783,Lists!$E$2:$F$5,2,FALSE())*VLOOKUP($I783,Lists!$H$2:$I$4,2,FALSE())*VLOOKUP($J783,Lists!$K$2:$L$4,2,FALSE()))/VLOOKUP($K783,Lists!$N$2:$O$6,2,FALSE()),2))</f>
        <v/>
      </c>
      <c r="M783" s="63"/>
      <c r="N783" s="63"/>
      <c r="O783" s="62"/>
      <c r="P783" s="63"/>
      <c r="Q783" s="65"/>
      <c r="R783" s="66" t="str">
        <f t="shared" ca="1" si="25"/>
        <v/>
      </c>
      <c r="S783" s="63"/>
      <c r="T783" s="65"/>
      <c r="U783" s="65"/>
      <c r="V783" s="62"/>
      <c r="W783" s="62"/>
      <c r="X783" s="62"/>
      <c r="Y783" s="58"/>
      <c r="Z783" s="58"/>
      <c r="AA783" s="58"/>
    </row>
    <row r="784" spans="1:27" ht="15.75" customHeight="1" x14ac:dyDescent="0.2">
      <c r="A784" s="61" t="str">
        <f t="shared" si="24"/>
        <v/>
      </c>
      <c r="B784" s="62"/>
      <c r="C784" s="62"/>
      <c r="D784" s="62"/>
      <c r="E784" s="62"/>
      <c r="F784" s="63"/>
      <c r="G784" s="63"/>
      <c r="H784" s="63"/>
      <c r="I784" s="63"/>
      <c r="J784" s="63"/>
      <c r="K784" s="63"/>
      <c r="L784" s="64" t="str">
        <f>IF(OR($B784="", $H784="", $I784="", $J784="", $K784=""),"",ROUND((VLOOKUP($H784,Lists!$E$2:$F$5,2,FALSE())*VLOOKUP($I784,Lists!$H$2:$I$4,2,FALSE())*VLOOKUP($J784,Lists!$K$2:$L$4,2,FALSE()))/VLOOKUP($K784,Lists!$N$2:$O$6,2,FALSE()),2))</f>
        <v/>
      </c>
      <c r="M784" s="63"/>
      <c r="N784" s="63"/>
      <c r="O784" s="62"/>
      <c r="P784" s="63"/>
      <c r="Q784" s="65"/>
      <c r="R784" s="66" t="str">
        <f t="shared" ca="1" si="25"/>
        <v/>
      </c>
      <c r="S784" s="63"/>
      <c r="T784" s="65"/>
      <c r="U784" s="65"/>
      <c r="V784" s="62"/>
      <c r="W784" s="62"/>
      <c r="X784" s="62"/>
      <c r="Y784" s="58"/>
      <c r="Z784" s="58"/>
      <c r="AA784" s="58"/>
    </row>
    <row r="785" spans="1:27" ht="15.75" customHeight="1" x14ac:dyDescent="0.2">
      <c r="A785" s="61" t="str">
        <f t="shared" si="24"/>
        <v/>
      </c>
      <c r="B785" s="62"/>
      <c r="C785" s="62"/>
      <c r="D785" s="62"/>
      <c r="E785" s="62"/>
      <c r="F785" s="63"/>
      <c r="G785" s="63"/>
      <c r="H785" s="63"/>
      <c r="I785" s="63"/>
      <c r="J785" s="63"/>
      <c r="K785" s="63"/>
      <c r="L785" s="64" t="str">
        <f>IF(OR($B785="", $H785="", $I785="", $J785="", $K785=""),"",ROUND((VLOOKUP($H785,Lists!$E$2:$F$5,2,FALSE())*VLOOKUP($I785,Lists!$H$2:$I$4,2,FALSE())*VLOOKUP($J785,Lists!$K$2:$L$4,2,FALSE()))/VLOOKUP($K785,Lists!$N$2:$O$6,2,FALSE()),2))</f>
        <v/>
      </c>
      <c r="M785" s="63"/>
      <c r="N785" s="63"/>
      <c r="O785" s="62"/>
      <c r="P785" s="63"/>
      <c r="Q785" s="65"/>
      <c r="R785" s="66" t="str">
        <f t="shared" ca="1" si="25"/>
        <v/>
      </c>
      <c r="S785" s="63"/>
      <c r="T785" s="65"/>
      <c r="U785" s="65"/>
      <c r="V785" s="62"/>
      <c r="W785" s="62"/>
      <c r="X785" s="62"/>
      <c r="Y785" s="58"/>
      <c r="Z785" s="58"/>
      <c r="AA785" s="58"/>
    </row>
    <row r="786" spans="1:27" ht="15.75" customHeight="1" x14ac:dyDescent="0.2">
      <c r="A786" s="61" t="str">
        <f t="shared" si="24"/>
        <v/>
      </c>
      <c r="B786" s="62"/>
      <c r="C786" s="62"/>
      <c r="D786" s="62"/>
      <c r="E786" s="62"/>
      <c r="F786" s="63"/>
      <c r="G786" s="63"/>
      <c r="H786" s="63"/>
      <c r="I786" s="63"/>
      <c r="J786" s="63"/>
      <c r="K786" s="63"/>
      <c r="L786" s="64" t="str">
        <f>IF(OR($B786="", $H786="", $I786="", $J786="", $K786=""),"",ROUND((VLOOKUP($H786,Lists!$E$2:$F$5,2,FALSE())*VLOOKUP($I786,Lists!$H$2:$I$4,2,FALSE())*VLOOKUP($J786,Lists!$K$2:$L$4,2,FALSE()))/VLOOKUP($K786,Lists!$N$2:$O$6,2,FALSE()),2))</f>
        <v/>
      </c>
      <c r="M786" s="63"/>
      <c r="N786" s="63"/>
      <c r="O786" s="62"/>
      <c r="P786" s="63"/>
      <c r="Q786" s="65"/>
      <c r="R786" s="66" t="str">
        <f t="shared" ca="1" si="25"/>
        <v/>
      </c>
      <c r="S786" s="63"/>
      <c r="T786" s="65"/>
      <c r="U786" s="65"/>
      <c r="V786" s="62"/>
      <c r="W786" s="62"/>
      <c r="X786" s="62"/>
      <c r="Y786" s="58"/>
      <c r="Z786" s="58"/>
      <c r="AA786" s="58"/>
    </row>
    <row r="787" spans="1:27" ht="15.75" customHeight="1" x14ac:dyDescent="0.2">
      <c r="A787" s="61" t="str">
        <f t="shared" si="24"/>
        <v/>
      </c>
      <c r="B787" s="62"/>
      <c r="C787" s="62"/>
      <c r="D787" s="62"/>
      <c r="E787" s="62"/>
      <c r="F787" s="63"/>
      <c r="G787" s="63"/>
      <c r="H787" s="63"/>
      <c r="I787" s="63"/>
      <c r="J787" s="63"/>
      <c r="K787" s="63"/>
      <c r="L787" s="64" t="str">
        <f>IF(OR($B787="", $H787="", $I787="", $J787="", $K787=""),"",ROUND((VLOOKUP($H787,Lists!$E$2:$F$5,2,FALSE())*VLOOKUP($I787,Lists!$H$2:$I$4,2,FALSE())*VLOOKUP($J787,Lists!$K$2:$L$4,2,FALSE()))/VLOOKUP($K787,Lists!$N$2:$O$6,2,FALSE()),2))</f>
        <v/>
      </c>
      <c r="M787" s="63"/>
      <c r="N787" s="63"/>
      <c r="O787" s="62"/>
      <c r="P787" s="63"/>
      <c r="Q787" s="65"/>
      <c r="R787" s="66" t="str">
        <f t="shared" ca="1" si="25"/>
        <v/>
      </c>
      <c r="S787" s="63"/>
      <c r="T787" s="65"/>
      <c r="U787" s="65"/>
      <c r="V787" s="62"/>
      <c r="W787" s="62"/>
      <c r="X787" s="62"/>
      <c r="Y787" s="58"/>
      <c r="Z787" s="58"/>
      <c r="AA787" s="58"/>
    </row>
    <row r="788" spans="1:27" ht="15.75" customHeight="1" x14ac:dyDescent="0.2">
      <c r="A788" s="61" t="str">
        <f t="shared" si="24"/>
        <v/>
      </c>
      <c r="B788" s="62"/>
      <c r="C788" s="62"/>
      <c r="D788" s="62"/>
      <c r="E788" s="62"/>
      <c r="F788" s="63"/>
      <c r="G788" s="63"/>
      <c r="H788" s="63"/>
      <c r="I788" s="63"/>
      <c r="J788" s="63"/>
      <c r="K788" s="63"/>
      <c r="L788" s="64" t="str">
        <f>IF(OR($B788="", $H788="", $I788="", $J788="", $K788=""),"",ROUND((VLOOKUP($H788,Lists!$E$2:$F$5,2,FALSE())*VLOOKUP($I788,Lists!$H$2:$I$4,2,FALSE())*VLOOKUP($J788,Lists!$K$2:$L$4,2,FALSE()))/VLOOKUP($K788,Lists!$N$2:$O$6,2,FALSE()),2))</f>
        <v/>
      </c>
      <c r="M788" s="63"/>
      <c r="N788" s="63"/>
      <c r="O788" s="62"/>
      <c r="P788" s="63"/>
      <c r="Q788" s="65"/>
      <c r="R788" s="66" t="str">
        <f t="shared" ca="1" si="25"/>
        <v/>
      </c>
      <c r="S788" s="63"/>
      <c r="T788" s="65"/>
      <c r="U788" s="65"/>
      <c r="V788" s="62"/>
      <c r="W788" s="62"/>
      <c r="X788" s="62"/>
      <c r="Y788" s="58"/>
      <c r="Z788" s="58"/>
      <c r="AA788" s="58"/>
    </row>
    <row r="789" spans="1:27" ht="15.75" customHeight="1" x14ac:dyDescent="0.2">
      <c r="A789" s="61" t="str">
        <f t="shared" si="24"/>
        <v/>
      </c>
      <c r="B789" s="62"/>
      <c r="C789" s="62"/>
      <c r="D789" s="62"/>
      <c r="E789" s="62"/>
      <c r="F789" s="63"/>
      <c r="G789" s="63"/>
      <c r="H789" s="63"/>
      <c r="I789" s="63"/>
      <c r="J789" s="63"/>
      <c r="K789" s="63"/>
      <c r="L789" s="64" t="str">
        <f>IF(OR($B789="", $H789="", $I789="", $J789="", $K789=""),"",ROUND((VLOOKUP($H789,Lists!$E$2:$F$5,2,FALSE())*VLOOKUP($I789,Lists!$H$2:$I$4,2,FALSE())*VLOOKUP($J789,Lists!$K$2:$L$4,2,FALSE()))/VLOOKUP($K789,Lists!$N$2:$O$6,2,FALSE()),2))</f>
        <v/>
      </c>
      <c r="M789" s="63"/>
      <c r="N789" s="63"/>
      <c r="O789" s="62"/>
      <c r="P789" s="63"/>
      <c r="Q789" s="65"/>
      <c r="R789" s="66" t="str">
        <f t="shared" ca="1" si="25"/>
        <v/>
      </c>
      <c r="S789" s="63"/>
      <c r="T789" s="65"/>
      <c r="U789" s="65"/>
      <c r="V789" s="62"/>
      <c r="W789" s="62"/>
      <c r="X789" s="62"/>
      <c r="Y789" s="58"/>
      <c r="Z789" s="58"/>
      <c r="AA789" s="58"/>
    </row>
    <row r="790" spans="1:27" ht="15.75" customHeight="1" x14ac:dyDescent="0.2">
      <c r="A790" s="61" t="str">
        <f t="shared" si="24"/>
        <v/>
      </c>
      <c r="B790" s="62"/>
      <c r="C790" s="62"/>
      <c r="D790" s="62"/>
      <c r="E790" s="62"/>
      <c r="F790" s="63"/>
      <c r="G790" s="63"/>
      <c r="H790" s="63"/>
      <c r="I790" s="63"/>
      <c r="J790" s="63"/>
      <c r="K790" s="63"/>
      <c r="L790" s="64" t="str">
        <f>IF(OR($B790="", $H790="", $I790="", $J790="", $K790=""),"",ROUND((VLOOKUP($H790,Lists!$E$2:$F$5,2,FALSE())*VLOOKUP($I790,Lists!$H$2:$I$4,2,FALSE())*VLOOKUP($J790,Lists!$K$2:$L$4,2,FALSE()))/VLOOKUP($K790,Lists!$N$2:$O$6,2,FALSE()),2))</f>
        <v/>
      </c>
      <c r="M790" s="63"/>
      <c r="N790" s="63"/>
      <c r="O790" s="62"/>
      <c r="P790" s="63"/>
      <c r="Q790" s="65"/>
      <c r="R790" s="66" t="str">
        <f t="shared" ca="1" si="25"/>
        <v/>
      </c>
      <c r="S790" s="63"/>
      <c r="T790" s="65"/>
      <c r="U790" s="65"/>
      <c r="V790" s="62"/>
      <c r="W790" s="62"/>
      <c r="X790" s="62"/>
      <c r="Y790" s="58"/>
      <c r="Z790" s="58"/>
      <c r="AA790" s="58"/>
    </row>
    <row r="791" spans="1:27" ht="15.75" customHeight="1" x14ac:dyDescent="0.2">
      <c r="A791" s="61" t="str">
        <f t="shared" si="24"/>
        <v/>
      </c>
      <c r="B791" s="62"/>
      <c r="C791" s="62"/>
      <c r="D791" s="62"/>
      <c r="E791" s="62"/>
      <c r="F791" s="63"/>
      <c r="G791" s="63"/>
      <c r="H791" s="63"/>
      <c r="I791" s="63"/>
      <c r="J791" s="63"/>
      <c r="K791" s="63"/>
      <c r="L791" s="64" t="str">
        <f>IF(OR($B791="", $H791="", $I791="", $J791="", $K791=""),"",ROUND((VLOOKUP($H791,Lists!$E$2:$F$5,2,FALSE())*VLOOKUP($I791,Lists!$H$2:$I$4,2,FALSE())*VLOOKUP($J791,Lists!$K$2:$L$4,2,FALSE()))/VLOOKUP($K791,Lists!$N$2:$O$6,2,FALSE()),2))</f>
        <v/>
      </c>
      <c r="M791" s="63"/>
      <c r="N791" s="63"/>
      <c r="O791" s="62"/>
      <c r="P791" s="63"/>
      <c r="Q791" s="65"/>
      <c r="R791" s="66" t="str">
        <f t="shared" ca="1" si="25"/>
        <v/>
      </c>
      <c r="S791" s="63"/>
      <c r="T791" s="65"/>
      <c r="U791" s="65"/>
      <c r="V791" s="62"/>
      <c r="W791" s="62"/>
      <c r="X791" s="62"/>
      <c r="Y791" s="58"/>
      <c r="Z791" s="58"/>
      <c r="AA791" s="58"/>
    </row>
    <row r="792" spans="1:27" ht="15.75" customHeight="1" x14ac:dyDescent="0.2">
      <c r="A792" s="61" t="str">
        <f t="shared" si="24"/>
        <v/>
      </c>
      <c r="B792" s="62"/>
      <c r="C792" s="62"/>
      <c r="D792" s="62"/>
      <c r="E792" s="62"/>
      <c r="F792" s="63"/>
      <c r="G792" s="63"/>
      <c r="H792" s="63"/>
      <c r="I792" s="63"/>
      <c r="J792" s="63"/>
      <c r="K792" s="63"/>
      <c r="L792" s="64" t="str">
        <f>IF(OR($B792="", $H792="", $I792="", $J792="", $K792=""),"",ROUND((VLOOKUP($H792,Lists!$E$2:$F$5,2,FALSE())*VLOOKUP($I792,Lists!$H$2:$I$4,2,FALSE())*VLOOKUP($J792,Lists!$K$2:$L$4,2,FALSE()))/VLOOKUP($K792,Lists!$N$2:$O$6,2,FALSE()),2))</f>
        <v/>
      </c>
      <c r="M792" s="63"/>
      <c r="N792" s="63"/>
      <c r="O792" s="62"/>
      <c r="P792" s="63"/>
      <c r="Q792" s="65"/>
      <c r="R792" s="66" t="str">
        <f t="shared" ca="1" si="25"/>
        <v/>
      </c>
      <c r="S792" s="63"/>
      <c r="T792" s="65"/>
      <c r="U792" s="65"/>
      <c r="V792" s="62"/>
      <c r="W792" s="62"/>
      <c r="X792" s="62"/>
      <c r="Y792" s="58"/>
      <c r="Z792" s="58"/>
      <c r="AA792" s="58"/>
    </row>
    <row r="793" spans="1:27" ht="15.75" customHeight="1" x14ac:dyDescent="0.2">
      <c r="A793" s="61" t="str">
        <f t="shared" si="24"/>
        <v/>
      </c>
      <c r="B793" s="62"/>
      <c r="C793" s="62"/>
      <c r="D793" s="62"/>
      <c r="E793" s="62"/>
      <c r="F793" s="63"/>
      <c r="G793" s="63"/>
      <c r="H793" s="63"/>
      <c r="I793" s="63"/>
      <c r="J793" s="63"/>
      <c r="K793" s="63"/>
      <c r="L793" s="64" t="str">
        <f>IF(OR($B793="", $H793="", $I793="", $J793="", $K793=""),"",ROUND((VLOOKUP($H793,Lists!$E$2:$F$5,2,FALSE())*VLOOKUP($I793,Lists!$H$2:$I$4,2,FALSE())*VLOOKUP($J793,Lists!$K$2:$L$4,2,FALSE()))/VLOOKUP($K793,Lists!$N$2:$O$6,2,FALSE()),2))</f>
        <v/>
      </c>
      <c r="M793" s="63"/>
      <c r="N793" s="63"/>
      <c r="O793" s="62"/>
      <c r="P793" s="63"/>
      <c r="Q793" s="65"/>
      <c r="R793" s="66" t="str">
        <f t="shared" ca="1" si="25"/>
        <v/>
      </c>
      <c r="S793" s="63"/>
      <c r="T793" s="65"/>
      <c r="U793" s="65"/>
      <c r="V793" s="62"/>
      <c r="W793" s="62"/>
      <c r="X793" s="62"/>
      <c r="Y793" s="58"/>
      <c r="Z793" s="58"/>
      <c r="AA793" s="58"/>
    </row>
    <row r="794" spans="1:27" ht="15.75" customHeight="1" x14ac:dyDescent="0.2">
      <c r="A794" s="61" t="str">
        <f t="shared" si="24"/>
        <v/>
      </c>
      <c r="B794" s="62"/>
      <c r="C794" s="62"/>
      <c r="D794" s="62"/>
      <c r="E794" s="62"/>
      <c r="F794" s="63"/>
      <c r="G794" s="63"/>
      <c r="H794" s="63"/>
      <c r="I794" s="63"/>
      <c r="J794" s="63"/>
      <c r="K794" s="63"/>
      <c r="L794" s="64" t="str">
        <f>IF(OR($B794="", $H794="", $I794="", $J794="", $K794=""),"",ROUND((VLOOKUP($H794,Lists!$E$2:$F$5,2,FALSE())*VLOOKUP($I794,Lists!$H$2:$I$4,2,FALSE())*VLOOKUP($J794,Lists!$K$2:$L$4,2,FALSE()))/VLOOKUP($K794,Lists!$N$2:$O$6,2,FALSE()),2))</f>
        <v/>
      </c>
      <c r="M794" s="63"/>
      <c r="N794" s="63"/>
      <c r="O794" s="62"/>
      <c r="P794" s="63"/>
      <c r="Q794" s="65"/>
      <c r="R794" s="66" t="str">
        <f t="shared" ca="1" si="25"/>
        <v/>
      </c>
      <c r="S794" s="63"/>
      <c r="T794" s="65"/>
      <c r="U794" s="65"/>
      <c r="V794" s="62"/>
      <c r="W794" s="62"/>
      <c r="X794" s="62"/>
      <c r="Y794" s="58"/>
      <c r="Z794" s="58"/>
      <c r="AA794" s="58"/>
    </row>
    <row r="795" spans="1:27" ht="15.75" customHeight="1" x14ac:dyDescent="0.2">
      <c r="A795" s="61" t="str">
        <f t="shared" si="24"/>
        <v/>
      </c>
      <c r="B795" s="62"/>
      <c r="C795" s="62"/>
      <c r="D795" s="62"/>
      <c r="E795" s="62"/>
      <c r="F795" s="63"/>
      <c r="G795" s="63"/>
      <c r="H795" s="63"/>
      <c r="I795" s="63"/>
      <c r="J795" s="63"/>
      <c r="K795" s="63"/>
      <c r="L795" s="64" t="str">
        <f>IF(OR($B795="", $H795="", $I795="", $J795="", $K795=""),"",ROUND((VLOOKUP($H795,Lists!$E$2:$F$5,2,FALSE())*VLOOKUP($I795,Lists!$H$2:$I$4,2,FALSE())*VLOOKUP($J795,Lists!$K$2:$L$4,2,FALSE()))/VLOOKUP($K795,Lists!$N$2:$O$6,2,FALSE()),2))</f>
        <v/>
      </c>
      <c r="M795" s="63"/>
      <c r="N795" s="63"/>
      <c r="O795" s="62"/>
      <c r="P795" s="63"/>
      <c r="Q795" s="65"/>
      <c r="R795" s="66" t="str">
        <f t="shared" ca="1" si="25"/>
        <v/>
      </c>
      <c r="S795" s="63"/>
      <c r="T795" s="65"/>
      <c r="U795" s="65"/>
      <c r="V795" s="62"/>
      <c r="W795" s="62"/>
      <c r="X795" s="62"/>
      <c r="Y795" s="58"/>
      <c r="Z795" s="58"/>
      <c r="AA795" s="58"/>
    </row>
    <row r="796" spans="1:27" ht="15.75" customHeight="1" x14ac:dyDescent="0.2">
      <c r="A796" s="61" t="str">
        <f t="shared" si="24"/>
        <v/>
      </c>
      <c r="B796" s="62"/>
      <c r="C796" s="62"/>
      <c r="D796" s="62"/>
      <c r="E796" s="62"/>
      <c r="F796" s="63"/>
      <c r="G796" s="63"/>
      <c r="H796" s="63"/>
      <c r="I796" s="63"/>
      <c r="J796" s="63"/>
      <c r="K796" s="63"/>
      <c r="L796" s="64" t="str">
        <f>IF(OR($B796="", $H796="", $I796="", $J796="", $K796=""),"",ROUND((VLOOKUP($H796,Lists!$E$2:$F$5,2,FALSE())*VLOOKUP($I796,Lists!$H$2:$I$4,2,FALSE())*VLOOKUP($J796,Lists!$K$2:$L$4,2,FALSE()))/VLOOKUP($K796,Lists!$N$2:$O$6,2,FALSE()),2))</f>
        <v/>
      </c>
      <c r="M796" s="63"/>
      <c r="N796" s="63"/>
      <c r="O796" s="62"/>
      <c r="P796" s="63"/>
      <c r="Q796" s="65"/>
      <c r="R796" s="66" t="str">
        <f t="shared" ca="1" si="25"/>
        <v/>
      </c>
      <c r="S796" s="63"/>
      <c r="T796" s="65"/>
      <c r="U796" s="65"/>
      <c r="V796" s="62"/>
      <c r="W796" s="62"/>
      <c r="X796" s="62"/>
      <c r="Y796" s="58"/>
      <c r="Z796" s="58"/>
      <c r="AA796" s="58"/>
    </row>
    <row r="797" spans="1:27" ht="15.75" customHeight="1" x14ac:dyDescent="0.2">
      <c r="A797" s="61" t="str">
        <f t="shared" si="24"/>
        <v/>
      </c>
      <c r="B797" s="62"/>
      <c r="C797" s="62"/>
      <c r="D797" s="62"/>
      <c r="E797" s="62"/>
      <c r="F797" s="63"/>
      <c r="G797" s="63"/>
      <c r="H797" s="63"/>
      <c r="I797" s="63"/>
      <c r="J797" s="63"/>
      <c r="K797" s="63"/>
      <c r="L797" s="64" t="str">
        <f>IF(OR($B797="", $H797="", $I797="", $J797="", $K797=""),"",ROUND((VLOOKUP($H797,Lists!$E$2:$F$5,2,FALSE())*VLOOKUP($I797,Lists!$H$2:$I$4,2,FALSE())*VLOOKUP($J797,Lists!$K$2:$L$4,2,FALSE()))/VLOOKUP($K797,Lists!$N$2:$O$6,2,FALSE()),2))</f>
        <v/>
      </c>
      <c r="M797" s="63"/>
      <c r="N797" s="63"/>
      <c r="O797" s="62"/>
      <c r="P797" s="63"/>
      <c r="Q797" s="65"/>
      <c r="R797" s="66" t="str">
        <f t="shared" ca="1" si="25"/>
        <v/>
      </c>
      <c r="S797" s="63"/>
      <c r="T797" s="65"/>
      <c r="U797" s="65"/>
      <c r="V797" s="62"/>
      <c r="W797" s="62"/>
      <c r="X797" s="62"/>
      <c r="Y797" s="58"/>
      <c r="Z797" s="58"/>
      <c r="AA797" s="58"/>
    </row>
    <row r="798" spans="1:27" ht="15.75" customHeight="1" x14ac:dyDescent="0.2">
      <c r="A798" s="61" t="str">
        <f t="shared" si="24"/>
        <v/>
      </c>
      <c r="B798" s="62"/>
      <c r="C798" s="62"/>
      <c r="D798" s="62"/>
      <c r="E798" s="62"/>
      <c r="F798" s="63"/>
      <c r="G798" s="63"/>
      <c r="H798" s="63"/>
      <c r="I798" s="63"/>
      <c r="J798" s="63"/>
      <c r="K798" s="63"/>
      <c r="L798" s="64" t="str">
        <f>IF(OR($B798="", $H798="", $I798="", $J798="", $K798=""),"",ROUND((VLOOKUP($H798,Lists!$E$2:$F$5,2,FALSE())*VLOOKUP($I798,Lists!$H$2:$I$4,2,FALSE())*VLOOKUP($J798,Lists!$K$2:$L$4,2,FALSE()))/VLOOKUP($K798,Lists!$N$2:$O$6,2,FALSE()),2))</f>
        <v/>
      </c>
      <c r="M798" s="63"/>
      <c r="N798" s="63"/>
      <c r="O798" s="62"/>
      <c r="P798" s="63"/>
      <c r="Q798" s="65"/>
      <c r="R798" s="66" t="str">
        <f t="shared" ca="1" si="25"/>
        <v/>
      </c>
      <c r="S798" s="63"/>
      <c r="T798" s="65"/>
      <c r="U798" s="65"/>
      <c r="V798" s="62"/>
      <c r="W798" s="62"/>
      <c r="X798" s="62"/>
      <c r="Y798" s="58"/>
      <c r="Z798" s="58"/>
      <c r="AA798" s="58"/>
    </row>
    <row r="799" spans="1:27" ht="15.75" customHeight="1" x14ac:dyDescent="0.2">
      <c r="A799" s="61" t="str">
        <f t="shared" si="24"/>
        <v/>
      </c>
      <c r="B799" s="62"/>
      <c r="C799" s="62"/>
      <c r="D799" s="62"/>
      <c r="E799" s="62"/>
      <c r="F799" s="63"/>
      <c r="G799" s="63"/>
      <c r="H799" s="63"/>
      <c r="I799" s="63"/>
      <c r="J799" s="63"/>
      <c r="K799" s="63"/>
      <c r="L799" s="64" t="str">
        <f>IF(OR($B799="", $H799="", $I799="", $J799="", $K799=""),"",ROUND((VLOOKUP($H799,Lists!$E$2:$F$5,2,FALSE())*VLOOKUP($I799,Lists!$H$2:$I$4,2,FALSE())*VLOOKUP($J799,Lists!$K$2:$L$4,2,FALSE()))/VLOOKUP($K799,Lists!$N$2:$O$6,2,FALSE()),2))</f>
        <v/>
      </c>
      <c r="M799" s="63"/>
      <c r="N799" s="63"/>
      <c r="O799" s="62"/>
      <c r="P799" s="63"/>
      <c r="Q799" s="65"/>
      <c r="R799" s="66" t="str">
        <f t="shared" ca="1" si="25"/>
        <v/>
      </c>
      <c r="S799" s="63"/>
      <c r="T799" s="65"/>
      <c r="U799" s="65"/>
      <c r="V799" s="62"/>
      <c r="W799" s="62"/>
      <c r="X799" s="62"/>
      <c r="Y799" s="58"/>
      <c r="Z799" s="58"/>
      <c r="AA799" s="58"/>
    </row>
    <row r="800" spans="1:27" ht="15.75" customHeight="1" x14ac:dyDescent="0.2">
      <c r="A800" s="61" t="str">
        <f t="shared" si="24"/>
        <v/>
      </c>
      <c r="B800" s="62"/>
      <c r="C800" s="62"/>
      <c r="D800" s="62"/>
      <c r="E800" s="62"/>
      <c r="F800" s="63"/>
      <c r="G800" s="63"/>
      <c r="H800" s="63"/>
      <c r="I800" s="63"/>
      <c r="J800" s="63"/>
      <c r="K800" s="63"/>
      <c r="L800" s="64" t="str">
        <f>IF(OR($B800="", $H800="", $I800="", $J800="", $K800=""),"",ROUND((VLOOKUP($H800,Lists!$E$2:$F$5,2,FALSE())*VLOOKUP($I800,Lists!$H$2:$I$4,2,FALSE())*VLOOKUP($J800,Lists!$K$2:$L$4,2,FALSE()))/VLOOKUP($K800,Lists!$N$2:$O$6,2,FALSE()),2))</f>
        <v/>
      </c>
      <c r="M800" s="63"/>
      <c r="N800" s="63"/>
      <c r="O800" s="62"/>
      <c r="P800" s="63"/>
      <c r="Q800" s="65"/>
      <c r="R800" s="66" t="str">
        <f t="shared" ca="1" si="25"/>
        <v/>
      </c>
      <c r="S800" s="63"/>
      <c r="T800" s="65"/>
      <c r="U800" s="65"/>
      <c r="V800" s="62"/>
      <c r="W800" s="62"/>
      <c r="X800" s="62"/>
      <c r="Y800" s="58"/>
      <c r="Z800" s="58"/>
      <c r="AA800" s="58"/>
    </row>
    <row r="801" spans="1:27" ht="15.75" customHeight="1" x14ac:dyDescent="0.2">
      <c r="A801" s="61" t="str">
        <f t="shared" si="24"/>
        <v/>
      </c>
      <c r="B801" s="62"/>
      <c r="C801" s="62"/>
      <c r="D801" s="62"/>
      <c r="E801" s="62"/>
      <c r="F801" s="63"/>
      <c r="G801" s="63"/>
      <c r="H801" s="63"/>
      <c r="I801" s="63"/>
      <c r="J801" s="63"/>
      <c r="K801" s="63"/>
      <c r="L801" s="64" t="str">
        <f>IF(OR($B801="", $H801="", $I801="", $J801="", $K801=""),"",ROUND((VLOOKUP($H801,Lists!$E$2:$F$5,2,FALSE())*VLOOKUP($I801,Lists!$H$2:$I$4,2,FALSE())*VLOOKUP($J801,Lists!$K$2:$L$4,2,FALSE()))/VLOOKUP($K801,Lists!$N$2:$O$6,2,FALSE()),2))</f>
        <v/>
      </c>
      <c r="M801" s="63"/>
      <c r="N801" s="63"/>
      <c r="O801" s="62"/>
      <c r="P801" s="63"/>
      <c r="Q801" s="65"/>
      <c r="R801" s="66" t="str">
        <f t="shared" ca="1" si="25"/>
        <v/>
      </c>
      <c r="S801" s="63"/>
      <c r="T801" s="65"/>
      <c r="U801" s="65"/>
      <c r="V801" s="62"/>
      <c r="W801" s="62"/>
      <c r="X801" s="62"/>
      <c r="Y801" s="58"/>
      <c r="Z801" s="58"/>
      <c r="AA801" s="58"/>
    </row>
    <row r="802" spans="1:27" ht="15.75" customHeight="1" x14ac:dyDescent="0.2">
      <c r="A802" s="61" t="str">
        <f t="shared" si="24"/>
        <v/>
      </c>
      <c r="B802" s="62"/>
      <c r="C802" s="62"/>
      <c r="D802" s="62"/>
      <c r="E802" s="62"/>
      <c r="F802" s="63"/>
      <c r="G802" s="63"/>
      <c r="H802" s="63"/>
      <c r="I802" s="63"/>
      <c r="J802" s="63"/>
      <c r="K802" s="63"/>
      <c r="L802" s="64" t="str">
        <f>IF(OR($B802="", $H802="", $I802="", $J802="", $K802=""),"",ROUND((VLOOKUP($H802,Lists!$E$2:$F$5,2,FALSE())*VLOOKUP($I802,Lists!$H$2:$I$4,2,FALSE())*VLOOKUP($J802,Lists!$K$2:$L$4,2,FALSE()))/VLOOKUP($K802,Lists!$N$2:$O$6,2,FALSE()),2))</f>
        <v/>
      </c>
      <c r="M802" s="63"/>
      <c r="N802" s="63"/>
      <c r="O802" s="62"/>
      <c r="P802" s="63"/>
      <c r="Q802" s="65"/>
      <c r="R802" s="66" t="str">
        <f t="shared" ca="1" si="25"/>
        <v/>
      </c>
      <c r="S802" s="63"/>
      <c r="T802" s="65"/>
      <c r="U802" s="65"/>
      <c r="V802" s="62"/>
      <c r="W802" s="62"/>
      <c r="X802" s="62"/>
      <c r="Y802" s="58"/>
      <c r="Z802" s="58"/>
      <c r="AA802" s="58"/>
    </row>
    <row r="803" spans="1:27" ht="15.75" customHeight="1" x14ac:dyDescent="0.2">
      <c r="A803" s="61" t="str">
        <f t="shared" si="24"/>
        <v/>
      </c>
      <c r="B803" s="62"/>
      <c r="C803" s="62"/>
      <c r="D803" s="62"/>
      <c r="E803" s="62"/>
      <c r="F803" s="63"/>
      <c r="G803" s="63"/>
      <c r="H803" s="63"/>
      <c r="I803" s="63"/>
      <c r="J803" s="63"/>
      <c r="K803" s="63"/>
      <c r="L803" s="64" t="str">
        <f>IF(OR($B803="", $H803="", $I803="", $J803="", $K803=""),"",ROUND((VLOOKUP($H803,Lists!$E$2:$F$5,2,FALSE())*VLOOKUP($I803,Lists!$H$2:$I$4,2,FALSE())*VLOOKUP($J803,Lists!$K$2:$L$4,2,FALSE()))/VLOOKUP($K803,Lists!$N$2:$O$6,2,FALSE()),2))</f>
        <v/>
      </c>
      <c r="M803" s="63"/>
      <c r="N803" s="63"/>
      <c r="O803" s="62"/>
      <c r="P803" s="63"/>
      <c r="Q803" s="65"/>
      <c r="R803" s="66" t="str">
        <f t="shared" ca="1" si="25"/>
        <v/>
      </c>
      <c r="S803" s="63"/>
      <c r="T803" s="65"/>
      <c r="U803" s="65"/>
      <c r="V803" s="62"/>
      <c r="W803" s="62"/>
      <c r="X803" s="62"/>
      <c r="Y803" s="58"/>
      <c r="Z803" s="58"/>
      <c r="AA803" s="58"/>
    </row>
    <row r="804" spans="1:27" ht="15.75" customHeight="1" x14ac:dyDescent="0.2">
      <c r="A804" s="61" t="str">
        <f t="shared" si="24"/>
        <v/>
      </c>
      <c r="B804" s="62"/>
      <c r="C804" s="62"/>
      <c r="D804" s="62"/>
      <c r="E804" s="62"/>
      <c r="F804" s="63"/>
      <c r="G804" s="63"/>
      <c r="H804" s="63"/>
      <c r="I804" s="63"/>
      <c r="J804" s="63"/>
      <c r="K804" s="63"/>
      <c r="L804" s="64" t="str">
        <f>IF(OR($B804="", $H804="", $I804="", $J804="", $K804=""),"",ROUND((VLOOKUP($H804,Lists!$E$2:$F$5,2,FALSE())*VLOOKUP($I804,Lists!$H$2:$I$4,2,FALSE())*VLOOKUP($J804,Lists!$K$2:$L$4,2,FALSE()))/VLOOKUP($K804,Lists!$N$2:$O$6,2,FALSE()),2))</f>
        <v/>
      </c>
      <c r="M804" s="63"/>
      <c r="N804" s="63"/>
      <c r="O804" s="62"/>
      <c r="P804" s="63"/>
      <c r="Q804" s="65"/>
      <c r="R804" s="66" t="str">
        <f t="shared" ca="1" si="25"/>
        <v/>
      </c>
      <c r="S804" s="63"/>
      <c r="T804" s="65"/>
      <c r="U804" s="65"/>
      <c r="V804" s="62"/>
      <c r="W804" s="62"/>
      <c r="X804" s="62"/>
      <c r="Y804" s="58"/>
      <c r="Z804" s="58"/>
      <c r="AA804" s="58"/>
    </row>
    <row r="805" spans="1:27" ht="15.75" customHeight="1" x14ac:dyDescent="0.2">
      <c r="A805" s="61" t="str">
        <f t="shared" si="24"/>
        <v/>
      </c>
      <c r="B805" s="62"/>
      <c r="C805" s="62"/>
      <c r="D805" s="62"/>
      <c r="E805" s="62"/>
      <c r="F805" s="63"/>
      <c r="G805" s="63"/>
      <c r="H805" s="63"/>
      <c r="I805" s="63"/>
      <c r="J805" s="63"/>
      <c r="K805" s="63"/>
      <c r="L805" s="64" t="str">
        <f>IF(OR($B805="", $H805="", $I805="", $J805="", $K805=""),"",ROUND((VLOOKUP($H805,Lists!$E$2:$F$5,2,FALSE())*VLOOKUP($I805,Lists!$H$2:$I$4,2,FALSE())*VLOOKUP($J805,Lists!$K$2:$L$4,2,FALSE()))/VLOOKUP($K805,Lists!$N$2:$O$6,2,FALSE()),2))</f>
        <v/>
      </c>
      <c r="M805" s="63"/>
      <c r="N805" s="63"/>
      <c r="O805" s="62"/>
      <c r="P805" s="63"/>
      <c r="Q805" s="65"/>
      <c r="R805" s="66" t="str">
        <f t="shared" ca="1" si="25"/>
        <v/>
      </c>
      <c r="S805" s="63"/>
      <c r="T805" s="65"/>
      <c r="U805" s="65"/>
      <c r="V805" s="62"/>
      <c r="W805" s="62"/>
      <c r="X805" s="62"/>
      <c r="Y805" s="58"/>
      <c r="Z805" s="58"/>
      <c r="AA805" s="58"/>
    </row>
    <row r="806" spans="1:27" ht="15.75" customHeight="1" x14ac:dyDescent="0.2">
      <c r="A806" s="61" t="str">
        <f t="shared" si="24"/>
        <v/>
      </c>
      <c r="B806" s="62"/>
      <c r="C806" s="62"/>
      <c r="D806" s="62"/>
      <c r="E806" s="62"/>
      <c r="F806" s="63"/>
      <c r="G806" s="63"/>
      <c r="H806" s="63"/>
      <c r="I806" s="63"/>
      <c r="J806" s="63"/>
      <c r="K806" s="63"/>
      <c r="L806" s="64" t="str">
        <f>IF(OR($B806="", $H806="", $I806="", $J806="", $K806=""),"",ROUND((VLOOKUP($H806,Lists!$E$2:$F$5,2,FALSE())*VLOOKUP($I806,Lists!$H$2:$I$4,2,FALSE())*VLOOKUP($J806,Lists!$K$2:$L$4,2,FALSE()))/VLOOKUP($K806,Lists!$N$2:$O$6,2,FALSE()),2))</f>
        <v/>
      </c>
      <c r="M806" s="63"/>
      <c r="N806" s="63"/>
      <c r="O806" s="62"/>
      <c r="P806" s="63"/>
      <c r="Q806" s="65"/>
      <c r="R806" s="66" t="str">
        <f t="shared" ca="1" si="25"/>
        <v/>
      </c>
      <c r="S806" s="63"/>
      <c r="T806" s="65"/>
      <c r="U806" s="65"/>
      <c r="V806" s="62"/>
      <c r="W806" s="62"/>
      <c r="X806" s="62"/>
      <c r="Y806" s="58"/>
      <c r="Z806" s="58"/>
      <c r="AA806" s="58"/>
    </row>
    <row r="807" spans="1:27" ht="15.75" customHeight="1" x14ac:dyDescent="0.2">
      <c r="A807" s="61" t="str">
        <f t="shared" si="24"/>
        <v/>
      </c>
      <c r="B807" s="62"/>
      <c r="C807" s="62"/>
      <c r="D807" s="62"/>
      <c r="E807" s="62"/>
      <c r="F807" s="63"/>
      <c r="G807" s="63"/>
      <c r="H807" s="63"/>
      <c r="I807" s="63"/>
      <c r="J807" s="63"/>
      <c r="K807" s="63"/>
      <c r="L807" s="64" t="str">
        <f>IF(OR($B807="", $H807="", $I807="", $J807="", $K807=""),"",ROUND((VLOOKUP($H807,Lists!$E$2:$F$5,2,FALSE())*VLOOKUP($I807,Lists!$H$2:$I$4,2,FALSE())*VLOOKUP($J807,Lists!$K$2:$L$4,2,FALSE()))/VLOOKUP($K807,Lists!$N$2:$O$6,2,FALSE()),2))</f>
        <v/>
      </c>
      <c r="M807" s="63"/>
      <c r="N807" s="63"/>
      <c r="O807" s="62"/>
      <c r="P807" s="63"/>
      <c r="Q807" s="65"/>
      <c r="R807" s="66" t="str">
        <f t="shared" ca="1" si="25"/>
        <v/>
      </c>
      <c r="S807" s="63"/>
      <c r="T807" s="65"/>
      <c r="U807" s="65"/>
      <c r="V807" s="62"/>
      <c r="W807" s="62"/>
      <c r="X807" s="62"/>
      <c r="Y807" s="58"/>
      <c r="Z807" s="58"/>
      <c r="AA807" s="58"/>
    </row>
    <row r="808" spans="1:27" ht="15.75" customHeight="1" x14ac:dyDescent="0.2">
      <c r="A808" s="61" t="str">
        <f t="shared" si="24"/>
        <v/>
      </c>
      <c r="B808" s="62"/>
      <c r="C808" s="62"/>
      <c r="D808" s="62"/>
      <c r="E808" s="62"/>
      <c r="F808" s="63"/>
      <c r="G808" s="63"/>
      <c r="H808" s="63"/>
      <c r="I808" s="63"/>
      <c r="J808" s="63"/>
      <c r="K808" s="63"/>
      <c r="L808" s="64" t="str">
        <f>IF(OR($B808="", $H808="", $I808="", $J808="", $K808=""),"",ROUND((VLOOKUP($H808,Lists!$E$2:$F$5,2,FALSE())*VLOOKUP($I808,Lists!$H$2:$I$4,2,FALSE())*VLOOKUP($J808,Lists!$K$2:$L$4,2,FALSE()))/VLOOKUP($K808,Lists!$N$2:$O$6,2,FALSE()),2))</f>
        <v/>
      </c>
      <c r="M808" s="63"/>
      <c r="N808" s="63"/>
      <c r="O808" s="62"/>
      <c r="P808" s="63"/>
      <c r="Q808" s="65"/>
      <c r="R808" s="66" t="str">
        <f t="shared" ca="1" si="25"/>
        <v/>
      </c>
      <c r="S808" s="63"/>
      <c r="T808" s="65"/>
      <c r="U808" s="65"/>
      <c r="V808" s="62"/>
      <c r="W808" s="62"/>
      <c r="X808" s="62"/>
      <c r="Y808" s="58"/>
      <c r="Z808" s="58"/>
      <c r="AA808" s="58"/>
    </row>
    <row r="809" spans="1:27" ht="15.75" customHeight="1" x14ac:dyDescent="0.2">
      <c r="A809" s="61" t="str">
        <f t="shared" si="24"/>
        <v/>
      </c>
      <c r="B809" s="62"/>
      <c r="C809" s="62"/>
      <c r="D809" s="62"/>
      <c r="E809" s="62"/>
      <c r="F809" s="63"/>
      <c r="G809" s="63"/>
      <c r="H809" s="63"/>
      <c r="I809" s="63"/>
      <c r="J809" s="63"/>
      <c r="K809" s="63"/>
      <c r="L809" s="64" t="str">
        <f>IF(OR($B809="", $H809="", $I809="", $J809="", $K809=""),"",ROUND((VLOOKUP($H809,Lists!$E$2:$F$5,2,FALSE())*VLOOKUP($I809,Lists!$H$2:$I$4,2,FALSE())*VLOOKUP($J809,Lists!$K$2:$L$4,2,FALSE()))/VLOOKUP($K809,Lists!$N$2:$O$6,2,FALSE()),2))</f>
        <v/>
      </c>
      <c r="M809" s="63"/>
      <c r="N809" s="63"/>
      <c r="O809" s="62"/>
      <c r="P809" s="63"/>
      <c r="Q809" s="65"/>
      <c r="R809" s="66" t="str">
        <f t="shared" ca="1" si="25"/>
        <v/>
      </c>
      <c r="S809" s="63"/>
      <c r="T809" s="65"/>
      <c r="U809" s="65"/>
      <c r="V809" s="62"/>
      <c r="W809" s="62"/>
      <c r="X809" s="62"/>
      <c r="Y809" s="58"/>
      <c r="Z809" s="58"/>
      <c r="AA809" s="58"/>
    </row>
    <row r="810" spans="1:27" ht="15.75" customHeight="1" x14ac:dyDescent="0.2">
      <c r="A810" s="61" t="str">
        <f t="shared" si="24"/>
        <v/>
      </c>
      <c r="B810" s="62"/>
      <c r="C810" s="62"/>
      <c r="D810" s="62"/>
      <c r="E810" s="62"/>
      <c r="F810" s="63"/>
      <c r="G810" s="63"/>
      <c r="H810" s="63"/>
      <c r="I810" s="63"/>
      <c r="J810" s="63"/>
      <c r="K810" s="63"/>
      <c r="L810" s="64" t="str">
        <f>IF(OR($B810="", $H810="", $I810="", $J810="", $K810=""),"",ROUND((VLOOKUP($H810,Lists!$E$2:$F$5,2,FALSE())*VLOOKUP($I810,Lists!$H$2:$I$4,2,FALSE())*VLOOKUP($J810,Lists!$K$2:$L$4,2,FALSE()))/VLOOKUP($K810,Lists!$N$2:$O$6,2,FALSE()),2))</f>
        <v/>
      </c>
      <c r="M810" s="63"/>
      <c r="N810" s="63"/>
      <c r="O810" s="62"/>
      <c r="P810" s="63"/>
      <c r="Q810" s="65"/>
      <c r="R810" s="66" t="str">
        <f t="shared" ca="1" si="25"/>
        <v/>
      </c>
      <c r="S810" s="63"/>
      <c r="T810" s="65"/>
      <c r="U810" s="65"/>
      <c r="V810" s="62"/>
      <c r="W810" s="62"/>
      <c r="X810" s="62"/>
      <c r="Y810" s="58"/>
      <c r="Z810" s="58"/>
      <c r="AA810" s="58"/>
    </row>
    <row r="811" spans="1:27" ht="15.75" customHeight="1" x14ac:dyDescent="0.2">
      <c r="A811" s="61" t="str">
        <f t="shared" si="24"/>
        <v/>
      </c>
      <c r="B811" s="62"/>
      <c r="C811" s="62"/>
      <c r="D811" s="62"/>
      <c r="E811" s="62"/>
      <c r="F811" s="63"/>
      <c r="G811" s="63"/>
      <c r="H811" s="63"/>
      <c r="I811" s="63"/>
      <c r="J811" s="63"/>
      <c r="K811" s="63"/>
      <c r="L811" s="64" t="str">
        <f>IF(OR($B811="", $H811="", $I811="", $J811="", $K811=""),"",ROUND((VLOOKUP($H811,Lists!$E$2:$F$5,2,FALSE())*VLOOKUP($I811,Lists!$H$2:$I$4,2,FALSE())*VLOOKUP($J811,Lists!$K$2:$L$4,2,FALSE()))/VLOOKUP($K811,Lists!$N$2:$O$6,2,FALSE()),2))</f>
        <v/>
      </c>
      <c r="M811" s="63"/>
      <c r="N811" s="63"/>
      <c r="O811" s="62"/>
      <c r="P811" s="63"/>
      <c r="Q811" s="65"/>
      <c r="R811" s="66" t="str">
        <f t="shared" ca="1" si="25"/>
        <v/>
      </c>
      <c r="S811" s="63"/>
      <c r="T811" s="65"/>
      <c r="U811" s="65"/>
      <c r="V811" s="62"/>
      <c r="W811" s="62"/>
      <c r="X811" s="62"/>
      <c r="Y811" s="58"/>
      <c r="Z811" s="58"/>
      <c r="AA811" s="58"/>
    </row>
    <row r="812" spans="1:27" ht="15.75" customHeight="1" x14ac:dyDescent="0.2">
      <c r="A812" s="61" t="str">
        <f t="shared" si="24"/>
        <v/>
      </c>
      <c r="B812" s="62"/>
      <c r="C812" s="62"/>
      <c r="D812" s="62"/>
      <c r="E812" s="62"/>
      <c r="F812" s="63"/>
      <c r="G812" s="63"/>
      <c r="H812" s="63"/>
      <c r="I812" s="63"/>
      <c r="J812" s="63"/>
      <c r="K812" s="63"/>
      <c r="L812" s="64" t="str">
        <f>IF(OR($B812="", $H812="", $I812="", $J812="", $K812=""),"",ROUND((VLOOKUP($H812,Lists!$E$2:$F$5,2,FALSE())*VLOOKUP($I812,Lists!$H$2:$I$4,2,FALSE())*VLOOKUP($J812,Lists!$K$2:$L$4,2,FALSE()))/VLOOKUP($K812,Lists!$N$2:$O$6,2,FALSE()),2))</f>
        <v/>
      </c>
      <c r="M812" s="63"/>
      <c r="N812" s="63"/>
      <c r="O812" s="62"/>
      <c r="P812" s="63"/>
      <c r="Q812" s="65"/>
      <c r="R812" s="66" t="str">
        <f t="shared" ca="1" si="25"/>
        <v/>
      </c>
      <c r="S812" s="63"/>
      <c r="T812" s="65"/>
      <c r="U812" s="65"/>
      <c r="V812" s="62"/>
      <c r="W812" s="62"/>
      <c r="X812" s="62"/>
      <c r="Y812" s="58"/>
      <c r="Z812" s="58"/>
      <c r="AA812" s="58"/>
    </row>
    <row r="813" spans="1:27" ht="15.75" customHeight="1" x14ac:dyDescent="0.2">
      <c r="A813" s="61" t="str">
        <f t="shared" si="24"/>
        <v/>
      </c>
      <c r="B813" s="62"/>
      <c r="C813" s="62"/>
      <c r="D813" s="62"/>
      <c r="E813" s="62"/>
      <c r="F813" s="63"/>
      <c r="G813" s="63"/>
      <c r="H813" s="63"/>
      <c r="I813" s="63"/>
      <c r="J813" s="63"/>
      <c r="K813" s="63"/>
      <c r="L813" s="64" t="str">
        <f>IF(OR($B813="", $H813="", $I813="", $J813="", $K813=""),"",ROUND((VLOOKUP($H813,Lists!$E$2:$F$5,2,FALSE())*VLOOKUP($I813,Lists!$H$2:$I$4,2,FALSE())*VLOOKUP($J813,Lists!$K$2:$L$4,2,FALSE()))/VLOOKUP($K813,Lists!$N$2:$O$6,2,FALSE()),2))</f>
        <v/>
      </c>
      <c r="M813" s="63"/>
      <c r="N813" s="63"/>
      <c r="O813" s="62"/>
      <c r="P813" s="63"/>
      <c r="Q813" s="65"/>
      <c r="R813" s="66" t="str">
        <f t="shared" ca="1" si="25"/>
        <v/>
      </c>
      <c r="S813" s="63"/>
      <c r="T813" s="65"/>
      <c r="U813" s="65"/>
      <c r="V813" s="62"/>
      <c r="W813" s="62"/>
      <c r="X813" s="62"/>
      <c r="Y813" s="58"/>
      <c r="Z813" s="58"/>
      <c r="AA813" s="58"/>
    </row>
    <row r="814" spans="1:27" ht="15.75" customHeight="1" x14ac:dyDescent="0.2">
      <c r="A814" s="61" t="str">
        <f t="shared" si="24"/>
        <v/>
      </c>
      <c r="B814" s="62"/>
      <c r="C814" s="62"/>
      <c r="D814" s="62"/>
      <c r="E814" s="62"/>
      <c r="F814" s="63"/>
      <c r="G814" s="63"/>
      <c r="H814" s="63"/>
      <c r="I814" s="63"/>
      <c r="J814" s="63"/>
      <c r="K814" s="63"/>
      <c r="L814" s="64" t="str">
        <f>IF(OR($B814="", $H814="", $I814="", $J814="", $K814=""),"",ROUND((VLOOKUP($H814,Lists!$E$2:$F$5,2,FALSE())*VLOOKUP($I814,Lists!$H$2:$I$4,2,FALSE())*VLOOKUP($J814,Lists!$K$2:$L$4,2,FALSE()))/VLOOKUP($K814,Lists!$N$2:$O$6,2,FALSE()),2))</f>
        <v/>
      </c>
      <c r="M814" s="63"/>
      <c r="N814" s="63"/>
      <c r="O814" s="62"/>
      <c r="P814" s="63"/>
      <c r="Q814" s="65"/>
      <c r="R814" s="66" t="str">
        <f t="shared" ca="1" si="25"/>
        <v/>
      </c>
      <c r="S814" s="63"/>
      <c r="T814" s="65"/>
      <c r="U814" s="65"/>
      <c r="V814" s="62"/>
      <c r="W814" s="62"/>
      <c r="X814" s="62"/>
      <c r="Y814" s="58"/>
      <c r="Z814" s="58"/>
      <c r="AA814" s="58"/>
    </row>
    <row r="815" spans="1:27" ht="15.75" customHeight="1" x14ac:dyDescent="0.2">
      <c r="A815" s="61" t="str">
        <f t="shared" si="24"/>
        <v/>
      </c>
      <c r="B815" s="62"/>
      <c r="C815" s="62"/>
      <c r="D815" s="62"/>
      <c r="E815" s="62"/>
      <c r="F815" s="63"/>
      <c r="G815" s="63"/>
      <c r="H815" s="63"/>
      <c r="I815" s="63"/>
      <c r="J815" s="63"/>
      <c r="K815" s="63"/>
      <c r="L815" s="64" t="str">
        <f>IF(OR($B815="", $H815="", $I815="", $J815="", $K815=""),"",ROUND((VLOOKUP($H815,Lists!$E$2:$F$5,2,FALSE())*VLOOKUP($I815,Lists!$H$2:$I$4,2,FALSE())*VLOOKUP($J815,Lists!$K$2:$L$4,2,FALSE()))/VLOOKUP($K815,Lists!$N$2:$O$6,2,FALSE()),2))</f>
        <v/>
      </c>
      <c r="M815" s="63"/>
      <c r="N815" s="63"/>
      <c r="O815" s="62"/>
      <c r="P815" s="63"/>
      <c r="Q815" s="65"/>
      <c r="R815" s="66" t="str">
        <f t="shared" ca="1" si="25"/>
        <v/>
      </c>
      <c r="S815" s="63"/>
      <c r="T815" s="65"/>
      <c r="U815" s="65"/>
      <c r="V815" s="62"/>
      <c r="W815" s="62"/>
      <c r="X815" s="62"/>
      <c r="Y815" s="58"/>
      <c r="Z815" s="58"/>
      <c r="AA815" s="58"/>
    </row>
    <row r="816" spans="1:27" ht="15.75" customHeight="1" x14ac:dyDescent="0.2">
      <c r="A816" s="61" t="str">
        <f t="shared" si="24"/>
        <v/>
      </c>
      <c r="B816" s="62"/>
      <c r="C816" s="62"/>
      <c r="D816" s="62"/>
      <c r="E816" s="62"/>
      <c r="F816" s="63"/>
      <c r="G816" s="63"/>
      <c r="H816" s="63"/>
      <c r="I816" s="63"/>
      <c r="J816" s="63"/>
      <c r="K816" s="63"/>
      <c r="L816" s="64" t="str">
        <f>IF(OR($B816="", $H816="", $I816="", $J816="", $K816=""),"",ROUND((VLOOKUP($H816,Lists!$E$2:$F$5,2,FALSE())*VLOOKUP($I816,Lists!$H$2:$I$4,2,FALSE())*VLOOKUP($J816,Lists!$K$2:$L$4,2,FALSE()))/VLOOKUP($K816,Lists!$N$2:$O$6,2,FALSE()),2))</f>
        <v/>
      </c>
      <c r="M816" s="63"/>
      <c r="N816" s="63"/>
      <c r="O816" s="62"/>
      <c r="P816" s="63"/>
      <c r="Q816" s="65"/>
      <c r="R816" s="66" t="str">
        <f t="shared" ca="1" si="25"/>
        <v/>
      </c>
      <c r="S816" s="63"/>
      <c r="T816" s="65"/>
      <c r="U816" s="65"/>
      <c r="V816" s="62"/>
      <c r="W816" s="62"/>
      <c r="X816" s="62"/>
      <c r="Y816" s="58"/>
      <c r="Z816" s="58"/>
      <c r="AA816" s="58"/>
    </row>
    <row r="817" spans="1:27" ht="15.75" customHeight="1" x14ac:dyDescent="0.2">
      <c r="A817" s="61" t="str">
        <f t="shared" si="24"/>
        <v/>
      </c>
      <c r="B817" s="62"/>
      <c r="C817" s="62"/>
      <c r="D817" s="62"/>
      <c r="E817" s="62"/>
      <c r="F817" s="63"/>
      <c r="G817" s="63"/>
      <c r="H817" s="63"/>
      <c r="I817" s="63"/>
      <c r="J817" s="63"/>
      <c r="K817" s="63"/>
      <c r="L817" s="64" t="str">
        <f>IF(OR($B817="", $H817="", $I817="", $J817="", $K817=""),"",ROUND((VLOOKUP($H817,Lists!$E$2:$F$5,2,FALSE())*VLOOKUP($I817,Lists!$H$2:$I$4,2,FALSE())*VLOOKUP($J817,Lists!$K$2:$L$4,2,FALSE()))/VLOOKUP($K817,Lists!$N$2:$O$6,2,FALSE()),2))</f>
        <v/>
      </c>
      <c r="M817" s="63"/>
      <c r="N817" s="63"/>
      <c r="O817" s="62"/>
      <c r="P817" s="63"/>
      <c r="Q817" s="65"/>
      <c r="R817" s="66" t="str">
        <f t="shared" ca="1" si="25"/>
        <v/>
      </c>
      <c r="S817" s="63"/>
      <c r="T817" s="65"/>
      <c r="U817" s="65"/>
      <c r="V817" s="62"/>
      <c r="W817" s="62"/>
      <c r="X817" s="62"/>
      <c r="Y817" s="58"/>
      <c r="Z817" s="58"/>
      <c r="AA817" s="58"/>
    </row>
    <row r="818" spans="1:27" ht="15.75" customHeight="1" x14ac:dyDescent="0.2">
      <c r="A818" s="61" t="str">
        <f t="shared" si="24"/>
        <v/>
      </c>
      <c r="B818" s="62"/>
      <c r="C818" s="62"/>
      <c r="D818" s="62"/>
      <c r="E818" s="62"/>
      <c r="F818" s="63"/>
      <c r="G818" s="63"/>
      <c r="H818" s="63"/>
      <c r="I818" s="63"/>
      <c r="J818" s="63"/>
      <c r="K818" s="63"/>
      <c r="L818" s="64" t="str">
        <f>IF(OR($B818="", $H818="", $I818="", $J818="", $K818=""),"",ROUND((VLOOKUP($H818,Lists!$E$2:$F$5,2,FALSE())*VLOOKUP($I818,Lists!$H$2:$I$4,2,FALSE())*VLOOKUP($J818,Lists!$K$2:$L$4,2,FALSE()))/VLOOKUP($K818,Lists!$N$2:$O$6,2,FALSE()),2))</f>
        <v/>
      </c>
      <c r="M818" s="63"/>
      <c r="N818" s="63"/>
      <c r="O818" s="62"/>
      <c r="P818" s="63"/>
      <c r="Q818" s="65"/>
      <c r="R818" s="66" t="str">
        <f t="shared" ca="1" si="25"/>
        <v/>
      </c>
      <c r="S818" s="63"/>
      <c r="T818" s="65"/>
      <c r="U818" s="65"/>
      <c r="V818" s="62"/>
      <c r="W818" s="62"/>
      <c r="X818" s="62"/>
      <c r="Y818" s="58"/>
      <c r="Z818" s="58"/>
      <c r="AA818" s="58"/>
    </row>
    <row r="819" spans="1:27" ht="15.75" customHeight="1" x14ac:dyDescent="0.2">
      <c r="A819" s="61" t="str">
        <f t="shared" si="24"/>
        <v/>
      </c>
      <c r="B819" s="62"/>
      <c r="C819" s="62"/>
      <c r="D819" s="62"/>
      <c r="E819" s="62"/>
      <c r="F819" s="63"/>
      <c r="G819" s="63"/>
      <c r="H819" s="63"/>
      <c r="I819" s="63"/>
      <c r="J819" s="63"/>
      <c r="K819" s="63"/>
      <c r="L819" s="64" t="str">
        <f>IF(OR($B819="", $H819="", $I819="", $J819="", $K819=""),"",ROUND((VLOOKUP($H819,Lists!$E$2:$F$5,2,FALSE())*VLOOKUP($I819,Lists!$H$2:$I$4,2,FALSE())*VLOOKUP($J819,Lists!$K$2:$L$4,2,FALSE()))/VLOOKUP($K819,Lists!$N$2:$O$6,2,FALSE()),2))</f>
        <v/>
      </c>
      <c r="M819" s="63"/>
      <c r="N819" s="63"/>
      <c r="O819" s="62"/>
      <c r="P819" s="63"/>
      <c r="Q819" s="65"/>
      <c r="R819" s="66" t="str">
        <f t="shared" ca="1" si="25"/>
        <v/>
      </c>
      <c r="S819" s="63"/>
      <c r="T819" s="65"/>
      <c r="U819" s="65"/>
      <c r="V819" s="62"/>
      <c r="W819" s="62"/>
      <c r="X819" s="62"/>
      <c r="Y819" s="58"/>
      <c r="Z819" s="58"/>
      <c r="AA819" s="58"/>
    </row>
    <row r="820" spans="1:27" ht="15.75" customHeight="1" x14ac:dyDescent="0.2">
      <c r="A820" s="61" t="str">
        <f t="shared" si="24"/>
        <v/>
      </c>
      <c r="B820" s="62"/>
      <c r="C820" s="62"/>
      <c r="D820" s="62"/>
      <c r="E820" s="62"/>
      <c r="F820" s="63"/>
      <c r="G820" s="63"/>
      <c r="H820" s="63"/>
      <c r="I820" s="63"/>
      <c r="J820" s="63"/>
      <c r="K820" s="63"/>
      <c r="L820" s="64" t="str">
        <f>IF(OR($B820="", $H820="", $I820="", $J820="", $K820=""),"",ROUND((VLOOKUP($H820,Lists!$E$2:$F$5,2,FALSE())*VLOOKUP($I820,Lists!$H$2:$I$4,2,FALSE())*VLOOKUP($J820,Lists!$K$2:$L$4,2,FALSE()))/VLOOKUP($K820,Lists!$N$2:$O$6,2,FALSE()),2))</f>
        <v/>
      </c>
      <c r="M820" s="63"/>
      <c r="N820" s="63"/>
      <c r="O820" s="62"/>
      <c r="P820" s="63"/>
      <c r="Q820" s="65"/>
      <c r="R820" s="66" t="str">
        <f t="shared" ca="1" si="25"/>
        <v/>
      </c>
      <c r="S820" s="63"/>
      <c r="T820" s="65"/>
      <c r="U820" s="65"/>
      <c r="V820" s="62"/>
      <c r="W820" s="62"/>
      <c r="X820" s="62"/>
      <c r="Y820" s="58"/>
      <c r="Z820" s="58"/>
      <c r="AA820" s="58"/>
    </row>
    <row r="821" spans="1:27" ht="15.75" customHeight="1" x14ac:dyDescent="0.2">
      <c r="A821" s="61" t="str">
        <f t="shared" si="24"/>
        <v/>
      </c>
      <c r="B821" s="62"/>
      <c r="C821" s="62"/>
      <c r="D821" s="62"/>
      <c r="E821" s="62"/>
      <c r="F821" s="63"/>
      <c r="G821" s="63"/>
      <c r="H821" s="63"/>
      <c r="I821" s="63"/>
      <c r="J821" s="63"/>
      <c r="K821" s="63"/>
      <c r="L821" s="64" t="str">
        <f>IF(OR($B821="", $H821="", $I821="", $J821="", $K821=""),"",ROUND((VLOOKUP($H821,Lists!$E$2:$F$5,2,FALSE())*VLOOKUP($I821,Lists!$H$2:$I$4,2,FALSE())*VLOOKUP($J821,Lists!$K$2:$L$4,2,FALSE()))/VLOOKUP($K821,Lists!$N$2:$O$6,2,FALSE()),2))</f>
        <v/>
      </c>
      <c r="M821" s="63"/>
      <c r="N821" s="63"/>
      <c r="O821" s="62"/>
      <c r="P821" s="63"/>
      <c r="Q821" s="65"/>
      <c r="R821" s="66" t="str">
        <f t="shared" ca="1" si="25"/>
        <v/>
      </c>
      <c r="S821" s="63"/>
      <c r="T821" s="65"/>
      <c r="U821" s="65"/>
      <c r="V821" s="62"/>
      <c r="W821" s="62"/>
      <c r="X821" s="62"/>
      <c r="Y821" s="58"/>
      <c r="Z821" s="58"/>
      <c r="AA821" s="58"/>
    </row>
    <row r="822" spans="1:27" ht="15.75" customHeight="1" x14ac:dyDescent="0.2">
      <c r="A822" s="61" t="str">
        <f t="shared" si="24"/>
        <v/>
      </c>
      <c r="B822" s="62"/>
      <c r="C822" s="62"/>
      <c r="D822" s="62"/>
      <c r="E822" s="62"/>
      <c r="F822" s="63"/>
      <c r="G822" s="63"/>
      <c r="H822" s="63"/>
      <c r="I822" s="63"/>
      <c r="J822" s="63"/>
      <c r="K822" s="63"/>
      <c r="L822" s="64" t="str">
        <f>IF(OR($B822="", $H822="", $I822="", $J822="", $K822=""),"",ROUND((VLOOKUP($H822,Lists!$E$2:$F$5,2,FALSE())*VLOOKUP($I822,Lists!$H$2:$I$4,2,FALSE())*VLOOKUP($J822,Lists!$K$2:$L$4,2,FALSE()))/VLOOKUP($K822,Lists!$N$2:$O$6,2,FALSE()),2))</f>
        <v/>
      </c>
      <c r="M822" s="63"/>
      <c r="N822" s="63"/>
      <c r="O822" s="62"/>
      <c r="P822" s="63"/>
      <c r="Q822" s="65"/>
      <c r="R822" s="66" t="str">
        <f t="shared" ca="1" si="25"/>
        <v/>
      </c>
      <c r="S822" s="63"/>
      <c r="T822" s="65"/>
      <c r="U822" s="65"/>
      <c r="V822" s="62"/>
      <c r="W822" s="62"/>
      <c r="X822" s="62"/>
      <c r="Y822" s="58"/>
      <c r="Z822" s="58"/>
      <c r="AA822" s="58"/>
    </row>
    <row r="823" spans="1:27" ht="15.75" customHeight="1" x14ac:dyDescent="0.2">
      <c r="A823" s="61" t="str">
        <f t="shared" si="24"/>
        <v/>
      </c>
      <c r="B823" s="62"/>
      <c r="C823" s="62"/>
      <c r="D823" s="62"/>
      <c r="E823" s="62"/>
      <c r="F823" s="63"/>
      <c r="G823" s="63"/>
      <c r="H823" s="63"/>
      <c r="I823" s="63"/>
      <c r="J823" s="63"/>
      <c r="K823" s="63"/>
      <c r="L823" s="64" t="str">
        <f>IF(OR($B823="", $H823="", $I823="", $J823="", $K823=""),"",ROUND((VLOOKUP($H823,Lists!$E$2:$F$5,2,FALSE())*VLOOKUP($I823,Lists!$H$2:$I$4,2,FALSE())*VLOOKUP($J823,Lists!$K$2:$L$4,2,FALSE()))/VLOOKUP($K823,Lists!$N$2:$O$6,2,FALSE()),2))</f>
        <v/>
      </c>
      <c r="M823" s="63"/>
      <c r="N823" s="63"/>
      <c r="O823" s="62"/>
      <c r="P823" s="63"/>
      <c r="Q823" s="65"/>
      <c r="R823" s="66" t="str">
        <f t="shared" ca="1" si="25"/>
        <v/>
      </c>
      <c r="S823" s="63"/>
      <c r="T823" s="65"/>
      <c r="U823" s="65"/>
      <c r="V823" s="62"/>
      <c r="W823" s="62"/>
      <c r="X823" s="62"/>
      <c r="Y823" s="58"/>
      <c r="Z823" s="58"/>
      <c r="AA823" s="58"/>
    </row>
    <row r="824" spans="1:27" ht="15.75" customHeight="1" x14ac:dyDescent="0.2">
      <c r="A824" s="61" t="str">
        <f t="shared" si="24"/>
        <v/>
      </c>
      <c r="B824" s="62"/>
      <c r="C824" s="62"/>
      <c r="D824" s="62"/>
      <c r="E824" s="62"/>
      <c r="F824" s="63"/>
      <c r="G824" s="63"/>
      <c r="H824" s="63"/>
      <c r="I824" s="63"/>
      <c r="J824" s="63"/>
      <c r="K824" s="63"/>
      <c r="L824" s="64" t="str">
        <f>IF(OR($B824="", $H824="", $I824="", $J824="", $K824=""),"",ROUND((VLOOKUP($H824,Lists!$E$2:$F$5,2,FALSE())*VLOOKUP($I824,Lists!$H$2:$I$4,2,FALSE())*VLOOKUP($J824,Lists!$K$2:$L$4,2,FALSE()))/VLOOKUP($K824,Lists!$N$2:$O$6,2,FALSE()),2))</f>
        <v/>
      </c>
      <c r="M824" s="63"/>
      <c r="N824" s="63"/>
      <c r="O824" s="62"/>
      <c r="P824" s="63"/>
      <c r="Q824" s="65"/>
      <c r="R824" s="66" t="str">
        <f t="shared" ca="1" si="25"/>
        <v/>
      </c>
      <c r="S824" s="63"/>
      <c r="T824" s="65"/>
      <c r="U824" s="65"/>
      <c r="V824" s="62"/>
      <c r="W824" s="62"/>
      <c r="X824" s="62"/>
      <c r="Y824" s="58"/>
      <c r="Z824" s="58"/>
      <c r="AA824" s="58"/>
    </row>
    <row r="825" spans="1:27" ht="15.75" customHeight="1" x14ac:dyDescent="0.2">
      <c r="A825" s="61" t="str">
        <f t="shared" si="24"/>
        <v/>
      </c>
      <c r="B825" s="62"/>
      <c r="C825" s="62"/>
      <c r="D825" s="62"/>
      <c r="E825" s="62"/>
      <c r="F825" s="63"/>
      <c r="G825" s="63"/>
      <c r="H825" s="63"/>
      <c r="I825" s="63"/>
      <c r="J825" s="63"/>
      <c r="K825" s="63"/>
      <c r="L825" s="64" t="str">
        <f>IF(OR($B825="", $H825="", $I825="", $J825="", $K825=""),"",ROUND((VLOOKUP($H825,Lists!$E$2:$F$5,2,FALSE())*VLOOKUP($I825,Lists!$H$2:$I$4,2,FALSE())*VLOOKUP($J825,Lists!$K$2:$L$4,2,FALSE()))/VLOOKUP($K825,Lists!$N$2:$O$6,2,FALSE()),2))</f>
        <v/>
      </c>
      <c r="M825" s="63"/>
      <c r="N825" s="63"/>
      <c r="O825" s="62"/>
      <c r="P825" s="63"/>
      <c r="Q825" s="65"/>
      <c r="R825" s="66" t="str">
        <f t="shared" ca="1" si="25"/>
        <v/>
      </c>
      <c r="S825" s="63"/>
      <c r="T825" s="65"/>
      <c r="U825" s="65"/>
      <c r="V825" s="62"/>
      <c r="W825" s="62"/>
      <c r="X825" s="62"/>
      <c r="Y825" s="58"/>
      <c r="Z825" s="58"/>
      <c r="AA825" s="58"/>
    </row>
    <row r="826" spans="1:27" ht="15.75" customHeight="1" x14ac:dyDescent="0.2">
      <c r="A826" s="61" t="str">
        <f t="shared" si="24"/>
        <v/>
      </c>
      <c r="B826" s="62"/>
      <c r="C826" s="62"/>
      <c r="D826" s="62"/>
      <c r="E826" s="62"/>
      <c r="F826" s="63"/>
      <c r="G826" s="63"/>
      <c r="H826" s="63"/>
      <c r="I826" s="63"/>
      <c r="J826" s="63"/>
      <c r="K826" s="63"/>
      <c r="L826" s="64" t="str">
        <f>IF(OR($B826="", $H826="", $I826="", $J826="", $K826=""),"",ROUND((VLOOKUP($H826,Lists!$E$2:$F$5,2,FALSE())*VLOOKUP($I826,Lists!$H$2:$I$4,2,FALSE())*VLOOKUP($J826,Lists!$K$2:$L$4,2,FALSE()))/VLOOKUP($K826,Lists!$N$2:$O$6,2,FALSE()),2))</f>
        <v/>
      </c>
      <c r="M826" s="63"/>
      <c r="N826" s="63"/>
      <c r="O826" s="62"/>
      <c r="P826" s="63"/>
      <c r="Q826" s="65"/>
      <c r="R826" s="66" t="str">
        <f t="shared" ca="1" si="25"/>
        <v/>
      </c>
      <c r="S826" s="63"/>
      <c r="T826" s="65"/>
      <c r="U826" s="65"/>
      <c r="V826" s="62"/>
      <c r="W826" s="62"/>
      <c r="X826" s="62"/>
      <c r="Y826" s="58"/>
      <c r="Z826" s="58"/>
      <c r="AA826" s="58"/>
    </row>
    <row r="827" spans="1:27" ht="15.75" customHeight="1" x14ac:dyDescent="0.2">
      <c r="A827" s="61" t="str">
        <f t="shared" si="24"/>
        <v/>
      </c>
      <c r="B827" s="62"/>
      <c r="C827" s="62"/>
      <c r="D827" s="62"/>
      <c r="E827" s="62"/>
      <c r="F827" s="63"/>
      <c r="G827" s="63"/>
      <c r="H827" s="63"/>
      <c r="I827" s="63"/>
      <c r="J827" s="63"/>
      <c r="K827" s="63"/>
      <c r="L827" s="64" t="str">
        <f>IF(OR($B827="", $H827="", $I827="", $J827="", $K827=""),"",ROUND((VLOOKUP($H827,Lists!$E$2:$F$5,2,FALSE())*VLOOKUP($I827,Lists!$H$2:$I$4,2,FALSE())*VLOOKUP($J827,Lists!$K$2:$L$4,2,FALSE()))/VLOOKUP($K827,Lists!$N$2:$O$6,2,FALSE()),2))</f>
        <v/>
      </c>
      <c r="M827" s="63"/>
      <c r="N827" s="63"/>
      <c r="O827" s="62"/>
      <c r="P827" s="63"/>
      <c r="Q827" s="65"/>
      <c r="R827" s="66" t="str">
        <f t="shared" ca="1" si="25"/>
        <v/>
      </c>
      <c r="S827" s="63"/>
      <c r="T827" s="65"/>
      <c r="U827" s="65"/>
      <c r="V827" s="62"/>
      <c r="W827" s="62"/>
      <c r="X827" s="62"/>
      <c r="Y827" s="58"/>
      <c r="Z827" s="58"/>
      <c r="AA827" s="58"/>
    </row>
    <row r="828" spans="1:27" ht="15.75" customHeight="1" x14ac:dyDescent="0.2">
      <c r="A828" s="61" t="str">
        <f t="shared" si="24"/>
        <v/>
      </c>
      <c r="B828" s="62"/>
      <c r="C828" s="62"/>
      <c r="D828" s="62"/>
      <c r="E828" s="62"/>
      <c r="F828" s="63"/>
      <c r="G828" s="63"/>
      <c r="H828" s="63"/>
      <c r="I828" s="63"/>
      <c r="J828" s="63"/>
      <c r="K828" s="63"/>
      <c r="L828" s="64" t="str">
        <f>IF(OR($B828="", $H828="", $I828="", $J828="", $K828=""),"",ROUND((VLOOKUP($H828,Lists!$E$2:$F$5,2,FALSE())*VLOOKUP($I828,Lists!$H$2:$I$4,2,FALSE())*VLOOKUP($J828,Lists!$K$2:$L$4,2,FALSE()))/VLOOKUP($K828,Lists!$N$2:$O$6,2,FALSE()),2))</f>
        <v/>
      </c>
      <c r="M828" s="63"/>
      <c r="N828" s="63"/>
      <c r="O828" s="62"/>
      <c r="P828" s="63"/>
      <c r="Q828" s="65"/>
      <c r="R828" s="66" t="str">
        <f t="shared" ca="1" si="25"/>
        <v/>
      </c>
      <c r="S828" s="63"/>
      <c r="T828" s="65"/>
      <c r="U828" s="65"/>
      <c r="V828" s="62"/>
      <c r="W828" s="62"/>
      <c r="X828" s="62"/>
      <c r="Y828" s="58"/>
      <c r="Z828" s="58"/>
      <c r="AA828" s="58"/>
    </row>
    <row r="829" spans="1:27" ht="15.75" customHeight="1" x14ac:dyDescent="0.2">
      <c r="A829" s="61" t="str">
        <f t="shared" si="24"/>
        <v/>
      </c>
      <c r="B829" s="62"/>
      <c r="C829" s="62"/>
      <c r="D829" s="62"/>
      <c r="E829" s="62"/>
      <c r="F829" s="63"/>
      <c r="G829" s="63"/>
      <c r="H829" s="63"/>
      <c r="I829" s="63"/>
      <c r="J829" s="63"/>
      <c r="K829" s="63"/>
      <c r="L829" s="64" t="str">
        <f>IF(OR($B829="", $H829="", $I829="", $J829="", $K829=""),"",ROUND((VLOOKUP($H829,Lists!$E$2:$F$5,2,FALSE())*VLOOKUP($I829,Lists!$H$2:$I$4,2,FALSE())*VLOOKUP($J829,Lists!$K$2:$L$4,2,FALSE()))/VLOOKUP($K829,Lists!$N$2:$O$6,2,FALSE()),2))</f>
        <v/>
      </c>
      <c r="M829" s="63"/>
      <c r="N829" s="63"/>
      <c r="O829" s="62"/>
      <c r="P829" s="63"/>
      <c r="Q829" s="65"/>
      <c r="R829" s="66" t="str">
        <f t="shared" ca="1" si="25"/>
        <v/>
      </c>
      <c r="S829" s="63"/>
      <c r="T829" s="65"/>
      <c r="U829" s="65"/>
      <c r="V829" s="62"/>
      <c r="W829" s="62"/>
      <c r="X829" s="62"/>
      <c r="Y829" s="58"/>
      <c r="Z829" s="58"/>
      <c r="AA829" s="58"/>
    </row>
    <row r="830" spans="1:27" ht="15.75" customHeight="1" x14ac:dyDescent="0.2">
      <c r="A830" s="61" t="str">
        <f t="shared" si="24"/>
        <v/>
      </c>
      <c r="B830" s="62"/>
      <c r="C830" s="62"/>
      <c r="D830" s="62"/>
      <c r="E830" s="62"/>
      <c r="F830" s="63"/>
      <c r="G830" s="63"/>
      <c r="H830" s="63"/>
      <c r="I830" s="63"/>
      <c r="J830" s="63"/>
      <c r="K830" s="63"/>
      <c r="L830" s="64" t="str">
        <f>IF(OR($B830="", $H830="", $I830="", $J830="", $K830=""),"",ROUND((VLOOKUP($H830,Lists!$E$2:$F$5,2,FALSE())*VLOOKUP($I830,Lists!$H$2:$I$4,2,FALSE())*VLOOKUP($J830,Lists!$K$2:$L$4,2,FALSE()))/VLOOKUP($K830,Lists!$N$2:$O$6,2,FALSE()),2))</f>
        <v/>
      </c>
      <c r="M830" s="63"/>
      <c r="N830" s="63"/>
      <c r="O830" s="62"/>
      <c r="P830" s="63"/>
      <c r="Q830" s="65"/>
      <c r="R830" s="66" t="str">
        <f t="shared" ca="1" si="25"/>
        <v/>
      </c>
      <c r="S830" s="63"/>
      <c r="T830" s="65"/>
      <c r="U830" s="65"/>
      <c r="V830" s="62"/>
      <c r="W830" s="62"/>
      <c r="X830" s="62"/>
      <c r="Y830" s="58"/>
      <c r="Z830" s="58"/>
      <c r="AA830" s="58"/>
    </row>
    <row r="831" spans="1:27" ht="15.75" customHeight="1" x14ac:dyDescent="0.2">
      <c r="A831" s="61" t="str">
        <f t="shared" si="24"/>
        <v/>
      </c>
      <c r="B831" s="62"/>
      <c r="C831" s="62"/>
      <c r="D831" s="62"/>
      <c r="E831" s="62"/>
      <c r="F831" s="63"/>
      <c r="G831" s="63"/>
      <c r="H831" s="63"/>
      <c r="I831" s="63"/>
      <c r="J831" s="63"/>
      <c r="K831" s="63"/>
      <c r="L831" s="64" t="str">
        <f>IF(OR($B831="", $H831="", $I831="", $J831="", $K831=""),"",ROUND((VLOOKUP($H831,Lists!$E$2:$F$5,2,FALSE())*VLOOKUP($I831,Lists!$H$2:$I$4,2,FALSE())*VLOOKUP($J831,Lists!$K$2:$L$4,2,FALSE()))/VLOOKUP($K831,Lists!$N$2:$O$6,2,FALSE()),2))</f>
        <v/>
      </c>
      <c r="M831" s="63"/>
      <c r="N831" s="63"/>
      <c r="O831" s="62"/>
      <c r="P831" s="63"/>
      <c r="Q831" s="65"/>
      <c r="R831" s="66" t="str">
        <f t="shared" ca="1" si="25"/>
        <v/>
      </c>
      <c r="S831" s="63"/>
      <c r="T831" s="65"/>
      <c r="U831" s="65"/>
      <c r="V831" s="62"/>
      <c r="W831" s="62"/>
      <c r="X831" s="62"/>
      <c r="Y831" s="58"/>
      <c r="Z831" s="58"/>
      <c r="AA831" s="58"/>
    </row>
    <row r="832" spans="1:27" ht="15.75" customHeight="1" x14ac:dyDescent="0.2">
      <c r="A832" s="61" t="str">
        <f t="shared" si="24"/>
        <v/>
      </c>
      <c r="B832" s="62"/>
      <c r="C832" s="62"/>
      <c r="D832" s="62"/>
      <c r="E832" s="62"/>
      <c r="F832" s="63"/>
      <c r="G832" s="63"/>
      <c r="H832" s="63"/>
      <c r="I832" s="63"/>
      <c r="J832" s="63"/>
      <c r="K832" s="63"/>
      <c r="L832" s="64" t="str">
        <f>IF(OR($B832="", $H832="", $I832="", $J832="", $K832=""),"",ROUND((VLOOKUP($H832,Lists!$E$2:$F$5,2,FALSE())*VLOOKUP($I832,Lists!$H$2:$I$4,2,FALSE())*VLOOKUP($J832,Lists!$K$2:$L$4,2,FALSE()))/VLOOKUP($K832,Lists!$N$2:$O$6,2,FALSE()),2))</f>
        <v/>
      </c>
      <c r="M832" s="63"/>
      <c r="N832" s="63"/>
      <c r="O832" s="62"/>
      <c r="P832" s="63"/>
      <c r="Q832" s="65"/>
      <c r="R832" s="66" t="str">
        <f t="shared" ca="1" si="25"/>
        <v/>
      </c>
      <c r="S832" s="63"/>
      <c r="T832" s="65"/>
      <c r="U832" s="65"/>
      <c r="V832" s="62"/>
      <c r="W832" s="62"/>
      <c r="X832" s="62"/>
      <c r="Y832" s="58"/>
      <c r="Z832" s="58"/>
      <c r="AA832" s="58"/>
    </row>
    <row r="833" spans="1:27" ht="15.75" customHeight="1" x14ac:dyDescent="0.2">
      <c r="A833" s="61" t="str">
        <f t="shared" si="24"/>
        <v/>
      </c>
      <c r="B833" s="62"/>
      <c r="C833" s="62"/>
      <c r="D833" s="62"/>
      <c r="E833" s="62"/>
      <c r="F833" s="63"/>
      <c r="G833" s="63"/>
      <c r="H833" s="63"/>
      <c r="I833" s="63"/>
      <c r="J833" s="63"/>
      <c r="K833" s="63"/>
      <c r="L833" s="64" t="str">
        <f>IF(OR($B833="", $H833="", $I833="", $J833="", $K833=""),"",ROUND((VLOOKUP($H833,Lists!$E$2:$F$5,2,FALSE())*VLOOKUP($I833,Lists!$H$2:$I$4,2,FALSE())*VLOOKUP($J833,Lists!$K$2:$L$4,2,FALSE()))/VLOOKUP($K833,Lists!$N$2:$O$6,2,FALSE()),2))</f>
        <v/>
      </c>
      <c r="M833" s="63"/>
      <c r="N833" s="63"/>
      <c r="O833" s="62"/>
      <c r="P833" s="63"/>
      <c r="Q833" s="65"/>
      <c r="R833" s="66" t="str">
        <f t="shared" ca="1" si="25"/>
        <v/>
      </c>
      <c r="S833" s="63"/>
      <c r="T833" s="65"/>
      <c r="U833" s="65"/>
      <c r="V833" s="62"/>
      <c r="W833" s="62"/>
      <c r="X833" s="62"/>
      <c r="Y833" s="58"/>
      <c r="Z833" s="58"/>
      <c r="AA833" s="58"/>
    </row>
    <row r="834" spans="1:27" ht="15.75" customHeight="1" x14ac:dyDescent="0.2">
      <c r="A834" s="61" t="str">
        <f t="shared" ref="A834:A897" si="26">IF($B834="","", "TD-" &amp; RIGHT("0000"&amp;ROW()-1,4))</f>
        <v/>
      </c>
      <c r="B834" s="62"/>
      <c r="C834" s="62"/>
      <c r="D834" s="62"/>
      <c r="E834" s="62"/>
      <c r="F834" s="63"/>
      <c r="G834" s="63"/>
      <c r="H834" s="63"/>
      <c r="I834" s="63"/>
      <c r="J834" s="63"/>
      <c r="K834" s="63"/>
      <c r="L834" s="64" t="str">
        <f>IF(OR($B834="", $H834="", $I834="", $J834="", $K834=""),"",ROUND((VLOOKUP($H834,Lists!$E$2:$F$5,2,FALSE())*VLOOKUP($I834,Lists!$H$2:$I$4,2,FALSE())*VLOOKUP($J834,Lists!$K$2:$L$4,2,FALSE()))/VLOOKUP($K834,Lists!$N$2:$O$6,2,FALSE()),2))</f>
        <v/>
      </c>
      <c r="M834" s="63"/>
      <c r="N834" s="63"/>
      <c r="O834" s="62"/>
      <c r="P834" s="63"/>
      <c r="Q834" s="65"/>
      <c r="R834" s="66" t="str">
        <f t="shared" ref="R834:R897" ca="1" si="27">IF($Q834="","", TODAY()-$Q834)</f>
        <v/>
      </c>
      <c r="S834" s="63"/>
      <c r="T834" s="65"/>
      <c r="U834" s="65"/>
      <c r="V834" s="62"/>
      <c r="W834" s="62"/>
      <c r="X834" s="62"/>
      <c r="Y834" s="58"/>
      <c r="Z834" s="58"/>
      <c r="AA834" s="58"/>
    </row>
    <row r="835" spans="1:27" ht="15.75" customHeight="1" x14ac:dyDescent="0.2">
      <c r="A835" s="61" t="str">
        <f t="shared" si="26"/>
        <v/>
      </c>
      <c r="B835" s="62"/>
      <c r="C835" s="62"/>
      <c r="D835" s="62"/>
      <c r="E835" s="62"/>
      <c r="F835" s="63"/>
      <c r="G835" s="63"/>
      <c r="H835" s="63"/>
      <c r="I835" s="63"/>
      <c r="J835" s="63"/>
      <c r="K835" s="63"/>
      <c r="L835" s="64" t="str">
        <f>IF(OR($B835="", $H835="", $I835="", $J835="", $K835=""),"",ROUND((VLOOKUP($H835,Lists!$E$2:$F$5,2,FALSE())*VLOOKUP($I835,Lists!$H$2:$I$4,2,FALSE())*VLOOKUP($J835,Lists!$K$2:$L$4,2,FALSE()))/VLOOKUP($K835,Lists!$N$2:$O$6,2,FALSE()),2))</f>
        <v/>
      </c>
      <c r="M835" s="63"/>
      <c r="N835" s="63"/>
      <c r="O835" s="62"/>
      <c r="P835" s="63"/>
      <c r="Q835" s="65"/>
      <c r="R835" s="66" t="str">
        <f t="shared" ca="1" si="27"/>
        <v/>
      </c>
      <c r="S835" s="63"/>
      <c r="T835" s="65"/>
      <c r="U835" s="65"/>
      <c r="V835" s="62"/>
      <c r="W835" s="62"/>
      <c r="X835" s="62"/>
      <c r="Y835" s="58"/>
      <c r="Z835" s="58"/>
      <c r="AA835" s="58"/>
    </row>
    <row r="836" spans="1:27" ht="15.75" customHeight="1" x14ac:dyDescent="0.2">
      <c r="A836" s="61" t="str">
        <f t="shared" si="26"/>
        <v/>
      </c>
      <c r="B836" s="62"/>
      <c r="C836" s="62"/>
      <c r="D836" s="62"/>
      <c r="E836" s="62"/>
      <c r="F836" s="63"/>
      <c r="G836" s="63"/>
      <c r="H836" s="63"/>
      <c r="I836" s="63"/>
      <c r="J836" s="63"/>
      <c r="K836" s="63"/>
      <c r="L836" s="64" t="str">
        <f>IF(OR($B836="", $H836="", $I836="", $J836="", $K836=""),"",ROUND((VLOOKUP($H836,Lists!$E$2:$F$5,2,FALSE())*VLOOKUP($I836,Lists!$H$2:$I$4,2,FALSE())*VLOOKUP($J836,Lists!$K$2:$L$4,2,FALSE()))/VLOOKUP($K836,Lists!$N$2:$O$6,2,FALSE()),2))</f>
        <v/>
      </c>
      <c r="M836" s="63"/>
      <c r="N836" s="63"/>
      <c r="O836" s="62"/>
      <c r="P836" s="63"/>
      <c r="Q836" s="65"/>
      <c r="R836" s="66" t="str">
        <f t="shared" ca="1" si="27"/>
        <v/>
      </c>
      <c r="S836" s="63"/>
      <c r="T836" s="65"/>
      <c r="U836" s="65"/>
      <c r="V836" s="62"/>
      <c r="W836" s="62"/>
      <c r="X836" s="62"/>
      <c r="Y836" s="58"/>
      <c r="Z836" s="58"/>
      <c r="AA836" s="58"/>
    </row>
    <row r="837" spans="1:27" ht="15.75" customHeight="1" x14ac:dyDescent="0.2">
      <c r="A837" s="61" t="str">
        <f t="shared" si="26"/>
        <v/>
      </c>
      <c r="B837" s="62"/>
      <c r="C837" s="62"/>
      <c r="D837" s="62"/>
      <c r="E837" s="62"/>
      <c r="F837" s="63"/>
      <c r="G837" s="63"/>
      <c r="H837" s="63"/>
      <c r="I837" s="63"/>
      <c r="J837" s="63"/>
      <c r="K837" s="63"/>
      <c r="L837" s="64" t="str">
        <f>IF(OR($B837="", $H837="", $I837="", $J837="", $K837=""),"",ROUND((VLOOKUP($H837,Lists!$E$2:$F$5,2,FALSE())*VLOOKUP($I837,Lists!$H$2:$I$4,2,FALSE())*VLOOKUP($J837,Lists!$K$2:$L$4,2,FALSE()))/VLOOKUP($K837,Lists!$N$2:$O$6,2,FALSE()),2))</f>
        <v/>
      </c>
      <c r="M837" s="63"/>
      <c r="N837" s="63"/>
      <c r="O837" s="62"/>
      <c r="P837" s="63"/>
      <c r="Q837" s="65"/>
      <c r="R837" s="66" t="str">
        <f t="shared" ca="1" si="27"/>
        <v/>
      </c>
      <c r="S837" s="63"/>
      <c r="T837" s="65"/>
      <c r="U837" s="65"/>
      <c r="V837" s="62"/>
      <c r="W837" s="62"/>
      <c r="X837" s="62"/>
      <c r="Y837" s="58"/>
      <c r="Z837" s="58"/>
      <c r="AA837" s="58"/>
    </row>
    <row r="838" spans="1:27" ht="15.75" customHeight="1" x14ac:dyDescent="0.2">
      <c r="A838" s="61" t="str">
        <f t="shared" si="26"/>
        <v/>
      </c>
      <c r="B838" s="62"/>
      <c r="C838" s="62"/>
      <c r="D838" s="62"/>
      <c r="E838" s="62"/>
      <c r="F838" s="63"/>
      <c r="G838" s="63"/>
      <c r="H838" s="63"/>
      <c r="I838" s="63"/>
      <c r="J838" s="63"/>
      <c r="K838" s="63"/>
      <c r="L838" s="64" t="str">
        <f>IF(OR($B838="", $H838="", $I838="", $J838="", $K838=""),"",ROUND((VLOOKUP($H838,Lists!$E$2:$F$5,2,FALSE())*VLOOKUP($I838,Lists!$H$2:$I$4,2,FALSE())*VLOOKUP($J838,Lists!$K$2:$L$4,2,FALSE()))/VLOOKUP($K838,Lists!$N$2:$O$6,2,FALSE()),2))</f>
        <v/>
      </c>
      <c r="M838" s="63"/>
      <c r="N838" s="63"/>
      <c r="O838" s="62"/>
      <c r="P838" s="63"/>
      <c r="Q838" s="65"/>
      <c r="R838" s="66" t="str">
        <f t="shared" ca="1" si="27"/>
        <v/>
      </c>
      <c r="S838" s="63"/>
      <c r="T838" s="65"/>
      <c r="U838" s="65"/>
      <c r="V838" s="62"/>
      <c r="W838" s="62"/>
      <c r="X838" s="62"/>
      <c r="Y838" s="58"/>
      <c r="Z838" s="58"/>
      <c r="AA838" s="58"/>
    </row>
    <row r="839" spans="1:27" ht="15.75" customHeight="1" x14ac:dyDescent="0.2">
      <c r="A839" s="61" t="str">
        <f t="shared" si="26"/>
        <v/>
      </c>
      <c r="B839" s="62"/>
      <c r="C839" s="62"/>
      <c r="D839" s="62"/>
      <c r="E839" s="62"/>
      <c r="F839" s="63"/>
      <c r="G839" s="63"/>
      <c r="H839" s="63"/>
      <c r="I839" s="63"/>
      <c r="J839" s="63"/>
      <c r="K839" s="63"/>
      <c r="L839" s="64" t="str">
        <f>IF(OR($B839="", $H839="", $I839="", $J839="", $K839=""),"",ROUND((VLOOKUP($H839,Lists!$E$2:$F$5,2,FALSE())*VLOOKUP($I839,Lists!$H$2:$I$4,2,FALSE())*VLOOKUP($J839,Lists!$K$2:$L$4,2,FALSE()))/VLOOKUP($K839,Lists!$N$2:$O$6,2,FALSE()),2))</f>
        <v/>
      </c>
      <c r="M839" s="63"/>
      <c r="N839" s="63"/>
      <c r="O839" s="62"/>
      <c r="P839" s="63"/>
      <c r="Q839" s="65"/>
      <c r="R839" s="66" t="str">
        <f t="shared" ca="1" si="27"/>
        <v/>
      </c>
      <c r="S839" s="63"/>
      <c r="T839" s="65"/>
      <c r="U839" s="65"/>
      <c r="V839" s="62"/>
      <c r="W839" s="62"/>
      <c r="X839" s="62"/>
      <c r="Y839" s="58"/>
      <c r="Z839" s="58"/>
      <c r="AA839" s="58"/>
    </row>
    <row r="840" spans="1:27" ht="15.75" customHeight="1" x14ac:dyDescent="0.2">
      <c r="A840" s="61" t="str">
        <f t="shared" si="26"/>
        <v/>
      </c>
      <c r="B840" s="62"/>
      <c r="C840" s="62"/>
      <c r="D840" s="62"/>
      <c r="E840" s="62"/>
      <c r="F840" s="63"/>
      <c r="G840" s="63"/>
      <c r="H840" s="63"/>
      <c r="I840" s="63"/>
      <c r="J840" s="63"/>
      <c r="K840" s="63"/>
      <c r="L840" s="64" t="str">
        <f>IF(OR($B840="", $H840="", $I840="", $J840="", $K840=""),"",ROUND((VLOOKUP($H840,Lists!$E$2:$F$5,2,FALSE())*VLOOKUP($I840,Lists!$H$2:$I$4,2,FALSE())*VLOOKUP($J840,Lists!$K$2:$L$4,2,FALSE()))/VLOOKUP($K840,Lists!$N$2:$O$6,2,FALSE()),2))</f>
        <v/>
      </c>
      <c r="M840" s="63"/>
      <c r="N840" s="63"/>
      <c r="O840" s="62"/>
      <c r="P840" s="63"/>
      <c r="Q840" s="65"/>
      <c r="R840" s="66" t="str">
        <f t="shared" ca="1" si="27"/>
        <v/>
      </c>
      <c r="S840" s="63"/>
      <c r="T840" s="65"/>
      <c r="U840" s="65"/>
      <c r="V840" s="62"/>
      <c r="W840" s="62"/>
      <c r="X840" s="62"/>
      <c r="Y840" s="58"/>
      <c r="Z840" s="58"/>
      <c r="AA840" s="58"/>
    </row>
    <row r="841" spans="1:27" ht="15.75" customHeight="1" x14ac:dyDescent="0.2">
      <c r="A841" s="61" t="str">
        <f t="shared" si="26"/>
        <v/>
      </c>
      <c r="B841" s="62"/>
      <c r="C841" s="62"/>
      <c r="D841" s="62"/>
      <c r="E841" s="62"/>
      <c r="F841" s="63"/>
      <c r="G841" s="63"/>
      <c r="H841" s="63"/>
      <c r="I841" s="63"/>
      <c r="J841" s="63"/>
      <c r="K841" s="63"/>
      <c r="L841" s="64" t="str">
        <f>IF(OR($B841="", $H841="", $I841="", $J841="", $K841=""),"",ROUND((VLOOKUP($H841,Lists!$E$2:$F$5,2,FALSE())*VLOOKUP($I841,Lists!$H$2:$I$4,2,FALSE())*VLOOKUP($J841,Lists!$K$2:$L$4,2,FALSE()))/VLOOKUP($K841,Lists!$N$2:$O$6,2,FALSE()),2))</f>
        <v/>
      </c>
      <c r="M841" s="63"/>
      <c r="N841" s="63"/>
      <c r="O841" s="62"/>
      <c r="P841" s="63"/>
      <c r="Q841" s="65"/>
      <c r="R841" s="66" t="str">
        <f t="shared" ca="1" si="27"/>
        <v/>
      </c>
      <c r="S841" s="63"/>
      <c r="T841" s="65"/>
      <c r="U841" s="65"/>
      <c r="V841" s="62"/>
      <c r="W841" s="62"/>
      <c r="X841" s="62"/>
      <c r="Y841" s="58"/>
      <c r="Z841" s="58"/>
      <c r="AA841" s="58"/>
    </row>
    <row r="842" spans="1:27" ht="15.75" customHeight="1" x14ac:dyDescent="0.2">
      <c r="A842" s="61" t="str">
        <f t="shared" si="26"/>
        <v/>
      </c>
      <c r="B842" s="62"/>
      <c r="C842" s="62"/>
      <c r="D842" s="62"/>
      <c r="E842" s="62"/>
      <c r="F842" s="63"/>
      <c r="G842" s="63"/>
      <c r="H842" s="63"/>
      <c r="I842" s="63"/>
      <c r="J842" s="63"/>
      <c r="K842" s="63"/>
      <c r="L842" s="64" t="str">
        <f>IF(OR($B842="", $H842="", $I842="", $J842="", $K842=""),"",ROUND((VLOOKUP($H842,Lists!$E$2:$F$5,2,FALSE())*VLOOKUP($I842,Lists!$H$2:$I$4,2,FALSE())*VLOOKUP($J842,Lists!$K$2:$L$4,2,FALSE()))/VLOOKUP($K842,Lists!$N$2:$O$6,2,FALSE()),2))</f>
        <v/>
      </c>
      <c r="M842" s="63"/>
      <c r="N842" s="63"/>
      <c r="O842" s="62"/>
      <c r="P842" s="63"/>
      <c r="Q842" s="65"/>
      <c r="R842" s="66" t="str">
        <f t="shared" ca="1" si="27"/>
        <v/>
      </c>
      <c r="S842" s="63"/>
      <c r="T842" s="65"/>
      <c r="U842" s="65"/>
      <c r="V842" s="62"/>
      <c r="W842" s="62"/>
      <c r="X842" s="62"/>
      <c r="Y842" s="58"/>
      <c r="Z842" s="58"/>
      <c r="AA842" s="58"/>
    </row>
    <row r="843" spans="1:27" ht="15.75" customHeight="1" x14ac:dyDescent="0.2">
      <c r="A843" s="61" t="str">
        <f t="shared" si="26"/>
        <v/>
      </c>
      <c r="B843" s="62"/>
      <c r="C843" s="62"/>
      <c r="D843" s="62"/>
      <c r="E843" s="62"/>
      <c r="F843" s="63"/>
      <c r="G843" s="63"/>
      <c r="H843" s="63"/>
      <c r="I843" s="63"/>
      <c r="J843" s="63"/>
      <c r="K843" s="63"/>
      <c r="L843" s="64" t="str">
        <f>IF(OR($B843="", $H843="", $I843="", $J843="", $K843=""),"",ROUND((VLOOKUP($H843,Lists!$E$2:$F$5,2,FALSE())*VLOOKUP($I843,Lists!$H$2:$I$4,2,FALSE())*VLOOKUP($J843,Lists!$K$2:$L$4,2,FALSE()))/VLOOKUP($K843,Lists!$N$2:$O$6,2,FALSE()),2))</f>
        <v/>
      </c>
      <c r="M843" s="63"/>
      <c r="N843" s="63"/>
      <c r="O843" s="62"/>
      <c r="P843" s="63"/>
      <c r="Q843" s="65"/>
      <c r="R843" s="66" t="str">
        <f t="shared" ca="1" si="27"/>
        <v/>
      </c>
      <c r="S843" s="63"/>
      <c r="T843" s="65"/>
      <c r="U843" s="65"/>
      <c r="V843" s="62"/>
      <c r="W843" s="62"/>
      <c r="X843" s="62"/>
      <c r="Y843" s="58"/>
      <c r="Z843" s="58"/>
      <c r="AA843" s="58"/>
    </row>
    <row r="844" spans="1:27" ht="15.75" customHeight="1" x14ac:dyDescent="0.2">
      <c r="A844" s="61" t="str">
        <f t="shared" si="26"/>
        <v/>
      </c>
      <c r="B844" s="62"/>
      <c r="C844" s="62"/>
      <c r="D844" s="62"/>
      <c r="E844" s="62"/>
      <c r="F844" s="63"/>
      <c r="G844" s="63"/>
      <c r="H844" s="63"/>
      <c r="I844" s="63"/>
      <c r="J844" s="63"/>
      <c r="K844" s="63"/>
      <c r="L844" s="64" t="str">
        <f>IF(OR($B844="", $H844="", $I844="", $J844="", $K844=""),"",ROUND((VLOOKUP($H844,Lists!$E$2:$F$5,2,FALSE())*VLOOKUP($I844,Lists!$H$2:$I$4,2,FALSE())*VLOOKUP($J844,Lists!$K$2:$L$4,2,FALSE()))/VLOOKUP($K844,Lists!$N$2:$O$6,2,FALSE()),2))</f>
        <v/>
      </c>
      <c r="M844" s="63"/>
      <c r="N844" s="63"/>
      <c r="O844" s="62"/>
      <c r="P844" s="63"/>
      <c r="Q844" s="65"/>
      <c r="R844" s="66" t="str">
        <f t="shared" ca="1" si="27"/>
        <v/>
      </c>
      <c r="S844" s="63"/>
      <c r="T844" s="65"/>
      <c r="U844" s="65"/>
      <c r="V844" s="62"/>
      <c r="W844" s="62"/>
      <c r="X844" s="62"/>
      <c r="Y844" s="58"/>
      <c r="Z844" s="58"/>
      <c r="AA844" s="58"/>
    </row>
    <row r="845" spans="1:27" ht="15.75" customHeight="1" x14ac:dyDescent="0.2">
      <c r="A845" s="61" t="str">
        <f t="shared" si="26"/>
        <v/>
      </c>
      <c r="B845" s="62"/>
      <c r="C845" s="62"/>
      <c r="D845" s="62"/>
      <c r="E845" s="62"/>
      <c r="F845" s="63"/>
      <c r="G845" s="63"/>
      <c r="H845" s="63"/>
      <c r="I845" s="63"/>
      <c r="J845" s="63"/>
      <c r="K845" s="63"/>
      <c r="L845" s="64" t="str">
        <f>IF(OR($B845="", $H845="", $I845="", $J845="", $K845=""),"",ROUND((VLOOKUP($H845,Lists!$E$2:$F$5,2,FALSE())*VLOOKUP($I845,Lists!$H$2:$I$4,2,FALSE())*VLOOKUP($J845,Lists!$K$2:$L$4,2,FALSE()))/VLOOKUP($K845,Lists!$N$2:$O$6,2,FALSE()),2))</f>
        <v/>
      </c>
      <c r="M845" s="63"/>
      <c r="N845" s="63"/>
      <c r="O845" s="62"/>
      <c r="P845" s="63"/>
      <c r="Q845" s="65"/>
      <c r="R845" s="66" t="str">
        <f t="shared" ca="1" si="27"/>
        <v/>
      </c>
      <c r="S845" s="63"/>
      <c r="T845" s="65"/>
      <c r="U845" s="65"/>
      <c r="V845" s="62"/>
      <c r="W845" s="62"/>
      <c r="X845" s="62"/>
      <c r="Y845" s="58"/>
      <c r="Z845" s="58"/>
      <c r="AA845" s="58"/>
    </row>
    <row r="846" spans="1:27" ht="15.75" customHeight="1" x14ac:dyDescent="0.2">
      <c r="A846" s="61" t="str">
        <f t="shared" si="26"/>
        <v/>
      </c>
      <c r="B846" s="62"/>
      <c r="C846" s="62"/>
      <c r="D846" s="62"/>
      <c r="E846" s="62"/>
      <c r="F846" s="63"/>
      <c r="G846" s="63"/>
      <c r="H846" s="63"/>
      <c r="I846" s="63"/>
      <c r="J846" s="63"/>
      <c r="K846" s="63"/>
      <c r="L846" s="64" t="str">
        <f>IF(OR($B846="", $H846="", $I846="", $J846="", $K846=""),"",ROUND((VLOOKUP($H846,Lists!$E$2:$F$5,2,FALSE())*VLOOKUP($I846,Lists!$H$2:$I$4,2,FALSE())*VLOOKUP($J846,Lists!$K$2:$L$4,2,FALSE()))/VLOOKUP($K846,Lists!$N$2:$O$6,2,FALSE()),2))</f>
        <v/>
      </c>
      <c r="M846" s="63"/>
      <c r="N846" s="63"/>
      <c r="O846" s="62"/>
      <c r="P846" s="63"/>
      <c r="Q846" s="65"/>
      <c r="R846" s="66" t="str">
        <f t="shared" ca="1" si="27"/>
        <v/>
      </c>
      <c r="S846" s="63"/>
      <c r="T846" s="65"/>
      <c r="U846" s="65"/>
      <c r="V846" s="62"/>
      <c r="W846" s="62"/>
      <c r="X846" s="62"/>
      <c r="Y846" s="58"/>
      <c r="Z846" s="58"/>
      <c r="AA846" s="58"/>
    </row>
    <row r="847" spans="1:27" ht="15.75" customHeight="1" x14ac:dyDescent="0.2">
      <c r="A847" s="61" t="str">
        <f t="shared" si="26"/>
        <v/>
      </c>
      <c r="B847" s="62"/>
      <c r="C847" s="62"/>
      <c r="D847" s="62"/>
      <c r="E847" s="62"/>
      <c r="F847" s="63"/>
      <c r="G847" s="63"/>
      <c r="H847" s="63"/>
      <c r="I847" s="63"/>
      <c r="J847" s="63"/>
      <c r="K847" s="63"/>
      <c r="L847" s="64" t="str">
        <f>IF(OR($B847="", $H847="", $I847="", $J847="", $K847=""),"",ROUND((VLOOKUP($H847,Lists!$E$2:$F$5,2,FALSE())*VLOOKUP($I847,Lists!$H$2:$I$4,2,FALSE())*VLOOKUP($J847,Lists!$K$2:$L$4,2,FALSE()))/VLOOKUP($K847,Lists!$N$2:$O$6,2,FALSE()),2))</f>
        <v/>
      </c>
      <c r="M847" s="63"/>
      <c r="N847" s="63"/>
      <c r="O847" s="62"/>
      <c r="P847" s="63"/>
      <c r="Q847" s="65"/>
      <c r="R847" s="66" t="str">
        <f t="shared" ca="1" si="27"/>
        <v/>
      </c>
      <c r="S847" s="63"/>
      <c r="T847" s="65"/>
      <c r="U847" s="65"/>
      <c r="V847" s="62"/>
      <c r="W847" s="62"/>
      <c r="X847" s="62"/>
      <c r="Y847" s="58"/>
      <c r="Z847" s="58"/>
      <c r="AA847" s="58"/>
    </row>
    <row r="848" spans="1:27" ht="15.75" customHeight="1" x14ac:dyDescent="0.2">
      <c r="A848" s="61" t="str">
        <f t="shared" si="26"/>
        <v/>
      </c>
      <c r="B848" s="62"/>
      <c r="C848" s="62"/>
      <c r="D848" s="62"/>
      <c r="E848" s="62"/>
      <c r="F848" s="63"/>
      <c r="G848" s="63"/>
      <c r="H848" s="63"/>
      <c r="I848" s="63"/>
      <c r="J848" s="63"/>
      <c r="K848" s="63"/>
      <c r="L848" s="64" t="str">
        <f>IF(OR($B848="", $H848="", $I848="", $J848="", $K848=""),"",ROUND((VLOOKUP($H848,Lists!$E$2:$F$5,2,FALSE())*VLOOKUP($I848,Lists!$H$2:$I$4,2,FALSE())*VLOOKUP($J848,Lists!$K$2:$L$4,2,FALSE()))/VLOOKUP($K848,Lists!$N$2:$O$6,2,FALSE()),2))</f>
        <v/>
      </c>
      <c r="M848" s="63"/>
      <c r="N848" s="63"/>
      <c r="O848" s="62"/>
      <c r="P848" s="63"/>
      <c r="Q848" s="65"/>
      <c r="R848" s="66" t="str">
        <f t="shared" ca="1" si="27"/>
        <v/>
      </c>
      <c r="S848" s="63"/>
      <c r="T848" s="65"/>
      <c r="U848" s="65"/>
      <c r="V848" s="62"/>
      <c r="W848" s="62"/>
      <c r="X848" s="62"/>
      <c r="Y848" s="58"/>
      <c r="Z848" s="58"/>
      <c r="AA848" s="58"/>
    </row>
    <row r="849" spans="1:27" ht="15.75" customHeight="1" x14ac:dyDescent="0.2">
      <c r="A849" s="61" t="str">
        <f t="shared" si="26"/>
        <v/>
      </c>
      <c r="B849" s="62"/>
      <c r="C849" s="62"/>
      <c r="D849" s="62"/>
      <c r="E849" s="62"/>
      <c r="F849" s="63"/>
      <c r="G849" s="63"/>
      <c r="H849" s="63"/>
      <c r="I849" s="63"/>
      <c r="J849" s="63"/>
      <c r="K849" s="63"/>
      <c r="L849" s="64" t="str">
        <f>IF(OR($B849="", $H849="", $I849="", $J849="", $K849=""),"",ROUND((VLOOKUP($H849,Lists!$E$2:$F$5,2,FALSE())*VLOOKUP($I849,Lists!$H$2:$I$4,2,FALSE())*VLOOKUP($J849,Lists!$K$2:$L$4,2,FALSE()))/VLOOKUP($K849,Lists!$N$2:$O$6,2,FALSE()),2))</f>
        <v/>
      </c>
      <c r="M849" s="63"/>
      <c r="N849" s="63"/>
      <c r="O849" s="62"/>
      <c r="P849" s="63"/>
      <c r="Q849" s="65"/>
      <c r="R849" s="66" t="str">
        <f t="shared" ca="1" si="27"/>
        <v/>
      </c>
      <c r="S849" s="63"/>
      <c r="T849" s="65"/>
      <c r="U849" s="65"/>
      <c r="V849" s="62"/>
      <c r="W849" s="62"/>
      <c r="X849" s="62"/>
      <c r="Y849" s="58"/>
      <c r="Z849" s="58"/>
      <c r="AA849" s="58"/>
    </row>
    <row r="850" spans="1:27" ht="15.75" customHeight="1" x14ac:dyDescent="0.2">
      <c r="A850" s="61" t="str">
        <f t="shared" si="26"/>
        <v/>
      </c>
      <c r="B850" s="62"/>
      <c r="C850" s="62"/>
      <c r="D850" s="62"/>
      <c r="E850" s="62"/>
      <c r="F850" s="63"/>
      <c r="G850" s="63"/>
      <c r="H850" s="63"/>
      <c r="I850" s="63"/>
      <c r="J850" s="63"/>
      <c r="K850" s="63"/>
      <c r="L850" s="64" t="str">
        <f>IF(OR($B850="", $H850="", $I850="", $J850="", $K850=""),"",ROUND((VLOOKUP($H850,Lists!$E$2:$F$5,2,FALSE())*VLOOKUP($I850,Lists!$H$2:$I$4,2,FALSE())*VLOOKUP($J850,Lists!$K$2:$L$4,2,FALSE()))/VLOOKUP($K850,Lists!$N$2:$O$6,2,FALSE()),2))</f>
        <v/>
      </c>
      <c r="M850" s="63"/>
      <c r="N850" s="63"/>
      <c r="O850" s="62"/>
      <c r="P850" s="63"/>
      <c r="Q850" s="65"/>
      <c r="R850" s="66" t="str">
        <f t="shared" ca="1" si="27"/>
        <v/>
      </c>
      <c r="S850" s="63"/>
      <c r="T850" s="65"/>
      <c r="U850" s="65"/>
      <c r="V850" s="62"/>
      <c r="W850" s="62"/>
      <c r="X850" s="62"/>
      <c r="Y850" s="58"/>
      <c r="Z850" s="58"/>
      <c r="AA850" s="58"/>
    </row>
    <row r="851" spans="1:27" ht="15.75" customHeight="1" x14ac:dyDescent="0.2">
      <c r="A851" s="61" t="str">
        <f t="shared" si="26"/>
        <v/>
      </c>
      <c r="B851" s="62"/>
      <c r="C851" s="62"/>
      <c r="D851" s="62"/>
      <c r="E851" s="62"/>
      <c r="F851" s="63"/>
      <c r="G851" s="63"/>
      <c r="H851" s="63"/>
      <c r="I851" s="63"/>
      <c r="J851" s="63"/>
      <c r="K851" s="63"/>
      <c r="L851" s="64" t="str">
        <f>IF(OR($B851="", $H851="", $I851="", $J851="", $K851=""),"",ROUND((VLOOKUP($H851,Lists!$E$2:$F$5,2,FALSE())*VLOOKUP($I851,Lists!$H$2:$I$4,2,FALSE())*VLOOKUP($J851,Lists!$K$2:$L$4,2,FALSE()))/VLOOKUP($K851,Lists!$N$2:$O$6,2,FALSE()),2))</f>
        <v/>
      </c>
      <c r="M851" s="63"/>
      <c r="N851" s="63"/>
      <c r="O851" s="62"/>
      <c r="P851" s="63"/>
      <c r="Q851" s="65"/>
      <c r="R851" s="66" t="str">
        <f t="shared" ca="1" si="27"/>
        <v/>
      </c>
      <c r="S851" s="63"/>
      <c r="T851" s="65"/>
      <c r="U851" s="65"/>
      <c r="V851" s="62"/>
      <c r="W851" s="62"/>
      <c r="X851" s="62"/>
      <c r="Y851" s="58"/>
      <c r="Z851" s="58"/>
      <c r="AA851" s="58"/>
    </row>
    <row r="852" spans="1:27" ht="15.75" customHeight="1" x14ac:dyDescent="0.2">
      <c r="A852" s="61" t="str">
        <f t="shared" si="26"/>
        <v/>
      </c>
      <c r="B852" s="62"/>
      <c r="C852" s="62"/>
      <c r="D852" s="62"/>
      <c r="E852" s="62"/>
      <c r="F852" s="63"/>
      <c r="G852" s="63"/>
      <c r="H852" s="63"/>
      <c r="I852" s="63"/>
      <c r="J852" s="63"/>
      <c r="K852" s="63"/>
      <c r="L852" s="64" t="str">
        <f>IF(OR($B852="", $H852="", $I852="", $J852="", $K852=""),"",ROUND((VLOOKUP($H852,Lists!$E$2:$F$5,2,FALSE())*VLOOKUP($I852,Lists!$H$2:$I$4,2,FALSE())*VLOOKUP($J852,Lists!$K$2:$L$4,2,FALSE()))/VLOOKUP($K852,Lists!$N$2:$O$6,2,FALSE()),2))</f>
        <v/>
      </c>
      <c r="M852" s="63"/>
      <c r="N852" s="63"/>
      <c r="O852" s="62"/>
      <c r="P852" s="63"/>
      <c r="Q852" s="65"/>
      <c r="R852" s="66" t="str">
        <f t="shared" ca="1" si="27"/>
        <v/>
      </c>
      <c r="S852" s="63"/>
      <c r="T852" s="65"/>
      <c r="U852" s="65"/>
      <c r="V852" s="62"/>
      <c r="W852" s="62"/>
      <c r="X852" s="62"/>
      <c r="Y852" s="58"/>
      <c r="Z852" s="58"/>
      <c r="AA852" s="58"/>
    </row>
    <row r="853" spans="1:27" ht="15.75" customHeight="1" x14ac:dyDescent="0.2">
      <c r="A853" s="61" t="str">
        <f t="shared" si="26"/>
        <v/>
      </c>
      <c r="B853" s="62"/>
      <c r="C853" s="62"/>
      <c r="D853" s="62"/>
      <c r="E853" s="62"/>
      <c r="F853" s="63"/>
      <c r="G853" s="63"/>
      <c r="H853" s="63"/>
      <c r="I853" s="63"/>
      <c r="J853" s="63"/>
      <c r="K853" s="63"/>
      <c r="L853" s="64" t="str">
        <f>IF(OR($B853="", $H853="", $I853="", $J853="", $K853=""),"",ROUND((VLOOKUP($H853,Lists!$E$2:$F$5,2,FALSE())*VLOOKUP($I853,Lists!$H$2:$I$4,2,FALSE())*VLOOKUP($J853,Lists!$K$2:$L$4,2,FALSE()))/VLOOKUP($K853,Lists!$N$2:$O$6,2,FALSE()),2))</f>
        <v/>
      </c>
      <c r="M853" s="63"/>
      <c r="N853" s="63"/>
      <c r="O853" s="62"/>
      <c r="P853" s="63"/>
      <c r="Q853" s="65"/>
      <c r="R853" s="66" t="str">
        <f t="shared" ca="1" si="27"/>
        <v/>
      </c>
      <c r="S853" s="63"/>
      <c r="T853" s="65"/>
      <c r="U853" s="65"/>
      <c r="V853" s="62"/>
      <c r="W853" s="62"/>
      <c r="X853" s="62"/>
      <c r="Y853" s="58"/>
      <c r="Z853" s="58"/>
      <c r="AA853" s="58"/>
    </row>
    <row r="854" spans="1:27" ht="15.75" customHeight="1" x14ac:dyDescent="0.2">
      <c r="A854" s="61" t="str">
        <f t="shared" si="26"/>
        <v/>
      </c>
      <c r="B854" s="62"/>
      <c r="C854" s="62"/>
      <c r="D854" s="62"/>
      <c r="E854" s="62"/>
      <c r="F854" s="63"/>
      <c r="G854" s="63"/>
      <c r="H854" s="63"/>
      <c r="I854" s="63"/>
      <c r="J854" s="63"/>
      <c r="K854" s="63"/>
      <c r="L854" s="64" t="str">
        <f>IF(OR($B854="", $H854="", $I854="", $J854="", $K854=""),"",ROUND((VLOOKUP($H854,Lists!$E$2:$F$5,2,FALSE())*VLOOKUP($I854,Lists!$H$2:$I$4,2,FALSE())*VLOOKUP($J854,Lists!$K$2:$L$4,2,FALSE()))/VLOOKUP($K854,Lists!$N$2:$O$6,2,FALSE()),2))</f>
        <v/>
      </c>
      <c r="M854" s="63"/>
      <c r="N854" s="63"/>
      <c r="O854" s="62"/>
      <c r="P854" s="63"/>
      <c r="Q854" s="65"/>
      <c r="R854" s="66" t="str">
        <f t="shared" ca="1" si="27"/>
        <v/>
      </c>
      <c r="S854" s="63"/>
      <c r="T854" s="65"/>
      <c r="U854" s="65"/>
      <c r="V854" s="62"/>
      <c r="W854" s="62"/>
      <c r="X854" s="62"/>
      <c r="Y854" s="58"/>
      <c r="Z854" s="58"/>
      <c r="AA854" s="58"/>
    </row>
    <row r="855" spans="1:27" ht="15.75" customHeight="1" x14ac:dyDescent="0.2">
      <c r="A855" s="61" t="str">
        <f t="shared" si="26"/>
        <v/>
      </c>
      <c r="B855" s="62"/>
      <c r="C855" s="62"/>
      <c r="D855" s="62"/>
      <c r="E855" s="62"/>
      <c r="F855" s="63"/>
      <c r="G855" s="63"/>
      <c r="H855" s="63"/>
      <c r="I855" s="63"/>
      <c r="J855" s="63"/>
      <c r="K855" s="63"/>
      <c r="L855" s="64" t="str">
        <f>IF(OR($B855="", $H855="", $I855="", $J855="", $K855=""),"",ROUND((VLOOKUP($H855,Lists!$E$2:$F$5,2,FALSE())*VLOOKUP($I855,Lists!$H$2:$I$4,2,FALSE())*VLOOKUP($J855,Lists!$K$2:$L$4,2,FALSE()))/VLOOKUP($K855,Lists!$N$2:$O$6,2,FALSE()),2))</f>
        <v/>
      </c>
      <c r="M855" s="63"/>
      <c r="N855" s="63"/>
      <c r="O855" s="62"/>
      <c r="P855" s="63"/>
      <c r="Q855" s="65"/>
      <c r="R855" s="66" t="str">
        <f t="shared" ca="1" si="27"/>
        <v/>
      </c>
      <c r="S855" s="63"/>
      <c r="T855" s="65"/>
      <c r="U855" s="65"/>
      <c r="V855" s="62"/>
      <c r="W855" s="62"/>
      <c r="X855" s="62"/>
      <c r="Y855" s="58"/>
      <c r="Z855" s="58"/>
      <c r="AA855" s="58"/>
    </row>
    <row r="856" spans="1:27" ht="15.75" customHeight="1" x14ac:dyDescent="0.2">
      <c r="A856" s="61" t="str">
        <f t="shared" si="26"/>
        <v/>
      </c>
      <c r="B856" s="62"/>
      <c r="C856" s="62"/>
      <c r="D856" s="62"/>
      <c r="E856" s="62"/>
      <c r="F856" s="63"/>
      <c r="G856" s="63"/>
      <c r="H856" s="63"/>
      <c r="I856" s="63"/>
      <c r="J856" s="63"/>
      <c r="K856" s="63"/>
      <c r="L856" s="64" t="str">
        <f>IF(OR($B856="", $H856="", $I856="", $J856="", $K856=""),"",ROUND((VLOOKUP($H856,Lists!$E$2:$F$5,2,FALSE())*VLOOKUP($I856,Lists!$H$2:$I$4,2,FALSE())*VLOOKUP($J856,Lists!$K$2:$L$4,2,FALSE()))/VLOOKUP($K856,Lists!$N$2:$O$6,2,FALSE()),2))</f>
        <v/>
      </c>
      <c r="M856" s="63"/>
      <c r="N856" s="63"/>
      <c r="O856" s="62"/>
      <c r="P856" s="63"/>
      <c r="Q856" s="65"/>
      <c r="R856" s="66" t="str">
        <f t="shared" ca="1" si="27"/>
        <v/>
      </c>
      <c r="S856" s="63"/>
      <c r="T856" s="65"/>
      <c r="U856" s="65"/>
      <c r="V856" s="62"/>
      <c r="W856" s="62"/>
      <c r="X856" s="62"/>
      <c r="Y856" s="58"/>
      <c r="Z856" s="58"/>
      <c r="AA856" s="58"/>
    </row>
    <row r="857" spans="1:27" ht="15.75" customHeight="1" x14ac:dyDescent="0.2">
      <c r="A857" s="61" t="str">
        <f t="shared" si="26"/>
        <v/>
      </c>
      <c r="B857" s="62"/>
      <c r="C857" s="62"/>
      <c r="D857" s="62"/>
      <c r="E857" s="62"/>
      <c r="F857" s="63"/>
      <c r="G857" s="63"/>
      <c r="H857" s="63"/>
      <c r="I857" s="63"/>
      <c r="J857" s="63"/>
      <c r="K857" s="63"/>
      <c r="L857" s="64" t="str">
        <f>IF(OR($B857="", $H857="", $I857="", $J857="", $K857=""),"",ROUND((VLOOKUP($H857,Lists!$E$2:$F$5,2,FALSE())*VLOOKUP($I857,Lists!$H$2:$I$4,2,FALSE())*VLOOKUP($J857,Lists!$K$2:$L$4,2,FALSE()))/VLOOKUP($K857,Lists!$N$2:$O$6,2,FALSE()),2))</f>
        <v/>
      </c>
      <c r="M857" s="63"/>
      <c r="N857" s="63"/>
      <c r="O857" s="62"/>
      <c r="P857" s="63"/>
      <c r="Q857" s="65"/>
      <c r="R857" s="66" t="str">
        <f t="shared" ca="1" si="27"/>
        <v/>
      </c>
      <c r="S857" s="63"/>
      <c r="T857" s="65"/>
      <c r="U857" s="65"/>
      <c r="V857" s="62"/>
      <c r="W857" s="62"/>
      <c r="X857" s="62"/>
      <c r="Y857" s="58"/>
      <c r="Z857" s="58"/>
      <c r="AA857" s="58"/>
    </row>
    <row r="858" spans="1:27" ht="15.75" customHeight="1" x14ac:dyDescent="0.2">
      <c r="A858" s="61" t="str">
        <f t="shared" si="26"/>
        <v/>
      </c>
      <c r="B858" s="62"/>
      <c r="C858" s="62"/>
      <c r="D858" s="62"/>
      <c r="E858" s="62"/>
      <c r="F858" s="63"/>
      <c r="G858" s="63"/>
      <c r="H858" s="63"/>
      <c r="I858" s="63"/>
      <c r="J858" s="63"/>
      <c r="K858" s="63"/>
      <c r="L858" s="64" t="str">
        <f>IF(OR($B858="", $H858="", $I858="", $J858="", $K858=""),"",ROUND((VLOOKUP($H858,Lists!$E$2:$F$5,2,FALSE())*VLOOKUP($I858,Lists!$H$2:$I$4,2,FALSE())*VLOOKUP($J858,Lists!$K$2:$L$4,2,FALSE()))/VLOOKUP($K858,Lists!$N$2:$O$6,2,FALSE()),2))</f>
        <v/>
      </c>
      <c r="M858" s="63"/>
      <c r="N858" s="63"/>
      <c r="O858" s="62"/>
      <c r="P858" s="63"/>
      <c r="Q858" s="65"/>
      <c r="R858" s="66" t="str">
        <f t="shared" ca="1" si="27"/>
        <v/>
      </c>
      <c r="S858" s="63"/>
      <c r="T858" s="65"/>
      <c r="U858" s="65"/>
      <c r="V858" s="62"/>
      <c r="W858" s="62"/>
      <c r="X858" s="62"/>
      <c r="Y858" s="58"/>
      <c r="Z858" s="58"/>
      <c r="AA858" s="58"/>
    </row>
    <row r="859" spans="1:27" ht="15.75" customHeight="1" x14ac:dyDescent="0.2">
      <c r="A859" s="61" t="str">
        <f t="shared" si="26"/>
        <v/>
      </c>
      <c r="B859" s="62"/>
      <c r="C859" s="62"/>
      <c r="D859" s="62"/>
      <c r="E859" s="62"/>
      <c r="F859" s="63"/>
      <c r="G859" s="63"/>
      <c r="H859" s="63"/>
      <c r="I859" s="63"/>
      <c r="J859" s="63"/>
      <c r="K859" s="63"/>
      <c r="L859" s="64" t="str">
        <f>IF(OR($B859="", $H859="", $I859="", $J859="", $K859=""),"",ROUND((VLOOKUP($H859,Lists!$E$2:$F$5,2,FALSE())*VLOOKUP($I859,Lists!$H$2:$I$4,2,FALSE())*VLOOKUP($J859,Lists!$K$2:$L$4,2,FALSE()))/VLOOKUP($K859,Lists!$N$2:$O$6,2,FALSE()),2))</f>
        <v/>
      </c>
      <c r="M859" s="63"/>
      <c r="N859" s="63"/>
      <c r="O859" s="62"/>
      <c r="P859" s="63"/>
      <c r="Q859" s="65"/>
      <c r="R859" s="66" t="str">
        <f t="shared" ca="1" si="27"/>
        <v/>
      </c>
      <c r="S859" s="63"/>
      <c r="T859" s="65"/>
      <c r="U859" s="65"/>
      <c r="V859" s="62"/>
      <c r="W859" s="62"/>
      <c r="X859" s="62"/>
      <c r="Y859" s="58"/>
      <c r="Z859" s="58"/>
      <c r="AA859" s="58"/>
    </row>
    <row r="860" spans="1:27" ht="15.75" customHeight="1" x14ac:dyDescent="0.2">
      <c r="A860" s="61" t="str">
        <f t="shared" si="26"/>
        <v/>
      </c>
      <c r="B860" s="62"/>
      <c r="C860" s="62"/>
      <c r="D860" s="62"/>
      <c r="E860" s="62"/>
      <c r="F860" s="63"/>
      <c r="G860" s="63"/>
      <c r="H860" s="63"/>
      <c r="I860" s="63"/>
      <c r="J860" s="63"/>
      <c r="K860" s="63"/>
      <c r="L860" s="64" t="str">
        <f>IF(OR($B860="", $H860="", $I860="", $J860="", $K860=""),"",ROUND((VLOOKUP($H860,Lists!$E$2:$F$5,2,FALSE())*VLOOKUP($I860,Lists!$H$2:$I$4,2,FALSE())*VLOOKUP($J860,Lists!$K$2:$L$4,2,FALSE()))/VLOOKUP($K860,Lists!$N$2:$O$6,2,FALSE()),2))</f>
        <v/>
      </c>
      <c r="M860" s="63"/>
      <c r="N860" s="63"/>
      <c r="O860" s="62"/>
      <c r="P860" s="63"/>
      <c r="Q860" s="65"/>
      <c r="R860" s="66" t="str">
        <f t="shared" ca="1" si="27"/>
        <v/>
      </c>
      <c r="S860" s="63"/>
      <c r="T860" s="65"/>
      <c r="U860" s="65"/>
      <c r="V860" s="62"/>
      <c r="W860" s="62"/>
      <c r="X860" s="62"/>
      <c r="Y860" s="58"/>
      <c r="Z860" s="58"/>
      <c r="AA860" s="58"/>
    </row>
    <row r="861" spans="1:27" ht="15.75" customHeight="1" x14ac:dyDescent="0.2">
      <c r="A861" s="61" t="str">
        <f t="shared" si="26"/>
        <v/>
      </c>
      <c r="B861" s="62"/>
      <c r="C861" s="62"/>
      <c r="D861" s="62"/>
      <c r="E861" s="62"/>
      <c r="F861" s="63"/>
      <c r="G861" s="63"/>
      <c r="H861" s="63"/>
      <c r="I861" s="63"/>
      <c r="J861" s="63"/>
      <c r="K861" s="63"/>
      <c r="L861" s="64" t="str">
        <f>IF(OR($B861="", $H861="", $I861="", $J861="", $K861=""),"",ROUND((VLOOKUP($H861,Lists!$E$2:$F$5,2,FALSE())*VLOOKUP($I861,Lists!$H$2:$I$4,2,FALSE())*VLOOKUP($J861,Lists!$K$2:$L$4,2,FALSE()))/VLOOKUP($K861,Lists!$N$2:$O$6,2,FALSE()),2))</f>
        <v/>
      </c>
      <c r="M861" s="63"/>
      <c r="N861" s="63"/>
      <c r="O861" s="62"/>
      <c r="P861" s="63"/>
      <c r="Q861" s="65"/>
      <c r="R861" s="66" t="str">
        <f t="shared" ca="1" si="27"/>
        <v/>
      </c>
      <c r="S861" s="63"/>
      <c r="T861" s="65"/>
      <c r="U861" s="65"/>
      <c r="V861" s="62"/>
      <c r="W861" s="62"/>
      <c r="X861" s="62"/>
      <c r="Y861" s="58"/>
      <c r="Z861" s="58"/>
      <c r="AA861" s="58"/>
    </row>
    <row r="862" spans="1:27" ht="15.75" customHeight="1" x14ac:dyDescent="0.2">
      <c r="A862" s="61" t="str">
        <f t="shared" si="26"/>
        <v/>
      </c>
      <c r="B862" s="62"/>
      <c r="C862" s="62"/>
      <c r="D862" s="62"/>
      <c r="E862" s="62"/>
      <c r="F862" s="63"/>
      <c r="G862" s="63"/>
      <c r="H862" s="63"/>
      <c r="I862" s="63"/>
      <c r="J862" s="63"/>
      <c r="K862" s="63"/>
      <c r="L862" s="64" t="str">
        <f>IF(OR($B862="", $H862="", $I862="", $J862="", $K862=""),"",ROUND((VLOOKUP($H862,Lists!$E$2:$F$5,2,FALSE())*VLOOKUP($I862,Lists!$H$2:$I$4,2,FALSE())*VLOOKUP($J862,Lists!$K$2:$L$4,2,FALSE()))/VLOOKUP($K862,Lists!$N$2:$O$6,2,FALSE()),2))</f>
        <v/>
      </c>
      <c r="M862" s="63"/>
      <c r="N862" s="63"/>
      <c r="O862" s="62"/>
      <c r="P862" s="63"/>
      <c r="Q862" s="65"/>
      <c r="R862" s="66" t="str">
        <f t="shared" ca="1" si="27"/>
        <v/>
      </c>
      <c r="S862" s="63"/>
      <c r="T862" s="65"/>
      <c r="U862" s="65"/>
      <c r="V862" s="62"/>
      <c r="W862" s="62"/>
      <c r="X862" s="62"/>
      <c r="Y862" s="58"/>
      <c r="Z862" s="58"/>
      <c r="AA862" s="58"/>
    </row>
    <row r="863" spans="1:27" ht="15.75" customHeight="1" x14ac:dyDescent="0.2">
      <c r="A863" s="61" t="str">
        <f t="shared" si="26"/>
        <v/>
      </c>
      <c r="B863" s="62"/>
      <c r="C863" s="62"/>
      <c r="D863" s="62"/>
      <c r="E863" s="62"/>
      <c r="F863" s="63"/>
      <c r="G863" s="63"/>
      <c r="H863" s="63"/>
      <c r="I863" s="63"/>
      <c r="J863" s="63"/>
      <c r="K863" s="63"/>
      <c r="L863" s="64" t="str">
        <f>IF(OR($B863="", $H863="", $I863="", $J863="", $K863=""),"",ROUND((VLOOKUP($H863,Lists!$E$2:$F$5,2,FALSE())*VLOOKUP($I863,Lists!$H$2:$I$4,2,FALSE())*VLOOKUP($J863,Lists!$K$2:$L$4,2,FALSE()))/VLOOKUP($K863,Lists!$N$2:$O$6,2,FALSE()),2))</f>
        <v/>
      </c>
      <c r="M863" s="63"/>
      <c r="N863" s="63"/>
      <c r="O863" s="62"/>
      <c r="P863" s="63"/>
      <c r="Q863" s="65"/>
      <c r="R863" s="66" t="str">
        <f t="shared" ca="1" si="27"/>
        <v/>
      </c>
      <c r="S863" s="63"/>
      <c r="T863" s="65"/>
      <c r="U863" s="65"/>
      <c r="V863" s="62"/>
      <c r="W863" s="62"/>
      <c r="X863" s="62"/>
      <c r="Y863" s="58"/>
      <c r="Z863" s="58"/>
      <c r="AA863" s="58"/>
    </row>
    <row r="864" spans="1:27" ht="15.75" customHeight="1" x14ac:dyDescent="0.2">
      <c r="A864" s="61" t="str">
        <f t="shared" si="26"/>
        <v/>
      </c>
      <c r="B864" s="62"/>
      <c r="C864" s="62"/>
      <c r="D864" s="62"/>
      <c r="E864" s="62"/>
      <c r="F864" s="63"/>
      <c r="G864" s="63"/>
      <c r="H864" s="63"/>
      <c r="I864" s="63"/>
      <c r="J864" s="63"/>
      <c r="K864" s="63"/>
      <c r="L864" s="64" t="str">
        <f>IF(OR($B864="", $H864="", $I864="", $J864="", $K864=""),"",ROUND((VLOOKUP($H864,Lists!$E$2:$F$5,2,FALSE())*VLOOKUP($I864,Lists!$H$2:$I$4,2,FALSE())*VLOOKUP($J864,Lists!$K$2:$L$4,2,FALSE()))/VLOOKUP($K864,Lists!$N$2:$O$6,2,FALSE()),2))</f>
        <v/>
      </c>
      <c r="M864" s="63"/>
      <c r="N864" s="63"/>
      <c r="O864" s="62"/>
      <c r="P864" s="63"/>
      <c r="Q864" s="65"/>
      <c r="R864" s="66" t="str">
        <f t="shared" ca="1" si="27"/>
        <v/>
      </c>
      <c r="S864" s="63"/>
      <c r="T864" s="65"/>
      <c r="U864" s="65"/>
      <c r="V864" s="62"/>
      <c r="W864" s="62"/>
      <c r="X864" s="62"/>
      <c r="Y864" s="58"/>
      <c r="Z864" s="58"/>
      <c r="AA864" s="58"/>
    </row>
    <row r="865" spans="1:27" ht="15.75" customHeight="1" x14ac:dyDescent="0.2">
      <c r="A865" s="61" t="str">
        <f t="shared" si="26"/>
        <v/>
      </c>
      <c r="B865" s="62"/>
      <c r="C865" s="62"/>
      <c r="D865" s="62"/>
      <c r="E865" s="62"/>
      <c r="F865" s="63"/>
      <c r="G865" s="63"/>
      <c r="H865" s="63"/>
      <c r="I865" s="63"/>
      <c r="J865" s="63"/>
      <c r="K865" s="63"/>
      <c r="L865" s="64" t="str">
        <f>IF(OR($B865="", $H865="", $I865="", $J865="", $K865=""),"",ROUND((VLOOKUP($H865,Lists!$E$2:$F$5,2,FALSE())*VLOOKUP($I865,Lists!$H$2:$I$4,2,FALSE())*VLOOKUP($J865,Lists!$K$2:$L$4,2,FALSE()))/VLOOKUP($K865,Lists!$N$2:$O$6,2,FALSE()),2))</f>
        <v/>
      </c>
      <c r="M865" s="63"/>
      <c r="N865" s="63"/>
      <c r="O865" s="62"/>
      <c r="P865" s="63"/>
      <c r="Q865" s="65"/>
      <c r="R865" s="66" t="str">
        <f t="shared" ca="1" si="27"/>
        <v/>
      </c>
      <c r="S865" s="63"/>
      <c r="T865" s="65"/>
      <c r="U865" s="65"/>
      <c r="V865" s="62"/>
      <c r="W865" s="62"/>
      <c r="X865" s="62"/>
      <c r="Y865" s="58"/>
      <c r="Z865" s="58"/>
      <c r="AA865" s="58"/>
    </row>
    <row r="866" spans="1:27" ht="15.75" customHeight="1" x14ac:dyDescent="0.2">
      <c r="A866" s="61" t="str">
        <f t="shared" si="26"/>
        <v/>
      </c>
      <c r="B866" s="62"/>
      <c r="C866" s="62"/>
      <c r="D866" s="62"/>
      <c r="E866" s="62"/>
      <c r="F866" s="63"/>
      <c r="G866" s="63"/>
      <c r="H866" s="63"/>
      <c r="I866" s="63"/>
      <c r="J866" s="63"/>
      <c r="K866" s="63"/>
      <c r="L866" s="64" t="str">
        <f>IF(OR($B866="", $H866="", $I866="", $J866="", $K866=""),"",ROUND((VLOOKUP($H866,Lists!$E$2:$F$5,2,FALSE())*VLOOKUP($I866,Lists!$H$2:$I$4,2,FALSE())*VLOOKUP($J866,Lists!$K$2:$L$4,2,FALSE()))/VLOOKUP($K866,Lists!$N$2:$O$6,2,FALSE()),2))</f>
        <v/>
      </c>
      <c r="M866" s="63"/>
      <c r="N866" s="63"/>
      <c r="O866" s="62"/>
      <c r="P866" s="63"/>
      <c r="Q866" s="65"/>
      <c r="R866" s="66" t="str">
        <f t="shared" ca="1" si="27"/>
        <v/>
      </c>
      <c r="S866" s="63"/>
      <c r="T866" s="65"/>
      <c r="U866" s="65"/>
      <c r="V866" s="62"/>
      <c r="W866" s="62"/>
      <c r="X866" s="62"/>
      <c r="Y866" s="58"/>
      <c r="Z866" s="58"/>
      <c r="AA866" s="58"/>
    </row>
    <row r="867" spans="1:27" ht="15.75" customHeight="1" x14ac:dyDescent="0.2">
      <c r="A867" s="61" t="str">
        <f t="shared" si="26"/>
        <v/>
      </c>
      <c r="B867" s="62"/>
      <c r="C867" s="62"/>
      <c r="D867" s="62"/>
      <c r="E867" s="62"/>
      <c r="F867" s="63"/>
      <c r="G867" s="63"/>
      <c r="H867" s="63"/>
      <c r="I867" s="63"/>
      <c r="J867" s="63"/>
      <c r="K867" s="63"/>
      <c r="L867" s="64" t="str">
        <f>IF(OR($B867="", $H867="", $I867="", $J867="", $K867=""),"",ROUND((VLOOKUP($H867,Lists!$E$2:$F$5,2,FALSE())*VLOOKUP($I867,Lists!$H$2:$I$4,2,FALSE())*VLOOKUP($J867,Lists!$K$2:$L$4,2,FALSE()))/VLOOKUP($K867,Lists!$N$2:$O$6,2,FALSE()),2))</f>
        <v/>
      </c>
      <c r="M867" s="63"/>
      <c r="N867" s="63"/>
      <c r="O867" s="62"/>
      <c r="P867" s="63"/>
      <c r="Q867" s="65"/>
      <c r="R867" s="66" t="str">
        <f t="shared" ca="1" si="27"/>
        <v/>
      </c>
      <c r="S867" s="63"/>
      <c r="T867" s="65"/>
      <c r="U867" s="65"/>
      <c r="V867" s="62"/>
      <c r="W867" s="62"/>
      <c r="X867" s="62"/>
      <c r="Y867" s="58"/>
      <c r="Z867" s="58"/>
      <c r="AA867" s="58"/>
    </row>
    <row r="868" spans="1:27" ht="15.75" customHeight="1" x14ac:dyDescent="0.2">
      <c r="A868" s="61" t="str">
        <f t="shared" si="26"/>
        <v/>
      </c>
      <c r="B868" s="62"/>
      <c r="C868" s="62"/>
      <c r="D868" s="62"/>
      <c r="E868" s="62"/>
      <c r="F868" s="63"/>
      <c r="G868" s="63"/>
      <c r="H868" s="63"/>
      <c r="I868" s="63"/>
      <c r="J868" s="63"/>
      <c r="K868" s="63"/>
      <c r="L868" s="64" t="str">
        <f>IF(OR($B868="", $H868="", $I868="", $J868="", $K868=""),"",ROUND((VLOOKUP($H868,Lists!$E$2:$F$5,2,FALSE())*VLOOKUP($I868,Lists!$H$2:$I$4,2,FALSE())*VLOOKUP($J868,Lists!$K$2:$L$4,2,FALSE()))/VLOOKUP($K868,Lists!$N$2:$O$6,2,FALSE()),2))</f>
        <v/>
      </c>
      <c r="M868" s="63"/>
      <c r="N868" s="63"/>
      <c r="O868" s="62"/>
      <c r="P868" s="63"/>
      <c r="Q868" s="65"/>
      <c r="R868" s="66" t="str">
        <f t="shared" ca="1" si="27"/>
        <v/>
      </c>
      <c r="S868" s="63"/>
      <c r="T868" s="65"/>
      <c r="U868" s="65"/>
      <c r="V868" s="62"/>
      <c r="W868" s="62"/>
      <c r="X868" s="62"/>
      <c r="Y868" s="58"/>
      <c r="Z868" s="58"/>
      <c r="AA868" s="58"/>
    </row>
    <row r="869" spans="1:27" ht="15.75" customHeight="1" x14ac:dyDescent="0.2">
      <c r="A869" s="61" t="str">
        <f t="shared" si="26"/>
        <v/>
      </c>
      <c r="B869" s="62"/>
      <c r="C869" s="62"/>
      <c r="D869" s="62"/>
      <c r="E869" s="62"/>
      <c r="F869" s="63"/>
      <c r="G869" s="63"/>
      <c r="H869" s="63"/>
      <c r="I869" s="63"/>
      <c r="J869" s="63"/>
      <c r="K869" s="63"/>
      <c r="L869" s="64" t="str">
        <f>IF(OR($B869="", $H869="", $I869="", $J869="", $K869=""),"",ROUND((VLOOKUP($H869,Lists!$E$2:$F$5,2,FALSE())*VLOOKUP($I869,Lists!$H$2:$I$4,2,FALSE())*VLOOKUP($J869,Lists!$K$2:$L$4,2,FALSE()))/VLOOKUP($K869,Lists!$N$2:$O$6,2,FALSE()),2))</f>
        <v/>
      </c>
      <c r="M869" s="63"/>
      <c r="N869" s="63"/>
      <c r="O869" s="62"/>
      <c r="P869" s="63"/>
      <c r="Q869" s="65"/>
      <c r="R869" s="66" t="str">
        <f t="shared" ca="1" si="27"/>
        <v/>
      </c>
      <c r="S869" s="63"/>
      <c r="T869" s="65"/>
      <c r="U869" s="65"/>
      <c r="V869" s="62"/>
      <c r="W869" s="62"/>
      <c r="X869" s="62"/>
      <c r="Y869" s="58"/>
      <c r="Z869" s="58"/>
      <c r="AA869" s="58"/>
    </row>
    <row r="870" spans="1:27" ht="15.75" customHeight="1" x14ac:dyDescent="0.2">
      <c r="A870" s="61" t="str">
        <f t="shared" si="26"/>
        <v/>
      </c>
      <c r="B870" s="62"/>
      <c r="C870" s="62"/>
      <c r="D870" s="62"/>
      <c r="E870" s="62"/>
      <c r="F870" s="63"/>
      <c r="G870" s="63"/>
      <c r="H870" s="63"/>
      <c r="I870" s="63"/>
      <c r="J870" s="63"/>
      <c r="K870" s="63"/>
      <c r="L870" s="64" t="str">
        <f>IF(OR($B870="", $H870="", $I870="", $J870="", $K870=""),"",ROUND((VLOOKUP($H870,Lists!$E$2:$F$5,2,FALSE())*VLOOKUP($I870,Lists!$H$2:$I$4,2,FALSE())*VLOOKUP($J870,Lists!$K$2:$L$4,2,FALSE()))/VLOOKUP($K870,Lists!$N$2:$O$6,2,FALSE()),2))</f>
        <v/>
      </c>
      <c r="M870" s="63"/>
      <c r="N870" s="63"/>
      <c r="O870" s="62"/>
      <c r="P870" s="63"/>
      <c r="Q870" s="65"/>
      <c r="R870" s="66" t="str">
        <f t="shared" ca="1" si="27"/>
        <v/>
      </c>
      <c r="S870" s="63"/>
      <c r="T870" s="65"/>
      <c r="U870" s="65"/>
      <c r="V870" s="62"/>
      <c r="W870" s="62"/>
      <c r="X870" s="62"/>
      <c r="Y870" s="58"/>
      <c r="Z870" s="58"/>
      <c r="AA870" s="58"/>
    </row>
    <row r="871" spans="1:27" ht="15.75" customHeight="1" x14ac:dyDescent="0.2">
      <c r="A871" s="61" t="str">
        <f t="shared" si="26"/>
        <v/>
      </c>
      <c r="B871" s="62"/>
      <c r="C871" s="62"/>
      <c r="D871" s="62"/>
      <c r="E871" s="62"/>
      <c r="F871" s="63"/>
      <c r="G871" s="63"/>
      <c r="H871" s="63"/>
      <c r="I871" s="63"/>
      <c r="J871" s="63"/>
      <c r="K871" s="63"/>
      <c r="L871" s="64" t="str">
        <f>IF(OR($B871="", $H871="", $I871="", $J871="", $K871=""),"",ROUND((VLOOKUP($H871,Lists!$E$2:$F$5,2,FALSE())*VLOOKUP($I871,Lists!$H$2:$I$4,2,FALSE())*VLOOKUP($J871,Lists!$K$2:$L$4,2,FALSE()))/VLOOKUP($K871,Lists!$N$2:$O$6,2,FALSE()),2))</f>
        <v/>
      </c>
      <c r="M871" s="63"/>
      <c r="N871" s="63"/>
      <c r="O871" s="62"/>
      <c r="P871" s="63"/>
      <c r="Q871" s="65"/>
      <c r="R871" s="66" t="str">
        <f t="shared" ca="1" si="27"/>
        <v/>
      </c>
      <c r="S871" s="63"/>
      <c r="T871" s="65"/>
      <c r="U871" s="65"/>
      <c r="V871" s="62"/>
      <c r="W871" s="62"/>
      <c r="X871" s="62"/>
      <c r="Y871" s="58"/>
      <c r="Z871" s="58"/>
      <c r="AA871" s="58"/>
    </row>
    <row r="872" spans="1:27" ht="15.75" customHeight="1" x14ac:dyDescent="0.2">
      <c r="A872" s="61" t="str">
        <f t="shared" si="26"/>
        <v/>
      </c>
      <c r="B872" s="62"/>
      <c r="C872" s="62"/>
      <c r="D872" s="62"/>
      <c r="E872" s="62"/>
      <c r="F872" s="63"/>
      <c r="G872" s="63"/>
      <c r="H872" s="63"/>
      <c r="I872" s="63"/>
      <c r="J872" s="63"/>
      <c r="K872" s="63"/>
      <c r="L872" s="64" t="str">
        <f>IF(OR($B872="", $H872="", $I872="", $J872="", $K872=""),"",ROUND((VLOOKUP($H872,Lists!$E$2:$F$5,2,FALSE())*VLOOKUP($I872,Lists!$H$2:$I$4,2,FALSE())*VLOOKUP($J872,Lists!$K$2:$L$4,2,FALSE()))/VLOOKUP($K872,Lists!$N$2:$O$6,2,FALSE()),2))</f>
        <v/>
      </c>
      <c r="M872" s="63"/>
      <c r="N872" s="63"/>
      <c r="O872" s="62"/>
      <c r="P872" s="63"/>
      <c r="Q872" s="65"/>
      <c r="R872" s="66" t="str">
        <f t="shared" ca="1" si="27"/>
        <v/>
      </c>
      <c r="S872" s="63"/>
      <c r="T872" s="65"/>
      <c r="U872" s="65"/>
      <c r="V872" s="62"/>
      <c r="W872" s="62"/>
      <c r="X872" s="62"/>
      <c r="Y872" s="58"/>
      <c r="Z872" s="58"/>
      <c r="AA872" s="58"/>
    </row>
    <row r="873" spans="1:27" ht="15.75" customHeight="1" x14ac:dyDescent="0.2">
      <c r="A873" s="61" t="str">
        <f t="shared" si="26"/>
        <v/>
      </c>
      <c r="B873" s="62"/>
      <c r="C873" s="62"/>
      <c r="D873" s="62"/>
      <c r="E873" s="62"/>
      <c r="F873" s="63"/>
      <c r="G873" s="63"/>
      <c r="H873" s="63"/>
      <c r="I873" s="63"/>
      <c r="J873" s="63"/>
      <c r="K873" s="63"/>
      <c r="L873" s="64" t="str">
        <f>IF(OR($B873="", $H873="", $I873="", $J873="", $K873=""),"",ROUND((VLOOKUP($H873,Lists!$E$2:$F$5,2,FALSE())*VLOOKUP($I873,Lists!$H$2:$I$4,2,FALSE())*VLOOKUP($J873,Lists!$K$2:$L$4,2,FALSE()))/VLOOKUP($K873,Lists!$N$2:$O$6,2,FALSE()),2))</f>
        <v/>
      </c>
      <c r="M873" s="63"/>
      <c r="N873" s="63"/>
      <c r="O873" s="62"/>
      <c r="P873" s="63"/>
      <c r="Q873" s="65"/>
      <c r="R873" s="66" t="str">
        <f t="shared" ca="1" si="27"/>
        <v/>
      </c>
      <c r="S873" s="63"/>
      <c r="T873" s="65"/>
      <c r="U873" s="65"/>
      <c r="V873" s="62"/>
      <c r="W873" s="62"/>
      <c r="X873" s="62"/>
      <c r="Y873" s="58"/>
      <c r="Z873" s="58"/>
      <c r="AA873" s="58"/>
    </row>
    <row r="874" spans="1:27" ht="15.75" customHeight="1" x14ac:dyDescent="0.2">
      <c r="A874" s="61" t="str">
        <f t="shared" si="26"/>
        <v/>
      </c>
      <c r="B874" s="62"/>
      <c r="C874" s="62"/>
      <c r="D874" s="62"/>
      <c r="E874" s="62"/>
      <c r="F874" s="63"/>
      <c r="G874" s="63"/>
      <c r="H874" s="63"/>
      <c r="I874" s="63"/>
      <c r="J874" s="63"/>
      <c r="K874" s="63"/>
      <c r="L874" s="64" t="str">
        <f>IF(OR($B874="", $H874="", $I874="", $J874="", $K874=""),"",ROUND((VLOOKUP($H874,Lists!$E$2:$F$5,2,FALSE())*VLOOKUP($I874,Lists!$H$2:$I$4,2,FALSE())*VLOOKUP($J874,Lists!$K$2:$L$4,2,FALSE()))/VLOOKUP($K874,Lists!$N$2:$O$6,2,FALSE()),2))</f>
        <v/>
      </c>
      <c r="M874" s="63"/>
      <c r="N874" s="63"/>
      <c r="O874" s="62"/>
      <c r="P874" s="63"/>
      <c r="Q874" s="65"/>
      <c r="R874" s="66" t="str">
        <f t="shared" ca="1" si="27"/>
        <v/>
      </c>
      <c r="S874" s="63"/>
      <c r="T874" s="65"/>
      <c r="U874" s="65"/>
      <c r="V874" s="62"/>
      <c r="W874" s="62"/>
      <c r="X874" s="62"/>
      <c r="Y874" s="58"/>
      <c r="Z874" s="58"/>
      <c r="AA874" s="58"/>
    </row>
    <row r="875" spans="1:27" ht="15.75" customHeight="1" x14ac:dyDescent="0.2">
      <c r="A875" s="61" t="str">
        <f t="shared" si="26"/>
        <v/>
      </c>
      <c r="B875" s="62"/>
      <c r="C875" s="62"/>
      <c r="D875" s="62"/>
      <c r="E875" s="62"/>
      <c r="F875" s="63"/>
      <c r="G875" s="63"/>
      <c r="H875" s="63"/>
      <c r="I875" s="63"/>
      <c r="J875" s="63"/>
      <c r="K875" s="63"/>
      <c r="L875" s="64" t="str">
        <f>IF(OR($B875="", $H875="", $I875="", $J875="", $K875=""),"",ROUND((VLOOKUP($H875,Lists!$E$2:$F$5,2,FALSE())*VLOOKUP($I875,Lists!$H$2:$I$4,2,FALSE())*VLOOKUP($J875,Lists!$K$2:$L$4,2,FALSE()))/VLOOKUP($K875,Lists!$N$2:$O$6,2,FALSE()),2))</f>
        <v/>
      </c>
      <c r="M875" s="63"/>
      <c r="N875" s="63"/>
      <c r="O875" s="62"/>
      <c r="P875" s="63"/>
      <c r="Q875" s="65"/>
      <c r="R875" s="66" t="str">
        <f t="shared" ca="1" si="27"/>
        <v/>
      </c>
      <c r="S875" s="63"/>
      <c r="T875" s="65"/>
      <c r="U875" s="65"/>
      <c r="V875" s="62"/>
      <c r="W875" s="62"/>
      <c r="X875" s="62"/>
      <c r="Y875" s="58"/>
      <c r="Z875" s="58"/>
      <c r="AA875" s="58"/>
    </row>
    <row r="876" spans="1:27" ht="15.75" customHeight="1" x14ac:dyDescent="0.2">
      <c r="A876" s="61" t="str">
        <f t="shared" si="26"/>
        <v/>
      </c>
      <c r="B876" s="62"/>
      <c r="C876" s="62"/>
      <c r="D876" s="62"/>
      <c r="E876" s="62"/>
      <c r="F876" s="63"/>
      <c r="G876" s="63"/>
      <c r="H876" s="63"/>
      <c r="I876" s="63"/>
      <c r="J876" s="63"/>
      <c r="K876" s="63"/>
      <c r="L876" s="64" t="str">
        <f>IF(OR($B876="", $H876="", $I876="", $J876="", $K876=""),"",ROUND((VLOOKUP($H876,Lists!$E$2:$F$5,2,FALSE())*VLOOKUP($I876,Lists!$H$2:$I$4,2,FALSE())*VLOOKUP($J876,Lists!$K$2:$L$4,2,FALSE()))/VLOOKUP($K876,Lists!$N$2:$O$6,2,FALSE()),2))</f>
        <v/>
      </c>
      <c r="M876" s="63"/>
      <c r="N876" s="63"/>
      <c r="O876" s="62"/>
      <c r="P876" s="63"/>
      <c r="Q876" s="65"/>
      <c r="R876" s="66" t="str">
        <f t="shared" ca="1" si="27"/>
        <v/>
      </c>
      <c r="S876" s="63"/>
      <c r="T876" s="65"/>
      <c r="U876" s="65"/>
      <c r="V876" s="62"/>
      <c r="W876" s="62"/>
      <c r="X876" s="62"/>
      <c r="Y876" s="58"/>
      <c r="Z876" s="58"/>
      <c r="AA876" s="58"/>
    </row>
    <row r="877" spans="1:27" ht="15.75" customHeight="1" x14ac:dyDescent="0.2">
      <c r="A877" s="61" t="str">
        <f t="shared" si="26"/>
        <v/>
      </c>
      <c r="B877" s="62"/>
      <c r="C877" s="62"/>
      <c r="D877" s="62"/>
      <c r="E877" s="62"/>
      <c r="F877" s="63"/>
      <c r="G877" s="63"/>
      <c r="H877" s="63"/>
      <c r="I877" s="63"/>
      <c r="J877" s="63"/>
      <c r="K877" s="63"/>
      <c r="L877" s="64" t="str">
        <f>IF(OR($B877="", $H877="", $I877="", $J877="", $K877=""),"",ROUND((VLOOKUP($H877,Lists!$E$2:$F$5,2,FALSE())*VLOOKUP($I877,Lists!$H$2:$I$4,2,FALSE())*VLOOKUP($J877,Lists!$K$2:$L$4,2,FALSE()))/VLOOKUP($K877,Lists!$N$2:$O$6,2,FALSE()),2))</f>
        <v/>
      </c>
      <c r="M877" s="63"/>
      <c r="N877" s="63"/>
      <c r="O877" s="62"/>
      <c r="P877" s="63"/>
      <c r="Q877" s="65"/>
      <c r="R877" s="66" t="str">
        <f t="shared" ca="1" si="27"/>
        <v/>
      </c>
      <c r="S877" s="63"/>
      <c r="T877" s="65"/>
      <c r="U877" s="65"/>
      <c r="V877" s="62"/>
      <c r="W877" s="62"/>
      <c r="X877" s="62"/>
      <c r="Y877" s="58"/>
      <c r="Z877" s="58"/>
      <c r="AA877" s="58"/>
    </row>
    <row r="878" spans="1:27" ht="15.75" customHeight="1" x14ac:dyDescent="0.2">
      <c r="A878" s="61" t="str">
        <f t="shared" si="26"/>
        <v/>
      </c>
      <c r="B878" s="62"/>
      <c r="C878" s="62"/>
      <c r="D878" s="62"/>
      <c r="E878" s="62"/>
      <c r="F878" s="63"/>
      <c r="G878" s="63"/>
      <c r="H878" s="63"/>
      <c r="I878" s="63"/>
      <c r="J878" s="63"/>
      <c r="K878" s="63"/>
      <c r="L878" s="64" t="str">
        <f>IF(OR($B878="", $H878="", $I878="", $J878="", $K878=""),"",ROUND((VLOOKUP($H878,Lists!$E$2:$F$5,2,FALSE())*VLOOKUP($I878,Lists!$H$2:$I$4,2,FALSE())*VLOOKUP($J878,Lists!$K$2:$L$4,2,FALSE()))/VLOOKUP($K878,Lists!$N$2:$O$6,2,FALSE()),2))</f>
        <v/>
      </c>
      <c r="M878" s="63"/>
      <c r="N878" s="63"/>
      <c r="O878" s="62"/>
      <c r="P878" s="63"/>
      <c r="Q878" s="65"/>
      <c r="R878" s="66" t="str">
        <f t="shared" ca="1" si="27"/>
        <v/>
      </c>
      <c r="S878" s="63"/>
      <c r="T878" s="65"/>
      <c r="U878" s="65"/>
      <c r="V878" s="62"/>
      <c r="W878" s="62"/>
      <c r="X878" s="62"/>
      <c r="Y878" s="58"/>
      <c r="Z878" s="58"/>
      <c r="AA878" s="58"/>
    </row>
    <row r="879" spans="1:27" ht="15.75" customHeight="1" x14ac:dyDescent="0.2">
      <c r="A879" s="61" t="str">
        <f t="shared" si="26"/>
        <v/>
      </c>
      <c r="B879" s="62"/>
      <c r="C879" s="62"/>
      <c r="D879" s="62"/>
      <c r="E879" s="62"/>
      <c r="F879" s="63"/>
      <c r="G879" s="63"/>
      <c r="H879" s="63"/>
      <c r="I879" s="63"/>
      <c r="J879" s="63"/>
      <c r="K879" s="63"/>
      <c r="L879" s="64" t="str">
        <f>IF(OR($B879="", $H879="", $I879="", $J879="", $K879=""),"",ROUND((VLOOKUP($H879,Lists!$E$2:$F$5,2,FALSE())*VLOOKUP($I879,Lists!$H$2:$I$4,2,FALSE())*VLOOKUP($J879,Lists!$K$2:$L$4,2,FALSE()))/VLOOKUP($K879,Lists!$N$2:$O$6,2,FALSE()),2))</f>
        <v/>
      </c>
      <c r="M879" s="63"/>
      <c r="N879" s="63"/>
      <c r="O879" s="62"/>
      <c r="P879" s="63"/>
      <c r="Q879" s="65"/>
      <c r="R879" s="66" t="str">
        <f t="shared" ca="1" si="27"/>
        <v/>
      </c>
      <c r="S879" s="63"/>
      <c r="T879" s="65"/>
      <c r="U879" s="65"/>
      <c r="V879" s="62"/>
      <c r="W879" s="62"/>
      <c r="X879" s="62"/>
      <c r="Y879" s="58"/>
      <c r="Z879" s="58"/>
      <c r="AA879" s="58"/>
    </row>
    <row r="880" spans="1:27" ht="15.75" customHeight="1" x14ac:dyDescent="0.2">
      <c r="A880" s="61" t="str">
        <f t="shared" si="26"/>
        <v/>
      </c>
      <c r="B880" s="62"/>
      <c r="C880" s="62"/>
      <c r="D880" s="62"/>
      <c r="E880" s="62"/>
      <c r="F880" s="63"/>
      <c r="G880" s="63"/>
      <c r="H880" s="63"/>
      <c r="I880" s="63"/>
      <c r="J880" s="63"/>
      <c r="K880" s="63"/>
      <c r="L880" s="64" t="str">
        <f>IF(OR($B880="", $H880="", $I880="", $J880="", $K880=""),"",ROUND((VLOOKUP($H880,Lists!$E$2:$F$5,2,FALSE())*VLOOKUP($I880,Lists!$H$2:$I$4,2,FALSE())*VLOOKUP($J880,Lists!$K$2:$L$4,2,FALSE()))/VLOOKUP($K880,Lists!$N$2:$O$6,2,FALSE()),2))</f>
        <v/>
      </c>
      <c r="M880" s="63"/>
      <c r="N880" s="63"/>
      <c r="O880" s="62"/>
      <c r="P880" s="63"/>
      <c r="Q880" s="65"/>
      <c r="R880" s="66" t="str">
        <f t="shared" ca="1" si="27"/>
        <v/>
      </c>
      <c r="S880" s="63"/>
      <c r="T880" s="65"/>
      <c r="U880" s="65"/>
      <c r="V880" s="62"/>
      <c r="W880" s="62"/>
      <c r="X880" s="62"/>
      <c r="Y880" s="58"/>
      <c r="Z880" s="58"/>
      <c r="AA880" s="58"/>
    </row>
    <row r="881" spans="1:27" ht="15.75" customHeight="1" x14ac:dyDescent="0.2">
      <c r="A881" s="61" t="str">
        <f t="shared" si="26"/>
        <v/>
      </c>
      <c r="B881" s="62"/>
      <c r="C881" s="62"/>
      <c r="D881" s="62"/>
      <c r="E881" s="62"/>
      <c r="F881" s="63"/>
      <c r="G881" s="63"/>
      <c r="H881" s="63"/>
      <c r="I881" s="63"/>
      <c r="J881" s="63"/>
      <c r="K881" s="63"/>
      <c r="L881" s="64" t="str">
        <f>IF(OR($B881="", $H881="", $I881="", $J881="", $K881=""),"",ROUND((VLOOKUP($H881,Lists!$E$2:$F$5,2,FALSE())*VLOOKUP($I881,Lists!$H$2:$I$4,2,FALSE())*VLOOKUP($J881,Lists!$K$2:$L$4,2,FALSE()))/VLOOKUP($K881,Lists!$N$2:$O$6,2,FALSE()),2))</f>
        <v/>
      </c>
      <c r="M881" s="63"/>
      <c r="N881" s="63"/>
      <c r="O881" s="62"/>
      <c r="P881" s="63"/>
      <c r="Q881" s="65"/>
      <c r="R881" s="66" t="str">
        <f t="shared" ca="1" si="27"/>
        <v/>
      </c>
      <c r="S881" s="63"/>
      <c r="T881" s="65"/>
      <c r="U881" s="65"/>
      <c r="V881" s="62"/>
      <c r="W881" s="62"/>
      <c r="X881" s="62"/>
      <c r="Y881" s="58"/>
      <c r="Z881" s="58"/>
      <c r="AA881" s="58"/>
    </row>
    <row r="882" spans="1:27" ht="15.75" customHeight="1" x14ac:dyDescent="0.2">
      <c r="A882" s="61" t="str">
        <f t="shared" si="26"/>
        <v/>
      </c>
      <c r="B882" s="62"/>
      <c r="C882" s="62"/>
      <c r="D882" s="62"/>
      <c r="E882" s="62"/>
      <c r="F882" s="63"/>
      <c r="G882" s="63"/>
      <c r="H882" s="63"/>
      <c r="I882" s="63"/>
      <c r="J882" s="63"/>
      <c r="K882" s="63"/>
      <c r="L882" s="64" t="str">
        <f>IF(OR($B882="", $H882="", $I882="", $J882="", $K882=""),"",ROUND((VLOOKUP($H882,Lists!$E$2:$F$5,2,FALSE())*VLOOKUP($I882,Lists!$H$2:$I$4,2,FALSE())*VLOOKUP($J882,Lists!$K$2:$L$4,2,FALSE()))/VLOOKUP($K882,Lists!$N$2:$O$6,2,FALSE()),2))</f>
        <v/>
      </c>
      <c r="M882" s="63"/>
      <c r="N882" s="63"/>
      <c r="O882" s="62"/>
      <c r="P882" s="63"/>
      <c r="Q882" s="65"/>
      <c r="R882" s="66" t="str">
        <f t="shared" ca="1" si="27"/>
        <v/>
      </c>
      <c r="S882" s="63"/>
      <c r="T882" s="65"/>
      <c r="U882" s="65"/>
      <c r="V882" s="62"/>
      <c r="W882" s="62"/>
      <c r="X882" s="62"/>
      <c r="Y882" s="58"/>
      <c r="Z882" s="58"/>
      <c r="AA882" s="58"/>
    </row>
    <row r="883" spans="1:27" ht="15.75" customHeight="1" x14ac:dyDescent="0.2">
      <c r="A883" s="61" t="str">
        <f t="shared" si="26"/>
        <v/>
      </c>
      <c r="B883" s="62"/>
      <c r="C883" s="62"/>
      <c r="D883" s="62"/>
      <c r="E883" s="62"/>
      <c r="F883" s="63"/>
      <c r="G883" s="63"/>
      <c r="H883" s="63"/>
      <c r="I883" s="63"/>
      <c r="J883" s="63"/>
      <c r="K883" s="63"/>
      <c r="L883" s="64" t="str">
        <f>IF(OR($B883="", $H883="", $I883="", $J883="", $K883=""),"",ROUND((VLOOKUP($H883,Lists!$E$2:$F$5,2,FALSE())*VLOOKUP($I883,Lists!$H$2:$I$4,2,FALSE())*VLOOKUP($J883,Lists!$K$2:$L$4,2,FALSE()))/VLOOKUP($K883,Lists!$N$2:$O$6,2,FALSE()),2))</f>
        <v/>
      </c>
      <c r="M883" s="63"/>
      <c r="N883" s="63"/>
      <c r="O883" s="62"/>
      <c r="P883" s="63"/>
      <c r="Q883" s="65"/>
      <c r="R883" s="66" t="str">
        <f t="shared" ca="1" si="27"/>
        <v/>
      </c>
      <c r="S883" s="63"/>
      <c r="T883" s="65"/>
      <c r="U883" s="65"/>
      <c r="V883" s="62"/>
      <c r="W883" s="62"/>
      <c r="X883" s="62"/>
      <c r="Y883" s="58"/>
      <c r="Z883" s="58"/>
      <c r="AA883" s="58"/>
    </row>
    <row r="884" spans="1:27" ht="15.75" customHeight="1" x14ac:dyDescent="0.2">
      <c r="A884" s="61" t="str">
        <f t="shared" si="26"/>
        <v/>
      </c>
      <c r="B884" s="62"/>
      <c r="C884" s="62"/>
      <c r="D884" s="62"/>
      <c r="E884" s="62"/>
      <c r="F884" s="63"/>
      <c r="G884" s="63"/>
      <c r="H884" s="63"/>
      <c r="I884" s="63"/>
      <c r="J884" s="63"/>
      <c r="K884" s="63"/>
      <c r="L884" s="64" t="str">
        <f>IF(OR($B884="", $H884="", $I884="", $J884="", $K884=""),"",ROUND((VLOOKUP($H884,Lists!$E$2:$F$5,2,FALSE())*VLOOKUP($I884,Lists!$H$2:$I$4,2,FALSE())*VLOOKUP($J884,Lists!$K$2:$L$4,2,FALSE()))/VLOOKUP($K884,Lists!$N$2:$O$6,2,FALSE()),2))</f>
        <v/>
      </c>
      <c r="M884" s="63"/>
      <c r="N884" s="63"/>
      <c r="O884" s="62"/>
      <c r="P884" s="63"/>
      <c r="Q884" s="65"/>
      <c r="R884" s="66" t="str">
        <f t="shared" ca="1" si="27"/>
        <v/>
      </c>
      <c r="S884" s="63"/>
      <c r="T884" s="65"/>
      <c r="U884" s="65"/>
      <c r="V884" s="62"/>
      <c r="W884" s="62"/>
      <c r="X884" s="62"/>
      <c r="Y884" s="58"/>
      <c r="Z884" s="58"/>
      <c r="AA884" s="58"/>
    </row>
    <row r="885" spans="1:27" ht="15.75" customHeight="1" x14ac:dyDescent="0.2">
      <c r="A885" s="61" t="str">
        <f t="shared" si="26"/>
        <v/>
      </c>
      <c r="B885" s="62"/>
      <c r="C885" s="62"/>
      <c r="D885" s="62"/>
      <c r="E885" s="62"/>
      <c r="F885" s="63"/>
      <c r="G885" s="63"/>
      <c r="H885" s="63"/>
      <c r="I885" s="63"/>
      <c r="J885" s="63"/>
      <c r="K885" s="63"/>
      <c r="L885" s="64" t="str">
        <f>IF(OR($B885="", $H885="", $I885="", $J885="", $K885=""),"",ROUND((VLOOKUP($H885,Lists!$E$2:$F$5,2,FALSE())*VLOOKUP($I885,Lists!$H$2:$I$4,2,FALSE())*VLOOKUP($J885,Lists!$K$2:$L$4,2,FALSE()))/VLOOKUP($K885,Lists!$N$2:$O$6,2,FALSE()),2))</f>
        <v/>
      </c>
      <c r="M885" s="63"/>
      <c r="N885" s="63"/>
      <c r="O885" s="62"/>
      <c r="P885" s="63"/>
      <c r="Q885" s="65"/>
      <c r="R885" s="66" t="str">
        <f t="shared" ca="1" si="27"/>
        <v/>
      </c>
      <c r="S885" s="63"/>
      <c r="T885" s="65"/>
      <c r="U885" s="65"/>
      <c r="V885" s="62"/>
      <c r="W885" s="62"/>
      <c r="X885" s="62"/>
      <c r="Y885" s="58"/>
      <c r="Z885" s="58"/>
      <c r="AA885" s="58"/>
    </row>
    <row r="886" spans="1:27" ht="15.75" customHeight="1" x14ac:dyDescent="0.2">
      <c r="A886" s="61" t="str">
        <f t="shared" si="26"/>
        <v/>
      </c>
      <c r="B886" s="62"/>
      <c r="C886" s="62"/>
      <c r="D886" s="62"/>
      <c r="E886" s="62"/>
      <c r="F886" s="63"/>
      <c r="G886" s="63"/>
      <c r="H886" s="63"/>
      <c r="I886" s="63"/>
      <c r="J886" s="63"/>
      <c r="K886" s="63"/>
      <c r="L886" s="64" t="str">
        <f>IF(OR($B886="", $H886="", $I886="", $J886="", $K886=""),"",ROUND((VLOOKUP($H886,Lists!$E$2:$F$5,2,FALSE())*VLOOKUP($I886,Lists!$H$2:$I$4,2,FALSE())*VLOOKUP($J886,Lists!$K$2:$L$4,2,FALSE()))/VLOOKUP($K886,Lists!$N$2:$O$6,2,FALSE()),2))</f>
        <v/>
      </c>
      <c r="M886" s="63"/>
      <c r="N886" s="63"/>
      <c r="O886" s="62"/>
      <c r="P886" s="63"/>
      <c r="Q886" s="65"/>
      <c r="R886" s="66" t="str">
        <f t="shared" ca="1" si="27"/>
        <v/>
      </c>
      <c r="S886" s="63"/>
      <c r="T886" s="65"/>
      <c r="U886" s="65"/>
      <c r="V886" s="62"/>
      <c r="W886" s="62"/>
      <c r="X886" s="62"/>
      <c r="Y886" s="58"/>
      <c r="Z886" s="58"/>
      <c r="AA886" s="58"/>
    </row>
    <row r="887" spans="1:27" ht="15.75" customHeight="1" x14ac:dyDescent="0.2">
      <c r="A887" s="61" t="str">
        <f t="shared" si="26"/>
        <v/>
      </c>
      <c r="B887" s="62"/>
      <c r="C887" s="62"/>
      <c r="D887" s="62"/>
      <c r="E887" s="62"/>
      <c r="F887" s="63"/>
      <c r="G887" s="63"/>
      <c r="H887" s="63"/>
      <c r="I887" s="63"/>
      <c r="J887" s="63"/>
      <c r="K887" s="63"/>
      <c r="L887" s="64" t="str">
        <f>IF(OR($B887="", $H887="", $I887="", $J887="", $K887=""),"",ROUND((VLOOKUP($H887,Lists!$E$2:$F$5,2,FALSE())*VLOOKUP($I887,Lists!$H$2:$I$4,2,FALSE())*VLOOKUP($J887,Lists!$K$2:$L$4,2,FALSE()))/VLOOKUP($K887,Lists!$N$2:$O$6,2,FALSE()),2))</f>
        <v/>
      </c>
      <c r="M887" s="63"/>
      <c r="N887" s="63"/>
      <c r="O887" s="62"/>
      <c r="P887" s="63"/>
      <c r="Q887" s="65"/>
      <c r="R887" s="66" t="str">
        <f t="shared" ca="1" si="27"/>
        <v/>
      </c>
      <c r="S887" s="63"/>
      <c r="T887" s="65"/>
      <c r="U887" s="65"/>
      <c r="V887" s="62"/>
      <c r="W887" s="62"/>
      <c r="X887" s="62"/>
      <c r="Y887" s="58"/>
      <c r="Z887" s="58"/>
      <c r="AA887" s="58"/>
    </row>
    <row r="888" spans="1:27" ht="15.75" customHeight="1" x14ac:dyDescent="0.2">
      <c r="A888" s="61" t="str">
        <f t="shared" si="26"/>
        <v/>
      </c>
      <c r="B888" s="62"/>
      <c r="C888" s="62"/>
      <c r="D888" s="62"/>
      <c r="E888" s="62"/>
      <c r="F888" s="63"/>
      <c r="G888" s="63"/>
      <c r="H888" s="63"/>
      <c r="I888" s="63"/>
      <c r="J888" s="63"/>
      <c r="K888" s="63"/>
      <c r="L888" s="64" t="str">
        <f>IF(OR($B888="", $H888="", $I888="", $J888="", $K888=""),"",ROUND((VLOOKUP($H888,Lists!$E$2:$F$5,2,FALSE())*VLOOKUP($I888,Lists!$H$2:$I$4,2,FALSE())*VLOOKUP($J888,Lists!$K$2:$L$4,2,FALSE()))/VLOOKUP($K888,Lists!$N$2:$O$6,2,FALSE()),2))</f>
        <v/>
      </c>
      <c r="M888" s="63"/>
      <c r="N888" s="63"/>
      <c r="O888" s="62"/>
      <c r="P888" s="63"/>
      <c r="Q888" s="65"/>
      <c r="R888" s="66" t="str">
        <f t="shared" ca="1" si="27"/>
        <v/>
      </c>
      <c r="S888" s="63"/>
      <c r="T888" s="65"/>
      <c r="U888" s="65"/>
      <c r="V888" s="62"/>
      <c r="W888" s="62"/>
      <c r="X888" s="62"/>
      <c r="Y888" s="58"/>
      <c r="Z888" s="58"/>
      <c r="AA888" s="58"/>
    </row>
    <row r="889" spans="1:27" ht="15.75" customHeight="1" x14ac:dyDescent="0.2">
      <c r="A889" s="61" t="str">
        <f t="shared" si="26"/>
        <v/>
      </c>
      <c r="B889" s="62"/>
      <c r="C889" s="62"/>
      <c r="D889" s="62"/>
      <c r="E889" s="62"/>
      <c r="F889" s="63"/>
      <c r="G889" s="63"/>
      <c r="H889" s="63"/>
      <c r="I889" s="63"/>
      <c r="J889" s="63"/>
      <c r="K889" s="63"/>
      <c r="L889" s="64" t="str">
        <f>IF(OR($B889="", $H889="", $I889="", $J889="", $K889=""),"",ROUND((VLOOKUP($H889,Lists!$E$2:$F$5,2,FALSE())*VLOOKUP($I889,Lists!$H$2:$I$4,2,FALSE())*VLOOKUP($J889,Lists!$K$2:$L$4,2,FALSE()))/VLOOKUP($K889,Lists!$N$2:$O$6,2,FALSE()),2))</f>
        <v/>
      </c>
      <c r="M889" s="63"/>
      <c r="N889" s="63"/>
      <c r="O889" s="62"/>
      <c r="P889" s="63"/>
      <c r="Q889" s="65"/>
      <c r="R889" s="66" t="str">
        <f t="shared" ca="1" si="27"/>
        <v/>
      </c>
      <c r="S889" s="63"/>
      <c r="T889" s="65"/>
      <c r="U889" s="65"/>
      <c r="V889" s="62"/>
      <c r="W889" s="62"/>
      <c r="X889" s="62"/>
      <c r="Y889" s="58"/>
      <c r="Z889" s="58"/>
      <c r="AA889" s="58"/>
    </row>
    <row r="890" spans="1:27" ht="15.75" customHeight="1" x14ac:dyDescent="0.2">
      <c r="A890" s="61" t="str">
        <f t="shared" si="26"/>
        <v/>
      </c>
      <c r="B890" s="62"/>
      <c r="C890" s="62"/>
      <c r="D890" s="62"/>
      <c r="E890" s="62"/>
      <c r="F890" s="63"/>
      <c r="G890" s="63"/>
      <c r="H890" s="63"/>
      <c r="I890" s="63"/>
      <c r="J890" s="63"/>
      <c r="K890" s="63"/>
      <c r="L890" s="64" t="str">
        <f>IF(OR($B890="", $H890="", $I890="", $J890="", $K890=""),"",ROUND((VLOOKUP($H890,Lists!$E$2:$F$5,2,FALSE())*VLOOKUP($I890,Lists!$H$2:$I$4,2,FALSE())*VLOOKUP($J890,Lists!$K$2:$L$4,2,FALSE()))/VLOOKUP($K890,Lists!$N$2:$O$6,2,FALSE()),2))</f>
        <v/>
      </c>
      <c r="M890" s="63"/>
      <c r="N890" s="63"/>
      <c r="O890" s="62"/>
      <c r="P890" s="63"/>
      <c r="Q890" s="65"/>
      <c r="R890" s="66" t="str">
        <f t="shared" ca="1" si="27"/>
        <v/>
      </c>
      <c r="S890" s="63"/>
      <c r="T890" s="65"/>
      <c r="U890" s="65"/>
      <c r="V890" s="62"/>
      <c r="W890" s="62"/>
      <c r="X890" s="62"/>
      <c r="Y890" s="58"/>
      <c r="Z890" s="58"/>
      <c r="AA890" s="58"/>
    </row>
    <row r="891" spans="1:27" ht="15.75" customHeight="1" x14ac:dyDescent="0.2">
      <c r="A891" s="61" t="str">
        <f t="shared" si="26"/>
        <v/>
      </c>
      <c r="B891" s="62"/>
      <c r="C891" s="62"/>
      <c r="D891" s="62"/>
      <c r="E891" s="62"/>
      <c r="F891" s="63"/>
      <c r="G891" s="63"/>
      <c r="H891" s="63"/>
      <c r="I891" s="63"/>
      <c r="J891" s="63"/>
      <c r="K891" s="63"/>
      <c r="L891" s="64" t="str">
        <f>IF(OR($B891="", $H891="", $I891="", $J891="", $K891=""),"",ROUND((VLOOKUP($H891,Lists!$E$2:$F$5,2,FALSE())*VLOOKUP($I891,Lists!$H$2:$I$4,2,FALSE())*VLOOKUP($J891,Lists!$K$2:$L$4,2,FALSE()))/VLOOKUP($K891,Lists!$N$2:$O$6,2,FALSE()),2))</f>
        <v/>
      </c>
      <c r="M891" s="63"/>
      <c r="N891" s="63"/>
      <c r="O891" s="62"/>
      <c r="P891" s="63"/>
      <c r="Q891" s="65"/>
      <c r="R891" s="66" t="str">
        <f t="shared" ca="1" si="27"/>
        <v/>
      </c>
      <c r="S891" s="63"/>
      <c r="T891" s="65"/>
      <c r="U891" s="65"/>
      <c r="V891" s="62"/>
      <c r="W891" s="62"/>
      <c r="X891" s="62"/>
      <c r="Y891" s="58"/>
      <c r="Z891" s="58"/>
      <c r="AA891" s="58"/>
    </row>
    <row r="892" spans="1:27" ht="15.75" customHeight="1" x14ac:dyDescent="0.2">
      <c r="A892" s="61" t="str">
        <f t="shared" si="26"/>
        <v/>
      </c>
      <c r="B892" s="62"/>
      <c r="C892" s="62"/>
      <c r="D892" s="62"/>
      <c r="E892" s="62"/>
      <c r="F892" s="63"/>
      <c r="G892" s="63"/>
      <c r="H892" s="63"/>
      <c r="I892" s="63"/>
      <c r="J892" s="63"/>
      <c r="K892" s="63"/>
      <c r="L892" s="64" t="str">
        <f>IF(OR($B892="", $H892="", $I892="", $J892="", $K892=""),"",ROUND((VLOOKUP($H892,Lists!$E$2:$F$5,2,FALSE())*VLOOKUP($I892,Lists!$H$2:$I$4,2,FALSE())*VLOOKUP($J892,Lists!$K$2:$L$4,2,FALSE()))/VLOOKUP($K892,Lists!$N$2:$O$6,2,FALSE()),2))</f>
        <v/>
      </c>
      <c r="M892" s="63"/>
      <c r="N892" s="63"/>
      <c r="O892" s="62"/>
      <c r="P892" s="63"/>
      <c r="Q892" s="65"/>
      <c r="R892" s="66" t="str">
        <f t="shared" ca="1" si="27"/>
        <v/>
      </c>
      <c r="S892" s="63"/>
      <c r="T892" s="65"/>
      <c r="U892" s="65"/>
      <c r="V892" s="62"/>
      <c r="W892" s="62"/>
      <c r="X892" s="62"/>
      <c r="Y892" s="58"/>
      <c r="Z892" s="58"/>
      <c r="AA892" s="58"/>
    </row>
    <row r="893" spans="1:27" ht="15.75" customHeight="1" x14ac:dyDescent="0.2">
      <c r="A893" s="61" t="str">
        <f t="shared" si="26"/>
        <v/>
      </c>
      <c r="B893" s="62"/>
      <c r="C893" s="62"/>
      <c r="D893" s="62"/>
      <c r="E893" s="62"/>
      <c r="F893" s="63"/>
      <c r="G893" s="63"/>
      <c r="H893" s="63"/>
      <c r="I893" s="63"/>
      <c r="J893" s="63"/>
      <c r="K893" s="63"/>
      <c r="L893" s="64" t="str">
        <f>IF(OR($B893="", $H893="", $I893="", $J893="", $K893=""),"",ROUND((VLOOKUP($H893,Lists!$E$2:$F$5,2,FALSE())*VLOOKUP($I893,Lists!$H$2:$I$4,2,FALSE())*VLOOKUP($J893,Lists!$K$2:$L$4,2,FALSE()))/VLOOKUP($K893,Lists!$N$2:$O$6,2,FALSE()),2))</f>
        <v/>
      </c>
      <c r="M893" s="63"/>
      <c r="N893" s="63"/>
      <c r="O893" s="62"/>
      <c r="P893" s="63"/>
      <c r="Q893" s="65"/>
      <c r="R893" s="66" t="str">
        <f t="shared" ca="1" si="27"/>
        <v/>
      </c>
      <c r="S893" s="63"/>
      <c r="T893" s="65"/>
      <c r="U893" s="65"/>
      <c r="V893" s="62"/>
      <c r="W893" s="62"/>
      <c r="X893" s="62"/>
      <c r="Y893" s="58"/>
      <c r="Z893" s="58"/>
      <c r="AA893" s="58"/>
    </row>
    <row r="894" spans="1:27" ht="15.75" customHeight="1" x14ac:dyDescent="0.2">
      <c r="A894" s="61" t="str">
        <f t="shared" si="26"/>
        <v/>
      </c>
      <c r="B894" s="62"/>
      <c r="C894" s="62"/>
      <c r="D894" s="62"/>
      <c r="E894" s="62"/>
      <c r="F894" s="63"/>
      <c r="G894" s="63"/>
      <c r="H894" s="63"/>
      <c r="I894" s="63"/>
      <c r="J894" s="63"/>
      <c r="K894" s="63"/>
      <c r="L894" s="64" t="str">
        <f>IF(OR($B894="", $H894="", $I894="", $J894="", $K894=""),"",ROUND((VLOOKUP($H894,Lists!$E$2:$F$5,2,FALSE())*VLOOKUP($I894,Lists!$H$2:$I$4,2,FALSE())*VLOOKUP($J894,Lists!$K$2:$L$4,2,FALSE()))/VLOOKUP($K894,Lists!$N$2:$O$6,2,FALSE()),2))</f>
        <v/>
      </c>
      <c r="M894" s="63"/>
      <c r="N894" s="63"/>
      <c r="O894" s="62"/>
      <c r="P894" s="63"/>
      <c r="Q894" s="65"/>
      <c r="R894" s="66" t="str">
        <f t="shared" ca="1" si="27"/>
        <v/>
      </c>
      <c r="S894" s="63"/>
      <c r="T894" s="65"/>
      <c r="U894" s="65"/>
      <c r="V894" s="62"/>
      <c r="W894" s="62"/>
      <c r="X894" s="62"/>
      <c r="Y894" s="58"/>
      <c r="Z894" s="58"/>
      <c r="AA894" s="58"/>
    </row>
    <row r="895" spans="1:27" ht="15.75" customHeight="1" x14ac:dyDescent="0.2">
      <c r="A895" s="61" t="str">
        <f t="shared" si="26"/>
        <v/>
      </c>
      <c r="B895" s="62"/>
      <c r="C895" s="62"/>
      <c r="D895" s="62"/>
      <c r="E895" s="62"/>
      <c r="F895" s="63"/>
      <c r="G895" s="63"/>
      <c r="H895" s="63"/>
      <c r="I895" s="63"/>
      <c r="J895" s="63"/>
      <c r="K895" s="63"/>
      <c r="L895" s="64" t="str">
        <f>IF(OR($B895="", $H895="", $I895="", $J895="", $K895=""),"",ROUND((VLOOKUP($H895,Lists!$E$2:$F$5,2,FALSE())*VLOOKUP($I895,Lists!$H$2:$I$4,2,FALSE())*VLOOKUP($J895,Lists!$K$2:$L$4,2,FALSE()))/VLOOKUP($K895,Lists!$N$2:$O$6,2,FALSE()),2))</f>
        <v/>
      </c>
      <c r="M895" s="63"/>
      <c r="N895" s="63"/>
      <c r="O895" s="62"/>
      <c r="P895" s="63"/>
      <c r="Q895" s="65"/>
      <c r="R895" s="66" t="str">
        <f t="shared" ca="1" si="27"/>
        <v/>
      </c>
      <c r="S895" s="63"/>
      <c r="T895" s="65"/>
      <c r="U895" s="65"/>
      <c r="V895" s="62"/>
      <c r="W895" s="62"/>
      <c r="X895" s="62"/>
      <c r="Y895" s="58"/>
      <c r="Z895" s="58"/>
      <c r="AA895" s="58"/>
    </row>
    <row r="896" spans="1:27" ht="15.75" customHeight="1" x14ac:dyDescent="0.2">
      <c r="A896" s="61" t="str">
        <f t="shared" si="26"/>
        <v/>
      </c>
      <c r="B896" s="62"/>
      <c r="C896" s="62"/>
      <c r="D896" s="62"/>
      <c r="E896" s="62"/>
      <c r="F896" s="63"/>
      <c r="G896" s="63"/>
      <c r="H896" s="63"/>
      <c r="I896" s="63"/>
      <c r="J896" s="63"/>
      <c r="K896" s="63"/>
      <c r="L896" s="64" t="str">
        <f>IF(OR($B896="", $H896="", $I896="", $J896="", $K896=""),"",ROUND((VLOOKUP($H896,Lists!$E$2:$F$5,2,FALSE())*VLOOKUP($I896,Lists!$H$2:$I$4,2,FALSE())*VLOOKUP($J896,Lists!$K$2:$L$4,2,FALSE()))/VLOOKUP($K896,Lists!$N$2:$O$6,2,FALSE()),2))</f>
        <v/>
      </c>
      <c r="M896" s="63"/>
      <c r="N896" s="63"/>
      <c r="O896" s="62"/>
      <c r="P896" s="63"/>
      <c r="Q896" s="65"/>
      <c r="R896" s="66" t="str">
        <f t="shared" ca="1" si="27"/>
        <v/>
      </c>
      <c r="S896" s="63"/>
      <c r="T896" s="65"/>
      <c r="U896" s="65"/>
      <c r="V896" s="62"/>
      <c r="W896" s="62"/>
      <c r="X896" s="62"/>
      <c r="Y896" s="58"/>
      <c r="Z896" s="58"/>
      <c r="AA896" s="58"/>
    </row>
    <row r="897" spans="1:27" ht="15.75" customHeight="1" x14ac:dyDescent="0.2">
      <c r="A897" s="61" t="str">
        <f t="shared" si="26"/>
        <v/>
      </c>
      <c r="B897" s="62"/>
      <c r="C897" s="62"/>
      <c r="D897" s="62"/>
      <c r="E897" s="62"/>
      <c r="F897" s="63"/>
      <c r="G897" s="63"/>
      <c r="H897" s="63"/>
      <c r="I897" s="63"/>
      <c r="J897" s="63"/>
      <c r="K897" s="63"/>
      <c r="L897" s="64" t="str">
        <f>IF(OR($B897="", $H897="", $I897="", $J897="", $K897=""),"",ROUND((VLOOKUP($H897,Lists!$E$2:$F$5,2,FALSE())*VLOOKUP($I897,Lists!$H$2:$I$4,2,FALSE())*VLOOKUP($J897,Lists!$K$2:$L$4,2,FALSE()))/VLOOKUP($K897,Lists!$N$2:$O$6,2,FALSE()),2))</f>
        <v/>
      </c>
      <c r="M897" s="63"/>
      <c r="N897" s="63"/>
      <c r="O897" s="62"/>
      <c r="P897" s="63"/>
      <c r="Q897" s="65"/>
      <c r="R897" s="66" t="str">
        <f t="shared" ca="1" si="27"/>
        <v/>
      </c>
      <c r="S897" s="63"/>
      <c r="T897" s="65"/>
      <c r="U897" s="65"/>
      <c r="V897" s="62"/>
      <c r="W897" s="62"/>
      <c r="X897" s="62"/>
      <c r="Y897" s="58"/>
      <c r="Z897" s="58"/>
      <c r="AA897" s="58"/>
    </row>
    <row r="898" spans="1:27" ht="15.75" customHeight="1" x14ac:dyDescent="0.2">
      <c r="A898" s="61" t="str">
        <f t="shared" ref="A898:A961" si="28">IF($B898="","", "TD-" &amp; RIGHT("0000"&amp;ROW()-1,4))</f>
        <v/>
      </c>
      <c r="B898" s="62"/>
      <c r="C898" s="62"/>
      <c r="D898" s="62"/>
      <c r="E898" s="62"/>
      <c r="F898" s="63"/>
      <c r="G898" s="63"/>
      <c r="H898" s="63"/>
      <c r="I898" s="63"/>
      <c r="J898" s="63"/>
      <c r="K898" s="63"/>
      <c r="L898" s="64" t="str">
        <f>IF(OR($B898="", $H898="", $I898="", $J898="", $K898=""),"",ROUND((VLOOKUP($H898,Lists!$E$2:$F$5,2,FALSE())*VLOOKUP($I898,Lists!$H$2:$I$4,2,FALSE())*VLOOKUP($J898,Lists!$K$2:$L$4,2,FALSE()))/VLOOKUP($K898,Lists!$N$2:$O$6,2,FALSE()),2))</f>
        <v/>
      </c>
      <c r="M898" s="63"/>
      <c r="N898" s="63"/>
      <c r="O898" s="62"/>
      <c r="P898" s="63"/>
      <c r="Q898" s="65"/>
      <c r="R898" s="66" t="str">
        <f t="shared" ref="R898:R961" ca="1" si="29">IF($Q898="","", TODAY()-$Q898)</f>
        <v/>
      </c>
      <c r="S898" s="63"/>
      <c r="T898" s="65"/>
      <c r="U898" s="65"/>
      <c r="V898" s="62"/>
      <c r="W898" s="62"/>
      <c r="X898" s="62"/>
      <c r="Y898" s="58"/>
      <c r="Z898" s="58"/>
      <c r="AA898" s="58"/>
    </row>
    <row r="899" spans="1:27" ht="15.75" customHeight="1" x14ac:dyDescent="0.2">
      <c r="A899" s="61" t="str">
        <f t="shared" si="28"/>
        <v/>
      </c>
      <c r="B899" s="62"/>
      <c r="C899" s="62"/>
      <c r="D899" s="62"/>
      <c r="E899" s="62"/>
      <c r="F899" s="63"/>
      <c r="G899" s="63"/>
      <c r="H899" s="63"/>
      <c r="I899" s="63"/>
      <c r="J899" s="63"/>
      <c r="K899" s="63"/>
      <c r="L899" s="64" t="str">
        <f>IF(OR($B899="", $H899="", $I899="", $J899="", $K899=""),"",ROUND((VLOOKUP($H899,Lists!$E$2:$F$5,2,FALSE())*VLOOKUP($I899,Lists!$H$2:$I$4,2,FALSE())*VLOOKUP($J899,Lists!$K$2:$L$4,2,FALSE()))/VLOOKUP($K899,Lists!$N$2:$O$6,2,FALSE()),2))</f>
        <v/>
      </c>
      <c r="M899" s="63"/>
      <c r="N899" s="63"/>
      <c r="O899" s="62"/>
      <c r="P899" s="63"/>
      <c r="Q899" s="65"/>
      <c r="R899" s="66" t="str">
        <f t="shared" ca="1" si="29"/>
        <v/>
      </c>
      <c r="S899" s="63"/>
      <c r="T899" s="65"/>
      <c r="U899" s="65"/>
      <c r="V899" s="62"/>
      <c r="W899" s="62"/>
      <c r="X899" s="62"/>
      <c r="Y899" s="58"/>
      <c r="Z899" s="58"/>
      <c r="AA899" s="58"/>
    </row>
    <row r="900" spans="1:27" ht="15.75" customHeight="1" x14ac:dyDescent="0.2">
      <c r="A900" s="61" t="str">
        <f t="shared" si="28"/>
        <v/>
      </c>
      <c r="B900" s="62"/>
      <c r="C900" s="62"/>
      <c r="D900" s="62"/>
      <c r="E900" s="62"/>
      <c r="F900" s="63"/>
      <c r="G900" s="63"/>
      <c r="H900" s="63"/>
      <c r="I900" s="63"/>
      <c r="J900" s="63"/>
      <c r="K900" s="63"/>
      <c r="L900" s="64" t="str">
        <f>IF(OR($B900="", $H900="", $I900="", $J900="", $K900=""),"",ROUND((VLOOKUP($H900,Lists!$E$2:$F$5,2,FALSE())*VLOOKUP($I900,Lists!$H$2:$I$4,2,FALSE())*VLOOKUP($J900,Lists!$K$2:$L$4,2,FALSE()))/VLOOKUP($K900,Lists!$N$2:$O$6,2,FALSE()),2))</f>
        <v/>
      </c>
      <c r="M900" s="63"/>
      <c r="N900" s="63"/>
      <c r="O900" s="62"/>
      <c r="P900" s="63"/>
      <c r="Q900" s="65"/>
      <c r="R900" s="66" t="str">
        <f t="shared" ca="1" si="29"/>
        <v/>
      </c>
      <c r="S900" s="63"/>
      <c r="T900" s="65"/>
      <c r="U900" s="65"/>
      <c r="V900" s="62"/>
      <c r="W900" s="62"/>
      <c r="X900" s="62"/>
      <c r="Y900" s="58"/>
      <c r="Z900" s="58"/>
      <c r="AA900" s="58"/>
    </row>
    <row r="901" spans="1:27" ht="15.75" customHeight="1" x14ac:dyDescent="0.2">
      <c r="A901" s="61" t="str">
        <f t="shared" si="28"/>
        <v/>
      </c>
      <c r="B901" s="62"/>
      <c r="C901" s="62"/>
      <c r="D901" s="62"/>
      <c r="E901" s="62"/>
      <c r="F901" s="63"/>
      <c r="G901" s="63"/>
      <c r="H901" s="63"/>
      <c r="I901" s="63"/>
      <c r="J901" s="63"/>
      <c r="K901" s="63"/>
      <c r="L901" s="64" t="str">
        <f>IF(OR($B901="", $H901="", $I901="", $J901="", $K901=""),"",ROUND((VLOOKUP($H901,Lists!$E$2:$F$5,2,FALSE())*VLOOKUP($I901,Lists!$H$2:$I$4,2,FALSE())*VLOOKUP($J901,Lists!$K$2:$L$4,2,FALSE()))/VLOOKUP($K901,Lists!$N$2:$O$6,2,FALSE()),2))</f>
        <v/>
      </c>
      <c r="M901" s="63"/>
      <c r="N901" s="63"/>
      <c r="O901" s="62"/>
      <c r="P901" s="63"/>
      <c r="Q901" s="65"/>
      <c r="R901" s="66" t="str">
        <f t="shared" ca="1" si="29"/>
        <v/>
      </c>
      <c r="S901" s="63"/>
      <c r="T901" s="65"/>
      <c r="U901" s="65"/>
      <c r="V901" s="62"/>
      <c r="W901" s="62"/>
      <c r="X901" s="62"/>
      <c r="Y901" s="58"/>
      <c r="Z901" s="58"/>
      <c r="AA901" s="58"/>
    </row>
    <row r="902" spans="1:27" ht="15.75" customHeight="1" x14ac:dyDescent="0.2">
      <c r="A902" s="61" t="str">
        <f t="shared" si="28"/>
        <v/>
      </c>
      <c r="B902" s="62"/>
      <c r="C902" s="62"/>
      <c r="D902" s="62"/>
      <c r="E902" s="62"/>
      <c r="F902" s="63"/>
      <c r="G902" s="63"/>
      <c r="H902" s="63"/>
      <c r="I902" s="63"/>
      <c r="J902" s="63"/>
      <c r="K902" s="63"/>
      <c r="L902" s="64" t="str">
        <f>IF(OR($B902="", $H902="", $I902="", $J902="", $K902=""),"",ROUND((VLOOKUP($H902,Lists!$E$2:$F$5,2,FALSE())*VLOOKUP($I902,Lists!$H$2:$I$4,2,FALSE())*VLOOKUP($J902,Lists!$K$2:$L$4,2,FALSE()))/VLOOKUP($K902,Lists!$N$2:$O$6,2,FALSE()),2))</f>
        <v/>
      </c>
      <c r="M902" s="63"/>
      <c r="N902" s="63"/>
      <c r="O902" s="62"/>
      <c r="P902" s="63"/>
      <c r="Q902" s="65"/>
      <c r="R902" s="66" t="str">
        <f t="shared" ca="1" si="29"/>
        <v/>
      </c>
      <c r="S902" s="63"/>
      <c r="T902" s="65"/>
      <c r="U902" s="65"/>
      <c r="V902" s="62"/>
      <c r="W902" s="62"/>
      <c r="X902" s="62"/>
      <c r="Y902" s="58"/>
      <c r="Z902" s="58"/>
      <c r="AA902" s="58"/>
    </row>
    <row r="903" spans="1:27" ht="15.75" customHeight="1" x14ac:dyDescent="0.2">
      <c r="A903" s="61" t="str">
        <f t="shared" si="28"/>
        <v/>
      </c>
      <c r="B903" s="62"/>
      <c r="C903" s="62"/>
      <c r="D903" s="62"/>
      <c r="E903" s="62"/>
      <c r="F903" s="63"/>
      <c r="G903" s="63"/>
      <c r="H903" s="63"/>
      <c r="I903" s="63"/>
      <c r="J903" s="63"/>
      <c r="K903" s="63"/>
      <c r="L903" s="64" t="str">
        <f>IF(OR($B903="", $H903="", $I903="", $J903="", $K903=""),"",ROUND((VLOOKUP($H903,Lists!$E$2:$F$5,2,FALSE())*VLOOKUP($I903,Lists!$H$2:$I$4,2,FALSE())*VLOOKUP($J903,Lists!$K$2:$L$4,2,FALSE()))/VLOOKUP($K903,Lists!$N$2:$O$6,2,FALSE()),2))</f>
        <v/>
      </c>
      <c r="M903" s="63"/>
      <c r="N903" s="63"/>
      <c r="O903" s="62"/>
      <c r="P903" s="63"/>
      <c r="Q903" s="65"/>
      <c r="R903" s="66" t="str">
        <f t="shared" ca="1" si="29"/>
        <v/>
      </c>
      <c r="S903" s="63"/>
      <c r="T903" s="65"/>
      <c r="U903" s="65"/>
      <c r="V903" s="62"/>
      <c r="W903" s="62"/>
      <c r="X903" s="62"/>
      <c r="Y903" s="58"/>
      <c r="Z903" s="58"/>
      <c r="AA903" s="58"/>
    </row>
    <row r="904" spans="1:27" ht="15.75" customHeight="1" x14ac:dyDescent="0.2">
      <c r="A904" s="61" t="str">
        <f t="shared" si="28"/>
        <v/>
      </c>
      <c r="B904" s="62"/>
      <c r="C904" s="62"/>
      <c r="D904" s="62"/>
      <c r="E904" s="62"/>
      <c r="F904" s="63"/>
      <c r="G904" s="63"/>
      <c r="H904" s="63"/>
      <c r="I904" s="63"/>
      <c r="J904" s="63"/>
      <c r="K904" s="63"/>
      <c r="L904" s="64" t="str">
        <f>IF(OR($B904="", $H904="", $I904="", $J904="", $K904=""),"",ROUND((VLOOKUP($H904,Lists!$E$2:$F$5,2,FALSE())*VLOOKUP($I904,Lists!$H$2:$I$4,2,FALSE())*VLOOKUP($J904,Lists!$K$2:$L$4,2,FALSE()))/VLOOKUP($K904,Lists!$N$2:$O$6,2,FALSE()),2))</f>
        <v/>
      </c>
      <c r="M904" s="63"/>
      <c r="N904" s="63"/>
      <c r="O904" s="62"/>
      <c r="P904" s="63"/>
      <c r="Q904" s="65"/>
      <c r="R904" s="66" t="str">
        <f t="shared" ca="1" si="29"/>
        <v/>
      </c>
      <c r="S904" s="63"/>
      <c r="T904" s="65"/>
      <c r="U904" s="65"/>
      <c r="V904" s="62"/>
      <c r="W904" s="62"/>
      <c r="X904" s="62"/>
      <c r="Y904" s="58"/>
      <c r="Z904" s="58"/>
      <c r="AA904" s="58"/>
    </row>
    <row r="905" spans="1:27" ht="15.75" customHeight="1" x14ac:dyDescent="0.2">
      <c r="A905" s="61" t="str">
        <f t="shared" si="28"/>
        <v/>
      </c>
      <c r="B905" s="62"/>
      <c r="C905" s="62"/>
      <c r="D905" s="62"/>
      <c r="E905" s="62"/>
      <c r="F905" s="63"/>
      <c r="G905" s="63"/>
      <c r="H905" s="63"/>
      <c r="I905" s="63"/>
      <c r="J905" s="63"/>
      <c r="K905" s="63"/>
      <c r="L905" s="64" t="str">
        <f>IF(OR($B905="", $H905="", $I905="", $J905="", $K905=""),"",ROUND((VLOOKUP($H905,Lists!$E$2:$F$5,2,FALSE())*VLOOKUP($I905,Lists!$H$2:$I$4,2,FALSE())*VLOOKUP($J905,Lists!$K$2:$L$4,2,FALSE()))/VLOOKUP($K905,Lists!$N$2:$O$6,2,FALSE()),2))</f>
        <v/>
      </c>
      <c r="M905" s="63"/>
      <c r="N905" s="63"/>
      <c r="O905" s="62"/>
      <c r="P905" s="63"/>
      <c r="Q905" s="65"/>
      <c r="R905" s="66" t="str">
        <f t="shared" ca="1" si="29"/>
        <v/>
      </c>
      <c r="S905" s="63"/>
      <c r="T905" s="65"/>
      <c r="U905" s="65"/>
      <c r="V905" s="62"/>
      <c r="W905" s="62"/>
      <c r="X905" s="62"/>
      <c r="Y905" s="58"/>
      <c r="Z905" s="58"/>
      <c r="AA905" s="58"/>
    </row>
    <row r="906" spans="1:27" ht="15.75" customHeight="1" x14ac:dyDescent="0.2">
      <c r="A906" s="61" t="str">
        <f t="shared" si="28"/>
        <v/>
      </c>
      <c r="B906" s="62"/>
      <c r="C906" s="62"/>
      <c r="D906" s="62"/>
      <c r="E906" s="62"/>
      <c r="F906" s="63"/>
      <c r="G906" s="63"/>
      <c r="H906" s="63"/>
      <c r="I906" s="63"/>
      <c r="J906" s="63"/>
      <c r="K906" s="63"/>
      <c r="L906" s="64" t="str">
        <f>IF(OR($B906="", $H906="", $I906="", $J906="", $K906=""),"",ROUND((VLOOKUP($H906,Lists!$E$2:$F$5,2,FALSE())*VLOOKUP($I906,Lists!$H$2:$I$4,2,FALSE())*VLOOKUP($J906,Lists!$K$2:$L$4,2,FALSE()))/VLOOKUP($K906,Lists!$N$2:$O$6,2,FALSE()),2))</f>
        <v/>
      </c>
      <c r="M906" s="63"/>
      <c r="N906" s="63"/>
      <c r="O906" s="62"/>
      <c r="P906" s="63"/>
      <c r="Q906" s="65"/>
      <c r="R906" s="66" t="str">
        <f t="shared" ca="1" si="29"/>
        <v/>
      </c>
      <c r="S906" s="63"/>
      <c r="T906" s="65"/>
      <c r="U906" s="65"/>
      <c r="V906" s="62"/>
      <c r="W906" s="62"/>
      <c r="X906" s="62"/>
      <c r="Y906" s="58"/>
      <c r="Z906" s="58"/>
      <c r="AA906" s="58"/>
    </row>
    <row r="907" spans="1:27" ht="15.75" customHeight="1" x14ac:dyDescent="0.2">
      <c r="A907" s="61" t="str">
        <f t="shared" si="28"/>
        <v/>
      </c>
      <c r="B907" s="62"/>
      <c r="C907" s="62"/>
      <c r="D907" s="62"/>
      <c r="E907" s="62"/>
      <c r="F907" s="63"/>
      <c r="G907" s="63"/>
      <c r="H907" s="63"/>
      <c r="I907" s="63"/>
      <c r="J907" s="63"/>
      <c r="K907" s="63"/>
      <c r="L907" s="64" t="str">
        <f>IF(OR($B907="", $H907="", $I907="", $J907="", $K907=""),"",ROUND((VLOOKUP($H907,Lists!$E$2:$F$5,2,FALSE())*VLOOKUP($I907,Lists!$H$2:$I$4,2,FALSE())*VLOOKUP($J907,Lists!$K$2:$L$4,2,FALSE()))/VLOOKUP($K907,Lists!$N$2:$O$6,2,FALSE()),2))</f>
        <v/>
      </c>
      <c r="M907" s="63"/>
      <c r="N907" s="63"/>
      <c r="O907" s="62"/>
      <c r="P907" s="63"/>
      <c r="Q907" s="65"/>
      <c r="R907" s="66" t="str">
        <f t="shared" ca="1" si="29"/>
        <v/>
      </c>
      <c r="S907" s="63"/>
      <c r="T907" s="65"/>
      <c r="U907" s="65"/>
      <c r="V907" s="62"/>
      <c r="W907" s="62"/>
      <c r="X907" s="62"/>
      <c r="Y907" s="58"/>
      <c r="Z907" s="58"/>
      <c r="AA907" s="58"/>
    </row>
    <row r="908" spans="1:27" ht="15.75" customHeight="1" x14ac:dyDescent="0.2">
      <c r="A908" s="61" t="str">
        <f t="shared" si="28"/>
        <v/>
      </c>
      <c r="B908" s="62"/>
      <c r="C908" s="62"/>
      <c r="D908" s="62"/>
      <c r="E908" s="62"/>
      <c r="F908" s="63"/>
      <c r="G908" s="63"/>
      <c r="H908" s="63"/>
      <c r="I908" s="63"/>
      <c r="J908" s="63"/>
      <c r="K908" s="63"/>
      <c r="L908" s="64" t="str">
        <f>IF(OR($B908="", $H908="", $I908="", $J908="", $K908=""),"",ROUND((VLOOKUP($H908,Lists!$E$2:$F$5,2,FALSE())*VLOOKUP($I908,Lists!$H$2:$I$4,2,FALSE())*VLOOKUP($J908,Lists!$K$2:$L$4,2,FALSE()))/VLOOKUP($K908,Lists!$N$2:$O$6,2,FALSE()),2))</f>
        <v/>
      </c>
      <c r="M908" s="63"/>
      <c r="N908" s="63"/>
      <c r="O908" s="62"/>
      <c r="P908" s="63"/>
      <c r="Q908" s="65"/>
      <c r="R908" s="66" t="str">
        <f t="shared" ca="1" si="29"/>
        <v/>
      </c>
      <c r="S908" s="63"/>
      <c r="T908" s="65"/>
      <c r="U908" s="65"/>
      <c r="V908" s="62"/>
      <c r="W908" s="62"/>
      <c r="X908" s="62"/>
      <c r="Y908" s="58"/>
      <c r="Z908" s="58"/>
      <c r="AA908" s="58"/>
    </row>
    <row r="909" spans="1:27" ht="15.75" customHeight="1" x14ac:dyDescent="0.2">
      <c r="A909" s="61" t="str">
        <f t="shared" si="28"/>
        <v/>
      </c>
      <c r="B909" s="62"/>
      <c r="C909" s="62"/>
      <c r="D909" s="62"/>
      <c r="E909" s="62"/>
      <c r="F909" s="63"/>
      <c r="G909" s="63"/>
      <c r="H909" s="63"/>
      <c r="I909" s="63"/>
      <c r="J909" s="63"/>
      <c r="K909" s="63"/>
      <c r="L909" s="64" t="str">
        <f>IF(OR($B909="", $H909="", $I909="", $J909="", $K909=""),"",ROUND((VLOOKUP($H909,Lists!$E$2:$F$5,2,FALSE())*VLOOKUP($I909,Lists!$H$2:$I$4,2,FALSE())*VLOOKUP($J909,Lists!$K$2:$L$4,2,FALSE()))/VLOOKUP($K909,Lists!$N$2:$O$6,2,FALSE()),2))</f>
        <v/>
      </c>
      <c r="M909" s="63"/>
      <c r="N909" s="63"/>
      <c r="O909" s="62"/>
      <c r="P909" s="63"/>
      <c r="Q909" s="65"/>
      <c r="R909" s="66" t="str">
        <f t="shared" ca="1" si="29"/>
        <v/>
      </c>
      <c r="S909" s="63"/>
      <c r="T909" s="65"/>
      <c r="U909" s="65"/>
      <c r="V909" s="62"/>
      <c r="W909" s="62"/>
      <c r="X909" s="62"/>
      <c r="Y909" s="58"/>
      <c r="Z909" s="58"/>
      <c r="AA909" s="58"/>
    </row>
    <row r="910" spans="1:27" ht="15.75" customHeight="1" x14ac:dyDescent="0.2">
      <c r="A910" s="61" t="str">
        <f t="shared" si="28"/>
        <v/>
      </c>
      <c r="B910" s="62"/>
      <c r="C910" s="62"/>
      <c r="D910" s="62"/>
      <c r="E910" s="62"/>
      <c r="F910" s="63"/>
      <c r="G910" s="63"/>
      <c r="H910" s="63"/>
      <c r="I910" s="63"/>
      <c r="J910" s="63"/>
      <c r="K910" s="63"/>
      <c r="L910" s="64" t="str">
        <f>IF(OR($B910="", $H910="", $I910="", $J910="", $K910=""),"",ROUND((VLOOKUP($H910,Lists!$E$2:$F$5,2,FALSE())*VLOOKUP($I910,Lists!$H$2:$I$4,2,FALSE())*VLOOKUP($J910,Lists!$K$2:$L$4,2,FALSE()))/VLOOKUP($K910,Lists!$N$2:$O$6,2,FALSE()),2))</f>
        <v/>
      </c>
      <c r="M910" s="63"/>
      <c r="N910" s="63"/>
      <c r="O910" s="62"/>
      <c r="P910" s="63"/>
      <c r="Q910" s="65"/>
      <c r="R910" s="66" t="str">
        <f t="shared" ca="1" si="29"/>
        <v/>
      </c>
      <c r="S910" s="63"/>
      <c r="T910" s="65"/>
      <c r="U910" s="65"/>
      <c r="V910" s="62"/>
      <c r="W910" s="62"/>
      <c r="X910" s="62"/>
      <c r="Y910" s="58"/>
      <c r="Z910" s="58"/>
      <c r="AA910" s="58"/>
    </row>
    <row r="911" spans="1:27" ht="15.75" customHeight="1" x14ac:dyDescent="0.2">
      <c r="A911" s="61" t="str">
        <f t="shared" si="28"/>
        <v/>
      </c>
      <c r="B911" s="62"/>
      <c r="C911" s="62"/>
      <c r="D911" s="62"/>
      <c r="E911" s="62"/>
      <c r="F911" s="63"/>
      <c r="G911" s="63"/>
      <c r="H911" s="63"/>
      <c r="I911" s="63"/>
      <c r="J911" s="63"/>
      <c r="K911" s="63"/>
      <c r="L911" s="64" t="str">
        <f>IF(OR($B911="", $H911="", $I911="", $J911="", $K911=""),"",ROUND((VLOOKUP($H911,Lists!$E$2:$F$5,2,FALSE())*VLOOKUP($I911,Lists!$H$2:$I$4,2,FALSE())*VLOOKUP($J911,Lists!$K$2:$L$4,2,FALSE()))/VLOOKUP($K911,Lists!$N$2:$O$6,2,FALSE()),2))</f>
        <v/>
      </c>
      <c r="M911" s="63"/>
      <c r="N911" s="63"/>
      <c r="O911" s="62"/>
      <c r="P911" s="63"/>
      <c r="Q911" s="65"/>
      <c r="R911" s="66" t="str">
        <f t="shared" ca="1" si="29"/>
        <v/>
      </c>
      <c r="S911" s="63"/>
      <c r="T911" s="65"/>
      <c r="U911" s="65"/>
      <c r="V911" s="62"/>
      <c r="W911" s="62"/>
      <c r="X911" s="62"/>
      <c r="Y911" s="58"/>
      <c r="Z911" s="58"/>
      <c r="AA911" s="58"/>
    </row>
    <row r="912" spans="1:27" ht="15.75" customHeight="1" x14ac:dyDescent="0.2">
      <c r="A912" s="61" t="str">
        <f t="shared" si="28"/>
        <v/>
      </c>
      <c r="B912" s="62"/>
      <c r="C912" s="62"/>
      <c r="D912" s="62"/>
      <c r="E912" s="62"/>
      <c r="F912" s="63"/>
      <c r="G912" s="63"/>
      <c r="H912" s="63"/>
      <c r="I912" s="63"/>
      <c r="J912" s="63"/>
      <c r="K912" s="63"/>
      <c r="L912" s="64" t="str">
        <f>IF(OR($B912="", $H912="", $I912="", $J912="", $K912=""),"",ROUND((VLOOKUP($H912,Lists!$E$2:$F$5,2,FALSE())*VLOOKUP($I912,Lists!$H$2:$I$4,2,FALSE())*VLOOKUP($J912,Lists!$K$2:$L$4,2,FALSE()))/VLOOKUP($K912,Lists!$N$2:$O$6,2,FALSE()),2))</f>
        <v/>
      </c>
      <c r="M912" s="63"/>
      <c r="N912" s="63"/>
      <c r="O912" s="62"/>
      <c r="P912" s="63"/>
      <c r="Q912" s="65"/>
      <c r="R912" s="66" t="str">
        <f t="shared" ca="1" si="29"/>
        <v/>
      </c>
      <c r="S912" s="63"/>
      <c r="T912" s="65"/>
      <c r="U912" s="65"/>
      <c r="V912" s="62"/>
      <c r="W912" s="62"/>
      <c r="X912" s="62"/>
      <c r="Y912" s="58"/>
      <c r="Z912" s="58"/>
      <c r="AA912" s="58"/>
    </row>
    <row r="913" spans="1:27" ht="15.75" customHeight="1" x14ac:dyDescent="0.2">
      <c r="A913" s="61" t="str">
        <f t="shared" si="28"/>
        <v/>
      </c>
      <c r="B913" s="62"/>
      <c r="C913" s="62"/>
      <c r="D913" s="62"/>
      <c r="E913" s="62"/>
      <c r="F913" s="63"/>
      <c r="G913" s="63"/>
      <c r="H913" s="63"/>
      <c r="I913" s="63"/>
      <c r="J913" s="63"/>
      <c r="K913" s="63"/>
      <c r="L913" s="64" t="str">
        <f>IF(OR($B913="", $H913="", $I913="", $J913="", $K913=""),"",ROUND((VLOOKUP($H913,Lists!$E$2:$F$5,2,FALSE())*VLOOKUP($I913,Lists!$H$2:$I$4,2,FALSE())*VLOOKUP($J913,Lists!$K$2:$L$4,2,FALSE()))/VLOOKUP($K913,Lists!$N$2:$O$6,2,FALSE()),2))</f>
        <v/>
      </c>
      <c r="M913" s="63"/>
      <c r="N913" s="63"/>
      <c r="O913" s="62"/>
      <c r="P913" s="63"/>
      <c r="Q913" s="65"/>
      <c r="R913" s="66" t="str">
        <f t="shared" ca="1" si="29"/>
        <v/>
      </c>
      <c r="S913" s="63"/>
      <c r="T913" s="65"/>
      <c r="U913" s="65"/>
      <c r="V913" s="62"/>
      <c r="W913" s="62"/>
      <c r="X913" s="62"/>
      <c r="Y913" s="58"/>
      <c r="Z913" s="58"/>
      <c r="AA913" s="58"/>
    </row>
    <row r="914" spans="1:27" ht="15.75" customHeight="1" x14ac:dyDescent="0.2">
      <c r="A914" s="61" t="str">
        <f t="shared" si="28"/>
        <v/>
      </c>
      <c r="B914" s="62"/>
      <c r="C914" s="62"/>
      <c r="D914" s="62"/>
      <c r="E914" s="62"/>
      <c r="F914" s="63"/>
      <c r="G914" s="63"/>
      <c r="H914" s="63"/>
      <c r="I914" s="63"/>
      <c r="J914" s="63"/>
      <c r="K914" s="63"/>
      <c r="L914" s="64" t="str">
        <f>IF(OR($B914="", $H914="", $I914="", $J914="", $K914=""),"",ROUND((VLOOKUP($H914,Lists!$E$2:$F$5,2,FALSE())*VLOOKUP($I914,Lists!$H$2:$I$4,2,FALSE())*VLOOKUP($J914,Lists!$K$2:$L$4,2,FALSE()))/VLOOKUP($K914,Lists!$N$2:$O$6,2,FALSE()),2))</f>
        <v/>
      </c>
      <c r="M914" s="63"/>
      <c r="N914" s="63"/>
      <c r="O914" s="62"/>
      <c r="P914" s="63"/>
      <c r="Q914" s="65"/>
      <c r="R914" s="66" t="str">
        <f t="shared" ca="1" si="29"/>
        <v/>
      </c>
      <c r="S914" s="63"/>
      <c r="T914" s="65"/>
      <c r="U914" s="65"/>
      <c r="V914" s="62"/>
      <c r="W914" s="62"/>
      <c r="X914" s="62"/>
      <c r="Y914" s="58"/>
      <c r="Z914" s="58"/>
      <c r="AA914" s="58"/>
    </row>
    <row r="915" spans="1:27" ht="15.75" customHeight="1" x14ac:dyDescent="0.2">
      <c r="A915" s="61" t="str">
        <f t="shared" si="28"/>
        <v/>
      </c>
      <c r="B915" s="62"/>
      <c r="C915" s="62"/>
      <c r="D915" s="62"/>
      <c r="E915" s="62"/>
      <c r="F915" s="63"/>
      <c r="G915" s="63"/>
      <c r="H915" s="63"/>
      <c r="I915" s="63"/>
      <c r="J915" s="63"/>
      <c r="K915" s="63"/>
      <c r="L915" s="64" t="str">
        <f>IF(OR($B915="", $H915="", $I915="", $J915="", $K915=""),"",ROUND((VLOOKUP($H915,Lists!$E$2:$F$5,2,FALSE())*VLOOKUP($I915,Lists!$H$2:$I$4,2,FALSE())*VLOOKUP($J915,Lists!$K$2:$L$4,2,FALSE()))/VLOOKUP($K915,Lists!$N$2:$O$6,2,FALSE()),2))</f>
        <v/>
      </c>
      <c r="M915" s="63"/>
      <c r="N915" s="63"/>
      <c r="O915" s="62"/>
      <c r="P915" s="63"/>
      <c r="Q915" s="65"/>
      <c r="R915" s="66" t="str">
        <f t="shared" ca="1" si="29"/>
        <v/>
      </c>
      <c r="S915" s="63"/>
      <c r="T915" s="65"/>
      <c r="U915" s="65"/>
      <c r="V915" s="62"/>
      <c r="W915" s="62"/>
      <c r="X915" s="62"/>
      <c r="Y915" s="58"/>
      <c r="Z915" s="58"/>
      <c r="AA915" s="58"/>
    </row>
    <row r="916" spans="1:27" ht="15.75" customHeight="1" x14ac:dyDescent="0.2">
      <c r="A916" s="61" t="str">
        <f t="shared" si="28"/>
        <v/>
      </c>
      <c r="B916" s="62"/>
      <c r="C916" s="62"/>
      <c r="D916" s="62"/>
      <c r="E916" s="62"/>
      <c r="F916" s="63"/>
      <c r="G916" s="63"/>
      <c r="H916" s="63"/>
      <c r="I916" s="63"/>
      <c r="J916" s="63"/>
      <c r="K916" s="63"/>
      <c r="L916" s="64" t="str">
        <f>IF(OR($B916="", $H916="", $I916="", $J916="", $K916=""),"",ROUND((VLOOKUP($H916,Lists!$E$2:$F$5,2,FALSE())*VLOOKUP($I916,Lists!$H$2:$I$4,2,FALSE())*VLOOKUP($J916,Lists!$K$2:$L$4,2,FALSE()))/VLOOKUP($K916,Lists!$N$2:$O$6,2,FALSE()),2))</f>
        <v/>
      </c>
      <c r="M916" s="63"/>
      <c r="N916" s="63"/>
      <c r="O916" s="62"/>
      <c r="P916" s="63"/>
      <c r="Q916" s="65"/>
      <c r="R916" s="66" t="str">
        <f t="shared" ca="1" si="29"/>
        <v/>
      </c>
      <c r="S916" s="63"/>
      <c r="T916" s="65"/>
      <c r="U916" s="65"/>
      <c r="V916" s="62"/>
      <c r="W916" s="62"/>
      <c r="X916" s="62"/>
      <c r="Y916" s="58"/>
      <c r="Z916" s="58"/>
      <c r="AA916" s="58"/>
    </row>
    <row r="917" spans="1:27" ht="15.75" customHeight="1" x14ac:dyDescent="0.2">
      <c r="A917" s="61" t="str">
        <f t="shared" si="28"/>
        <v/>
      </c>
      <c r="B917" s="62"/>
      <c r="C917" s="62"/>
      <c r="D917" s="62"/>
      <c r="E917" s="62"/>
      <c r="F917" s="63"/>
      <c r="G917" s="63"/>
      <c r="H917" s="63"/>
      <c r="I917" s="63"/>
      <c r="J917" s="63"/>
      <c r="K917" s="63"/>
      <c r="L917" s="64" t="str">
        <f>IF(OR($B917="", $H917="", $I917="", $J917="", $K917=""),"",ROUND((VLOOKUP($H917,Lists!$E$2:$F$5,2,FALSE())*VLOOKUP($I917,Lists!$H$2:$I$4,2,FALSE())*VLOOKUP($J917,Lists!$K$2:$L$4,2,FALSE()))/VLOOKUP($K917,Lists!$N$2:$O$6,2,FALSE()),2))</f>
        <v/>
      </c>
      <c r="M917" s="63"/>
      <c r="N917" s="63"/>
      <c r="O917" s="62"/>
      <c r="P917" s="63"/>
      <c r="Q917" s="65"/>
      <c r="R917" s="66" t="str">
        <f t="shared" ca="1" si="29"/>
        <v/>
      </c>
      <c r="S917" s="63"/>
      <c r="T917" s="65"/>
      <c r="U917" s="65"/>
      <c r="V917" s="62"/>
      <c r="W917" s="62"/>
      <c r="X917" s="62"/>
      <c r="Y917" s="58"/>
      <c r="Z917" s="58"/>
      <c r="AA917" s="58"/>
    </row>
    <row r="918" spans="1:27" ht="15.75" customHeight="1" x14ac:dyDescent="0.2">
      <c r="A918" s="61" t="str">
        <f t="shared" si="28"/>
        <v/>
      </c>
      <c r="B918" s="62"/>
      <c r="C918" s="62"/>
      <c r="D918" s="62"/>
      <c r="E918" s="62"/>
      <c r="F918" s="63"/>
      <c r="G918" s="63"/>
      <c r="H918" s="63"/>
      <c r="I918" s="63"/>
      <c r="J918" s="63"/>
      <c r="K918" s="63"/>
      <c r="L918" s="64" t="str">
        <f>IF(OR($B918="", $H918="", $I918="", $J918="", $K918=""),"",ROUND((VLOOKUP($H918,Lists!$E$2:$F$5,2,FALSE())*VLOOKUP($I918,Lists!$H$2:$I$4,2,FALSE())*VLOOKUP($J918,Lists!$K$2:$L$4,2,FALSE()))/VLOOKUP($K918,Lists!$N$2:$O$6,2,FALSE()),2))</f>
        <v/>
      </c>
      <c r="M918" s="63"/>
      <c r="N918" s="63"/>
      <c r="O918" s="62"/>
      <c r="P918" s="63"/>
      <c r="Q918" s="65"/>
      <c r="R918" s="66" t="str">
        <f t="shared" ca="1" si="29"/>
        <v/>
      </c>
      <c r="S918" s="63"/>
      <c r="T918" s="65"/>
      <c r="U918" s="65"/>
      <c r="V918" s="62"/>
      <c r="W918" s="62"/>
      <c r="X918" s="62"/>
      <c r="Y918" s="58"/>
      <c r="Z918" s="58"/>
      <c r="AA918" s="58"/>
    </row>
    <row r="919" spans="1:27" ht="15.75" customHeight="1" x14ac:dyDescent="0.2">
      <c r="A919" s="61" t="str">
        <f t="shared" si="28"/>
        <v/>
      </c>
      <c r="B919" s="62"/>
      <c r="C919" s="62"/>
      <c r="D919" s="62"/>
      <c r="E919" s="62"/>
      <c r="F919" s="63"/>
      <c r="G919" s="63"/>
      <c r="H919" s="63"/>
      <c r="I919" s="63"/>
      <c r="J919" s="63"/>
      <c r="K919" s="63"/>
      <c r="L919" s="64" t="str">
        <f>IF(OR($B919="", $H919="", $I919="", $J919="", $K919=""),"",ROUND((VLOOKUP($H919,Lists!$E$2:$F$5,2,FALSE())*VLOOKUP($I919,Lists!$H$2:$I$4,2,FALSE())*VLOOKUP($J919,Lists!$K$2:$L$4,2,FALSE()))/VLOOKUP($K919,Lists!$N$2:$O$6,2,FALSE()),2))</f>
        <v/>
      </c>
      <c r="M919" s="63"/>
      <c r="N919" s="63"/>
      <c r="O919" s="62"/>
      <c r="P919" s="63"/>
      <c r="Q919" s="65"/>
      <c r="R919" s="66" t="str">
        <f t="shared" ca="1" si="29"/>
        <v/>
      </c>
      <c r="S919" s="63"/>
      <c r="T919" s="65"/>
      <c r="U919" s="65"/>
      <c r="V919" s="62"/>
      <c r="W919" s="62"/>
      <c r="X919" s="62"/>
      <c r="Y919" s="58"/>
      <c r="Z919" s="58"/>
      <c r="AA919" s="58"/>
    </row>
    <row r="920" spans="1:27" ht="15.75" customHeight="1" x14ac:dyDescent="0.2">
      <c r="A920" s="61" t="str">
        <f t="shared" si="28"/>
        <v/>
      </c>
      <c r="B920" s="62"/>
      <c r="C920" s="62"/>
      <c r="D920" s="62"/>
      <c r="E920" s="62"/>
      <c r="F920" s="63"/>
      <c r="G920" s="63"/>
      <c r="H920" s="63"/>
      <c r="I920" s="63"/>
      <c r="J920" s="63"/>
      <c r="K920" s="63"/>
      <c r="L920" s="64" t="str">
        <f>IF(OR($B920="", $H920="", $I920="", $J920="", $K920=""),"",ROUND((VLOOKUP($H920,Lists!$E$2:$F$5,2,FALSE())*VLOOKUP($I920,Lists!$H$2:$I$4,2,FALSE())*VLOOKUP($J920,Lists!$K$2:$L$4,2,FALSE()))/VLOOKUP($K920,Lists!$N$2:$O$6,2,FALSE()),2))</f>
        <v/>
      </c>
      <c r="M920" s="63"/>
      <c r="N920" s="63"/>
      <c r="O920" s="62"/>
      <c r="P920" s="63"/>
      <c r="Q920" s="65"/>
      <c r="R920" s="66" t="str">
        <f t="shared" ca="1" si="29"/>
        <v/>
      </c>
      <c r="S920" s="63"/>
      <c r="T920" s="65"/>
      <c r="U920" s="65"/>
      <c r="V920" s="62"/>
      <c r="W920" s="62"/>
      <c r="X920" s="62"/>
      <c r="Y920" s="58"/>
      <c r="Z920" s="58"/>
      <c r="AA920" s="58"/>
    </row>
    <row r="921" spans="1:27" ht="15.75" customHeight="1" x14ac:dyDescent="0.2">
      <c r="A921" s="61" t="str">
        <f t="shared" si="28"/>
        <v/>
      </c>
      <c r="B921" s="62"/>
      <c r="C921" s="62"/>
      <c r="D921" s="62"/>
      <c r="E921" s="62"/>
      <c r="F921" s="63"/>
      <c r="G921" s="63"/>
      <c r="H921" s="63"/>
      <c r="I921" s="63"/>
      <c r="J921" s="63"/>
      <c r="K921" s="63"/>
      <c r="L921" s="64" t="str">
        <f>IF(OR($B921="", $H921="", $I921="", $J921="", $K921=""),"",ROUND((VLOOKUP($H921,Lists!$E$2:$F$5,2,FALSE())*VLOOKUP($I921,Lists!$H$2:$I$4,2,FALSE())*VLOOKUP($J921,Lists!$K$2:$L$4,2,FALSE()))/VLOOKUP($K921,Lists!$N$2:$O$6,2,FALSE()),2))</f>
        <v/>
      </c>
      <c r="M921" s="63"/>
      <c r="N921" s="63"/>
      <c r="O921" s="62"/>
      <c r="P921" s="63"/>
      <c r="Q921" s="65"/>
      <c r="R921" s="66" t="str">
        <f t="shared" ca="1" si="29"/>
        <v/>
      </c>
      <c r="S921" s="63"/>
      <c r="T921" s="65"/>
      <c r="U921" s="65"/>
      <c r="V921" s="62"/>
      <c r="W921" s="62"/>
      <c r="X921" s="62"/>
      <c r="Y921" s="58"/>
      <c r="Z921" s="58"/>
      <c r="AA921" s="58"/>
    </row>
    <row r="922" spans="1:27" ht="15.75" customHeight="1" x14ac:dyDescent="0.2">
      <c r="A922" s="61" t="str">
        <f t="shared" si="28"/>
        <v/>
      </c>
      <c r="B922" s="62"/>
      <c r="C922" s="62"/>
      <c r="D922" s="62"/>
      <c r="E922" s="62"/>
      <c r="F922" s="63"/>
      <c r="G922" s="63"/>
      <c r="H922" s="63"/>
      <c r="I922" s="63"/>
      <c r="J922" s="63"/>
      <c r="K922" s="63"/>
      <c r="L922" s="64" t="str">
        <f>IF(OR($B922="", $H922="", $I922="", $J922="", $K922=""),"",ROUND((VLOOKUP($H922,Lists!$E$2:$F$5,2,FALSE())*VLOOKUP($I922,Lists!$H$2:$I$4,2,FALSE())*VLOOKUP($J922,Lists!$K$2:$L$4,2,FALSE()))/VLOOKUP($K922,Lists!$N$2:$O$6,2,FALSE()),2))</f>
        <v/>
      </c>
      <c r="M922" s="63"/>
      <c r="N922" s="63"/>
      <c r="O922" s="62"/>
      <c r="P922" s="63"/>
      <c r="Q922" s="65"/>
      <c r="R922" s="66" t="str">
        <f t="shared" ca="1" si="29"/>
        <v/>
      </c>
      <c r="S922" s="63"/>
      <c r="T922" s="65"/>
      <c r="U922" s="65"/>
      <c r="V922" s="62"/>
      <c r="W922" s="62"/>
      <c r="X922" s="62"/>
      <c r="Y922" s="58"/>
      <c r="Z922" s="58"/>
      <c r="AA922" s="58"/>
    </row>
    <row r="923" spans="1:27" ht="15.75" customHeight="1" x14ac:dyDescent="0.2">
      <c r="A923" s="61" t="str">
        <f t="shared" si="28"/>
        <v/>
      </c>
      <c r="B923" s="62"/>
      <c r="C923" s="62"/>
      <c r="D923" s="62"/>
      <c r="E923" s="62"/>
      <c r="F923" s="63"/>
      <c r="G923" s="63"/>
      <c r="H923" s="63"/>
      <c r="I923" s="63"/>
      <c r="J923" s="63"/>
      <c r="K923" s="63"/>
      <c r="L923" s="64" t="str">
        <f>IF(OR($B923="", $H923="", $I923="", $J923="", $K923=""),"",ROUND((VLOOKUP($H923,Lists!$E$2:$F$5,2,FALSE())*VLOOKUP($I923,Lists!$H$2:$I$4,2,FALSE())*VLOOKUP($J923,Lists!$K$2:$L$4,2,FALSE()))/VLOOKUP($K923,Lists!$N$2:$O$6,2,FALSE()),2))</f>
        <v/>
      </c>
      <c r="M923" s="63"/>
      <c r="N923" s="63"/>
      <c r="O923" s="62"/>
      <c r="P923" s="63"/>
      <c r="Q923" s="65"/>
      <c r="R923" s="66" t="str">
        <f t="shared" ca="1" si="29"/>
        <v/>
      </c>
      <c r="S923" s="63"/>
      <c r="T923" s="65"/>
      <c r="U923" s="65"/>
      <c r="V923" s="62"/>
      <c r="W923" s="62"/>
      <c r="X923" s="62"/>
      <c r="Y923" s="58"/>
      <c r="Z923" s="58"/>
      <c r="AA923" s="58"/>
    </row>
    <row r="924" spans="1:27" ht="15.75" customHeight="1" x14ac:dyDescent="0.2">
      <c r="A924" s="61" t="str">
        <f t="shared" si="28"/>
        <v/>
      </c>
      <c r="B924" s="62"/>
      <c r="C924" s="62"/>
      <c r="D924" s="62"/>
      <c r="E924" s="62"/>
      <c r="F924" s="63"/>
      <c r="G924" s="63"/>
      <c r="H924" s="63"/>
      <c r="I924" s="63"/>
      <c r="J924" s="63"/>
      <c r="K924" s="63"/>
      <c r="L924" s="64" t="str">
        <f>IF(OR($B924="", $H924="", $I924="", $J924="", $K924=""),"",ROUND((VLOOKUP($H924,Lists!$E$2:$F$5,2,FALSE())*VLOOKUP($I924,Lists!$H$2:$I$4,2,FALSE())*VLOOKUP($J924,Lists!$K$2:$L$4,2,FALSE()))/VLOOKUP($K924,Lists!$N$2:$O$6,2,FALSE()),2))</f>
        <v/>
      </c>
      <c r="M924" s="63"/>
      <c r="N924" s="63"/>
      <c r="O924" s="62"/>
      <c r="P924" s="63"/>
      <c r="Q924" s="65"/>
      <c r="R924" s="66" t="str">
        <f t="shared" ca="1" si="29"/>
        <v/>
      </c>
      <c r="S924" s="63"/>
      <c r="T924" s="65"/>
      <c r="U924" s="65"/>
      <c r="V924" s="62"/>
      <c r="W924" s="62"/>
      <c r="X924" s="62"/>
      <c r="Y924" s="58"/>
      <c r="Z924" s="58"/>
      <c r="AA924" s="58"/>
    </row>
    <row r="925" spans="1:27" ht="15.75" customHeight="1" x14ac:dyDescent="0.2">
      <c r="A925" s="61" t="str">
        <f t="shared" si="28"/>
        <v/>
      </c>
      <c r="B925" s="62"/>
      <c r="C925" s="62"/>
      <c r="D925" s="62"/>
      <c r="E925" s="62"/>
      <c r="F925" s="63"/>
      <c r="G925" s="63"/>
      <c r="H925" s="63"/>
      <c r="I925" s="63"/>
      <c r="J925" s="63"/>
      <c r="K925" s="63"/>
      <c r="L925" s="64" t="str">
        <f>IF(OR($B925="", $H925="", $I925="", $J925="", $K925=""),"",ROUND((VLOOKUP($H925,Lists!$E$2:$F$5,2,FALSE())*VLOOKUP($I925,Lists!$H$2:$I$4,2,FALSE())*VLOOKUP($J925,Lists!$K$2:$L$4,2,FALSE()))/VLOOKUP($K925,Lists!$N$2:$O$6,2,FALSE()),2))</f>
        <v/>
      </c>
      <c r="M925" s="63"/>
      <c r="N925" s="63"/>
      <c r="O925" s="62"/>
      <c r="P925" s="63"/>
      <c r="Q925" s="65"/>
      <c r="R925" s="66" t="str">
        <f t="shared" ca="1" si="29"/>
        <v/>
      </c>
      <c r="S925" s="63"/>
      <c r="T925" s="65"/>
      <c r="U925" s="65"/>
      <c r="V925" s="62"/>
      <c r="W925" s="62"/>
      <c r="X925" s="62"/>
      <c r="Y925" s="58"/>
      <c r="Z925" s="58"/>
      <c r="AA925" s="58"/>
    </row>
    <row r="926" spans="1:27" ht="15.75" customHeight="1" x14ac:dyDescent="0.2">
      <c r="A926" s="61" t="str">
        <f t="shared" si="28"/>
        <v/>
      </c>
      <c r="B926" s="62"/>
      <c r="C926" s="62"/>
      <c r="D926" s="62"/>
      <c r="E926" s="62"/>
      <c r="F926" s="63"/>
      <c r="G926" s="63"/>
      <c r="H926" s="63"/>
      <c r="I926" s="63"/>
      <c r="J926" s="63"/>
      <c r="K926" s="63"/>
      <c r="L926" s="64" t="str">
        <f>IF(OR($B926="", $H926="", $I926="", $J926="", $K926=""),"",ROUND((VLOOKUP($H926,Lists!$E$2:$F$5,2,FALSE())*VLOOKUP($I926,Lists!$H$2:$I$4,2,FALSE())*VLOOKUP($J926,Lists!$K$2:$L$4,2,FALSE()))/VLOOKUP($K926,Lists!$N$2:$O$6,2,FALSE()),2))</f>
        <v/>
      </c>
      <c r="M926" s="63"/>
      <c r="N926" s="63"/>
      <c r="O926" s="62"/>
      <c r="P926" s="63"/>
      <c r="Q926" s="65"/>
      <c r="R926" s="66" t="str">
        <f t="shared" ca="1" si="29"/>
        <v/>
      </c>
      <c r="S926" s="63"/>
      <c r="T926" s="65"/>
      <c r="U926" s="65"/>
      <c r="V926" s="62"/>
      <c r="W926" s="62"/>
      <c r="X926" s="62"/>
      <c r="Y926" s="58"/>
      <c r="Z926" s="58"/>
      <c r="AA926" s="58"/>
    </row>
    <row r="927" spans="1:27" ht="15.75" customHeight="1" x14ac:dyDescent="0.2">
      <c r="A927" s="61" t="str">
        <f t="shared" si="28"/>
        <v/>
      </c>
      <c r="B927" s="62"/>
      <c r="C927" s="62"/>
      <c r="D927" s="62"/>
      <c r="E927" s="62"/>
      <c r="F927" s="63"/>
      <c r="G927" s="63"/>
      <c r="H927" s="63"/>
      <c r="I927" s="63"/>
      <c r="J927" s="63"/>
      <c r="K927" s="63"/>
      <c r="L927" s="64" t="str">
        <f>IF(OR($B927="", $H927="", $I927="", $J927="", $K927=""),"",ROUND((VLOOKUP($H927,Lists!$E$2:$F$5,2,FALSE())*VLOOKUP($I927,Lists!$H$2:$I$4,2,FALSE())*VLOOKUP($J927,Lists!$K$2:$L$4,2,FALSE()))/VLOOKUP($K927,Lists!$N$2:$O$6,2,FALSE()),2))</f>
        <v/>
      </c>
      <c r="M927" s="63"/>
      <c r="N927" s="63"/>
      <c r="O927" s="62"/>
      <c r="P927" s="63"/>
      <c r="Q927" s="65"/>
      <c r="R927" s="66" t="str">
        <f t="shared" ca="1" si="29"/>
        <v/>
      </c>
      <c r="S927" s="63"/>
      <c r="T927" s="65"/>
      <c r="U927" s="65"/>
      <c r="V927" s="62"/>
      <c r="W927" s="62"/>
      <c r="X927" s="62"/>
      <c r="Y927" s="58"/>
      <c r="Z927" s="58"/>
      <c r="AA927" s="58"/>
    </row>
    <row r="928" spans="1:27" ht="15.75" customHeight="1" x14ac:dyDescent="0.2">
      <c r="A928" s="61" t="str">
        <f t="shared" si="28"/>
        <v/>
      </c>
      <c r="B928" s="62"/>
      <c r="C928" s="62"/>
      <c r="D928" s="62"/>
      <c r="E928" s="62"/>
      <c r="F928" s="63"/>
      <c r="G928" s="63"/>
      <c r="H928" s="63"/>
      <c r="I928" s="63"/>
      <c r="J928" s="63"/>
      <c r="K928" s="63"/>
      <c r="L928" s="64" t="str">
        <f>IF(OR($B928="", $H928="", $I928="", $J928="", $K928=""),"",ROUND((VLOOKUP($H928,Lists!$E$2:$F$5,2,FALSE())*VLOOKUP($I928,Lists!$H$2:$I$4,2,FALSE())*VLOOKUP($J928,Lists!$K$2:$L$4,2,FALSE()))/VLOOKUP($K928,Lists!$N$2:$O$6,2,FALSE()),2))</f>
        <v/>
      </c>
      <c r="M928" s="63"/>
      <c r="N928" s="63"/>
      <c r="O928" s="62"/>
      <c r="P928" s="63"/>
      <c r="Q928" s="65"/>
      <c r="R928" s="66" t="str">
        <f t="shared" ca="1" si="29"/>
        <v/>
      </c>
      <c r="S928" s="63"/>
      <c r="T928" s="65"/>
      <c r="U928" s="65"/>
      <c r="V928" s="62"/>
      <c r="W928" s="62"/>
      <c r="X928" s="62"/>
      <c r="Y928" s="58"/>
      <c r="Z928" s="58"/>
      <c r="AA928" s="58"/>
    </row>
    <row r="929" spans="1:27" ht="15.75" customHeight="1" x14ac:dyDescent="0.2">
      <c r="A929" s="61" t="str">
        <f t="shared" si="28"/>
        <v/>
      </c>
      <c r="B929" s="62"/>
      <c r="C929" s="62"/>
      <c r="D929" s="62"/>
      <c r="E929" s="62"/>
      <c r="F929" s="63"/>
      <c r="G929" s="63"/>
      <c r="H929" s="63"/>
      <c r="I929" s="63"/>
      <c r="J929" s="63"/>
      <c r="K929" s="63"/>
      <c r="L929" s="64" t="str">
        <f>IF(OR($B929="", $H929="", $I929="", $J929="", $K929=""),"",ROUND((VLOOKUP($H929,Lists!$E$2:$F$5,2,FALSE())*VLOOKUP($I929,Lists!$H$2:$I$4,2,FALSE())*VLOOKUP($J929,Lists!$K$2:$L$4,2,FALSE()))/VLOOKUP($K929,Lists!$N$2:$O$6,2,FALSE()),2))</f>
        <v/>
      </c>
      <c r="M929" s="63"/>
      <c r="N929" s="63"/>
      <c r="O929" s="62"/>
      <c r="P929" s="63"/>
      <c r="Q929" s="65"/>
      <c r="R929" s="66" t="str">
        <f t="shared" ca="1" si="29"/>
        <v/>
      </c>
      <c r="S929" s="63"/>
      <c r="T929" s="65"/>
      <c r="U929" s="65"/>
      <c r="V929" s="62"/>
      <c r="W929" s="62"/>
      <c r="X929" s="62"/>
      <c r="Y929" s="58"/>
      <c r="Z929" s="58"/>
      <c r="AA929" s="58"/>
    </row>
    <row r="930" spans="1:27" ht="15.75" customHeight="1" x14ac:dyDescent="0.2">
      <c r="A930" s="61" t="str">
        <f t="shared" si="28"/>
        <v/>
      </c>
      <c r="B930" s="62"/>
      <c r="C930" s="62"/>
      <c r="D930" s="62"/>
      <c r="E930" s="62"/>
      <c r="F930" s="63"/>
      <c r="G930" s="63"/>
      <c r="H930" s="63"/>
      <c r="I930" s="63"/>
      <c r="J930" s="63"/>
      <c r="K930" s="63"/>
      <c r="L930" s="64" t="str">
        <f>IF(OR($B930="", $H930="", $I930="", $J930="", $K930=""),"",ROUND((VLOOKUP($H930,Lists!$E$2:$F$5,2,FALSE())*VLOOKUP($I930,Lists!$H$2:$I$4,2,FALSE())*VLOOKUP($J930,Lists!$K$2:$L$4,2,FALSE()))/VLOOKUP($K930,Lists!$N$2:$O$6,2,FALSE()),2))</f>
        <v/>
      </c>
      <c r="M930" s="63"/>
      <c r="N930" s="63"/>
      <c r="O930" s="62"/>
      <c r="P930" s="63"/>
      <c r="Q930" s="65"/>
      <c r="R930" s="66" t="str">
        <f t="shared" ca="1" si="29"/>
        <v/>
      </c>
      <c r="S930" s="63"/>
      <c r="T930" s="65"/>
      <c r="U930" s="65"/>
      <c r="V930" s="62"/>
      <c r="W930" s="62"/>
      <c r="X930" s="62"/>
      <c r="Y930" s="58"/>
      <c r="Z930" s="58"/>
      <c r="AA930" s="58"/>
    </row>
    <row r="931" spans="1:27" ht="15.75" customHeight="1" x14ac:dyDescent="0.2">
      <c r="A931" s="61" t="str">
        <f t="shared" si="28"/>
        <v/>
      </c>
      <c r="B931" s="62"/>
      <c r="C931" s="62"/>
      <c r="D931" s="62"/>
      <c r="E931" s="62"/>
      <c r="F931" s="63"/>
      <c r="G931" s="63"/>
      <c r="H931" s="63"/>
      <c r="I931" s="63"/>
      <c r="J931" s="63"/>
      <c r="K931" s="63"/>
      <c r="L931" s="64" t="str">
        <f>IF(OR($B931="", $H931="", $I931="", $J931="", $K931=""),"",ROUND((VLOOKUP($H931,Lists!$E$2:$F$5,2,FALSE())*VLOOKUP($I931,Lists!$H$2:$I$4,2,FALSE())*VLOOKUP($J931,Lists!$K$2:$L$4,2,FALSE()))/VLOOKUP($K931,Lists!$N$2:$O$6,2,FALSE()),2))</f>
        <v/>
      </c>
      <c r="M931" s="63"/>
      <c r="N931" s="63"/>
      <c r="O931" s="62"/>
      <c r="P931" s="63"/>
      <c r="Q931" s="65"/>
      <c r="R931" s="66" t="str">
        <f t="shared" ca="1" si="29"/>
        <v/>
      </c>
      <c r="S931" s="63"/>
      <c r="T931" s="65"/>
      <c r="U931" s="65"/>
      <c r="V931" s="62"/>
      <c r="W931" s="62"/>
      <c r="X931" s="62"/>
      <c r="Y931" s="58"/>
      <c r="Z931" s="58"/>
      <c r="AA931" s="58"/>
    </row>
    <row r="932" spans="1:27" ht="15.75" customHeight="1" x14ac:dyDescent="0.2">
      <c r="A932" s="61" t="str">
        <f t="shared" si="28"/>
        <v/>
      </c>
      <c r="B932" s="62"/>
      <c r="C932" s="62"/>
      <c r="D932" s="62"/>
      <c r="E932" s="62"/>
      <c r="F932" s="63"/>
      <c r="G932" s="63"/>
      <c r="H932" s="63"/>
      <c r="I932" s="63"/>
      <c r="J932" s="63"/>
      <c r="K932" s="63"/>
      <c r="L932" s="64" t="str">
        <f>IF(OR($B932="", $H932="", $I932="", $J932="", $K932=""),"",ROUND((VLOOKUP($H932,Lists!$E$2:$F$5,2,FALSE())*VLOOKUP($I932,Lists!$H$2:$I$4,2,FALSE())*VLOOKUP($J932,Lists!$K$2:$L$4,2,FALSE()))/VLOOKUP($K932,Lists!$N$2:$O$6,2,FALSE()),2))</f>
        <v/>
      </c>
      <c r="M932" s="63"/>
      <c r="N932" s="63"/>
      <c r="O932" s="62"/>
      <c r="P932" s="63"/>
      <c r="Q932" s="65"/>
      <c r="R932" s="66" t="str">
        <f t="shared" ca="1" si="29"/>
        <v/>
      </c>
      <c r="S932" s="63"/>
      <c r="T932" s="65"/>
      <c r="U932" s="65"/>
      <c r="V932" s="62"/>
      <c r="W932" s="62"/>
      <c r="X932" s="62"/>
      <c r="Y932" s="58"/>
      <c r="Z932" s="58"/>
      <c r="AA932" s="58"/>
    </row>
    <row r="933" spans="1:27" ht="15.75" customHeight="1" x14ac:dyDescent="0.2">
      <c r="A933" s="61" t="str">
        <f t="shared" si="28"/>
        <v/>
      </c>
      <c r="B933" s="62"/>
      <c r="C933" s="62"/>
      <c r="D933" s="62"/>
      <c r="E933" s="62"/>
      <c r="F933" s="63"/>
      <c r="G933" s="63"/>
      <c r="H933" s="63"/>
      <c r="I933" s="63"/>
      <c r="J933" s="63"/>
      <c r="K933" s="63"/>
      <c r="L933" s="64" t="str">
        <f>IF(OR($B933="", $H933="", $I933="", $J933="", $K933=""),"",ROUND((VLOOKUP($H933,Lists!$E$2:$F$5,2,FALSE())*VLOOKUP($I933,Lists!$H$2:$I$4,2,FALSE())*VLOOKUP($J933,Lists!$K$2:$L$4,2,FALSE()))/VLOOKUP($K933,Lists!$N$2:$O$6,2,FALSE()),2))</f>
        <v/>
      </c>
      <c r="M933" s="63"/>
      <c r="N933" s="63"/>
      <c r="O933" s="62"/>
      <c r="P933" s="63"/>
      <c r="Q933" s="65"/>
      <c r="R933" s="66" t="str">
        <f t="shared" ca="1" si="29"/>
        <v/>
      </c>
      <c r="S933" s="63"/>
      <c r="T933" s="65"/>
      <c r="U933" s="65"/>
      <c r="V933" s="62"/>
      <c r="W933" s="62"/>
      <c r="X933" s="62"/>
      <c r="Y933" s="58"/>
      <c r="Z933" s="58"/>
      <c r="AA933" s="58"/>
    </row>
    <row r="934" spans="1:27" ht="15.75" customHeight="1" x14ac:dyDescent="0.2">
      <c r="A934" s="61" t="str">
        <f t="shared" si="28"/>
        <v/>
      </c>
      <c r="B934" s="62"/>
      <c r="C934" s="62"/>
      <c r="D934" s="62"/>
      <c r="E934" s="62"/>
      <c r="F934" s="63"/>
      <c r="G934" s="63"/>
      <c r="H934" s="63"/>
      <c r="I934" s="63"/>
      <c r="J934" s="63"/>
      <c r="K934" s="63"/>
      <c r="L934" s="64" t="str">
        <f>IF(OR($B934="", $H934="", $I934="", $J934="", $K934=""),"",ROUND((VLOOKUP($H934,Lists!$E$2:$F$5,2,FALSE())*VLOOKUP($I934,Lists!$H$2:$I$4,2,FALSE())*VLOOKUP($J934,Lists!$K$2:$L$4,2,FALSE()))/VLOOKUP($K934,Lists!$N$2:$O$6,2,FALSE()),2))</f>
        <v/>
      </c>
      <c r="M934" s="63"/>
      <c r="N934" s="63"/>
      <c r="O934" s="62"/>
      <c r="P934" s="63"/>
      <c r="Q934" s="65"/>
      <c r="R934" s="66" t="str">
        <f t="shared" ca="1" si="29"/>
        <v/>
      </c>
      <c r="S934" s="63"/>
      <c r="T934" s="65"/>
      <c r="U934" s="65"/>
      <c r="V934" s="62"/>
      <c r="W934" s="62"/>
      <c r="X934" s="62"/>
      <c r="Y934" s="58"/>
      <c r="Z934" s="58"/>
      <c r="AA934" s="58"/>
    </row>
    <row r="935" spans="1:27" ht="15.75" customHeight="1" x14ac:dyDescent="0.2">
      <c r="A935" s="61" t="str">
        <f t="shared" si="28"/>
        <v/>
      </c>
      <c r="B935" s="62"/>
      <c r="C935" s="62"/>
      <c r="D935" s="62"/>
      <c r="E935" s="62"/>
      <c r="F935" s="63"/>
      <c r="G935" s="63"/>
      <c r="H935" s="63"/>
      <c r="I935" s="63"/>
      <c r="J935" s="63"/>
      <c r="K935" s="63"/>
      <c r="L935" s="64" t="str">
        <f>IF(OR($B935="", $H935="", $I935="", $J935="", $K935=""),"",ROUND((VLOOKUP($H935,Lists!$E$2:$F$5,2,FALSE())*VLOOKUP($I935,Lists!$H$2:$I$4,2,FALSE())*VLOOKUP($J935,Lists!$K$2:$L$4,2,FALSE()))/VLOOKUP($K935,Lists!$N$2:$O$6,2,FALSE()),2))</f>
        <v/>
      </c>
      <c r="M935" s="63"/>
      <c r="N935" s="63"/>
      <c r="O935" s="62"/>
      <c r="P935" s="63"/>
      <c r="Q935" s="65"/>
      <c r="R935" s="66" t="str">
        <f t="shared" ca="1" si="29"/>
        <v/>
      </c>
      <c r="S935" s="63"/>
      <c r="T935" s="65"/>
      <c r="U935" s="65"/>
      <c r="V935" s="62"/>
      <c r="W935" s="62"/>
      <c r="X935" s="62"/>
      <c r="Y935" s="58"/>
      <c r="Z935" s="58"/>
      <c r="AA935" s="58"/>
    </row>
    <row r="936" spans="1:27" ht="15.75" customHeight="1" x14ac:dyDescent="0.2">
      <c r="A936" s="61" t="str">
        <f t="shared" si="28"/>
        <v/>
      </c>
      <c r="B936" s="62"/>
      <c r="C936" s="62"/>
      <c r="D936" s="62"/>
      <c r="E936" s="62"/>
      <c r="F936" s="63"/>
      <c r="G936" s="63"/>
      <c r="H936" s="63"/>
      <c r="I936" s="63"/>
      <c r="J936" s="63"/>
      <c r="K936" s="63"/>
      <c r="L936" s="64" t="str">
        <f>IF(OR($B936="", $H936="", $I936="", $J936="", $K936=""),"",ROUND((VLOOKUP($H936,Lists!$E$2:$F$5,2,FALSE())*VLOOKUP($I936,Lists!$H$2:$I$4,2,FALSE())*VLOOKUP($J936,Lists!$K$2:$L$4,2,FALSE()))/VLOOKUP($K936,Lists!$N$2:$O$6,2,FALSE()),2))</f>
        <v/>
      </c>
      <c r="M936" s="63"/>
      <c r="N936" s="63"/>
      <c r="O936" s="62"/>
      <c r="P936" s="63"/>
      <c r="Q936" s="65"/>
      <c r="R936" s="66" t="str">
        <f t="shared" ca="1" si="29"/>
        <v/>
      </c>
      <c r="S936" s="63"/>
      <c r="T936" s="65"/>
      <c r="U936" s="65"/>
      <c r="V936" s="62"/>
      <c r="W936" s="62"/>
      <c r="X936" s="62"/>
      <c r="Y936" s="58"/>
      <c r="Z936" s="58"/>
      <c r="AA936" s="58"/>
    </row>
    <row r="937" spans="1:27" ht="15.75" customHeight="1" x14ac:dyDescent="0.2">
      <c r="A937" s="61" t="str">
        <f t="shared" si="28"/>
        <v/>
      </c>
      <c r="B937" s="62"/>
      <c r="C937" s="62"/>
      <c r="D937" s="62"/>
      <c r="E937" s="62"/>
      <c r="F937" s="63"/>
      <c r="G937" s="63"/>
      <c r="H937" s="63"/>
      <c r="I937" s="63"/>
      <c r="J937" s="63"/>
      <c r="K937" s="63"/>
      <c r="L937" s="64" t="str">
        <f>IF(OR($B937="", $H937="", $I937="", $J937="", $K937=""),"",ROUND((VLOOKUP($H937,Lists!$E$2:$F$5,2,FALSE())*VLOOKUP($I937,Lists!$H$2:$I$4,2,FALSE())*VLOOKUP($J937,Lists!$K$2:$L$4,2,FALSE()))/VLOOKUP($K937,Lists!$N$2:$O$6,2,FALSE()),2))</f>
        <v/>
      </c>
      <c r="M937" s="63"/>
      <c r="N937" s="63"/>
      <c r="O937" s="62"/>
      <c r="P937" s="63"/>
      <c r="Q937" s="65"/>
      <c r="R937" s="66" t="str">
        <f t="shared" ca="1" si="29"/>
        <v/>
      </c>
      <c r="S937" s="63"/>
      <c r="T937" s="65"/>
      <c r="U937" s="65"/>
      <c r="V937" s="62"/>
      <c r="W937" s="62"/>
      <c r="X937" s="62"/>
      <c r="Y937" s="58"/>
      <c r="Z937" s="58"/>
      <c r="AA937" s="58"/>
    </row>
    <row r="938" spans="1:27" ht="15.75" customHeight="1" x14ac:dyDescent="0.2">
      <c r="A938" s="61" t="str">
        <f t="shared" si="28"/>
        <v/>
      </c>
      <c r="B938" s="62"/>
      <c r="C938" s="62"/>
      <c r="D938" s="62"/>
      <c r="E938" s="62"/>
      <c r="F938" s="63"/>
      <c r="G938" s="63"/>
      <c r="H938" s="63"/>
      <c r="I938" s="63"/>
      <c r="J938" s="63"/>
      <c r="K938" s="63"/>
      <c r="L938" s="64" t="str">
        <f>IF(OR($B938="", $H938="", $I938="", $J938="", $K938=""),"",ROUND((VLOOKUP($H938,Lists!$E$2:$F$5,2,FALSE())*VLOOKUP($I938,Lists!$H$2:$I$4,2,FALSE())*VLOOKUP($J938,Lists!$K$2:$L$4,2,FALSE()))/VLOOKUP($K938,Lists!$N$2:$O$6,2,FALSE()),2))</f>
        <v/>
      </c>
      <c r="M938" s="63"/>
      <c r="N938" s="63"/>
      <c r="O938" s="62"/>
      <c r="P938" s="63"/>
      <c r="Q938" s="65"/>
      <c r="R938" s="66" t="str">
        <f t="shared" ca="1" si="29"/>
        <v/>
      </c>
      <c r="S938" s="63"/>
      <c r="T938" s="65"/>
      <c r="U938" s="65"/>
      <c r="V938" s="62"/>
      <c r="W938" s="62"/>
      <c r="X938" s="62"/>
      <c r="Y938" s="58"/>
      <c r="Z938" s="58"/>
      <c r="AA938" s="58"/>
    </row>
    <row r="939" spans="1:27" ht="15.75" customHeight="1" x14ac:dyDescent="0.2">
      <c r="A939" s="61" t="str">
        <f t="shared" si="28"/>
        <v/>
      </c>
      <c r="B939" s="62"/>
      <c r="C939" s="62"/>
      <c r="D939" s="62"/>
      <c r="E939" s="62"/>
      <c r="F939" s="63"/>
      <c r="G939" s="63"/>
      <c r="H939" s="63"/>
      <c r="I939" s="63"/>
      <c r="J939" s="63"/>
      <c r="K939" s="63"/>
      <c r="L939" s="64" t="str">
        <f>IF(OR($B939="", $H939="", $I939="", $J939="", $K939=""),"",ROUND((VLOOKUP($H939,Lists!$E$2:$F$5,2,FALSE())*VLOOKUP($I939,Lists!$H$2:$I$4,2,FALSE())*VLOOKUP($J939,Lists!$K$2:$L$4,2,FALSE()))/VLOOKUP($K939,Lists!$N$2:$O$6,2,FALSE()),2))</f>
        <v/>
      </c>
      <c r="M939" s="63"/>
      <c r="N939" s="63"/>
      <c r="O939" s="62"/>
      <c r="P939" s="63"/>
      <c r="Q939" s="65"/>
      <c r="R939" s="66" t="str">
        <f t="shared" ca="1" si="29"/>
        <v/>
      </c>
      <c r="S939" s="63"/>
      <c r="T939" s="65"/>
      <c r="U939" s="65"/>
      <c r="V939" s="62"/>
      <c r="W939" s="62"/>
      <c r="X939" s="62"/>
      <c r="Y939" s="58"/>
      <c r="Z939" s="58"/>
      <c r="AA939" s="58"/>
    </row>
    <row r="940" spans="1:27" ht="15.75" customHeight="1" x14ac:dyDescent="0.2">
      <c r="A940" s="61" t="str">
        <f t="shared" si="28"/>
        <v/>
      </c>
      <c r="B940" s="62"/>
      <c r="C940" s="62"/>
      <c r="D940" s="62"/>
      <c r="E940" s="62"/>
      <c r="F940" s="63"/>
      <c r="G940" s="63"/>
      <c r="H940" s="63"/>
      <c r="I940" s="63"/>
      <c r="J940" s="63"/>
      <c r="K940" s="63"/>
      <c r="L940" s="64" t="str">
        <f>IF(OR($B940="", $H940="", $I940="", $J940="", $K940=""),"",ROUND((VLOOKUP($H940,Lists!$E$2:$F$5,2,FALSE())*VLOOKUP($I940,Lists!$H$2:$I$4,2,FALSE())*VLOOKUP($J940,Lists!$K$2:$L$4,2,FALSE()))/VLOOKUP($K940,Lists!$N$2:$O$6,2,FALSE()),2))</f>
        <v/>
      </c>
      <c r="M940" s="63"/>
      <c r="N940" s="63"/>
      <c r="O940" s="62"/>
      <c r="P940" s="63"/>
      <c r="Q940" s="65"/>
      <c r="R940" s="66" t="str">
        <f t="shared" ca="1" si="29"/>
        <v/>
      </c>
      <c r="S940" s="63"/>
      <c r="T940" s="65"/>
      <c r="U940" s="65"/>
      <c r="V940" s="62"/>
      <c r="W940" s="62"/>
      <c r="X940" s="62"/>
      <c r="Y940" s="58"/>
      <c r="Z940" s="58"/>
      <c r="AA940" s="58"/>
    </row>
    <row r="941" spans="1:27" ht="15.75" customHeight="1" x14ac:dyDescent="0.2">
      <c r="A941" s="61" t="str">
        <f t="shared" si="28"/>
        <v/>
      </c>
      <c r="B941" s="62"/>
      <c r="C941" s="62"/>
      <c r="D941" s="62"/>
      <c r="E941" s="62"/>
      <c r="F941" s="63"/>
      <c r="G941" s="63"/>
      <c r="H941" s="63"/>
      <c r="I941" s="63"/>
      <c r="J941" s="63"/>
      <c r="K941" s="63"/>
      <c r="L941" s="64" t="str">
        <f>IF(OR($B941="", $H941="", $I941="", $J941="", $K941=""),"",ROUND((VLOOKUP($H941,Lists!$E$2:$F$5,2,FALSE())*VLOOKUP($I941,Lists!$H$2:$I$4,2,FALSE())*VLOOKUP($J941,Lists!$K$2:$L$4,2,FALSE()))/VLOOKUP($K941,Lists!$N$2:$O$6,2,FALSE()),2))</f>
        <v/>
      </c>
      <c r="M941" s="63"/>
      <c r="N941" s="63"/>
      <c r="O941" s="62"/>
      <c r="P941" s="63"/>
      <c r="Q941" s="65"/>
      <c r="R941" s="66" t="str">
        <f t="shared" ca="1" si="29"/>
        <v/>
      </c>
      <c r="S941" s="63"/>
      <c r="T941" s="65"/>
      <c r="U941" s="65"/>
      <c r="V941" s="62"/>
      <c r="W941" s="62"/>
      <c r="X941" s="62"/>
      <c r="Y941" s="58"/>
      <c r="Z941" s="58"/>
      <c r="AA941" s="58"/>
    </row>
    <row r="942" spans="1:27" ht="15.75" customHeight="1" x14ac:dyDescent="0.2">
      <c r="A942" s="61" t="str">
        <f t="shared" si="28"/>
        <v/>
      </c>
      <c r="B942" s="62"/>
      <c r="C942" s="62"/>
      <c r="D942" s="62"/>
      <c r="E942" s="62"/>
      <c r="F942" s="63"/>
      <c r="G942" s="63"/>
      <c r="H942" s="63"/>
      <c r="I942" s="63"/>
      <c r="J942" s="63"/>
      <c r="K942" s="63"/>
      <c r="L942" s="64" t="str">
        <f>IF(OR($B942="", $H942="", $I942="", $J942="", $K942=""),"",ROUND((VLOOKUP($H942,Lists!$E$2:$F$5,2,FALSE())*VLOOKUP($I942,Lists!$H$2:$I$4,2,FALSE())*VLOOKUP($J942,Lists!$K$2:$L$4,2,FALSE()))/VLOOKUP($K942,Lists!$N$2:$O$6,2,FALSE()),2))</f>
        <v/>
      </c>
      <c r="M942" s="63"/>
      <c r="N942" s="63"/>
      <c r="O942" s="62"/>
      <c r="P942" s="63"/>
      <c r="Q942" s="65"/>
      <c r="R942" s="66" t="str">
        <f t="shared" ca="1" si="29"/>
        <v/>
      </c>
      <c r="S942" s="63"/>
      <c r="T942" s="65"/>
      <c r="U942" s="65"/>
      <c r="V942" s="62"/>
      <c r="W942" s="62"/>
      <c r="X942" s="62"/>
      <c r="Y942" s="58"/>
      <c r="Z942" s="58"/>
      <c r="AA942" s="58"/>
    </row>
    <row r="943" spans="1:27" ht="15.75" customHeight="1" x14ac:dyDescent="0.2">
      <c r="A943" s="61" t="str">
        <f t="shared" si="28"/>
        <v/>
      </c>
      <c r="B943" s="62"/>
      <c r="C943" s="62"/>
      <c r="D943" s="62"/>
      <c r="E943" s="62"/>
      <c r="F943" s="63"/>
      <c r="G943" s="63"/>
      <c r="H943" s="63"/>
      <c r="I943" s="63"/>
      <c r="J943" s="63"/>
      <c r="K943" s="63"/>
      <c r="L943" s="64" t="str">
        <f>IF(OR($B943="", $H943="", $I943="", $J943="", $K943=""),"",ROUND((VLOOKUP($H943,Lists!$E$2:$F$5,2,FALSE())*VLOOKUP($I943,Lists!$H$2:$I$4,2,FALSE())*VLOOKUP($J943,Lists!$K$2:$L$4,2,FALSE()))/VLOOKUP($K943,Lists!$N$2:$O$6,2,FALSE()),2))</f>
        <v/>
      </c>
      <c r="M943" s="63"/>
      <c r="N943" s="63"/>
      <c r="O943" s="62"/>
      <c r="P943" s="63"/>
      <c r="Q943" s="65"/>
      <c r="R943" s="66" t="str">
        <f t="shared" ca="1" si="29"/>
        <v/>
      </c>
      <c r="S943" s="63"/>
      <c r="T943" s="65"/>
      <c r="U943" s="65"/>
      <c r="V943" s="62"/>
      <c r="W943" s="62"/>
      <c r="X943" s="62"/>
      <c r="Y943" s="58"/>
      <c r="Z943" s="58"/>
      <c r="AA943" s="58"/>
    </row>
    <row r="944" spans="1:27" ht="15.75" customHeight="1" x14ac:dyDescent="0.2">
      <c r="A944" s="61" t="str">
        <f t="shared" si="28"/>
        <v/>
      </c>
      <c r="B944" s="62"/>
      <c r="C944" s="62"/>
      <c r="D944" s="62"/>
      <c r="E944" s="62"/>
      <c r="F944" s="63"/>
      <c r="G944" s="63"/>
      <c r="H944" s="63"/>
      <c r="I944" s="63"/>
      <c r="J944" s="63"/>
      <c r="K944" s="63"/>
      <c r="L944" s="64" t="str">
        <f>IF(OR($B944="", $H944="", $I944="", $J944="", $K944=""),"",ROUND((VLOOKUP($H944,Lists!$E$2:$F$5,2,FALSE())*VLOOKUP($I944,Lists!$H$2:$I$4,2,FALSE())*VLOOKUP($J944,Lists!$K$2:$L$4,2,FALSE()))/VLOOKUP($K944,Lists!$N$2:$O$6,2,FALSE()),2))</f>
        <v/>
      </c>
      <c r="M944" s="63"/>
      <c r="N944" s="63"/>
      <c r="O944" s="62"/>
      <c r="P944" s="63"/>
      <c r="Q944" s="65"/>
      <c r="R944" s="66" t="str">
        <f t="shared" ca="1" si="29"/>
        <v/>
      </c>
      <c r="S944" s="63"/>
      <c r="T944" s="65"/>
      <c r="U944" s="65"/>
      <c r="V944" s="62"/>
      <c r="W944" s="62"/>
      <c r="X944" s="62"/>
      <c r="Y944" s="58"/>
      <c r="Z944" s="58"/>
      <c r="AA944" s="58"/>
    </row>
    <row r="945" spans="1:27" ht="15.75" customHeight="1" x14ac:dyDescent="0.2">
      <c r="A945" s="61" t="str">
        <f t="shared" si="28"/>
        <v/>
      </c>
      <c r="B945" s="62"/>
      <c r="C945" s="62"/>
      <c r="D945" s="62"/>
      <c r="E945" s="62"/>
      <c r="F945" s="63"/>
      <c r="G945" s="63"/>
      <c r="H945" s="63"/>
      <c r="I945" s="63"/>
      <c r="J945" s="63"/>
      <c r="K945" s="63"/>
      <c r="L945" s="64" t="str">
        <f>IF(OR($B945="", $H945="", $I945="", $J945="", $K945=""),"",ROUND((VLOOKUP($H945,Lists!$E$2:$F$5,2,FALSE())*VLOOKUP($I945,Lists!$H$2:$I$4,2,FALSE())*VLOOKUP($J945,Lists!$K$2:$L$4,2,FALSE()))/VLOOKUP($K945,Lists!$N$2:$O$6,2,FALSE()),2))</f>
        <v/>
      </c>
      <c r="M945" s="63"/>
      <c r="N945" s="63"/>
      <c r="O945" s="62"/>
      <c r="P945" s="63"/>
      <c r="Q945" s="65"/>
      <c r="R945" s="66" t="str">
        <f t="shared" ca="1" si="29"/>
        <v/>
      </c>
      <c r="S945" s="63"/>
      <c r="T945" s="65"/>
      <c r="U945" s="65"/>
      <c r="V945" s="62"/>
      <c r="W945" s="62"/>
      <c r="X945" s="62"/>
      <c r="Y945" s="58"/>
      <c r="Z945" s="58"/>
      <c r="AA945" s="58"/>
    </row>
    <row r="946" spans="1:27" ht="15.75" customHeight="1" x14ac:dyDescent="0.2">
      <c r="A946" s="61" t="str">
        <f t="shared" si="28"/>
        <v/>
      </c>
      <c r="B946" s="62"/>
      <c r="C946" s="62"/>
      <c r="D946" s="62"/>
      <c r="E946" s="62"/>
      <c r="F946" s="63"/>
      <c r="G946" s="63"/>
      <c r="H946" s="63"/>
      <c r="I946" s="63"/>
      <c r="J946" s="63"/>
      <c r="K946" s="63"/>
      <c r="L946" s="64" t="str">
        <f>IF(OR($B946="", $H946="", $I946="", $J946="", $K946=""),"",ROUND((VLOOKUP($H946,Lists!$E$2:$F$5,2,FALSE())*VLOOKUP($I946,Lists!$H$2:$I$4,2,FALSE())*VLOOKUP($J946,Lists!$K$2:$L$4,2,FALSE()))/VLOOKUP($K946,Lists!$N$2:$O$6,2,FALSE()),2))</f>
        <v/>
      </c>
      <c r="M946" s="63"/>
      <c r="N946" s="63"/>
      <c r="O946" s="62"/>
      <c r="P946" s="63"/>
      <c r="Q946" s="65"/>
      <c r="R946" s="66" t="str">
        <f t="shared" ca="1" si="29"/>
        <v/>
      </c>
      <c r="S946" s="63"/>
      <c r="T946" s="65"/>
      <c r="U946" s="65"/>
      <c r="V946" s="62"/>
      <c r="W946" s="62"/>
      <c r="X946" s="62"/>
      <c r="Y946" s="58"/>
      <c r="Z946" s="58"/>
      <c r="AA946" s="58"/>
    </row>
    <row r="947" spans="1:27" ht="15.75" customHeight="1" x14ac:dyDescent="0.2">
      <c r="A947" s="61" t="str">
        <f t="shared" si="28"/>
        <v/>
      </c>
      <c r="B947" s="62"/>
      <c r="C947" s="62"/>
      <c r="D947" s="62"/>
      <c r="E947" s="62"/>
      <c r="F947" s="63"/>
      <c r="G947" s="63"/>
      <c r="H947" s="63"/>
      <c r="I947" s="63"/>
      <c r="J947" s="63"/>
      <c r="K947" s="63"/>
      <c r="L947" s="64" t="str">
        <f>IF(OR($B947="", $H947="", $I947="", $J947="", $K947=""),"",ROUND((VLOOKUP($H947,Lists!$E$2:$F$5,2,FALSE())*VLOOKUP($I947,Lists!$H$2:$I$4,2,FALSE())*VLOOKUP($J947,Lists!$K$2:$L$4,2,FALSE()))/VLOOKUP($K947,Lists!$N$2:$O$6,2,FALSE()),2))</f>
        <v/>
      </c>
      <c r="M947" s="63"/>
      <c r="N947" s="63"/>
      <c r="O947" s="62"/>
      <c r="P947" s="63"/>
      <c r="Q947" s="65"/>
      <c r="R947" s="66" t="str">
        <f t="shared" ca="1" si="29"/>
        <v/>
      </c>
      <c r="S947" s="63"/>
      <c r="T947" s="65"/>
      <c r="U947" s="65"/>
      <c r="V947" s="62"/>
      <c r="W947" s="62"/>
      <c r="X947" s="62"/>
      <c r="Y947" s="58"/>
      <c r="Z947" s="58"/>
      <c r="AA947" s="58"/>
    </row>
    <row r="948" spans="1:27" ht="15.75" customHeight="1" x14ac:dyDescent="0.2">
      <c r="A948" s="61" t="str">
        <f t="shared" si="28"/>
        <v/>
      </c>
      <c r="B948" s="62"/>
      <c r="C948" s="62"/>
      <c r="D948" s="62"/>
      <c r="E948" s="62"/>
      <c r="F948" s="63"/>
      <c r="G948" s="63"/>
      <c r="H948" s="63"/>
      <c r="I948" s="63"/>
      <c r="J948" s="63"/>
      <c r="K948" s="63"/>
      <c r="L948" s="64" t="str">
        <f>IF(OR($B948="", $H948="", $I948="", $J948="", $K948=""),"",ROUND((VLOOKUP($H948,Lists!$E$2:$F$5,2,FALSE())*VLOOKUP($I948,Lists!$H$2:$I$4,2,FALSE())*VLOOKUP($J948,Lists!$K$2:$L$4,2,FALSE()))/VLOOKUP($K948,Lists!$N$2:$O$6,2,FALSE()),2))</f>
        <v/>
      </c>
      <c r="M948" s="63"/>
      <c r="N948" s="63"/>
      <c r="O948" s="62"/>
      <c r="P948" s="63"/>
      <c r="Q948" s="65"/>
      <c r="R948" s="66" t="str">
        <f t="shared" ca="1" si="29"/>
        <v/>
      </c>
      <c r="S948" s="63"/>
      <c r="T948" s="65"/>
      <c r="U948" s="65"/>
      <c r="V948" s="62"/>
      <c r="W948" s="62"/>
      <c r="X948" s="62"/>
      <c r="Y948" s="58"/>
      <c r="Z948" s="58"/>
      <c r="AA948" s="58"/>
    </row>
    <row r="949" spans="1:27" ht="15.75" customHeight="1" x14ac:dyDescent="0.2">
      <c r="A949" s="61" t="str">
        <f t="shared" si="28"/>
        <v/>
      </c>
      <c r="B949" s="62"/>
      <c r="C949" s="62"/>
      <c r="D949" s="62"/>
      <c r="E949" s="62"/>
      <c r="F949" s="63"/>
      <c r="G949" s="63"/>
      <c r="H949" s="63"/>
      <c r="I949" s="63"/>
      <c r="J949" s="63"/>
      <c r="K949" s="63"/>
      <c r="L949" s="64" t="str">
        <f>IF(OR($B949="", $H949="", $I949="", $J949="", $K949=""),"",ROUND((VLOOKUP($H949,Lists!$E$2:$F$5,2,FALSE())*VLOOKUP($I949,Lists!$H$2:$I$4,2,FALSE())*VLOOKUP($J949,Lists!$K$2:$L$4,2,FALSE()))/VLOOKUP($K949,Lists!$N$2:$O$6,2,FALSE()),2))</f>
        <v/>
      </c>
      <c r="M949" s="63"/>
      <c r="N949" s="63"/>
      <c r="O949" s="62"/>
      <c r="P949" s="63"/>
      <c r="Q949" s="65"/>
      <c r="R949" s="66" t="str">
        <f t="shared" ca="1" si="29"/>
        <v/>
      </c>
      <c r="S949" s="63"/>
      <c r="T949" s="65"/>
      <c r="U949" s="65"/>
      <c r="V949" s="62"/>
      <c r="W949" s="62"/>
      <c r="X949" s="62"/>
      <c r="Y949" s="58"/>
      <c r="Z949" s="58"/>
      <c r="AA949" s="58"/>
    </row>
    <row r="950" spans="1:27" ht="15.75" customHeight="1" x14ac:dyDescent="0.2">
      <c r="A950" s="61" t="str">
        <f t="shared" si="28"/>
        <v/>
      </c>
      <c r="B950" s="62"/>
      <c r="C950" s="62"/>
      <c r="D950" s="62"/>
      <c r="E950" s="62"/>
      <c r="F950" s="63"/>
      <c r="G950" s="63"/>
      <c r="H950" s="63"/>
      <c r="I950" s="63"/>
      <c r="J950" s="63"/>
      <c r="K950" s="63"/>
      <c r="L950" s="64" t="str">
        <f>IF(OR($B950="", $H950="", $I950="", $J950="", $K950=""),"",ROUND((VLOOKUP($H950,Lists!$E$2:$F$5,2,FALSE())*VLOOKUP($I950,Lists!$H$2:$I$4,2,FALSE())*VLOOKUP($J950,Lists!$K$2:$L$4,2,FALSE()))/VLOOKUP($K950,Lists!$N$2:$O$6,2,FALSE()),2))</f>
        <v/>
      </c>
      <c r="M950" s="63"/>
      <c r="N950" s="63"/>
      <c r="O950" s="62"/>
      <c r="P950" s="63"/>
      <c r="Q950" s="65"/>
      <c r="R950" s="66" t="str">
        <f t="shared" ca="1" si="29"/>
        <v/>
      </c>
      <c r="S950" s="63"/>
      <c r="T950" s="65"/>
      <c r="U950" s="65"/>
      <c r="V950" s="62"/>
      <c r="W950" s="62"/>
      <c r="X950" s="62"/>
      <c r="Y950" s="58"/>
      <c r="Z950" s="58"/>
      <c r="AA950" s="58"/>
    </row>
    <row r="951" spans="1:27" ht="15.75" customHeight="1" x14ac:dyDescent="0.2">
      <c r="A951" s="61" t="str">
        <f t="shared" si="28"/>
        <v/>
      </c>
      <c r="B951" s="62"/>
      <c r="C951" s="62"/>
      <c r="D951" s="62"/>
      <c r="E951" s="62"/>
      <c r="F951" s="63"/>
      <c r="G951" s="63"/>
      <c r="H951" s="63"/>
      <c r="I951" s="63"/>
      <c r="J951" s="63"/>
      <c r="K951" s="63"/>
      <c r="L951" s="64" t="str">
        <f>IF(OR($B951="", $H951="", $I951="", $J951="", $K951=""),"",ROUND((VLOOKUP($H951,Lists!$E$2:$F$5,2,FALSE())*VLOOKUP($I951,Lists!$H$2:$I$4,2,FALSE())*VLOOKUP($J951,Lists!$K$2:$L$4,2,FALSE()))/VLOOKUP($K951,Lists!$N$2:$O$6,2,FALSE()),2))</f>
        <v/>
      </c>
      <c r="M951" s="63"/>
      <c r="N951" s="63"/>
      <c r="O951" s="62"/>
      <c r="P951" s="63"/>
      <c r="Q951" s="65"/>
      <c r="R951" s="66" t="str">
        <f t="shared" ca="1" si="29"/>
        <v/>
      </c>
      <c r="S951" s="63"/>
      <c r="T951" s="65"/>
      <c r="U951" s="65"/>
      <c r="V951" s="62"/>
      <c r="W951" s="62"/>
      <c r="X951" s="62"/>
      <c r="Y951" s="58"/>
      <c r="Z951" s="58"/>
      <c r="AA951" s="58"/>
    </row>
    <row r="952" spans="1:27" ht="15.75" customHeight="1" x14ac:dyDescent="0.2">
      <c r="A952" s="61" t="str">
        <f t="shared" si="28"/>
        <v/>
      </c>
      <c r="B952" s="62"/>
      <c r="C952" s="62"/>
      <c r="D952" s="62"/>
      <c r="E952" s="62"/>
      <c r="F952" s="63"/>
      <c r="G952" s="63"/>
      <c r="H952" s="63"/>
      <c r="I952" s="63"/>
      <c r="J952" s="63"/>
      <c r="K952" s="63"/>
      <c r="L952" s="64" t="str">
        <f>IF(OR($B952="", $H952="", $I952="", $J952="", $K952=""),"",ROUND((VLOOKUP($H952,Lists!$E$2:$F$5,2,FALSE())*VLOOKUP($I952,Lists!$H$2:$I$4,2,FALSE())*VLOOKUP($J952,Lists!$K$2:$L$4,2,FALSE()))/VLOOKUP($K952,Lists!$N$2:$O$6,2,FALSE()),2))</f>
        <v/>
      </c>
      <c r="M952" s="63"/>
      <c r="N952" s="63"/>
      <c r="O952" s="62"/>
      <c r="P952" s="63"/>
      <c r="Q952" s="65"/>
      <c r="R952" s="66" t="str">
        <f t="shared" ca="1" si="29"/>
        <v/>
      </c>
      <c r="S952" s="63"/>
      <c r="T952" s="65"/>
      <c r="U952" s="65"/>
      <c r="V952" s="62"/>
      <c r="W952" s="62"/>
      <c r="X952" s="62"/>
      <c r="Y952" s="58"/>
      <c r="Z952" s="58"/>
      <c r="AA952" s="58"/>
    </row>
    <row r="953" spans="1:27" ht="15.75" customHeight="1" x14ac:dyDescent="0.2">
      <c r="A953" s="61" t="str">
        <f t="shared" si="28"/>
        <v/>
      </c>
      <c r="B953" s="62"/>
      <c r="C953" s="62"/>
      <c r="D953" s="62"/>
      <c r="E953" s="62"/>
      <c r="F953" s="63"/>
      <c r="G953" s="63"/>
      <c r="H953" s="63"/>
      <c r="I953" s="63"/>
      <c r="J953" s="63"/>
      <c r="K953" s="63"/>
      <c r="L953" s="64" t="str">
        <f>IF(OR($B953="", $H953="", $I953="", $J953="", $K953=""),"",ROUND((VLOOKUP($H953,Lists!$E$2:$F$5,2,FALSE())*VLOOKUP($I953,Lists!$H$2:$I$4,2,FALSE())*VLOOKUP($J953,Lists!$K$2:$L$4,2,FALSE()))/VLOOKUP($K953,Lists!$N$2:$O$6,2,FALSE()),2))</f>
        <v/>
      </c>
      <c r="M953" s="63"/>
      <c r="N953" s="63"/>
      <c r="O953" s="62"/>
      <c r="P953" s="63"/>
      <c r="Q953" s="65"/>
      <c r="R953" s="66" t="str">
        <f t="shared" ca="1" si="29"/>
        <v/>
      </c>
      <c r="S953" s="63"/>
      <c r="T953" s="65"/>
      <c r="U953" s="65"/>
      <c r="V953" s="62"/>
      <c r="W953" s="62"/>
      <c r="X953" s="62"/>
      <c r="Y953" s="58"/>
      <c r="Z953" s="58"/>
      <c r="AA953" s="58"/>
    </row>
    <row r="954" spans="1:27" ht="15.75" customHeight="1" x14ac:dyDescent="0.2">
      <c r="A954" s="61" t="str">
        <f t="shared" si="28"/>
        <v/>
      </c>
      <c r="B954" s="62"/>
      <c r="C954" s="62"/>
      <c r="D954" s="62"/>
      <c r="E954" s="62"/>
      <c r="F954" s="63"/>
      <c r="G954" s="63"/>
      <c r="H954" s="63"/>
      <c r="I954" s="63"/>
      <c r="J954" s="63"/>
      <c r="K954" s="63"/>
      <c r="L954" s="64" t="str">
        <f>IF(OR($B954="", $H954="", $I954="", $J954="", $K954=""),"",ROUND((VLOOKUP($H954,Lists!$E$2:$F$5,2,FALSE())*VLOOKUP($I954,Lists!$H$2:$I$4,2,FALSE())*VLOOKUP($J954,Lists!$K$2:$L$4,2,FALSE()))/VLOOKUP($K954,Lists!$N$2:$O$6,2,FALSE()),2))</f>
        <v/>
      </c>
      <c r="M954" s="63"/>
      <c r="N954" s="63"/>
      <c r="O954" s="62"/>
      <c r="P954" s="63"/>
      <c r="Q954" s="65"/>
      <c r="R954" s="66" t="str">
        <f t="shared" ca="1" si="29"/>
        <v/>
      </c>
      <c r="S954" s="63"/>
      <c r="T954" s="65"/>
      <c r="U954" s="65"/>
      <c r="V954" s="62"/>
      <c r="W954" s="62"/>
      <c r="X954" s="62"/>
      <c r="Y954" s="58"/>
      <c r="Z954" s="58"/>
      <c r="AA954" s="58"/>
    </row>
    <row r="955" spans="1:27" ht="15.75" customHeight="1" x14ac:dyDescent="0.2">
      <c r="A955" s="61" t="str">
        <f t="shared" si="28"/>
        <v/>
      </c>
      <c r="B955" s="62"/>
      <c r="C955" s="62"/>
      <c r="D955" s="62"/>
      <c r="E955" s="62"/>
      <c r="F955" s="63"/>
      <c r="G955" s="63"/>
      <c r="H955" s="63"/>
      <c r="I955" s="63"/>
      <c r="J955" s="63"/>
      <c r="K955" s="63"/>
      <c r="L955" s="64" t="str">
        <f>IF(OR($B955="", $H955="", $I955="", $J955="", $K955=""),"",ROUND((VLOOKUP($H955,Lists!$E$2:$F$5,2,FALSE())*VLOOKUP($I955,Lists!$H$2:$I$4,2,FALSE())*VLOOKUP($J955,Lists!$K$2:$L$4,2,FALSE()))/VLOOKUP($K955,Lists!$N$2:$O$6,2,FALSE()),2))</f>
        <v/>
      </c>
      <c r="M955" s="63"/>
      <c r="N955" s="63"/>
      <c r="O955" s="62"/>
      <c r="P955" s="63"/>
      <c r="Q955" s="65"/>
      <c r="R955" s="66" t="str">
        <f t="shared" ca="1" si="29"/>
        <v/>
      </c>
      <c r="S955" s="63"/>
      <c r="T955" s="65"/>
      <c r="U955" s="65"/>
      <c r="V955" s="62"/>
      <c r="W955" s="62"/>
      <c r="X955" s="62"/>
      <c r="Y955" s="58"/>
      <c r="Z955" s="58"/>
      <c r="AA955" s="58"/>
    </row>
    <row r="956" spans="1:27" ht="15.75" customHeight="1" x14ac:dyDescent="0.2">
      <c r="A956" s="61" t="str">
        <f t="shared" si="28"/>
        <v/>
      </c>
      <c r="B956" s="62"/>
      <c r="C956" s="62"/>
      <c r="D956" s="62"/>
      <c r="E956" s="62"/>
      <c r="F956" s="63"/>
      <c r="G956" s="63"/>
      <c r="H956" s="63"/>
      <c r="I956" s="63"/>
      <c r="J956" s="63"/>
      <c r="K956" s="63"/>
      <c r="L956" s="64" t="str">
        <f>IF(OR($B956="", $H956="", $I956="", $J956="", $K956=""),"",ROUND((VLOOKUP($H956,Lists!$E$2:$F$5,2,FALSE())*VLOOKUP($I956,Lists!$H$2:$I$4,2,FALSE())*VLOOKUP($J956,Lists!$K$2:$L$4,2,FALSE()))/VLOOKUP($K956,Lists!$N$2:$O$6,2,FALSE()),2))</f>
        <v/>
      </c>
      <c r="M956" s="63"/>
      <c r="N956" s="63"/>
      <c r="O956" s="62"/>
      <c r="P956" s="63"/>
      <c r="Q956" s="65"/>
      <c r="R956" s="66" t="str">
        <f t="shared" ca="1" si="29"/>
        <v/>
      </c>
      <c r="S956" s="63"/>
      <c r="T956" s="65"/>
      <c r="U956" s="65"/>
      <c r="V956" s="62"/>
      <c r="W956" s="62"/>
      <c r="X956" s="62"/>
      <c r="Y956" s="58"/>
      <c r="Z956" s="58"/>
      <c r="AA956" s="58"/>
    </row>
    <row r="957" spans="1:27" ht="15.75" customHeight="1" x14ac:dyDescent="0.2">
      <c r="A957" s="61" t="str">
        <f t="shared" si="28"/>
        <v/>
      </c>
      <c r="B957" s="62"/>
      <c r="C957" s="62"/>
      <c r="D957" s="62"/>
      <c r="E957" s="62"/>
      <c r="F957" s="63"/>
      <c r="G957" s="63"/>
      <c r="H957" s="63"/>
      <c r="I957" s="63"/>
      <c r="J957" s="63"/>
      <c r="K957" s="63"/>
      <c r="L957" s="64" t="str">
        <f>IF(OR($B957="", $H957="", $I957="", $J957="", $K957=""),"",ROUND((VLOOKUP($H957,Lists!$E$2:$F$5,2,FALSE())*VLOOKUP($I957,Lists!$H$2:$I$4,2,FALSE())*VLOOKUP($J957,Lists!$K$2:$L$4,2,FALSE()))/VLOOKUP($K957,Lists!$N$2:$O$6,2,FALSE()),2))</f>
        <v/>
      </c>
      <c r="M957" s="63"/>
      <c r="N957" s="63"/>
      <c r="O957" s="62"/>
      <c r="P957" s="63"/>
      <c r="Q957" s="65"/>
      <c r="R957" s="66" t="str">
        <f t="shared" ca="1" si="29"/>
        <v/>
      </c>
      <c r="S957" s="63"/>
      <c r="T957" s="65"/>
      <c r="U957" s="65"/>
      <c r="V957" s="62"/>
      <c r="W957" s="62"/>
      <c r="X957" s="62"/>
      <c r="Y957" s="58"/>
      <c r="Z957" s="58"/>
      <c r="AA957" s="58"/>
    </row>
    <row r="958" spans="1:27" ht="15.75" customHeight="1" x14ac:dyDescent="0.2">
      <c r="A958" s="61" t="str">
        <f t="shared" si="28"/>
        <v/>
      </c>
      <c r="B958" s="62"/>
      <c r="C958" s="62"/>
      <c r="D958" s="62"/>
      <c r="E958" s="62"/>
      <c r="F958" s="63"/>
      <c r="G958" s="63"/>
      <c r="H958" s="63"/>
      <c r="I958" s="63"/>
      <c r="J958" s="63"/>
      <c r="K958" s="63"/>
      <c r="L958" s="64" t="str">
        <f>IF(OR($B958="", $H958="", $I958="", $J958="", $K958=""),"",ROUND((VLOOKUP($H958,Lists!$E$2:$F$5,2,FALSE())*VLOOKUP($I958,Lists!$H$2:$I$4,2,FALSE())*VLOOKUP($J958,Lists!$K$2:$L$4,2,FALSE()))/VLOOKUP($K958,Lists!$N$2:$O$6,2,FALSE()),2))</f>
        <v/>
      </c>
      <c r="M958" s="63"/>
      <c r="N958" s="63"/>
      <c r="O958" s="62"/>
      <c r="P958" s="63"/>
      <c r="Q958" s="65"/>
      <c r="R958" s="66" t="str">
        <f t="shared" ca="1" si="29"/>
        <v/>
      </c>
      <c r="S958" s="63"/>
      <c r="T958" s="65"/>
      <c r="U958" s="65"/>
      <c r="V958" s="62"/>
      <c r="W958" s="62"/>
      <c r="X958" s="62"/>
      <c r="Y958" s="58"/>
      <c r="Z958" s="58"/>
      <c r="AA958" s="58"/>
    </row>
    <row r="959" spans="1:27" ht="15.75" customHeight="1" x14ac:dyDescent="0.2">
      <c r="A959" s="61" t="str">
        <f t="shared" si="28"/>
        <v/>
      </c>
      <c r="B959" s="62"/>
      <c r="C959" s="62"/>
      <c r="D959" s="62"/>
      <c r="E959" s="62"/>
      <c r="F959" s="63"/>
      <c r="G959" s="63"/>
      <c r="H959" s="63"/>
      <c r="I959" s="63"/>
      <c r="J959" s="63"/>
      <c r="K959" s="63"/>
      <c r="L959" s="64" t="str">
        <f>IF(OR($B959="", $H959="", $I959="", $J959="", $K959=""),"",ROUND((VLOOKUP($H959,Lists!$E$2:$F$5,2,FALSE())*VLOOKUP($I959,Lists!$H$2:$I$4,2,FALSE())*VLOOKUP($J959,Lists!$K$2:$L$4,2,FALSE()))/VLOOKUP($K959,Lists!$N$2:$O$6,2,FALSE()),2))</f>
        <v/>
      </c>
      <c r="M959" s="63"/>
      <c r="N959" s="63"/>
      <c r="O959" s="62"/>
      <c r="P959" s="63"/>
      <c r="Q959" s="65"/>
      <c r="R959" s="66" t="str">
        <f t="shared" ca="1" si="29"/>
        <v/>
      </c>
      <c r="S959" s="63"/>
      <c r="T959" s="65"/>
      <c r="U959" s="65"/>
      <c r="V959" s="62"/>
      <c r="W959" s="62"/>
      <c r="X959" s="62"/>
      <c r="Y959" s="58"/>
      <c r="Z959" s="58"/>
      <c r="AA959" s="58"/>
    </row>
    <row r="960" spans="1:27" ht="15.75" customHeight="1" x14ac:dyDescent="0.2">
      <c r="A960" s="61" t="str">
        <f t="shared" si="28"/>
        <v/>
      </c>
      <c r="B960" s="62"/>
      <c r="C960" s="62"/>
      <c r="D960" s="62"/>
      <c r="E960" s="62"/>
      <c r="F960" s="63"/>
      <c r="G960" s="63"/>
      <c r="H960" s="63"/>
      <c r="I960" s="63"/>
      <c r="J960" s="63"/>
      <c r="K960" s="63"/>
      <c r="L960" s="64" t="str">
        <f>IF(OR($B960="", $H960="", $I960="", $J960="", $K960=""),"",ROUND((VLOOKUP($H960,Lists!$E$2:$F$5,2,FALSE())*VLOOKUP($I960,Lists!$H$2:$I$4,2,FALSE())*VLOOKUP($J960,Lists!$K$2:$L$4,2,FALSE()))/VLOOKUP($K960,Lists!$N$2:$O$6,2,FALSE()),2))</f>
        <v/>
      </c>
      <c r="M960" s="63"/>
      <c r="N960" s="63"/>
      <c r="O960" s="62"/>
      <c r="P960" s="63"/>
      <c r="Q960" s="65"/>
      <c r="R960" s="66" t="str">
        <f t="shared" ca="1" si="29"/>
        <v/>
      </c>
      <c r="S960" s="63"/>
      <c r="T960" s="65"/>
      <c r="U960" s="65"/>
      <c r="V960" s="62"/>
      <c r="W960" s="62"/>
      <c r="X960" s="62"/>
      <c r="Y960" s="58"/>
      <c r="Z960" s="58"/>
      <c r="AA960" s="58"/>
    </row>
    <row r="961" spans="1:27" ht="15.75" customHeight="1" x14ac:dyDescent="0.2">
      <c r="A961" s="61" t="str">
        <f t="shared" si="28"/>
        <v/>
      </c>
      <c r="B961" s="62"/>
      <c r="C961" s="62"/>
      <c r="D961" s="62"/>
      <c r="E961" s="62"/>
      <c r="F961" s="63"/>
      <c r="G961" s="63"/>
      <c r="H961" s="63"/>
      <c r="I961" s="63"/>
      <c r="J961" s="63"/>
      <c r="K961" s="63"/>
      <c r="L961" s="64" t="str">
        <f>IF(OR($B961="", $H961="", $I961="", $J961="", $K961=""),"",ROUND((VLOOKUP($H961,Lists!$E$2:$F$5,2,FALSE())*VLOOKUP($I961,Lists!$H$2:$I$4,2,FALSE())*VLOOKUP($J961,Lists!$K$2:$L$4,2,FALSE()))/VLOOKUP($K961,Lists!$N$2:$O$6,2,FALSE()),2))</f>
        <v/>
      </c>
      <c r="M961" s="63"/>
      <c r="N961" s="63"/>
      <c r="O961" s="62"/>
      <c r="P961" s="63"/>
      <c r="Q961" s="65"/>
      <c r="R961" s="66" t="str">
        <f t="shared" ca="1" si="29"/>
        <v/>
      </c>
      <c r="S961" s="63"/>
      <c r="T961" s="65"/>
      <c r="U961" s="65"/>
      <c r="V961" s="62"/>
      <c r="W961" s="62"/>
      <c r="X961" s="62"/>
      <c r="Y961" s="58"/>
      <c r="Z961" s="58"/>
      <c r="AA961" s="58"/>
    </row>
    <row r="962" spans="1:27" ht="15.75" customHeight="1" x14ac:dyDescent="0.2">
      <c r="A962" s="61" t="str">
        <f t="shared" ref="A962:A1000" si="30">IF($B962="","", "TD-" &amp; RIGHT("0000"&amp;ROW()-1,4))</f>
        <v/>
      </c>
      <c r="B962" s="62"/>
      <c r="C962" s="62"/>
      <c r="D962" s="62"/>
      <c r="E962" s="62"/>
      <c r="F962" s="63"/>
      <c r="G962" s="63"/>
      <c r="H962" s="63"/>
      <c r="I962" s="63"/>
      <c r="J962" s="63"/>
      <c r="K962" s="63"/>
      <c r="L962" s="64" t="str">
        <f>IF(OR($B962="", $H962="", $I962="", $J962="", $K962=""),"",ROUND((VLOOKUP($H962,Lists!$E$2:$F$5,2,FALSE())*VLOOKUP($I962,Lists!$H$2:$I$4,2,FALSE())*VLOOKUP($J962,Lists!$K$2:$L$4,2,FALSE()))/VLOOKUP($K962,Lists!$N$2:$O$6,2,FALSE()),2))</f>
        <v/>
      </c>
      <c r="M962" s="63"/>
      <c r="N962" s="63"/>
      <c r="O962" s="62"/>
      <c r="P962" s="63"/>
      <c r="Q962" s="65"/>
      <c r="R962" s="66" t="str">
        <f t="shared" ref="R962:R1000" ca="1" si="31">IF($Q962="","", TODAY()-$Q962)</f>
        <v/>
      </c>
      <c r="S962" s="63"/>
      <c r="T962" s="65"/>
      <c r="U962" s="65"/>
      <c r="V962" s="62"/>
      <c r="W962" s="62"/>
      <c r="X962" s="62"/>
      <c r="Y962" s="58"/>
      <c r="Z962" s="58"/>
      <c r="AA962" s="58"/>
    </row>
    <row r="963" spans="1:27" ht="15.75" customHeight="1" x14ac:dyDescent="0.2">
      <c r="A963" s="61" t="str">
        <f t="shared" si="30"/>
        <v/>
      </c>
      <c r="B963" s="62"/>
      <c r="C963" s="62"/>
      <c r="D963" s="62"/>
      <c r="E963" s="62"/>
      <c r="F963" s="63"/>
      <c r="G963" s="63"/>
      <c r="H963" s="63"/>
      <c r="I963" s="63"/>
      <c r="J963" s="63"/>
      <c r="K963" s="63"/>
      <c r="L963" s="64" t="str">
        <f>IF(OR($B963="", $H963="", $I963="", $J963="", $K963=""),"",ROUND((VLOOKUP($H963,Lists!$E$2:$F$5,2,FALSE())*VLOOKUP($I963,Lists!$H$2:$I$4,2,FALSE())*VLOOKUP($J963,Lists!$K$2:$L$4,2,FALSE()))/VLOOKUP($K963,Lists!$N$2:$O$6,2,FALSE()),2))</f>
        <v/>
      </c>
      <c r="M963" s="63"/>
      <c r="N963" s="63"/>
      <c r="O963" s="62"/>
      <c r="P963" s="63"/>
      <c r="Q963" s="65"/>
      <c r="R963" s="66" t="str">
        <f t="shared" ca="1" si="31"/>
        <v/>
      </c>
      <c r="S963" s="63"/>
      <c r="T963" s="65"/>
      <c r="U963" s="65"/>
      <c r="V963" s="62"/>
      <c r="W963" s="62"/>
      <c r="X963" s="62"/>
      <c r="Y963" s="58"/>
      <c r="Z963" s="58"/>
      <c r="AA963" s="58"/>
    </row>
    <row r="964" spans="1:27" ht="15.75" customHeight="1" x14ac:dyDescent="0.2">
      <c r="A964" s="61" t="str">
        <f t="shared" si="30"/>
        <v/>
      </c>
      <c r="B964" s="62"/>
      <c r="C964" s="62"/>
      <c r="D964" s="62"/>
      <c r="E964" s="62"/>
      <c r="F964" s="63"/>
      <c r="G964" s="63"/>
      <c r="H964" s="63"/>
      <c r="I964" s="63"/>
      <c r="J964" s="63"/>
      <c r="K964" s="63"/>
      <c r="L964" s="64" t="str">
        <f>IF(OR($B964="", $H964="", $I964="", $J964="", $K964=""),"",ROUND((VLOOKUP($H964,Lists!$E$2:$F$5,2,FALSE())*VLOOKUP($I964,Lists!$H$2:$I$4,2,FALSE())*VLOOKUP($J964,Lists!$K$2:$L$4,2,FALSE()))/VLOOKUP($K964,Lists!$N$2:$O$6,2,FALSE()),2))</f>
        <v/>
      </c>
      <c r="M964" s="63"/>
      <c r="N964" s="63"/>
      <c r="O964" s="62"/>
      <c r="P964" s="63"/>
      <c r="Q964" s="65"/>
      <c r="R964" s="66" t="str">
        <f t="shared" ca="1" si="31"/>
        <v/>
      </c>
      <c r="S964" s="63"/>
      <c r="T964" s="65"/>
      <c r="U964" s="65"/>
      <c r="V964" s="62"/>
      <c r="W964" s="62"/>
      <c r="X964" s="62"/>
      <c r="Y964" s="58"/>
      <c r="Z964" s="58"/>
      <c r="AA964" s="58"/>
    </row>
    <row r="965" spans="1:27" ht="15.75" customHeight="1" x14ac:dyDescent="0.2">
      <c r="A965" s="61" t="str">
        <f t="shared" si="30"/>
        <v/>
      </c>
      <c r="B965" s="62"/>
      <c r="C965" s="62"/>
      <c r="D965" s="62"/>
      <c r="E965" s="62"/>
      <c r="F965" s="63"/>
      <c r="G965" s="63"/>
      <c r="H965" s="63"/>
      <c r="I965" s="63"/>
      <c r="J965" s="63"/>
      <c r="K965" s="63"/>
      <c r="L965" s="64" t="str">
        <f>IF(OR($B965="", $H965="", $I965="", $J965="", $K965=""),"",ROUND((VLOOKUP($H965,Lists!$E$2:$F$5,2,FALSE())*VLOOKUP($I965,Lists!$H$2:$I$4,2,FALSE())*VLOOKUP($J965,Lists!$K$2:$L$4,2,FALSE()))/VLOOKUP($K965,Lists!$N$2:$O$6,2,FALSE()),2))</f>
        <v/>
      </c>
      <c r="M965" s="63"/>
      <c r="N965" s="63"/>
      <c r="O965" s="62"/>
      <c r="P965" s="63"/>
      <c r="Q965" s="65"/>
      <c r="R965" s="66" t="str">
        <f t="shared" ca="1" si="31"/>
        <v/>
      </c>
      <c r="S965" s="63"/>
      <c r="T965" s="65"/>
      <c r="U965" s="65"/>
      <c r="V965" s="62"/>
      <c r="W965" s="62"/>
      <c r="X965" s="62"/>
      <c r="Y965" s="58"/>
      <c r="Z965" s="58"/>
      <c r="AA965" s="58"/>
    </row>
    <row r="966" spans="1:27" ht="15.75" customHeight="1" x14ac:dyDescent="0.2">
      <c r="A966" s="61" t="str">
        <f t="shared" si="30"/>
        <v/>
      </c>
      <c r="B966" s="62"/>
      <c r="C966" s="62"/>
      <c r="D966" s="62"/>
      <c r="E966" s="62"/>
      <c r="F966" s="63"/>
      <c r="G966" s="63"/>
      <c r="H966" s="63"/>
      <c r="I966" s="63"/>
      <c r="J966" s="63"/>
      <c r="K966" s="63"/>
      <c r="L966" s="64" t="str">
        <f>IF(OR($B966="", $H966="", $I966="", $J966="", $K966=""),"",ROUND((VLOOKUP($H966,Lists!$E$2:$F$5,2,FALSE())*VLOOKUP($I966,Lists!$H$2:$I$4,2,FALSE())*VLOOKUP($J966,Lists!$K$2:$L$4,2,FALSE()))/VLOOKUP($K966,Lists!$N$2:$O$6,2,FALSE()),2))</f>
        <v/>
      </c>
      <c r="M966" s="63"/>
      <c r="N966" s="63"/>
      <c r="O966" s="62"/>
      <c r="P966" s="63"/>
      <c r="Q966" s="65"/>
      <c r="R966" s="66" t="str">
        <f t="shared" ca="1" si="31"/>
        <v/>
      </c>
      <c r="S966" s="63"/>
      <c r="T966" s="65"/>
      <c r="U966" s="65"/>
      <c r="V966" s="62"/>
      <c r="W966" s="62"/>
      <c r="X966" s="62"/>
      <c r="Y966" s="58"/>
      <c r="Z966" s="58"/>
      <c r="AA966" s="58"/>
    </row>
    <row r="967" spans="1:27" ht="15.75" customHeight="1" x14ac:dyDescent="0.2">
      <c r="A967" s="61" t="str">
        <f t="shared" si="30"/>
        <v/>
      </c>
      <c r="B967" s="62"/>
      <c r="C967" s="62"/>
      <c r="D967" s="62"/>
      <c r="E967" s="62"/>
      <c r="F967" s="63"/>
      <c r="G967" s="63"/>
      <c r="H967" s="63"/>
      <c r="I967" s="63"/>
      <c r="J967" s="63"/>
      <c r="K967" s="63"/>
      <c r="L967" s="64" t="str">
        <f>IF(OR($B967="", $H967="", $I967="", $J967="", $K967=""),"",ROUND((VLOOKUP($H967,Lists!$E$2:$F$5,2,FALSE())*VLOOKUP($I967,Lists!$H$2:$I$4,2,FALSE())*VLOOKUP($J967,Lists!$K$2:$L$4,2,FALSE()))/VLOOKUP($K967,Lists!$N$2:$O$6,2,FALSE()),2))</f>
        <v/>
      </c>
      <c r="M967" s="63"/>
      <c r="N967" s="63"/>
      <c r="O967" s="62"/>
      <c r="P967" s="63"/>
      <c r="Q967" s="65"/>
      <c r="R967" s="66" t="str">
        <f t="shared" ca="1" si="31"/>
        <v/>
      </c>
      <c r="S967" s="63"/>
      <c r="T967" s="65"/>
      <c r="U967" s="65"/>
      <c r="V967" s="62"/>
      <c r="W967" s="62"/>
      <c r="X967" s="62"/>
      <c r="Y967" s="58"/>
      <c r="Z967" s="58"/>
      <c r="AA967" s="58"/>
    </row>
    <row r="968" spans="1:27" ht="15.75" customHeight="1" x14ac:dyDescent="0.2">
      <c r="A968" s="61" t="str">
        <f t="shared" si="30"/>
        <v/>
      </c>
      <c r="B968" s="62"/>
      <c r="C968" s="62"/>
      <c r="D968" s="62"/>
      <c r="E968" s="62"/>
      <c r="F968" s="63"/>
      <c r="G968" s="63"/>
      <c r="H968" s="63"/>
      <c r="I968" s="63"/>
      <c r="J968" s="63"/>
      <c r="K968" s="63"/>
      <c r="L968" s="64" t="str">
        <f>IF(OR($B968="", $H968="", $I968="", $J968="", $K968=""),"",ROUND((VLOOKUP($H968,Lists!$E$2:$F$5,2,FALSE())*VLOOKUP($I968,Lists!$H$2:$I$4,2,FALSE())*VLOOKUP($J968,Lists!$K$2:$L$4,2,FALSE()))/VLOOKUP($K968,Lists!$N$2:$O$6,2,FALSE()),2))</f>
        <v/>
      </c>
      <c r="M968" s="63"/>
      <c r="N968" s="63"/>
      <c r="O968" s="62"/>
      <c r="P968" s="63"/>
      <c r="Q968" s="65"/>
      <c r="R968" s="66" t="str">
        <f t="shared" ca="1" si="31"/>
        <v/>
      </c>
      <c r="S968" s="63"/>
      <c r="T968" s="65"/>
      <c r="U968" s="65"/>
      <c r="V968" s="62"/>
      <c r="W968" s="62"/>
      <c r="X968" s="62"/>
      <c r="Y968" s="58"/>
      <c r="Z968" s="58"/>
      <c r="AA968" s="58"/>
    </row>
    <row r="969" spans="1:27" ht="15.75" customHeight="1" x14ac:dyDescent="0.2">
      <c r="A969" s="61" t="str">
        <f t="shared" si="30"/>
        <v/>
      </c>
      <c r="B969" s="62"/>
      <c r="C969" s="62"/>
      <c r="D969" s="62"/>
      <c r="E969" s="62"/>
      <c r="F969" s="63"/>
      <c r="G969" s="63"/>
      <c r="H969" s="63"/>
      <c r="I969" s="63"/>
      <c r="J969" s="63"/>
      <c r="K969" s="63"/>
      <c r="L969" s="64" t="str">
        <f>IF(OR($B969="", $H969="", $I969="", $J969="", $K969=""),"",ROUND((VLOOKUP($H969,Lists!$E$2:$F$5,2,FALSE())*VLOOKUP($I969,Lists!$H$2:$I$4,2,FALSE())*VLOOKUP($J969,Lists!$K$2:$L$4,2,FALSE()))/VLOOKUP($K969,Lists!$N$2:$O$6,2,FALSE()),2))</f>
        <v/>
      </c>
      <c r="M969" s="63"/>
      <c r="N969" s="63"/>
      <c r="O969" s="62"/>
      <c r="P969" s="63"/>
      <c r="Q969" s="65"/>
      <c r="R969" s="66" t="str">
        <f t="shared" ca="1" si="31"/>
        <v/>
      </c>
      <c r="S969" s="63"/>
      <c r="T969" s="65"/>
      <c r="U969" s="65"/>
      <c r="V969" s="62"/>
      <c r="W969" s="62"/>
      <c r="X969" s="62"/>
      <c r="Y969" s="58"/>
      <c r="Z969" s="58"/>
      <c r="AA969" s="58"/>
    </row>
    <row r="970" spans="1:27" ht="15.75" customHeight="1" x14ac:dyDescent="0.2">
      <c r="A970" s="61" t="str">
        <f t="shared" si="30"/>
        <v/>
      </c>
      <c r="B970" s="62"/>
      <c r="C970" s="62"/>
      <c r="D970" s="62"/>
      <c r="E970" s="62"/>
      <c r="F970" s="63"/>
      <c r="G970" s="63"/>
      <c r="H970" s="63"/>
      <c r="I970" s="63"/>
      <c r="J970" s="63"/>
      <c r="K970" s="63"/>
      <c r="L970" s="64" t="str">
        <f>IF(OR($B970="", $H970="", $I970="", $J970="", $K970=""),"",ROUND((VLOOKUP($H970,Lists!$E$2:$F$5,2,FALSE())*VLOOKUP($I970,Lists!$H$2:$I$4,2,FALSE())*VLOOKUP($J970,Lists!$K$2:$L$4,2,FALSE()))/VLOOKUP($K970,Lists!$N$2:$O$6,2,FALSE()),2))</f>
        <v/>
      </c>
      <c r="M970" s="63"/>
      <c r="N970" s="63"/>
      <c r="O970" s="62"/>
      <c r="P970" s="63"/>
      <c r="Q970" s="65"/>
      <c r="R970" s="66" t="str">
        <f t="shared" ca="1" si="31"/>
        <v/>
      </c>
      <c r="S970" s="63"/>
      <c r="T970" s="65"/>
      <c r="U970" s="65"/>
      <c r="V970" s="62"/>
      <c r="W970" s="62"/>
      <c r="X970" s="62"/>
      <c r="Y970" s="58"/>
      <c r="Z970" s="58"/>
      <c r="AA970" s="58"/>
    </row>
    <row r="971" spans="1:27" ht="15.75" customHeight="1" x14ac:dyDescent="0.2">
      <c r="A971" s="61" t="str">
        <f t="shared" si="30"/>
        <v/>
      </c>
      <c r="B971" s="62"/>
      <c r="C971" s="62"/>
      <c r="D971" s="62"/>
      <c r="E971" s="62"/>
      <c r="F971" s="63"/>
      <c r="G971" s="63"/>
      <c r="H971" s="63"/>
      <c r="I971" s="63"/>
      <c r="J971" s="63"/>
      <c r="K971" s="63"/>
      <c r="L971" s="64" t="str">
        <f>IF(OR($B971="", $H971="", $I971="", $J971="", $K971=""),"",ROUND((VLOOKUP($H971,Lists!$E$2:$F$5,2,FALSE())*VLOOKUP($I971,Lists!$H$2:$I$4,2,FALSE())*VLOOKUP($J971,Lists!$K$2:$L$4,2,FALSE()))/VLOOKUP($K971,Lists!$N$2:$O$6,2,FALSE()),2))</f>
        <v/>
      </c>
      <c r="M971" s="63"/>
      <c r="N971" s="63"/>
      <c r="O971" s="62"/>
      <c r="P971" s="63"/>
      <c r="Q971" s="65"/>
      <c r="R971" s="66" t="str">
        <f t="shared" ca="1" si="31"/>
        <v/>
      </c>
      <c r="S971" s="63"/>
      <c r="T971" s="65"/>
      <c r="U971" s="65"/>
      <c r="V971" s="62"/>
      <c r="W971" s="62"/>
      <c r="X971" s="62"/>
      <c r="Y971" s="58"/>
      <c r="Z971" s="58"/>
      <c r="AA971" s="58"/>
    </row>
    <row r="972" spans="1:27" ht="15.75" customHeight="1" x14ac:dyDescent="0.2">
      <c r="A972" s="61" t="str">
        <f t="shared" si="30"/>
        <v/>
      </c>
      <c r="B972" s="62"/>
      <c r="C972" s="62"/>
      <c r="D972" s="62"/>
      <c r="E972" s="62"/>
      <c r="F972" s="63"/>
      <c r="G972" s="63"/>
      <c r="H972" s="63"/>
      <c r="I972" s="63"/>
      <c r="J972" s="63"/>
      <c r="K972" s="63"/>
      <c r="L972" s="64" t="str">
        <f>IF(OR($B972="", $H972="", $I972="", $J972="", $K972=""),"",ROUND((VLOOKUP($H972,Lists!$E$2:$F$5,2,FALSE())*VLOOKUP($I972,Lists!$H$2:$I$4,2,FALSE())*VLOOKUP($J972,Lists!$K$2:$L$4,2,FALSE()))/VLOOKUP($K972,Lists!$N$2:$O$6,2,FALSE()),2))</f>
        <v/>
      </c>
      <c r="M972" s="63"/>
      <c r="N972" s="63"/>
      <c r="O972" s="62"/>
      <c r="P972" s="63"/>
      <c r="Q972" s="65"/>
      <c r="R972" s="66" t="str">
        <f t="shared" ca="1" si="31"/>
        <v/>
      </c>
      <c r="S972" s="63"/>
      <c r="T972" s="65"/>
      <c r="U972" s="65"/>
      <c r="V972" s="62"/>
      <c r="W972" s="62"/>
      <c r="X972" s="62"/>
      <c r="Y972" s="58"/>
      <c r="Z972" s="58"/>
      <c r="AA972" s="58"/>
    </row>
    <row r="973" spans="1:27" ht="15.75" customHeight="1" x14ac:dyDescent="0.2">
      <c r="A973" s="61" t="str">
        <f t="shared" si="30"/>
        <v/>
      </c>
      <c r="B973" s="62"/>
      <c r="C973" s="62"/>
      <c r="D973" s="62"/>
      <c r="E973" s="62"/>
      <c r="F973" s="63"/>
      <c r="G973" s="63"/>
      <c r="H973" s="63"/>
      <c r="I973" s="63"/>
      <c r="J973" s="63"/>
      <c r="K973" s="63"/>
      <c r="L973" s="64" t="str">
        <f>IF(OR($B973="", $H973="", $I973="", $J973="", $K973=""),"",ROUND((VLOOKUP($H973,Lists!$E$2:$F$5,2,FALSE())*VLOOKUP($I973,Lists!$H$2:$I$4,2,FALSE())*VLOOKUP($J973,Lists!$K$2:$L$4,2,FALSE()))/VLOOKUP($K973,Lists!$N$2:$O$6,2,FALSE()),2))</f>
        <v/>
      </c>
      <c r="M973" s="63"/>
      <c r="N973" s="63"/>
      <c r="O973" s="62"/>
      <c r="P973" s="63"/>
      <c r="Q973" s="65"/>
      <c r="R973" s="66" t="str">
        <f t="shared" ca="1" si="31"/>
        <v/>
      </c>
      <c r="S973" s="63"/>
      <c r="T973" s="65"/>
      <c r="U973" s="65"/>
      <c r="V973" s="62"/>
      <c r="W973" s="62"/>
      <c r="X973" s="62"/>
      <c r="Y973" s="58"/>
      <c r="Z973" s="58"/>
      <c r="AA973" s="58"/>
    </row>
    <row r="974" spans="1:27" ht="15.75" customHeight="1" x14ac:dyDescent="0.2">
      <c r="A974" s="61" t="str">
        <f t="shared" si="30"/>
        <v/>
      </c>
      <c r="B974" s="62"/>
      <c r="C974" s="62"/>
      <c r="D974" s="62"/>
      <c r="E974" s="62"/>
      <c r="F974" s="63"/>
      <c r="G974" s="63"/>
      <c r="H974" s="63"/>
      <c r="I974" s="63"/>
      <c r="J974" s="63"/>
      <c r="K974" s="63"/>
      <c r="L974" s="64" t="str">
        <f>IF(OR($B974="", $H974="", $I974="", $J974="", $K974=""),"",ROUND((VLOOKUP($H974,Lists!$E$2:$F$5,2,FALSE())*VLOOKUP($I974,Lists!$H$2:$I$4,2,FALSE())*VLOOKUP($J974,Lists!$K$2:$L$4,2,FALSE()))/VLOOKUP($K974,Lists!$N$2:$O$6,2,FALSE()),2))</f>
        <v/>
      </c>
      <c r="M974" s="63"/>
      <c r="N974" s="63"/>
      <c r="O974" s="62"/>
      <c r="P974" s="63"/>
      <c r="Q974" s="65"/>
      <c r="R974" s="66" t="str">
        <f t="shared" ca="1" si="31"/>
        <v/>
      </c>
      <c r="S974" s="63"/>
      <c r="T974" s="65"/>
      <c r="U974" s="65"/>
      <c r="V974" s="62"/>
      <c r="W974" s="62"/>
      <c r="X974" s="62"/>
      <c r="Y974" s="58"/>
      <c r="Z974" s="58"/>
      <c r="AA974" s="58"/>
    </row>
    <row r="975" spans="1:27" ht="15.75" customHeight="1" x14ac:dyDescent="0.2">
      <c r="A975" s="61" t="str">
        <f t="shared" si="30"/>
        <v/>
      </c>
      <c r="B975" s="62"/>
      <c r="C975" s="62"/>
      <c r="D975" s="62"/>
      <c r="E975" s="62"/>
      <c r="F975" s="63"/>
      <c r="G975" s="63"/>
      <c r="H975" s="63"/>
      <c r="I975" s="63"/>
      <c r="J975" s="63"/>
      <c r="K975" s="63"/>
      <c r="L975" s="64" t="str">
        <f>IF(OR($B975="", $H975="", $I975="", $J975="", $K975=""),"",ROUND((VLOOKUP($H975,Lists!$E$2:$F$5,2,FALSE())*VLOOKUP($I975,Lists!$H$2:$I$4,2,FALSE())*VLOOKUP($J975,Lists!$K$2:$L$4,2,FALSE()))/VLOOKUP($K975,Lists!$N$2:$O$6,2,FALSE()),2))</f>
        <v/>
      </c>
      <c r="M975" s="63"/>
      <c r="N975" s="63"/>
      <c r="O975" s="62"/>
      <c r="P975" s="63"/>
      <c r="Q975" s="65"/>
      <c r="R975" s="66" t="str">
        <f t="shared" ca="1" si="31"/>
        <v/>
      </c>
      <c r="S975" s="63"/>
      <c r="T975" s="65"/>
      <c r="U975" s="65"/>
      <c r="V975" s="62"/>
      <c r="W975" s="62"/>
      <c r="X975" s="62"/>
      <c r="Y975" s="58"/>
      <c r="Z975" s="58"/>
      <c r="AA975" s="58"/>
    </row>
    <row r="976" spans="1:27" ht="15.75" customHeight="1" x14ac:dyDescent="0.2">
      <c r="A976" s="61" t="str">
        <f t="shared" si="30"/>
        <v/>
      </c>
      <c r="B976" s="62"/>
      <c r="C976" s="62"/>
      <c r="D976" s="62"/>
      <c r="E976" s="62"/>
      <c r="F976" s="63"/>
      <c r="G976" s="63"/>
      <c r="H976" s="63"/>
      <c r="I976" s="63"/>
      <c r="J976" s="63"/>
      <c r="K976" s="63"/>
      <c r="L976" s="64" t="str">
        <f>IF(OR($B976="", $H976="", $I976="", $J976="", $K976=""),"",ROUND((VLOOKUP($H976,Lists!$E$2:$F$5,2,FALSE())*VLOOKUP($I976,Lists!$H$2:$I$4,2,FALSE())*VLOOKUP($J976,Lists!$K$2:$L$4,2,FALSE()))/VLOOKUP($K976,Lists!$N$2:$O$6,2,FALSE()),2))</f>
        <v/>
      </c>
      <c r="M976" s="63"/>
      <c r="N976" s="63"/>
      <c r="O976" s="62"/>
      <c r="P976" s="63"/>
      <c r="Q976" s="65"/>
      <c r="R976" s="66" t="str">
        <f t="shared" ca="1" si="31"/>
        <v/>
      </c>
      <c r="S976" s="63"/>
      <c r="T976" s="65"/>
      <c r="U976" s="65"/>
      <c r="V976" s="62"/>
      <c r="W976" s="62"/>
      <c r="X976" s="62"/>
      <c r="Y976" s="58"/>
      <c r="Z976" s="58"/>
      <c r="AA976" s="58"/>
    </row>
    <row r="977" spans="1:27" ht="15.75" customHeight="1" x14ac:dyDescent="0.2">
      <c r="A977" s="61" t="str">
        <f t="shared" si="30"/>
        <v/>
      </c>
      <c r="B977" s="62"/>
      <c r="C977" s="62"/>
      <c r="D977" s="62"/>
      <c r="E977" s="62"/>
      <c r="F977" s="63"/>
      <c r="G977" s="63"/>
      <c r="H977" s="63"/>
      <c r="I977" s="63"/>
      <c r="J977" s="63"/>
      <c r="K977" s="63"/>
      <c r="L977" s="64" t="str">
        <f>IF(OR($B977="", $H977="", $I977="", $J977="", $K977=""),"",ROUND((VLOOKUP($H977,Lists!$E$2:$F$5,2,FALSE())*VLOOKUP($I977,Lists!$H$2:$I$4,2,FALSE())*VLOOKUP($J977,Lists!$K$2:$L$4,2,FALSE()))/VLOOKUP($K977,Lists!$N$2:$O$6,2,FALSE()),2))</f>
        <v/>
      </c>
      <c r="M977" s="63"/>
      <c r="N977" s="63"/>
      <c r="O977" s="62"/>
      <c r="P977" s="63"/>
      <c r="Q977" s="65"/>
      <c r="R977" s="66" t="str">
        <f t="shared" ca="1" si="31"/>
        <v/>
      </c>
      <c r="S977" s="63"/>
      <c r="T977" s="65"/>
      <c r="U977" s="65"/>
      <c r="V977" s="62"/>
      <c r="W977" s="62"/>
      <c r="X977" s="62"/>
      <c r="Y977" s="58"/>
      <c r="Z977" s="58"/>
      <c r="AA977" s="58"/>
    </row>
    <row r="978" spans="1:27" ht="15.75" customHeight="1" x14ac:dyDescent="0.2">
      <c r="A978" s="61" t="str">
        <f t="shared" si="30"/>
        <v/>
      </c>
      <c r="B978" s="62"/>
      <c r="C978" s="62"/>
      <c r="D978" s="62"/>
      <c r="E978" s="62"/>
      <c r="F978" s="63"/>
      <c r="G978" s="63"/>
      <c r="H978" s="63"/>
      <c r="I978" s="63"/>
      <c r="J978" s="63"/>
      <c r="K978" s="63"/>
      <c r="L978" s="64" t="str">
        <f>IF(OR($B978="", $H978="", $I978="", $J978="", $K978=""),"",ROUND((VLOOKUP($H978,Lists!$E$2:$F$5,2,FALSE())*VLOOKUP($I978,Lists!$H$2:$I$4,2,FALSE())*VLOOKUP($J978,Lists!$K$2:$L$4,2,FALSE()))/VLOOKUP($K978,Lists!$N$2:$O$6,2,FALSE()),2))</f>
        <v/>
      </c>
      <c r="M978" s="63"/>
      <c r="N978" s="63"/>
      <c r="O978" s="62"/>
      <c r="P978" s="63"/>
      <c r="Q978" s="65"/>
      <c r="R978" s="66" t="str">
        <f t="shared" ca="1" si="31"/>
        <v/>
      </c>
      <c r="S978" s="63"/>
      <c r="T978" s="65"/>
      <c r="U978" s="65"/>
      <c r="V978" s="62"/>
      <c r="W978" s="62"/>
      <c r="X978" s="62"/>
      <c r="Y978" s="58"/>
      <c r="Z978" s="58"/>
      <c r="AA978" s="58"/>
    </row>
    <row r="979" spans="1:27" ht="15.75" customHeight="1" x14ac:dyDescent="0.2">
      <c r="A979" s="61" t="str">
        <f t="shared" si="30"/>
        <v/>
      </c>
      <c r="B979" s="62"/>
      <c r="C979" s="62"/>
      <c r="D979" s="62"/>
      <c r="E979" s="62"/>
      <c r="F979" s="63"/>
      <c r="G979" s="63"/>
      <c r="H979" s="63"/>
      <c r="I979" s="63"/>
      <c r="J979" s="63"/>
      <c r="K979" s="63"/>
      <c r="L979" s="64" t="str">
        <f>IF(OR($B979="", $H979="", $I979="", $J979="", $K979=""),"",ROUND((VLOOKUP($H979,Lists!$E$2:$F$5,2,FALSE())*VLOOKUP($I979,Lists!$H$2:$I$4,2,FALSE())*VLOOKUP($J979,Lists!$K$2:$L$4,2,FALSE()))/VLOOKUP($K979,Lists!$N$2:$O$6,2,FALSE()),2))</f>
        <v/>
      </c>
      <c r="M979" s="63"/>
      <c r="N979" s="63"/>
      <c r="O979" s="62"/>
      <c r="P979" s="63"/>
      <c r="Q979" s="65"/>
      <c r="R979" s="66" t="str">
        <f t="shared" ca="1" si="31"/>
        <v/>
      </c>
      <c r="S979" s="63"/>
      <c r="T979" s="65"/>
      <c r="U979" s="65"/>
      <c r="V979" s="62"/>
      <c r="W979" s="62"/>
      <c r="X979" s="62"/>
      <c r="Y979" s="58"/>
      <c r="Z979" s="58"/>
      <c r="AA979" s="58"/>
    </row>
    <row r="980" spans="1:27" ht="15.75" customHeight="1" x14ac:dyDescent="0.2">
      <c r="A980" s="61" t="str">
        <f t="shared" si="30"/>
        <v/>
      </c>
      <c r="B980" s="62"/>
      <c r="C980" s="62"/>
      <c r="D980" s="62"/>
      <c r="E980" s="62"/>
      <c r="F980" s="63"/>
      <c r="G980" s="63"/>
      <c r="H980" s="63"/>
      <c r="I980" s="63"/>
      <c r="J980" s="63"/>
      <c r="K980" s="63"/>
      <c r="L980" s="64" t="str">
        <f>IF(OR($B980="", $H980="", $I980="", $J980="", $K980=""),"",ROUND((VLOOKUP($H980,Lists!$E$2:$F$5,2,FALSE())*VLOOKUP($I980,Lists!$H$2:$I$4,2,FALSE())*VLOOKUP($J980,Lists!$K$2:$L$4,2,FALSE()))/VLOOKUP($K980,Lists!$N$2:$O$6,2,FALSE()),2))</f>
        <v/>
      </c>
      <c r="M980" s="63"/>
      <c r="N980" s="63"/>
      <c r="O980" s="62"/>
      <c r="P980" s="63"/>
      <c r="Q980" s="65"/>
      <c r="R980" s="66" t="str">
        <f t="shared" ca="1" si="31"/>
        <v/>
      </c>
      <c r="S980" s="63"/>
      <c r="T980" s="65"/>
      <c r="U980" s="65"/>
      <c r="V980" s="62"/>
      <c r="W980" s="62"/>
      <c r="X980" s="62"/>
      <c r="Y980" s="58"/>
      <c r="Z980" s="58"/>
      <c r="AA980" s="58"/>
    </row>
    <row r="981" spans="1:27" ht="15.75" customHeight="1" x14ac:dyDescent="0.2">
      <c r="A981" s="61" t="str">
        <f t="shared" si="30"/>
        <v/>
      </c>
      <c r="B981" s="62"/>
      <c r="C981" s="62"/>
      <c r="D981" s="62"/>
      <c r="E981" s="62"/>
      <c r="F981" s="63"/>
      <c r="G981" s="63"/>
      <c r="H981" s="63"/>
      <c r="I981" s="63"/>
      <c r="J981" s="63"/>
      <c r="K981" s="63"/>
      <c r="L981" s="64" t="str">
        <f>IF(OR($B981="", $H981="", $I981="", $J981="", $K981=""),"",ROUND((VLOOKUP($H981,Lists!$E$2:$F$5,2,FALSE())*VLOOKUP($I981,Lists!$H$2:$I$4,2,FALSE())*VLOOKUP($J981,Lists!$K$2:$L$4,2,FALSE()))/VLOOKUP($K981,Lists!$N$2:$O$6,2,FALSE()),2))</f>
        <v/>
      </c>
      <c r="M981" s="63"/>
      <c r="N981" s="63"/>
      <c r="O981" s="62"/>
      <c r="P981" s="63"/>
      <c r="Q981" s="65"/>
      <c r="R981" s="66" t="str">
        <f t="shared" ca="1" si="31"/>
        <v/>
      </c>
      <c r="S981" s="63"/>
      <c r="T981" s="65"/>
      <c r="U981" s="65"/>
      <c r="V981" s="62"/>
      <c r="W981" s="62"/>
      <c r="X981" s="62"/>
      <c r="Y981" s="58"/>
      <c r="Z981" s="58"/>
      <c r="AA981" s="58"/>
    </row>
    <row r="982" spans="1:27" ht="15.75" customHeight="1" x14ac:dyDescent="0.2">
      <c r="A982" s="61" t="str">
        <f t="shared" si="30"/>
        <v/>
      </c>
      <c r="B982" s="62"/>
      <c r="C982" s="62"/>
      <c r="D982" s="62"/>
      <c r="E982" s="62"/>
      <c r="F982" s="63"/>
      <c r="G982" s="63"/>
      <c r="H982" s="63"/>
      <c r="I982" s="63"/>
      <c r="J982" s="63"/>
      <c r="K982" s="63"/>
      <c r="L982" s="64" t="str">
        <f>IF(OR($B982="", $H982="", $I982="", $J982="", $K982=""),"",ROUND((VLOOKUP($H982,Lists!$E$2:$F$5,2,FALSE())*VLOOKUP($I982,Lists!$H$2:$I$4,2,FALSE())*VLOOKUP($J982,Lists!$K$2:$L$4,2,FALSE()))/VLOOKUP($K982,Lists!$N$2:$O$6,2,FALSE()),2))</f>
        <v/>
      </c>
      <c r="M982" s="63"/>
      <c r="N982" s="63"/>
      <c r="O982" s="62"/>
      <c r="P982" s="63"/>
      <c r="Q982" s="65"/>
      <c r="R982" s="66" t="str">
        <f t="shared" ca="1" si="31"/>
        <v/>
      </c>
      <c r="S982" s="63"/>
      <c r="T982" s="65"/>
      <c r="U982" s="65"/>
      <c r="V982" s="62"/>
      <c r="W982" s="62"/>
      <c r="X982" s="62"/>
      <c r="Y982" s="58"/>
      <c r="Z982" s="58"/>
      <c r="AA982" s="58"/>
    </row>
    <row r="983" spans="1:27" ht="15.75" customHeight="1" x14ac:dyDescent="0.2">
      <c r="A983" s="61" t="str">
        <f t="shared" si="30"/>
        <v/>
      </c>
      <c r="B983" s="62"/>
      <c r="C983" s="62"/>
      <c r="D983" s="62"/>
      <c r="E983" s="62"/>
      <c r="F983" s="63"/>
      <c r="G983" s="63"/>
      <c r="H983" s="63"/>
      <c r="I983" s="63"/>
      <c r="J983" s="63"/>
      <c r="K983" s="63"/>
      <c r="L983" s="64" t="str">
        <f>IF(OR($B983="", $H983="", $I983="", $J983="", $K983=""),"",ROUND((VLOOKUP($H983,Lists!$E$2:$F$5,2,FALSE())*VLOOKUP($I983,Lists!$H$2:$I$4,2,FALSE())*VLOOKUP($J983,Lists!$K$2:$L$4,2,FALSE()))/VLOOKUP($K983,Lists!$N$2:$O$6,2,FALSE()),2))</f>
        <v/>
      </c>
      <c r="M983" s="63"/>
      <c r="N983" s="63"/>
      <c r="O983" s="62"/>
      <c r="P983" s="63"/>
      <c r="Q983" s="65"/>
      <c r="R983" s="66" t="str">
        <f t="shared" ca="1" si="31"/>
        <v/>
      </c>
      <c r="S983" s="63"/>
      <c r="T983" s="65"/>
      <c r="U983" s="65"/>
      <c r="V983" s="62"/>
      <c r="W983" s="62"/>
      <c r="X983" s="62"/>
      <c r="Y983" s="58"/>
      <c r="Z983" s="58"/>
      <c r="AA983" s="58"/>
    </row>
    <row r="984" spans="1:27" ht="15.75" customHeight="1" x14ac:dyDescent="0.2">
      <c r="A984" s="61" t="str">
        <f t="shared" si="30"/>
        <v/>
      </c>
      <c r="B984" s="62"/>
      <c r="C984" s="62"/>
      <c r="D984" s="62"/>
      <c r="E984" s="62"/>
      <c r="F984" s="63"/>
      <c r="G984" s="63"/>
      <c r="H984" s="63"/>
      <c r="I984" s="63"/>
      <c r="J984" s="63"/>
      <c r="K984" s="63"/>
      <c r="L984" s="64" t="str">
        <f>IF(OR($B984="", $H984="", $I984="", $J984="", $K984=""),"",ROUND((VLOOKUP($H984,Lists!$E$2:$F$5,2,FALSE())*VLOOKUP($I984,Lists!$H$2:$I$4,2,FALSE())*VLOOKUP($J984,Lists!$K$2:$L$4,2,FALSE()))/VLOOKUP($K984,Lists!$N$2:$O$6,2,FALSE()),2))</f>
        <v/>
      </c>
      <c r="M984" s="63"/>
      <c r="N984" s="63"/>
      <c r="O984" s="62"/>
      <c r="P984" s="63"/>
      <c r="Q984" s="65"/>
      <c r="R984" s="66" t="str">
        <f t="shared" ca="1" si="31"/>
        <v/>
      </c>
      <c r="S984" s="63"/>
      <c r="T984" s="65"/>
      <c r="U984" s="65"/>
      <c r="V984" s="62"/>
      <c r="W984" s="62"/>
      <c r="X984" s="62"/>
      <c r="Y984" s="58"/>
      <c r="Z984" s="58"/>
      <c r="AA984" s="58"/>
    </row>
    <row r="985" spans="1:27" ht="15.75" customHeight="1" x14ac:dyDescent="0.2">
      <c r="A985" s="61" t="str">
        <f t="shared" si="30"/>
        <v/>
      </c>
      <c r="B985" s="62"/>
      <c r="C985" s="62"/>
      <c r="D985" s="62"/>
      <c r="E985" s="62"/>
      <c r="F985" s="63"/>
      <c r="G985" s="63"/>
      <c r="H985" s="63"/>
      <c r="I985" s="63"/>
      <c r="J985" s="63"/>
      <c r="K985" s="63"/>
      <c r="L985" s="64" t="str">
        <f>IF(OR($B985="", $H985="", $I985="", $J985="", $K985=""),"",ROUND((VLOOKUP($H985,Lists!$E$2:$F$5,2,FALSE())*VLOOKUP($I985,Lists!$H$2:$I$4,2,FALSE())*VLOOKUP($J985,Lists!$K$2:$L$4,2,FALSE()))/VLOOKUP($K985,Lists!$N$2:$O$6,2,FALSE()),2))</f>
        <v/>
      </c>
      <c r="M985" s="63"/>
      <c r="N985" s="63"/>
      <c r="O985" s="62"/>
      <c r="P985" s="63"/>
      <c r="Q985" s="65"/>
      <c r="R985" s="66" t="str">
        <f t="shared" ca="1" si="31"/>
        <v/>
      </c>
      <c r="S985" s="63"/>
      <c r="T985" s="65"/>
      <c r="U985" s="65"/>
      <c r="V985" s="62"/>
      <c r="W985" s="62"/>
      <c r="X985" s="62"/>
      <c r="Y985" s="58"/>
      <c r="Z985" s="58"/>
      <c r="AA985" s="58"/>
    </row>
    <row r="986" spans="1:27" ht="15.75" customHeight="1" x14ac:dyDescent="0.2">
      <c r="A986" s="61" t="str">
        <f t="shared" si="30"/>
        <v/>
      </c>
      <c r="B986" s="62"/>
      <c r="C986" s="62"/>
      <c r="D986" s="62"/>
      <c r="E986" s="62"/>
      <c r="F986" s="63"/>
      <c r="G986" s="63"/>
      <c r="H986" s="63"/>
      <c r="I986" s="63"/>
      <c r="J986" s="63"/>
      <c r="K986" s="63"/>
      <c r="L986" s="64" t="str">
        <f>IF(OR($B986="", $H986="", $I986="", $J986="", $K986=""),"",ROUND((VLOOKUP($H986,Lists!$E$2:$F$5,2,FALSE())*VLOOKUP($I986,Lists!$H$2:$I$4,2,FALSE())*VLOOKUP($J986,Lists!$K$2:$L$4,2,FALSE()))/VLOOKUP($K986,Lists!$N$2:$O$6,2,FALSE()),2))</f>
        <v/>
      </c>
      <c r="M986" s="63"/>
      <c r="N986" s="63"/>
      <c r="O986" s="62"/>
      <c r="P986" s="63"/>
      <c r="Q986" s="65"/>
      <c r="R986" s="66" t="str">
        <f t="shared" ca="1" si="31"/>
        <v/>
      </c>
      <c r="S986" s="63"/>
      <c r="T986" s="65"/>
      <c r="U986" s="65"/>
      <c r="V986" s="62"/>
      <c r="W986" s="62"/>
      <c r="X986" s="62"/>
      <c r="Y986" s="58"/>
      <c r="Z986" s="58"/>
      <c r="AA986" s="58"/>
    </row>
    <row r="987" spans="1:27" ht="15.75" customHeight="1" x14ac:dyDescent="0.2">
      <c r="A987" s="61" t="str">
        <f t="shared" si="30"/>
        <v/>
      </c>
      <c r="B987" s="62"/>
      <c r="C987" s="62"/>
      <c r="D987" s="62"/>
      <c r="E987" s="62"/>
      <c r="F987" s="63"/>
      <c r="G987" s="63"/>
      <c r="H987" s="63"/>
      <c r="I987" s="63"/>
      <c r="J987" s="63"/>
      <c r="K987" s="63"/>
      <c r="L987" s="64" t="str">
        <f>IF(OR($B987="", $H987="", $I987="", $J987="", $K987=""),"",ROUND((VLOOKUP($H987,Lists!$E$2:$F$5,2,FALSE())*VLOOKUP($I987,Lists!$H$2:$I$4,2,FALSE())*VLOOKUP($J987,Lists!$K$2:$L$4,2,FALSE()))/VLOOKUP($K987,Lists!$N$2:$O$6,2,FALSE()),2))</f>
        <v/>
      </c>
      <c r="M987" s="63"/>
      <c r="N987" s="63"/>
      <c r="O987" s="62"/>
      <c r="P987" s="63"/>
      <c r="Q987" s="65"/>
      <c r="R987" s="66" t="str">
        <f t="shared" ca="1" si="31"/>
        <v/>
      </c>
      <c r="S987" s="63"/>
      <c r="T987" s="65"/>
      <c r="U987" s="65"/>
      <c r="V987" s="62"/>
      <c r="W987" s="62"/>
      <c r="X987" s="62"/>
      <c r="Y987" s="58"/>
      <c r="Z987" s="58"/>
      <c r="AA987" s="58"/>
    </row>
    <row r="988" spans="1:27" ht="15.75" customHeight="1" x14ac:dyDescent="0.2">
      <c r="A988" s="61" t="str">
        <f t="shared" si="30"/>
        <v/>
      </c>
      <c r="B988" s="62"/>
      <c r="C988" s="62"/>
      <c r="D988" s="62"/>
      <c r="E988" s="62"/>
      <c r="F988" s="63"/>
      <c r="G988" s="63"/>
      <c r="H988" s="63"/>
      <c r="I988" s="63"/>
      <c r="J988" s="63"/>
      <c r="K988" s="63"/>
      <c r="L988" s="64" t="str">
        <f>IF(OR($B988="", $H988="", $I988="", $J988="", $K988=""),"",ROUND((VLOOKUP($H988,Lists!$E$2:$F$5,2,FALSE())*VLOOKUP($I988,Lists!$H$2:$I$4,2,FALSE())*VLOOKUP($J988,Lists!$K$2:$L$4,2,FALSE()))/VLOOKUP($K988,Lists!$N$2:$O$6,2,FALSE()),2))</f>
        <v/>
      </c>
      <c r="M988" s="63"/>
      <c r="N988" s="63"/>
      <c r="O988" s="62"/>
      <c r="P988" s="63"/>
      <c r="Q988" s="65"/>
      <c r="R988" s="66" t="str">
        <f t="shared" ca="1" si="31"/>
        <v/>
      </c>
      <c r="S988" s="63"/>
      <c r="T988" s="65"/>
      <c r="U988" s="65"/>
      <c r="V988" s="62"/>
      <c r="W988" s="62"/>
      <c r="X988" s="62"/>
      <c r="Y988" s="58"/>
      <c r="Z988" s="58"/>
      <c r="AA988" s="58"/>
    </row>
    <row r="989" spans="1:27" ht="15.75" customHeight="1" x14ac:dyDescent="0.2">
      <c r="A989" s="61" t="str">
        <f t="shared" si="30"/>
        <v/>
      </c>
      <c r="B989" s="62"/>
      <c r="C989" s="62"/>
      <c r="D989" s="62"/>
      <c r="E989" s="62"/>
      <c r="F989" s="63"/>
      <c r="G989" s="63"/>
      <c r="H989" s="63"/>
      <c r="I989" s="63"/>
      <c r="J989" s="63"/>
      <c r="K989" s="63"/>
      <c r="L989" s="64" t="str">
        <f>IF(OR($B989="", $H989="", $I989="", $J989="", $K989=""),"",ROUND((VLOOKUP($H989,Lists!$E$2:$F$5,2,FALSE())*VLOOKUP($I989,Lists!$H$2:$I$4,2,FALSE())*VLOOKUP($J989,Lists!$K$2:$L$4,2,FALSE()))/VLOOKUP($K989,Lists!$N$2:$O$6,2,FALSE()),2))</f>
        <v/>
      </c>
      <c r="M989" s="63"/>
      <c r="N989" s="63"/>
      <c r="O989" s="62"/>
      <c r="P989" s="63"/>
      <c r="Q989" s="65"/>
      <c r="R989" s="66" t="str">
        <f t="shared" ca="1" si="31"/>
        <v/>
      </c>
      <c r="S989" s="63"/>
      <c r="T989" s="65"/>
      <c r="U989" s="65"/>
      <c r="V989" s="62"/>
      <c r="W989" s="62"/>
      <c r="X989" s="62"/>
      <c r="Y989" s="58"/>
      <c r="Z989" s="58"/>
      <c r="AA989" s="58"/>
    </row>
    <row r="990" spans="1:27" ht="15.75" customHeight="1" x14ac:dyDescent="0.2">
      <c r="A990" s="61" t="str">
        <f t="shared" si="30"/>
        <v/>
      </c>
      <c r="B990" s="62"/>
      <c r="C990" s="62"/>
      <c r="D990" s="62"/>
      <c r="E990" s="62"/>
      <c r="F990" s="63"/>
      <c r="G990" s="63"/>
      <c r="H990" s="63"/>
      <c r="I990" s="63"/>
      <c r="J990" s="63"/>
      <c r="K990" s="63"/>
      <c r="L990" s="64" t="str">
        <f>IF(OR($B990="", $H990="", $I990="", $J990="", $K990=""),"",ROUND((VLOOKUP($H990,Lists!$E$2:$F$5,2,FALSE())*VLOOKUP($I990,Lists!$H$2:$I$4,2,FALSE())*VLOOKUP($J990,Lists!$K$2:$L$4,2,FALSE()))/VLOOKUP($K990,Lists!$N$2:$O$6,2,FALSE()),2))</f>
        <v/>
      </c>
      <c r="M990" s="63"/>
      <c r="N990" s="63"/>
      <c r="O990" s="62"/>
      <c r="P990" s="63"/>
      <c r="Q990" s="65"/>
      <c r="R990" s="66" t="str">
        <f t="shared" ca="1" si="31"/>
        <v/>
      </c>
      <c r="S990" s="63"/>
      <c r="T990" s="65"/>
      <c r="U990" s="65"/>
      <c r="V990" s="62"/>
      <c r="W990" s="62"/>
      <c r="X990" s="62"/>
      <c r="Y990" s="58"/>
      <c r="Z990" s="58"/>
      <c r="AA990" s="58"/>
    </row>
    <row r="991" spans="1:27" ht="15.75" customHeight="1" x14ac:dyDescent="0.2">
      <c r="A991" s="61" t="str">
        <f t="shared" si="30"/>
        <v/>
      </c>
      <c r="B991" s="62"/>
      <c r="C991" s="62"/>
      <c r="D991" s="62"/>
      <c r="E991" s="62"/>
      <c r="F991" s="63"/>
      <c r="G991" s="63"/>
      <c r="H991" s="63"/>
      <c r="I991" s="63"/>
      <c r="J991" s="63"/>
      <c r="K991" s="63"/>
      <c r="L991" s="64" t="str">
        <f>IF(OR($B991="", $H991="", $I991="", $J991="", $K991=""),"",ROUND((VLOOKUP($H991,Lists!$E$2:$F$5,2,FALSE())*VLOOKUP($I991,Lists!$H$2:$I$4,2,FALSE())*VLOOKUP($J991,Lists!$K$2:$L$4,2,FALSE()))/VLOOKUP($K991,Lists!$N$2:$O$6,2,FALSE()),2))</f>
        <v/>
      </c>
      <c r="M991" s="63"/>
      <c r="N991" s="63"/>
      <c r="O991" s="62"/>
      <c r="P991" s="63"/>
      <c r="Q991" s="65"/>
      <c r="R991" s="66" t="str">
        <f t="shared" ca="1" si="31"/>
        <v/>
      </c>
      <c r="S991" s="63"/>
      <c r="T991" s="65"/>
      <c r="U991" s="65"/>
      <c r="V991" s="62"/>
      <c r="W991" s="62"/>
      <c r="X991" s="62"/>
      <c r="Y991" s="58"/>
      <c r="Z991" s="58"/>
      <c r="AA991" s="58"/>
    </row>
    <row r="992" spans="1:27" ht="15.75" customHeight="1" x14ac:dyDescent="0.2">
      <c r="A992" s="61" t="str">
        <f t="shared" si="30"/>
        <v/>
      </c>
      <c r="B992" s="62"/>
      <c r="C992" s="62"/>
      <c r="D992" s="62"/>
      <c r="E992" s="62"/>
      <c r="F992" s="63"/>
      <c r="G992" s="63"/>
      <c r="H992" s="63"/>
      <c r="I992" s="63"/>
      <c r="J992" s="63"/>
      <c r="K992" s="63"/>
      <c r="L992" s="64" t="str">
        <f>IF(OR($B992="", $H992="", $I992="", $J992="", $K992=""),"",ROUND((VLOOKUP($H992,Lists!$E$2:$F$5,2,FALSE())*VLOOKUP($I992,Lists!$H$2:$I$4,2,FALSE())*VLOOKUP($J992,Lists!$K$2:$L$4,2,FALSE()))/VLOOKUP($K992,Lists!$N$2:$O$6,2,FALSE()),2))</f>
        <v/>
      </c>
      <c r="M992" s="63"/>
      <c r="N992" s="63"/>
      <c r="O992" s="62"/>
      <c r="P992" s="63"/>
      <c r="Q992" s="65"/>
      <c r="R992" s="66" t="str">
        <f t="shared" ca="1" si="31"/>
        <v/>
      </c>
      <c r="S992" s="63"/>
      <c r="T992" s="65"/>
      <c r="U992" s="65"/>
      <c r="V992" s="62"/>
      <c r="W992" s="62"/>
      <c r="X992" s="62"/>
      <c r="Y992" s="58"/>
      <c r="Z992" s="58"/>
      <c r="AA992" s="58"/>
    </row>
    <row r="993" spans="1:27" ht="15.75" customHeight="1" x14ac:dyDescent="0.2">
      <c r="A993" s="61" t="str">
        <f t="shared" si="30"/>
        <v/>
      </c>
      <c r="B993" s="62"/>
      <c r="C993" s="62"/>
      <c r="D993" s="62"/>
      <c r="E993" s="62"/>
      <c r="F993" s="63"/>
      <c r="G993" s="63"/>
      <c r="H993" s="63"/>
      <c r="I993" s="63"/>
      <c r="J993" s="63"/>
      <c r="K993" s="63"/>
      <c r="L993" s="64" t="str">
        <f>IF(OR($B993="", $H993="", $I993="", $J993="", $K993=""),"",ROUND((VLOOKUP($H993,Lists!$E$2:$F$5,2,FALSE())*VLOOKUP($I993,Lists!$H$2:$I$4,2,FALSE())*VLOOKUP($J993,Lists!$K$2:$L$4,2,FALSE()))/VLOOKUP($K993,Lists!$N$2:$O$6,2,FALSE()),2))</f>
        <v/>
      </c>
      <c r="M993" s="63"/>
      <c r="N993" s="63"/>
      <c r="O993" s="62"/>
      <c r="P993" s="63"/>
      <c r="Q993" s="65"/>
      <c r="R993" s="66" t="str">
        <f t="shared" ca="1" si="31"/>
        <v/>
      </c>
      <c r="S993" s="63"/>
      <c r="T993" s="65"/>
      <c r="U993" s="65"/>
      <c r="V993" s="62"/>
      <c r="W993" s="62"/>
      <c r="X993" s="62"/>
      <c r="Y993" s="58"/>
      <c r="Z993" s="58"/>
      <c r="AA993" s="58"/>
    </row>
    <row r="994" spans="1:27" ht="15.75" customHeight="1" x14ac:dyDescent="0.2">
      <c r="A994" s="61" t="str">
        <f t="shared" si="30"/>
        <v/>
      </c>
      <c r="B994" s="62"/>
      <c r="C994" s="62"/>
      <c r="D994" s="62"/>
      <c r="E994" s="62"/>
      <c r="F994" s="63"/>
      <c r="G994" s="63"/>
      <c r="H994" s="63"/>
      <c r="I994" s="63"/>
      <c r="J994" s="63"/>
      <c r="K994" s="63"/>
      <c r="L994" s="64" t="str">
        <f>IF(OR($B994="", $H994="", $I994="", $J994="", $K994=""),"",ROUND((VLOOKUP($H994,Lists!$E$2:$F$5,2,FALSE())*VLOOKUP($I994,Lists!$H$2:$I$4,2,FALSE())*VLOOKUP($J994,Lists!$K$2:$L$4,2,FALSE()))/VLOOKUP($K994,Lists!$N$2:$O$6,2,FALSE()),2))</f>
        <v/>
      </c>
      <c r="M994" s="63"/>
      <c r="N994" s="63"/>
      <c r="O994" s="62"/>
      <c r="P994" s="63"/>
      <c r="Q994" s="65"/>
      <c r="R994" s="66" t="str">
        <f t="shared" ca="1" si="31"/>
        <v/>
      </c>
      <c r="S994" s="63"/>
      <c r="T994" s="65"/>
      <c r="U994" s="65"/>
      <c r="V994" s="62"/>
      <c r="W994" s="62"/>
      <c r="X994" s="62"/>
      <c r="Y994" s="58"/>
      <c r="Z994" s="58"/>
      <c r="AA994" s="58"/>
    </row>
    <row r="995" spans="1:27" ht="15.75" customHeight="1" x14ac:dyDescent="0.2">
      <c r="A995" s="61" t="str">
        <f t="shared" si="30"/>
        <v/>
      </c>
      <c r="B995" s="62"/>
      <c r="C995" s="62"/>
      <c r="D995" s="62"/>
      <c r="E995" s="62"/>
      <c r="F995" s="63"/>
      <c r="G995" s="63"/>
      <c r="H995" s="63"/>
      <c r="I995" s="63"/>
      <c r="J995" s="63"/>
      <c r="K995" s="63"/>
      <c r="L995" s="64" t="str">
        <f>IF(OR($B995="", $H995="", $I995="", $J995="", $K995=""),"",ROUND((VLOOKUP($H995,Lists!$E$2:$F$5,2,FALSE())*VLOOKUP($I995,Lists!$H$2:$I$4,2,FALSE())*VLOOKUP($J995,Lists!$K$2:$L$4,2,FALSE()))/VLOOKUP($K995,Lists!$N$2:$O$6,2,FALSE()),2))</f>
        <v/>
      </c>
      <c r="M995" s="63"/>
      <c r="N995" s="63"/>
      <c r="O995" s="62"/>
      <c r="P995" s="63"/>
      <c r="Q995" s="65"/>
      <c r="R995" s="66" t="str">
        <f t="shared" ca="1" si="31"/>
        <v/>
      </c>
      <c r="S995" s="63"/>
      <c r="T995" s="65"/>
      <c r="U995" s="65"/>
      <c r="V995" s="62"/>
      <c r="W995" s="62"/>
      <c r="X995" s="62"/>
      <c r="Y995" s="58"/>
      <c r="Z995" s="58"/>
      <c r="AA995" s="58"/>
    </row>
    <row r="996" spans="1:27" ht="15.75" customHeight="1" x14ac:dyDescent="0.2">
      <c r="A996" s="61" t="str">
        <f t="shared" si="30"/>
        <v/>
      </c>
      <c r="B996" s="62"/>
      <c r="C996" s="62"/>
      <c r="D996" s="62"/>
      <c r="E996" s="62"/>
      <c r="F996" s="63"/>
      <c r="G996" s="63"/>
      <c r="H996" s="63"/>
      <c r="I996" s="63"/>
      <c r="J996" s="63"/>
      <c r="K996" s="63"/>
      <c r="L996" s="64" t="str">
        <f>IF(OR($B996="", $H996="", $I996="", $J996="", $K996=""),"",ROUND((VLOOKUP($H996,Lists!$E$2:$F$5,2,FALSE())*VLOOKUP($I996,Lists!$H$2:$I$4,2,FALSE())*VLOOKUP($J996,Lists!$K$2:$L$4,2,FALSE()))/VLOOKUP($K996,Lists!$N$2:$O$6,2,FALSE()),2))</f>
        <v/>
      </c>
      <c r="M996" s="63"/>
      <c r="N996" s="63"/>
      <c r="O996" s="62"/>
      <c r="P996" s="63"/>
      <c r="Q996" s="65"/>
      <c r="R996" s="66" t="str">
        <f t="shared" ca="1" si="31"/>
        <v/>
      </c>
      <c r="S996" s="63"/>
      <c r="T996" s="65"/>
      <c r="U996" s="65"/>
      <c r="V996" s="62"/>
      <c r="W996" s="62"/>
      <c r="X996" s="62"/>
      <c r="Y996" s="58"/>
      <c r="Z996" s="58"/>
      <c r="AA996" s="58"/>
    </row>
    <row r="997" spans="1:27" ht="15.75" customHeight="1" x14ac:dyDescent="0.2">
      <c r="A997" s="61" t="str">
        <f t="shared" si="30"/>
        <v/>
      </c>
      <c r="B997" s="62"/>
      <c r="C997" s="62"/>
      <c r="D997" s="62"/>
      <c r="E997" s="62"/>
      <c r="F997" s="63"/>
      <c r="G997" s="63"/>
      <c r="H997" s="63"/>
      <c r="I997" s="63"/>
      <c r="J997" s="63"/>
      <c r="K997" s="63"/>
      <c r="L997" s="64" t="str">
        <f>IF(OR($B997="", $H997="", $I997="", $J997="", $K997=""),"",ROUND((VLOOKUP($H997,Lists!$E$2:$F$5,2,FALSE())*VLOOKUP($I997,Lists!$H$2:$I$4,2,FALSE())*VLOOKUP($J997,Lists!$K$2:$L$4,2,FALSE()))/VLOOKUP($K997,Lists!$N$2:$O$6,2,FALSE()),2))</f>
        <v/>
      </c>
      <c r="M997" s="63"/>
      <c r="N997" s="63"/>
      <c r="O997" s="62"/>
      <c r="P997" s="63"/>
      <c r="Q997" s="65"/>
      <c r="R997" s="66" t="str">
        <f t="shared" ca="1" si="31"/>
        <v/>
      </c>
      <c r="S997" s="63"/>
      <c r="T997" s="65"/>
      <c r="U997" s="65"/>
      <c r="V997" s="62"/>
      <c r="W997" s="62"/>
      <c r="X997" s="62"/>
      <c r="Y997" s="58"/>
      <c r="Z997" s="58"/>
      <c r="AA997" s="58"/>
    </row>
    <row r="998" spans="1:27" ht="15.75" customHeight="1" x14ac:dyDescent="0.2">
      <c r="A998" s="61" t="str">
        <f t="shared" si="30"/>
        <v/>
      </c>
      <c r="B998" s="62"/>
      <c r="C998" s="62"/>
      <c r="D998" s="62"/>
      <c r="E998" s="62"/>
      <c r="F998" s="63"/>
      <c r="G998" s="63"/>
      <c r="H998" s="63"/>
      <c r="I998" s="63"/>
      <c r="J998" s="63"/>
      <c r="K998" s="63"/>
      <c r="L998" s="64" t="str">
        <f>IF(OR($B998="", $H998="", $I998="", $J998="", $K998=""),"",ROUND((VLOOKUP($H998,Lists!$E$2:$F$5,2,FALSE())*VLOOKUP($I998,Lists!$H$2:$I$4,2,FALSE())*VLOOKUP($J998,Lists!$K$2:$L$4,2,FALSE()))/VLOOKUP($K998,Lists!$N$2:$O$6,2,FALSE()),2))</f>
        <v/>
      </c>
      <c r="M998" s="63"/>
      <c r="N998" s="63"/>
      <c r="O998" s="62"/>
      <c r="P998" s="63"/>
      <c r="Q998" s="65"/>
      <c r="R998" s="66" t="str">
        <f t="shared" ca="1" si="31"/>
        <v/>
      </c>
      <c r="S998" s="63"/>
      <c r="T998" s="65"/>
      <c r="U998" s="65"/>
      <c r="V998" s="62"/>
      <c r="W998" s="62"/>
      <c r="X998" s="62"/>
      <c r="Y998" s="58"/>
      <c r="Z998" s="58"/>
      <c r="AA998" s="58"/>
    </row>
    <row r="999" spans="1:27" ht="15.75" customHeight="1" x14ac:dyDescent="0.2">
      <c r="A999" s="61" t="str">
        <f t="shared" si="30"/>
        <v/>
      </c>
      <c r="B999" s="62"/>
      <c r="C999" s="62"/>
      <c r="D999" s="62"/>
      <c r="E999" s="62"/>
      <c r="F999" s="63"/>
      <c r="G999" s="63"/>
      <c r="H999" s="63"/>
      <c r="I999" s="63"/>
      <c r="J999" s="63"/>
      <c r="K999" s="63"/>
      <c r="L999" s="64" t="str">
        <f>IF(OR($B999="", $H999="", $I999="", $J999="", $K999=""),"",ROUND((VLOOKUP($H999,Lists!$E$2:$F$5,2,FALSE())*VLOOKUP($I999,Lists!$H$2:$I$4,2,FALSE())*VLOOKUP($J999,Lists!$K$2:$L$4,2,FALSE()))/VLOOKUP($K999,Lists!$N$2:$O$6,2,FALSE()),2))</f>
        <v/>
      </c>
      <c r="M999" s="63"/>
      <c r="N999" s="63"/>
      <c r="O999" s="62"/>
      <c r="P999" s="63"/>
      <c r="Q999" s="65"/>
      <c r="R999" s="66" t="str">
        <f t="shared" ca="1" si="31"/>
        <v/>
      </c>
      <c r="S999" s="63"/>
      <c r="T999" s="65"/>
      <c r="U999" s="65"/>
      <c r="V999" s="62"/>
      <c r="W999" s="62"/>
      <c r="X999" s="62"/>
      <c r="Y999" s="58"/>
      <c r="Z999" s="58"/>
      <c r="AA999" s="58"/>
    </row>
    <row r="1000" spans="1:27" ht="15.75" customHeight="1" x14ac:dyDescent="0.2">
      <c r="A1000" s="61" t="str">
        <f t="shared" si="30"/>
        <v/>
      </c>
      <c r="B1000" s="62"/>
      <c r="C1000" s="62"/>
      <c r="D1000" s="62"/>
      <c r="E1000" s="62"/>
      <c r="F1000" s="63"/>
      <c r="G1000" s="63"/>
      <c r="H1000" s="63"/>
      <c r="I1000" s="63"/>
      <c r="J1000" s="63"/>
      <c r="K1000" s="63"/>
      <c r="L1000" s="64" t="str">
        <f>IF(OR($B1000="", $H1000="", $I1000="", $J1000="", $K1000=""),"",ROUND((VLOOKUP($H1000,Lists!$E$2:$F$5,2,FALSE())*VLOOKUP($I1000,Lists!$H$2:$I$4,2,FALSE())*VLOOKUP($J1000,Lists!$K$2:$L$4,2,FALSE()))/VLOOKUP($K1000,Lists!$N$2:$O$6,2,FALSE()),2))</f>
        <v/>
      </c>
      <c r="M1000" s="63"/>
      <c r="N1000" s="63"/>
      <c r="O1000" s="62"/>
      <c r="P1000" s="63"/>
      <c r="Q1000" s="65"/>
      <c r="R1000" s="66" t="str">
        <f t="shared" ca="1" si="31"/>
        <v/>
      </c>
      <c r="S1000" s="63"/>
      <c r="T1000" s="65"/>
      <c r="U1000" s="65"/>
      <c r="V1000" s="62"/>
      <c r="W1000" s="62"/>
      <c r="X1000" s="62"/>
      <c r="Y1000" s="58"/>
      <c r="Z1000" s="58"/>
      <c r="AA1000" s="58"/>
    </row>
  </sheetData>
  <conditionalFormatting sqref="A2:X1000">
    <cfRule type="expression" dxfId="27" priority="2">
      <formula>AND($T2&lt;&gt;"",$T2&lt;TODAY(),$N2&lt;&gt;"Done",$B2&lt;&gt;"")</formula>
    </cfRule>
    <cfRule type="expression" dxfId="26" priority="3">
      <formula>$N2="Done"</formula>
    </cfRule>
  </conditionalFormatting>
  <conditionalFormatting sqref="H2:H1000">
    <cfRule type="expression" dxfId="25" priority="4">
      <formula>$H2="Critical"</formula>
    </cfRule>
    <cfRule type="expression" dxfId="24" priority="5">
      <formula>$H2="High"</formula>
    </cfRule>
    <cfRule type="expression" dxfId="23" priority="6">
      <formula>$H2="Medium"</formula>
    </cfRule>
    <cfRule type="expression" dxfId="22" priority="7">
      <formula>$H2="Low"</formula>
    </cfRule>
    <cfRule type="expression" dxfId="21" priority="8">
      <formula>EXACT($H2,"Critical")</formula>
    </cfRule>
    <cfRule type="expression" dxfId="20" priority="9">
      <formula>EXACT($H2,"High")</formula>
    </cfRule>
    <cfRule type="expression" dxfId="19" priority="10">
      <formula>EXACT($H2,"Medium")</formula>
    </cfRule>
    <cfRule type="expression" dxfId="18" priority="11">
      <formula>EXACT($H2,"Low")</formula>
    </cfRule>
  </conditionalFormatting>
  <conditionalFormatting sqref="L2:L1000"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">
      <colorScale>
        <cfvo type="num" val="0"/>
        <cfvo type="num" val="5"/>
        <cfvo type="num" val="12"/>
        <color rgb="FF86EFAC"/>
        <color rgb="FFFDE68A"/>
        <color rgb="FFFCA5A5"/>
      </colorScale>
    </cfRule>
  </conditionalFormatting>
  <conditionalFormatting sqref="M2:M1000">
    <cfRule type="expression" dxfId="17" priority="12">
      <formula>$M2="P0"</formula>
    </cfRule>
    <cfRule type="expression" dxfId="16" priority="13">
      <formula>$M2="P1"</formula>
    </cfRule>
    <cfRule type="expression" dxfId="15" priority="14">
      <formula>$M2="P2"</formula>
    </cfRule>
    <cfRule type="expression" dxfId="14" priority="15">
      <formula>$M2="P3"</formula>
    </cfRule>
  </conditionalFormatting>
  <conditionalFormatting sqref="N2:N1000">
    <cfRule type="expression" dxfId="13" priority="18">
      <formula>EXACT($N2,"Done")</formula>
    </cfRule>
    <cfRule type="expression" dxfId="12" priority="19">
      <formula>EXACT($N2,"In Progress")</formula>
    </cfRule>
    <cfRule type="expression" dxfId="11" priority="20">
      <formula>EXACT($N2,"Blocked")</formula>
    </cfRule>
    <cfRule type="expression" dxfId="10" priority="21">
      <formula>EXACT($N2,"New")</formula>
    </cfRule>
    <cfRule type="expression" dxfId="9" priority="22">
      <formula>EXACT($N2,"Won't Fix")</formula>
    </cfRule>
    <cfRule type="expression" dxfId="8" priority="23">
      <formula>EXACT($N2,"Duplicate")</formula>
    </cfRule>
  </conditionalFormatting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100-000000000000}">
          <x14:formula1>
            <xm:f>Lists!$G$2:$G$4</xm:f>
          </x14:formula1>
          <x14:formula2>
            <xm:f>0</xm:f>
          </x14:formula2>
          <xm:sqref>AB2:AB1000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1000"/>
  <sheetViews>
    <sheetView zoomScaleNormal="10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I17" sqref="I17"/>
    </sheetView>
  </sheetViews>
  <sheetFormatPr baseColWidth="10" defaultColWidth="8.83203125" defaultRowHeight="15" x14ac:dyDescent="0.2"/>
  <cols>
    <col min="1" max="1" width="10" customWidth="1"/>
    <col min="2" max="2" width="12" customWidth="1"/>
    <col min="3" max="3" width="26" customWidth="1"/>
    <col min="4" max="6" width="14" customWidth="1"/>
    <col min="7" max="7" width="12" customWidth="1"/>
    <col min="8" max="8" width="14" customWidth="1"/>
    <col min="9" max="9" width="12" customWidth="1"/>
    <col min="10" max="10" width="16" customWidth="1"/>
    <col min="11" max="11" width="14" customWidth="1"/>
    <col min="12" max="12" width="30" customWidth="1"/>
  </cols>
  <sheetData>
    <row r="1" spans="1:12" ht="30" customHeight="1" x14ac:dyDescent="0.2">
      <c r="A1" s="16" t="s">
        <v>163</v>
      </c>
      <c r="B1" s="16" t="s">
        <v>164</v>
      </c>
      <c r="C1" s="16" t="s">
        <v>165</v>
      </c>
      <c r="D1" s="16" t="s">
        <v>166</v>
      </c>
      <c r="E1" s="16" t="s">
        <v>167</v>
      </c>
      <c r="F1" s="16" t="s">
        <v>168</v>
      </c>
      <c r="G1" s="16" t="s">
        <v>169</v>
      </c>
      <c r="H1" s="16" t="s">
        <v>170</v>
      </c>
      <c r="I1" s="16" t="s">
        <v>171</v>
      </c>
      <c r="J1" s="16" t="s">
        <v>78</v>
      </c>
      <c r="K1" s="16" t="s">
        <v>84</v>
      </c>
      <c r="L1" s="16" t="s">
        <v>87</v>
      </c>
    </row>
    <row r="2" spans="1:12" ht="27.75" customHeight="1" x14ac:dyDescent="0.2">
      <c r="A2" s="67" t="str">
        <f t="shared" ref="A2:A8" si="0">IF($B2="","", "R-" &amp; RIGHT("0000"&amp;ROW()-1,4))</f>
        <v>R-0001</v>
      </c>
      <c r="B2" s="54" t="s">
        <v>172</v>
      </c>
      <c r="C2" s="67" t="str">
        <f>IF($B2="","",IFERROR(VLOOKUP($B2,'Application Portfolio'!$A$2:$B$1000,2,FALSE()),""))</f>
        <v>Customer Portal</v>
      </c>
      <c r="D2" s="68">
        <v>5</v>
      </c>
      <c r="E2" s="68">
        <v>4</v>
      </c>
      <c r="F2" s="68">
        <v>3</v>
      </c>
      <c r="G2" s="68">
        <v>2</v>
      </c>
      <c r="H2" s="68">
        <v>3</v>
      </c>
      <c r="I2" s="55">
        <f>IF(OR($B2="", $D2="", $E2="", $F2="", $G2="", $H2=""),"",ROUND(($D2*Lists!$AN$20)+($E2*Lists!$AN$21)+($F2*Lists!$AN$22)+($G2*Lists!$AN$23)+($H2*Lists!$AN$24),2))</f>
        <v>3.4</v>
      </c>
      <c r="J2" s="54" t="s">
        <v>173</v>
      </c>
      <c r="K2" s="56">
        <v>46127</v>
      </c>
      <c r="L2" s="54" t="s">
        <v>174</v>
      </c>
    </row>
    <row r="3" spans="1:12" x14ac:dyDescent="0.2">
      <c r="A3" s="67" t="str">
        <f t="shared" si="0"/>
        <v>R-0002</v>
      </c>
      <c r="B3" s="59" t="s">
        <v>175</v>
      </c>
      <c r="C3" s="67" t="str">
        <f>IF($B3="","",IFERROR(VLOOKUP($B3,'Application Portfolio'!$A$2:$B$1000,2,FALSE()),""))</f>
        <v>Order Management System</v>
      </c>
      <c r="D3" s="69">
        <v>2</v>
      </c>
      <c r="E3" s="69">
        <v>2</v>
      </c>
      <c r="F3" s="69">
        <v>3</v>
      </c>
      <c r="G3" s="69">
        <v>2</v>
      </c>
      <c r="H3" s="69">
        <v>2</v>
      </c>
      <c r="I3" s="55">
        <f>IF(OR($B3="", $D3="", $E3="", $F3="", $G3="", $H3=""),"",ROUND(($D3*Lists!$AN$20)+($E3*Lists!$AN$21)+($F3*Lists!$AN$22)+($G3*Lists!$AN$23)+($H3*Lists!$AN$24),2))</f>
        <v>2.2000000000000002</v>
      </c>
      <c r="J3" s="59" t="s">
        <v>98</v>
      </c>
      <c r="K3" s="60">
        <v>46127</v>
      </c>
      <c r="L3" s="59" t="s">
        <v>176</v>
      </c>
    </row>
    <row r="4" spans="1:12" ht="27.75" customHeight="1" x14ac:dyDescent="0.2">
      <c r="A4" s="67" t="str">
        <f t="shared" si="0"/>
        <v>R-0003</v>
      </c>
      <c r="B4" s="54" t="s">
        <v>177</v>
      </c>
      <c r="C4" s="67" t="str">
        <f>IF($B4="","",IFERROR(VLOOKUP($B4,'Application Portfolio'!$A$2:$B$1000,2,FALSE()),""))</f>
        <v>Payment Processor</v>
      </c>
      <c r="D4" s="68">
        <v>4</v>
      </c>
      <c r="E4" s="68">
        <v>5</v>
      </c>
      <c r="F4" s="68">
        <v>4</v>
      </c>
      <c r="G4" s="68">
        <v>3</v>
      </c>
      <c r="H4" s="68">
        <v>4</v>
      </c>
      <c r="I4" s="55">
        <f>IF(OR($B4="", $D4="", $E4="", $F4="", $G4="", $H4=""),"",ROUND(($D4*Lists!$AN$20)+($E4*Lists!$AN$21)+($F4*Lists!$AN$22)+($G4*Lists!$AN$23)+($H4*Lists!$AN$24),2))</f>
        <v>4</v>
      </c>
      <c r="J4" s="54" t="s">
        <v>123</v>
      </c>
      <c r="K4" s="56">
        <v>46127</v>
      </c>
      <c r="L4" s="54" t="s">
        <v>178</v>
      </c>
    </row>
    <row r="5" spans="1:12" ht="27.75" customHeight="1" x14ac:dyDescent="0.2">
      <c r="A5" s="67" t="str">
        <f t="shared" si="0"/>
        <v>R-0004</v>
      </c>
      <c r="B5" s="59" t="s">
        <v>179</v>
      </c>
      <c r="C5" s="67" t="str">
        <f>IF($B5="","",IFERROR(VLOOKUP($B5,'Application Portfolio'!$A$2:$B$1000,2,FALSE()),""))</f>
        <v>Legacy CRM</v>
      </c>
      <c r="D5" s="69">
        <v>3</v>
      </c>
      <c r="E5" s="69">
        <v>3</v>
      </c>
      <c r="F5" s="69">
        <v>4</v>
      </c>
      <c r="G5" s="69">
        <v>5</v>
      </c>
      <c r="H5" s="69">
        <v>5</v>
      </c>
      <c r="I5" s="55">
        <f>IF(OR($B5="", $D5="", $E5="", $F5="", $G5="", $H5=""),"",ROUND(($D5*Lists!$AN$20)+($E5*Lists!$AN$21)+($F5*Lists!$AN$22)+($G5*Lists!$AN$23)+($H5*Lists!$AN$24),2))</f>
        <v>4</v>
      </c>
      <c r="J5" s="59" t="s">
        <v>111</v>
      </c>
      <c r="K5" s="60">
        <v>46127</v>
      </c>
      <c r="L5" s="59" t="s">
        <v>180</v>
      </c>
    </row>
    <row r="6" spans="1:12" x14ac:dyDescent="0.2">
      <c r="A6" s="67" t="str">
        <f t="shared" si="0"/>
        <v>R-0005</v>
      </c>
      <c r="B6" s="54" t="s">
        <v>181</v>
      </c>
      <c r="C6" s="67" t="str">
        <f>IF($B6="","",IFERROR(VLOOKUP($B6,'Application Portfolio'!$A$2:$B$1000,2,FALSE()),""))</f>
        <v>Marketing Analytics</v>
      </c>
      <c r="D6" s="68">
        <v>2</v>
      </c>
      <c r="E6" s="68">
        <v>2</v>
      </c>
      <c r="F6" s="68">
        <v>2</v>
      </c>
      <c r="G6" s="68">
        <v>2</v>
      </c>
      <c r="H6" s="68">
        <v>3</v>
      </c>
      <c r="I6" s="55">
        <f>IF(OR($B6="", $D6="", $E6="", $F6="", $G6="", $H6=""),"",ROUND(($D6*Lists!$AN$20)+($E6*Lists!$AN$21)+($F6*Lists!$AN$22)+($G6*Lists!$AN$23)+($H6*Lists!$AN$24),2))</f>
        <v>2.2000000000000002</v>
      </c>
      <c r="J6" s="54" t="s">
        <v>142</v>
      </c>
      <c r="K6" s="56">
        <v>46127</v>
      </c>
      <c r="L6" s="54" t="s">
        <v>182</v>
      </c>
    </row>
    <row r="7" spans="1:12" ht="27.75" customHeight="1" x14ac:dyDescent="0.2">
      <c r="A7" s="67" t="str">
        <f t="shared" si="0"/>
        <v>R-0006</v>
      </c>
      <c r="B7" s="59" t="s">
        <v>183</v>
      </c>
      <c r="C7" s="67" t="str">
        <f>IF($B7="","",IFERROR(VLOOKUP($B7,'Application Portfolio'!$A$2:$B$1000,2,FALSE()),""))</f>
        <v>Financial Reconciliation</v>
      </c>
      <c r="D7" s="69">
        <v>4</v>
      </c>
      <c r="E7" s="69">
        <v>3</v>
      </c>
      <c r="F7" s="69">
        <v>4</v>
      </c>
      <c r="G7" s="69">
        <v>2</v>
      </c>
      <c r="H7" s="69">
        <v>3</v>
      </c>
      <c r="I7" s="55">
        <f>IF(OR($B7="", $D7="", $E7="", $F7="", $G7="", $H7=""),"",ROUND(($D7*Lists!$AN$20)+($E7*Lists!$AN$21)+($F7*Lists!$AN$22)+($G7*Lists!$AN$23)+($H7*Lists!$AN$24),2))</f>
        <v>3.2</v>
      </c>
      <c r="J7" s="59" t="s">
        <v>151</v>
      </c>
      <c r="K7" s="60">
        <v>46127</v>
      </c>
      <c r="L7" s="59" t="s">
        <v>184</v>
      </c>
    </row>
    <row r="8" spans="1:12" ht="27.75" customHeight="1" x14ac:dyDescent="0.2">
      <c r="A8" s="67" t="str">
        <f t="shared" si="0"/>
        <v>R-0007</v>
      </c>
      <c r="B8" s="54" t="s">
        <v>185</v>
      </c>
      <c r="C8" s="67" t="str">
        <f>IF($B8="","",IFERROR(VLOOKUP($B8,'Application Portfolio'!$A$2:$B$1000,2,FALSE()),""))</f>
        <v>Partner API Gateway</v>
      </c>
      <c r="D8" s="68">
        <v>3</v>
      </c>
      <c r="E8" s="68">
        <v>4</v>
      </c>
      <c r="F8" s="68">
        <v>3</v>
      </c>
      <c r="G8" s="68">
        <v>3</v>
      </c>
      <c r="H8" s="68">
        <v>2</v>
      </c>
      <c r="I8" s="55">
        <f>IF(OR($B8="", $D8="", $E8="", $F8="", $G8="", $H8=""),"",ROUND(($D8*Lists!$AN$20)+($E8*Lists!$AN$21)+($F8*Lists!$AN$22)+($G8*Lists!$AN$23)+($H8*Lists!$AN$24),2))</f>
        <v>3</v>
      </c>
      <c r="J8" s="54" t="s">
        <v>161</v>
      </c>
      <c r="K8" s="56">
        <v>46127</v>
      </c>
      <c r="L8" s="54" t="s">
        <v>186</v>
      </c>
    </row>
    <row r="9" spans="1:12" x14ac:dyDescent="0.2">
      <c r="A9" s="67"/>
      <c r="B9" s="59"/>
      <c r="C9" s="67"/>
      <c r="D9" s="69"/>
      <c r="E9" s="69"/>
      <c r="F9" s="69"/>
      <c r="G9" s="69"/>
      <c r="H9" s="69"/>
      <c r="I9" s="55" t="str">
        <f>IF(OR($B9="", $D9="", $E9="", $F9="", $G9="", $H9=""),"",ROUND(($D9*Lists!$AN$20)+($E9*Lists!$AN$21)+($F9*Lists!$AN$22)+($G9*Lists!$AN$23)+($H9*Lists!$AN$24),2))</f>
        <v/>
      </c>
      <c r="J9" s="59"/>
      <c r="K9" s="60"/>
      <c r="L9" s="59"/>
    </row>
    <row r="10" spans="1:12" x14ac:dyDescent="0.2">
      <c r="A10" s="67"/>
      <c r="B10" s="54"/>
      <c r="C10" s="67"/>
      <c r="D10" s="68"/>
      <c r="E10" s="68"/>
      <c r="F10" s="68"/>
      <c r="G10" s="68"/>
      <c r="H10" s="68"/>
      <c r="I10" s="55" t="str">
        <f>IF(OR($B10="", $D10="", $E10="", $F10="", $G10="", $H10=""),"",ROUND(($D10*Lists!$AN$20)+($E10*Lists!$AN$21)+($F10*Lists!$AN$22)+($G10*Lists!$AN$23)+($H10*Lists!$AN$24),2))</f>
        <v/>
      </c>
      <c r="J10" s="54"/>
      <c r="K10" s="56"/>
      <c r="L10" s="54"/>
    </row>
    <row r="11" spans="1:12" x14ac:dyDescent="0.2">
      <c r="A11" s="67"/>
      <c r="B11" s="59"/>
      <c r="C11" s="67"/>
      <c r="D11" s="69"/>
      <c r="E11" s="69"/>
      <c r="F11" s="69"/>
      <c r="G11" s="69"/>
      <c r="H11" s="69"/>
      <c r="I11" s="55" t="str">
        <f>IF(OR($B11="", $D11="", $E11="", $F11="", $G11="", $H11=""),"",ROUND(($D11*Lists!$AN$20)+($E11*Lists!$AN$21)+($F11*Lists!$AN$22)+($G11*Lists!$AN$23)+($H11*Lists!$AN$24),2))</f>
        <v/>
      </c>
      <c r="J11" s="59"/>
      <c r="K11" s="60"/>
      <c r="L11" s="59"/>
    </row>
    <row r="12" spans="1:12" x14ac:dyDescent="0.2">
      <c r="A12" s="67"/>
      <c r="B12" s="54"/>
      <c r="C12" s="67"/>
      <c r="D12" s="68"/>
      <c r="E12" s="68"/>
      <c r="F12" s="68"/>
      <c r="G12" s="68"/>
      <c r="H12" s="68"/>
      <c r="I12" s="55" t="str">
        <f>IF(OR($B12="", $D12="", $E12="", $F12="", $G12="", $H12=""),"",ROUND(($D12*Lists!$AN$20)+($E12*Lists!$AN$21)+($F12*Lists!$AN$22)+($G12*Lists!$AN$23)+($H12*Lists!$AN$24),2))</f>
        <v/>
      </c>
      <c r="J12" s="54"/>
      <c r="K12" s="56"/>
      <c r="L12" s="54"/>
    </row>
    <row r="13" spans="1:12" x14ac:dyDescent="0.2">
      <c r="A13" s="67"/>
      <c r="B13" s="59"/>
      <c r="C13" s="67"/>
      <c r="D13" s="69"/>
      <c r="E13" s="69"/>
      <c r="F13" s="69"/>
      <c r="G13" s="69"/>
      <c r="H13" s="69"/>
      <c r="I13" s="55" t="str">
        <f>IF(OR($B13="", $D13="", $E13="", $F13="", $G13="", $H13=""),"",ROUND(($D13*Lists!$AN$20)+($E13*Lists!$AN$21)+($F13*Lists!$AN$22)+($G13*Lists!$AN$23)+($H13*Lists!$AN$24),2))</f>
        <v/>
      </c>
      <c r="J13" s="59"/>
      <c r="K13" s="60"/>
      <c r="L13" s="59"/>
    </row>
    <row r="14" spans="1:12" x14ac:dyDescent="0.2">
      <c r="A14" s="67"/>
      <c r="B14" s="54"/>
      <c r="C14" s="67"/>
      <c r="D14" s="68"/>
      <c r="E14" s="68"/>
      <c r="F14" s="68"/>
      <c r="G14" s="68"/>
      <c r="H14" s="68"/>
      <c r="I14" s="55" t="str">
        <f>IF(OR($B14="", $D14="", $E14="", $F14="", $G14="", $H14=""),"",ROUND(($D14*Lists!$AN$20)+($E14*Lists!$AN$21)+($F14*Lists!$AN$22)+($G14*Lists!$AN$23)+($H14*Lists!$AN$24),2))</f>
        <v/>
      </c>
      <c r="J14" s="54"/>
      <c r="K14" s="56"/>
      <c r="L14" s="54"/>
    </row>
    <row r="15" spans="1:12" x14ac:dyDescent="0.2">
      <c r="A15" s="67"/>
      <c r="B15" s="59"/>
      <c r="C15" s="67"/>
      <c r="D15" s="69"/>
      <c r="E15" s="69"/>
      <c r="F15" s="69"/>
      <c r="G15" s="69"/>
      <c r="H15" s="69"/>
      <c r="I15" s="55" t="str">
        <f>IF(OR($B15="", $D15="", $E15="", $F15="", $G15="", $H15=""),"",ROUND(($D15*Lists!$AN$20)+($E15*Lists!$AN$21)+($F15*Lists!$AN$22)+($G15*Lists!$AN$23)+($H15*Lists!$AN$24),2))</f>
        <v/>
      </c>
      <c r="J15" s="59"/>
      <c r="K15" s="60"/>
      <c r="L15" s="59"/>
    </row>
    <row r="16" spans="1:12" x14ac:dyDescent="0.2">
      <c r="A16" s="67"/>
      <c r="B16" s="54"/>
      <c r="C16" s="67"/>
      <c r="D16" s="68"/>
      <c r="E16" s="68"/>
      <c r="F16" s="68"/>
      <c r="G16" s="68"/>
      <c r="H16" s="68"/>
      <c r="I16" s="55" t="str">
        <f>IF(OR($B16="", $D16="", $E16="", $F16="", $G16="", $H16=""),"",ROUND(($D16*Lists!$AN$20)+($E16*Lists!$AN$21)+($F16*Lists!$AN$22)+($G16*Lists!$AN$23)+($H16*Lists!$AN$24),2))</f>
        <v/>
      </c>
      <c r="J16" s="54"/>
      <c r="K16" s="56"/>
      <c r="L16" s="54"/>
    </row>
    <row r="17" spans="1:12" x14ac:dyDescent="0.2">
      <c r="A17" s="67"/>
      <c r="B17" s="59"/>
      <c r="C17" s="67"/>
      <c r="D17" s="69"/>
      <c r="E17" s="69"/>
      <c r="F17" s="69"/>
      <c r="G17" s="69"/>
      <c r="H17" s="69"/>
      <c r="I17" s="55" t="str">
        <f>IF(OR($B17="", $D17="", $E17="", $F17="", $G17="", $H17=""),"",ROUND(($D17*Lists!$AN$20)+($E17*Lists!$AN$21)+($F17*Lists!$AN$22)+($G17*Lists!$AN$23)+($H17*Lists!$AN$24),2))</f>
        <v/>
      </c>
      <c r="J17" s="59"/>
      <c r="K17" s="60"/>
      <c r="L17" s="59"/>
    </row>
    <row r="18" spans="1:12" x14ac:dyDescent="0.2">
      <c r="A18" s="67"/>
      <c r="B18" s="54"/>
      <c r="C18" s="67"/>
      <c r="D18" s="68"/>
      <c r="E18" s="68"/>
      <c r="F18" s="68"/>
      <c r="G18" s="68"/>
      <c r="H18" s="68"/>
      <c r="I18" s="55" t="str">
        <f>IF(OR($B18="", $D18="", $E18="", $F18="", $G18="", $H18=""),"",ROUND(($D18*Lists!$AN$20)+($E18*Lists!$AN$21)+($F18*Lists!$AN$22)+($G18*Lists!$AN$23)+($H18*Lists!$AN$24),2))</f>
        <v/>
      </c>
      <c r="J18" s="54"/>
      <c r="K18" s="56"/>
      <c r="L18" s="54"/>
    </row>
    <row r="19" spans="1:12" x14ac:dyDescent="0.2">
      <c r="A19" s="67"/>
      <c r="B19" s="59"/>
      <c r="C19" s="67"/>
      <c r="D19" s="69"/>
      <c r="E19" s="69"/>
      <c r="F19" s="69"/>
      <c r="G19" s="69"/>
      <c r="H19" s="69"/>
      <c r="I19" s="55" t="str">
        <f>IF(OR($B19="", $D19="", $E19="", $F19="", $G19="", $H19=""),"",ROUND(($D19*Lists!$AN$20)+($E19*Lists!$AN$21)+($F19*Lists!$AN$22)+($G19*Lists!$AN$23)+($H19*Lists!$AN$24),2))</f>
        <v/>
      </c>
      <c r="J19" s="59"/>
      <c r="K19" s="60"/>
      <c r="L19" s="59"/>
    </row>
    <row r="20" spans="1:12" x14ac:dyDescent="0.2">
      <c r="A20" s="67"/>
      <c r="B20" s="54"/>
      <c r="C20" s="67"/>
      <c r="D20" s="68"/>
      <c r="E20" s="68"/>
      <c r="F20" s="68"/>
      <c r="G20" s="68"/>
      <c r="H20" s="68"/>
      <c r="I20" s="55" t="str">
        <f>IF(OR($B20="", $D20="", $E20="", $F20="", $G20="", $H20=""),"",ROUND(($D20*Lists!$AN$20)+($E20*Lists!$AN$21)+($F20*Lists!$AN$22)+($G20*Lists!$AN$23)+($H20*Lists!$AN$24),2))</f>
        <v/>
      </c>
      <c r="J20" s="54"/>
      <c r="K20" s="56"/>
      <c r="L20" s="54"/>
    </row>
    <row r="21" spans="1:12" x14ac:dyDescent="0.2">
      <c r="A21" s="67"/>
      <c r="B21" s="59"/>
      <c r="C21" s="67"/>
      <c r="D21" s="69"/>
      <c r="E21" s="69"/>
      <c r="F21" s="69"/>
      <c r="G21" s="69"/>
      <c r="H21" s="69"/>
      <c r="I21" s="55" t="str">
        <f>IF(OR($B21="", $D21="", $E21="", $F21="", $G21="", $H21=""),"",ROUND(($D21*Lists!$AN$20)+($E21*Lists!$AN$21)+($F21*Lists!$AN$22)+($G21*Lists!$AN$23)+($H21*Lists!$AN$24),2))</f>
        <v/>
      </c>
      <c r="J21" s="59"/>
      <c r="K21" s="60"/>
      <c r="L21" s="59"/>
    </row>
    <row r="22" spans="1:12" x14ac:dyDescent="0.2">
      <c r="A22" s="67"/>
      <c r="B22" s="54"/>
      <c r="C22" s="67"/>
      <c r="D22" s="68"/>
      <c r="E22" s="68"/>
      <c r="F22" s="68"/>
      <c r="G22" s="68"/>
      <c r="H22" s="68"/>
      <c r="I22" s="55" t="str">
        <f>IF(OR($B22="", $D22="", $E22="", $F22="", $G22="", $H22=""),"",ROUND(($D22*Lists!$AN$20)+($E22*Lists!$AN$21)+($F22*Lists!$AN$22)+($G22*Lists!$AN$23)+($H22*Lists!$AN$24),2))</f>
        <v/>
      </c>
      <c r="J22" s="54"/>
      <c r="K22" s="56"/>
      <c r="L22" s="54"/>
    </row>
    <row r="23" spans="1:12" x14ac:dyDescent="0.2">
      <c r="A23" s="67"/>
      <c r="B23" s="59"/>
      <c r="C23" s="67"/>
      <c r="D23" s="69"/>
      <c r="E23" s="69"/>
      <c r="F23" s="69"/>
      <c r="G23" s="69"/>
      <c r="H23" s="69"/>
      <c r="I23" s="55" t="str">
        <f>IF(OR($B23="", $D23="", $E23="", $F23="", $G23="", $H23=""),"",ROUND(($D23*Lists!$AN$20)+($E23*Lists!$AN$21)+($F23*Lists!$AN$22)+($G23*Lists!$AN$23)+($H23*Lists!$AN$24),2))</f>
        <v/>
      </c>
      <c r="J23" s="59"/>
      <c r="K23" s="60"/>
      <c r="L23" s="59"/>
    </row>
    <row r="24" spans="1:12" x14ac:dyDescent="0.2">
      <c r="A24" s="67"/>
      <c r="B24" s="54"/>
      <c r="C24" s="67"/>
      <c r="D24" s="68"/>
      <c r="E24" s="68"/>
      <c r="F24" s="68"/>
      <c r="G24" s="68"/>
      <c r="H24" s="68"/>
      <c r="I24" s="55" t="str">
        <f>IF(OR($B24="", $D24="", $E24="", $F24="", $G24="", $H24=""),"",ROUND(($D24*Lists!$AN$20)+($E24*Lists!$AN$21)+($F24*Lists!$AN$22)+($G24*Lists!$AN$23)+($H24*Lists!$AN$24),2))</f>
        <v/>
      </c>
      <c r="J24" s="54"/>
      <c r="K24" s="56"/>
      <c r="L24" s="54"/>
    </row>
    <row r="25" spans="1:12" x14ac:dyDescent="0.2">
      <c r="A25" s="67"/>
      <c r="B25" s="59"/>
      <c r="C25" s="67"/>
      <c r="D25" s="69"/>
      <c r="E25" s="69"/>
      <c r="F25" s="69"/>
      <c r="G25" s="69"/>
      <c r="H25" s="69"/>
      <c r="I25" s="55" t="str">
        <f>IF(OR($B25="", $D25="", $E25="", $F25="", $G25="", $H25=""),"",ROUND(($D25*Lists!$AN$20)+($E25*Lists!$AN$21)+($F25*Lists!$AN$22)+($G25*Lists!$AN$23)+($H25*Lists!$AN$24),2))</f>
        <v/>
      </c>
      <c r="J25" s="59"/>
      <c r="K25" s="60"/>
      <c r="L25" s="59"/>
    </row>
    <row r="26" spans="1:12" x14ac:dyDescent="0.2">
      <c r="A26" s="67"/>
      <c r="B26" s="54"/>
      <c r="C26" s="67"/>
      <c r="D26" s="68"/>
      <c r="E26" s="68"/>
      <c r="F26" s="68"/>
      <c r="G26" s="68"/>
      <c r="H26" s="68"/>
      <c r="I26" s="55" t="str">
        <f>IF(OR($B26="", $D26="", $E26="", $F26="", $G26="", $H26=""),"",ROUND(($D26*Lists!$AN$20)+($E26*Lists!$AN$21)+($F26*Lists!$AN$22)+($G26*Lists!$AN$23)+($H26*Lists!$AN$24),2))</f>
        <v/>
      </c>
      <c r="J26" s="54"/>
      <c r="K26" s="56"/>
      <c r="L26" s="54"/>
    </row>
    <row r="27" spans="1:12" x14ac:dyDescent="0.2">
      <c r="A27" s="67"/>
      <c r="B27" s="59"/>
      <c r="C27" s="67"/>
      <c r="D27" s="69"/>
      <c r="E27" s="69"/>
      <c r="F27" s="69"/>
      <c r="G27" s="69"/>
      <c r="H27" s="69"/>
      <c r="I27" s="55" t="str">
        <f>IF(OR($B27="", $D27="", $E27="", $F27="", $G27="", $H27=""),"",ROUND(($D27*Lists!$AN$20)+($E27*Lists!$AN$21)+($F27*Lists!$AN$22)+($G27*Lists!$AN$23)+($H27*Lists!$AN$24),2))</f>
        <v/>
      </c>
      <c r="J27" s="59"/>
      <c r="K27" s="60"/>
      <c r="L27" s="59"/>
    </row>
    <row r="28" spans="1:12" x14ac:dyDescent="0.2">
      <c r="A28" s="67"/>
      <c r="B28" s="54"/>
      <c r="C28" s="67"/>
      <c r="D28" s="68"/>
      <c r="E28" s="68"/>
      <c r="F28" s="68"/>
      <c r="G28" s="68"/>
      <c r="H28" s="68"/>
      <c r="I28" s="55" t="str">
        <f>IF(OR($B28="", $D28="", $E28="", $F28="", $G28="", $H28=""),"",ROUND(($D28*Lists!$AN$20)+($E28*Lists!$AN$21)+($F28*Lists!$AN$22)+($G28*Lists!$AN$23)+($H28*Lists!$AN$24),2))</f>
        <v/>
      </c>
      <c r="J28" s="54"/>
      <c r="K28" s="56"/>
      <c r="L28" s="54"/>
    </row>
    <row r="29" spans="1:12" x14ac:dyDescent="0.2">
      <c r="A29" s="67"/>
      <c r="B29" s="59"/>
      <c r="C29" s="67"/>
      <c r="D29" s="69"/>
      <c r="E29" s="69"/>
      <c r="F29" s="69"/>
      <c r="G29" s="69"/>
      <c r="H29" s="69"/>
      <c r="I29" s="55" t="str">
        <f>IF(OR($B29="", $D29="", $E29="", $F29="", $G29="", $H29=""),"",ROUND(($D29*Lists!$AN$20)+($E29*Lists!$AN$21)+($F29*Lists!$AN$22)+($G29*Lists!$AN$23)+($H29*Lists!$AN$24),2))</f>
        <v/>
      </c>
      <c r="J29" s="59"/>
      <c r="K29" s="60"/>
      <c r="L29" s="59"/>
    </row>
    <row r="30" spans="1:12" x14ac:dyDescent="0.2">
      <c r="A30" s="67"/>
      <c r="B30" s="54"/>
      <c r="C30" s="67"/>
      <c r="D30" s="68"/>
      <c r="E30" s="68"/>
      <c r="F30" s="68"/>
      <c r="G30" s="68"/>
      <c r="H30" s="68"/>
      <c r="I30" s="55" t="str">
        <f>IF(OR($B30="", $D30="", $E30="", $F30="", $G30="", $H30=""),"",ROUND(($D30*Lists!$AN$20)+($E30*Lists!$AN$21)+($F30*Lists!$AN$22)+($G30*Lists!$AN$23)+($H30*Lists!$AN$24),2))</f>
        <v/>
      </c>
      <c r="J30" s="54"/>
      <c r="K30" s="56"/>
      <c r="L30" s="54"/>
    </row>
    <row r="31" spans="1:12" x14ac:dyDescent="0.2">
      <c r="A31" s="67"/>
      <c r="B31" s="59"/>
      <c r="C31" s="67"/>
      <c r="D31" s="69"/>
      <c r="E31" s="69"/>
      <c r="F31" s="69"/>
      <c r="G31" s="69"/>
      <c r="H31" s="69"/>
      <c r="I31" s="55" t="str">
        <f>IF(OR($B31="", $D31="", $E31="", $F31="", $G31="", $H31=""),"",ROUND(($D31*Lists!$AN$20)+($E31*Lists!$AN$21)+($F31*Lists!$AN$22)+($G31*Lists!$AN$23)+($H31*Lists!$AN$24),2))</f>
        <v/>
      </c>
      <c r="J31" s="59"/>
      <c r="K31" s="60"/>
      <c r="L31" s="59"/>
    </row>
    <row r="32" spans="1:12" ht="15.75" customHeight="1" x14ac:dyDescent="0.2">
      <c r="A32" s="67" t="str">
        <f t="shared" ref="A32:A95" si="1">IF($B32="","", "R-" &amp; RIGHT("0000"&amp;ROW()-1,4))</f>
        <v/>
      </c>
      <c r="B32" s="54"/>
      <c r="C32" s="67" t="str">
        <f>IF($B32="","",IFERROR(VLOOKUP($B32,'Application Portfolio'!$A$2:$B$1000,2,FALSE()),""))</f>
        <v/>
      </c>
      <c r="D32" s="68"/>
      <c r="E32" s="68"/>
      <c r="F32" s="68"/>
      <c r="G32" s="68"/>
      <c r="H32" s="68"/>
      <c r="I32" s="55" t="str">
        <f>IF(OR($B32="", $D32="", $E32="", $F32="", $G32="", $H32=""),"",ROUND(($D32*Lists!$AN$20)+($E32*Lists!$AN$21)+($F32*Lists!$AN$22)+($G32*Lists!$AN$23)+($H32*Lists!$AN$24),2))</f>
        <v/>
      </c>
      <c r="J32" s="54"/>
      <c r="K32" s="56"/>
      <c r="L32" s="54"/>
    </row>
    <row r="33" spans="1:12" ht="15.75" customHeight="1" x14ac:dyDescent="0.2">
      <c r="A33" s="67" t="str">
        <f t="shared" si="1"/>
        <v/>
      </c>
      <c r="B33" s="59"/>
      <c r="C33" s="67" t="str">
        <f>IF($B33="","",IFERROR(VLOOKUP($B33,'Application Portfolio'!$A$2:$B$1000,2,FALSE()),""))</f>
        <v/>
      </c>
      <c r="D33" s="69"/>
      <c r="E33" s="69"/>
      <c r="F33" s="69"/>
      <c r="G33" s="69"/>
      <c r="H33" s="69"/>
      <c r="I33" s="55" t="str">
        <f>IF(OR($B33="", $D33="", $E33="", $F33="", $G33="", $H33=""),"",ROUND(($D33*Lists!$AN$20)+($E33*Lists!$AN$21)+($F33*Lists!$AN$22)+($G33*Lists!$AN$23)+($H33*Lists!$AN$24),2))</f>
        <v/>
      </c>
      <c r="J33" s="59"/>
      <c r="K33" s="60"/>
      <c r="L33" s="59"/>
    </row>
    <row r="34" spans="1:12" ht="15.75" customHeight="1" x14ac:dyDescent="0.2">
      <c r="A34" s="67" t="str">
        <f t="shared" si="1"/>
        <v/>
      </c>
      <c r="B34" s="54"/>
      <c r="C34" s="67" t="str">
        <f>IF($B34="","",IFERROR(VLOOKUP($B34,'Application Portfolio'!$A$2:$B$1000,2,FALSE()),""))</f>
        <v/>
      </c>
      <c r="D34" s="68"/>
      <c r="E34" s="68"/>
      <c r="F34" s="68"/>
      <c r="G34" s="68"/>
      <c r="H34" s="68"/>
      <c r="I34" s="55" t="str">
        <f>IF(OR($B34="", $D34="", $E34="", $F34="", $G34="", $H34=""),"",ROUND(($D34*Lists!$AN$20)+($E34*Lists!$AN$21)+($F34*Lists!$AN$22)+($G34*Lists!$AN$23)+($H34*Lists!$AN$24),2))</f>
        <v/>
      </c>
      <c r="J34" s="54"/>
      <c r="K34" s="56"/>
      <c r="L34" s="54"/>
    </row>
    <row r="35" spans="1:12" ht="15.75" customHeight="1" x14ac:dyDescent="0.2">
      <c r="A35" s="67" t="str">
        <f t="shared" si="1"/>
        <v/>
      </c>
      <c r="B35" s="59"/>
      <c r="C35" s="67" t="str">
        <f>IF($B35="","",IFERROR(VLOOKUP($B35,'Application Portfolio'!$A$2:$B$1000,2,FALSE()),""))</f>
        <v/>
      </c>
      <c r="D35" s="69"/>
      <c r="E35" s="69"/>
      <c r="F35" s="69"/>
      <c r="G35" s="69"/>
      <c r="H35" s="69"/>
      <c r="I35" s="55" t="str">
        <f>IF(OR($B35="", $D35="", $E35="", $F35="", $G35="", $H35=""),"",ROUND(($D35*Lists!$AN$20)+($E35*Lists!$AN$21)+($F35*Lists!$AN$22)+($G35*Lists!$AN$23)+($H35*Lists!$AN$24),2))</f>
        <v/>
      </c>
      <c r="J35" s="59"/>
      <c r="K35" s="60"/>
      <c r="L35" s="59"/>
    </row>
    <row r="36" spans="1:12" ht="15.75" customHeight="1" x14ac:dyDescent="0.2">
      <c r="A36" s="67" t="str">
        <f t="shared" si="1"/>
        <v/>
      </c>
      <c r="B36" s="54"/>
      <c r="C36" s="67" t="str">
        <f>IF($B36="","",IFERROR(VLOOKUP($B36,'Application Portfolio'!$A$2:$B$1000,2,FALSE()),""))</f>
        <v/>
      </c>
      <c r="D36" s="68"/>
      <c r="E36" s="68"/>
      <c r="F36" s="68"/>
      <c r="G36" s="68"/>
      <c r="H36" s="68"/>
      <c r="I36" s="55" t="str">
        <f>IF(OR($B36="", $D36="", $E36="", $F36="", $G36="", $H36=""),"",ROUND(($D36*Lists!$AN$20)+($E36*Lists!$AN$21)+($F36*Lists!$AN$22)+($G36*Lists!$AN$23)+($H36*Lists!$AN$24),2))</f>
        <v/>
      </c>
      <c r="J36" s="54"/>
      <c r="K36" s="56"/>
      <c r="L36" s="54"/>
    </row>
    <row r="37" spans="1:12" ht="15.75" customHeight="1" x14ac:dyDescent="0.2">
      <c r="A37" s="67" t="str">
        <f t="shared" si="1"/>
        <v/>
      </c>
      <c r="B37" s="59"/>
      <c r="C37" s="67" t="str">
        <f>IF($B37="","",IFERROR(VLOOKUP($B37,'Application Portfolio'!$A$2:$B$1000,2,FALSE()),""))</f>
        <v/>
      </c>
      <c r="D37" s="69"/>
      <c r="E37" s="69"/>
      <c r="F37" s="69"/>
      <c r="G37" s="69"/>
      <c r="H37" s="69"/>
      <c r="I37" s="55" t="str">
        <f>IF(OR($B37="", $D37="", $E37="", $F37="", $G37="", $H37=""),"",ROUND(($D37*Lists!$AN$20)+($E37*Lists!$AN$21)+($F37*Lists!$AN$22)+($G37*Lists!$AN$23)+($H37*Lists!$AN$24),2))</f>
        <v/>
      </c>
      <c r="J37" s="59"/>
      <c r="K37" s="60"/>
      <c r="L37" s="59"/>
    </row>
    <row r="38" spans="1:12" ht="15.75" customHeight="1" x14ac:dyDescent="0.2">
      <c r="A38" s="67" t="str">
        <f t="shared" si="1"/>
        <v/>
      </c>
      <c r="B38" s="54"/>
      <c r="C38" s="67" t="str">
        <f>IF($B38="","",IFERROR(VLOOKUP($B38,'Application Portfolio'!$A$2:$B$1000,2,FALSE()),""))</f>
        <v/>
      </c>
      <c r="D38" s="68"/>
      <c r="E38" s="68"/>
      <c r="F38" s="68"/>
      <c r="G38" s="68"/>
      <c r="H38" s="68"/>
      <c r="I38" s="55" t="str">
        <f>IF(OR($B38="", $D38="", $E38="", $F38="", $G38="", $H38=""),"",ROUND(($D38*Lists!$AN$20)+($E38*Lists!$AN$21)+($F38*Lists!$AN$22)+($G38*Lists!$AN$23)+($H38*Lists!$AN$24),2))</f>
        <v/>
      </c>
      <c r="J38" s="54"/>
      <c r="K38" s="56"/>
      <c r="L38" s="54"/>
    </row>
    <row r="39" spans="1:12" ht="15.75" customHeight="1" x14ac:dyDescent="0.2">
      <c r="A39" s="67" t="str">
        <f t="shared" si="1"/>
        <v/>
      </c>
      <c r="B39" s="59"/>
      <c r="C39" s="67" t="str">
        <f>IF($B39="","",IFERROR(VLOOKUP($B39,'Application Portfolio'!$A$2:$B$1000,2,FALSE()),""))</f>
        <v/>
      </c>
      <c r="D39" s="69"/>
      <c r="E39" s="69"/>
      <c r="F39" s="69"/>
      <c r="G39" s="69"/>
      <c r="H39" s="69"/>
      <c r="I39" s="55" t="str">
        <f>IF(OR($B39="", $D39="", $E39="", $F39="", $G39="", $H39=""),"",ROUND(($D39*Lists!$AN$20)+($E39*Lists!$AN$21)+($F39*Lists!$AN$22)+($G39*Lists!$AN$23)+($H39*Lists!$AN$24),2))</f>
        <v/>
      </c>
      <c r="J39" s="59"/>
      <c r="K39" s="60"/>
      <c r="L39" s="59"/>
    </row>
    <row r="40" spans="1:12" ht="15.75" customHeight="1" x14ac:dyDescent="0.2">
      <c r="A40" s="67" t="str">
        <f t="shared" si="1"/>
        <v/>
      </c>
      <c r="B40" s="54"/>
      <c r="C40" s="67" t="str">
        <f>IF($B40="","",IFERROR(VLOOKUP($B40,'Application Portfolio'!$A$2:$B$1000,2,FALSE()),""))</f>
        <v/>
      </c>
      <c r="D40" s="68"/>
      <c r="E40" s="68"/>
      <c r="F40" s="68"/>
      <c r="G40" s="68"/>
      <c r="H40" s="68"/>
      <c r="I40" s="55" t="str">
        <f>IF(OR($B40="", $D40="", $E40="", $F40="", $G40="", $H40=""),"",ROUND(($D40*Lists!$AN$20)+($E40*Lists!$AN$21)+($F40*Lists!$AN$22)+($G40*Lists!$AN$23)+($H40*Lists!$AN$24),2))</f>
        <v/>
      </c>
      <c r="J40" s="54"/>
      <c r="K40" s="56"/>
      <c r="L40" s="54"/>
    </row>
    <row r="41" spans="1:12" ht="15.75" customHeight="1" x14ac:dyDescent="0.2">
      <c r="A41" s="67" t="str">
        <f t="shared" si="1"/>
        <v/>
      </c>
      <c r="B41" s="59"/>
      <c r="C41" s="67" t="str">
        <f>IF($B41="","",IFERROR(VLOOKUP($B41,'Application Portfolio'!$A$2:$B$1000,2,FALSE()),""))</f>
        <v/>
      </c>
      <c r="D41" s="69"/>
      <c r="E41" s="69"/>
      <c r="F41" s="69"/>
      <c r="G41" s="69"/>
      <c r="H41" s="69"/>
      <c r="I41" s="55" t="str">
        <f>IF(OR($B41="", $D41="", $E41="", $F41="", $G41="", $H41=""),"",ROUND(($D41*Lists!$AN$20)+($E41*Lists!$AN$21)+($F41*Lists!$AN$22)+($G41*Lists!$AN$23)+($H41*Lists!$AN$24),2))</f>
        <v/>
      </c>
      <c r="J41" s="59"/>
      <c r="K41" s="60"/>
      <c r="L41" s="59"/>
    </row>
    <row r="42" spans="1:12" ht="15.75" customHeight="1" x14ac:dyDescent="0.2">
      <c r="A42" s="67" t="str">
        <f t="shared" si="1"/>
        <v/>
      </c>
      <c r="B42" s="54"/>
      <c r="C42" s="67" t="str">
        <f>IF($B42="","",IFERROR(VLOOKUP($B42,'Application Portfolio'!$A$2:$B$1000,2,FALSE()),""))</f>
        <v/>
      </c>
      <c r="D42" s="68"/>
      <c r="E42" s="68"/>
      <c r="F42" s="68"/>
      <c r="G42" s="68"/>
      <c r="H42" s="68"/>
      <c r="I42" s="55" t="str">
        <f>IF(OR($B42="", $D42="", $E42="", $F42="", $G42="", $H42=""),"",ROUND(($D42*Lists!$AN$20)+($E42*Lists!$AN$21)+($F42*Lists!$AN$22)+($G42*Lists!$AN$23)+($H42*Lists!$AN$24),2))</f>
        <v/>
      </c>
      <c r="J42" s="54"/>
      <c r="K42" s="56"/>
      <c r="L42" s="54"/>
    </row>
    <row r="43" spans="1:12" ht="15.75" customHeight="1" x14ac:dyDescent="0.2">
      <c r="A43" s="67" t="str">
        <f t="shared" si="1"/>
        <v/>
      </c>
      <c r="B43" s="59"/>
      <c r="C43" s="67" t="str">
        <f>IF($B43="","",IFERROR(VLOOKUP($B43,'Application Portfolio'!$A$2:$B$1000,2,FALSE()),""))</f>
        <v/>
      </c>
      <c r="D43" s="69"/>
      <c r="E43" s="69"/>
      <c r="F43" s="69"/>
      <c r="G43" s="69"/>
      <c r="H43" s="69"/>
      <c r="I43" s="55" t="str">
        <f>IF(OR($B43="", $D43="", $E43="", $F43="", $G43="", $H43=""),"",ROUND(($D43*Lists!$AN$20)+($E43*Lists!$AN$21)+($F43*Lists!$AN$22)+($G43*Lists!$AN$23)+($H43*Lists!$AN$24),2))</f>
        <v/>
      </c>
      <c r="J43" s="59"/>
      <c r="K43" s="60"/>
      <c r="L43" s="59"/>
    </row>
    <row r="44" spans="1:12" ht="15.75" customHeight="1" x14ac:dyDescent="0.2">
      <c r="A44" s="67" t="str">
        <f t="shared" si="1"/>
        <v/>
      </c>
      <c r="B44" s="54"/>
      <c r="C44" s="67" t="str">
        <f>IF($B44="","",IFERROR(VLOOKUP($B44,'Application Portfolio'!$A$2:$B$1000,2,FALSE()),""))</f>
        <v/>
      </c>
      <c r="D44" s="68"/>
      <c r="E44" s="68"/>
      <c r="F44" s="68"/>
      <c r="G44" s="68"/>
      <c r="H44" s="68"/>
      <c r="I44" s="55" t="str">
        <f>IF(OR($B44="", $D44="", $E44="", $F44="", $G44="", $H44=""),"",ROUND(($D44*Lists!$AN$20)+($E44*Lists!$AN$21)+($F44*Lists!$AN$22)+($G44*Lists!$AN$23)+($H44*Lists!$AN$24),2))</f>
        <v/>
      </c>
      <c r="J44" s="54"/>
      <c r="K44" s="56"/>
      <c r="L44" s="54"/>
    </row>
    <row r="45" spans="1:12" ht="15.75" customHeight="1" x14ac:dyDescent="0.2">
      <c r="A45" s="67" t="str">
        <f t="shared" si="1"/>
        <v/>
      </c>
      <c r="B45" s="59"/>
      <c r="C45" s="67" t="str">
        <f>IF($B45="","",IFERROR(VLOOKUP($B45,'Application Portfolio'!$A$2:$B$1000,2,FALSE()),""))</f>
        <v/>
      </c>
      <c r="D45" s="69"/>
      <c r="E45" s="69"/>
      <c r="F45" s="69"/>
      <c r="G45" s="69"/>
      <c r="H45" s="69"/>
      <c r="I45" s="55" t="str">
        <f>IF(OR($B45="", $D45="", $E45="", $F45="", $G45="", $H45=""),"",ROUND(($D45*Lists!$AN$20)+($E45*Lists!$AN$21)+($F45*Lists!$AN$22)+($G45*Lists!$AN$23)+($H45*Lists!$AN$24),2))</f>
        <v/>
      </c>
      <c r="J45" s="59"/>
      <c r="K45" s="60"/>
      <c r="L45" s="59"/>
    </row>
    <row r="46" spans="1:12" ht="15.75" customHeight="1" x14ac:dyDescent="0.2">
      <c r="A46" s="67" t="str">
        <f t="shared" si="1"/>
        <v/>
      </c>
      <c r="B46" s="54"/>
      <c r="C46" s="67" t="str">
        <f>IF($B46="","",IFERROR(VLOOKUP($B46,'Application Portfolio'!$A$2:$B$1000,2,FALSE()),""))</f>
        <v/>
      </c>
      <c r="D46" s="68"/>
      <c r="E46" s="68"/>
      <c r="F46" s="68"/>
      <c r="G46" s="68"/>
      <c r="H46" s="68"/>
      <c r="I46" s="55" t="str">
        <f>IF(OR($B46="", $D46="", $E46="", $F46="", $G46="", $H46=""),"",ROUND(($D46*Lists!$AN$20)+($E46*Lists!$AN$21)+($F46*Lists!$AN$22)+($G46*Lists!$AN$23)+($H46*Lists!$AN$24),2))</f>
        <v/>
      </c>
      <c r="J46" s="54"/>
      <c r="K46" s="56"/>
      <c r="L46" s="54"/>
    </row>
    <row r="47" spans="1:12" ht="15.75" customHeight="1" x14ac:dyDescent="0.2">
      <c r="A47" s="67" t="str">
        <f t="shared" si="1"/>
        <v/>
      </c>
      <c r="B47" s="59"/>
      <c r="C47" s="67" t="str">
        <f>IF($B47="","",IFERROR(VLOOKUP($B47,'Application Portfolio'!$A$2:$B$1000,2,FALSE()),""))</f>
        <v/>
      </c>
      <c r="D47" s="69"/>
      <c r="E47" s="69"/>
      <c r="F47" s="69"/>
      <c r="G47" s="69"/>
      <c r="H47" s="69"/>
      <c r="I47" s="55" t="str">
        <f>IF(OR($B47="", $D47="", $E47="", $F47="", $G47="", $H47=""),"",ROUND(($D47*Lists!$AN$20)+($E47*Lists!$AN$21)+($F47*Lists!$AN$22)+($G47*Lists!$AN$23)+($H47*Lists!$AN$24),2))</f>
        <v/>
      </c>
      <c r="J47" s="59"/>
      <c r="K47" s="60"/>
      <c r="L47" s="59"/>
    </row>
    <row r="48" spans="1:12" ht="15.75" customHeight="1" x14ac:dyDescent="0.2">
      <c r="A48" s="67" t="str">
        <f t="shared" si="1"/>
        <v/>
      </c>
      <c r="B48" s="54"/>
      <c r="C48" s="67" t="str">
        <f>IF($B48="","",IFERROR(VLOOKUP($B48,'Application Portfolio'!$A$2:$B$1000,2,FALSE()),""))</f>
        <v/>
      </c>
      <c r="D48" s="68"/>
      <c r="E48" s="68"/>
      <c r="F48" s="68"/>
      <c r="G48" s="68"/>
      <c r="H48" s="68"/>
      <c r="I48" s="55" t="str">
        <f>IF(OR($B48="", $D48="", $E48="", $F48="", $G48="", $H48=""),"",ROUND(($D48*Lists!$AN$20)+($E48*Lists!$AN$21)+($F48*Lists!$AN$22)+($G48*Lists!$AN$23)+($H48*Lists!$AN$24),2))</f>
        <v/>
      </c>
      <c r="J48" s="54"/>
      <c r="K48" s="56"/>
      <c r="L48" s="54"/>
    </row>
    <row r="49" spans="1:12" ht="15.75" customHeight="1" x14ac:dyDescent="0.2">
      <c r="A49" s="67" t="str">
        <f t="shared" si="1"/>
        <v/>
      </c>
      <c r="B49" s="59"/>
      <c r="C49" s="67" t="str">
        <f>IF($B49="","",IFERROR(VLOOKUP($B49,'Application Portfolio'!$A$2:$B$1000,2,FALSE()),""))</f>
        <v/>
      </c>
      <c r="D49" s="69"/>
      <c r="E49" s="69"/>
      <c r="F49" s="69"/>
      <c r="G49" s="69"/>
      <c r="H49" s="69"/>
      <c r="I49" s="55" t="str">
        <f>IF(OR($B49="", $D49="", $E49="", $F49="", $G49="", $H49=""),"",ROUND(($D49*Lists!$AN$20)+($E49*Lists!$AN$21)+($F49*Lists!$AN$22)+($G49*Lists!$AN$23)+($H49*Lists!$AN$24),2))</f>
        <v/>
      </c>
      <c r="J49" s="59"/>
      <c r="K49" s="60"/>
      <c r="L49" s="59"/>
    </row>
    <row r="50" spans="1:12" ht="15.75" customHeight="1" x14ac:dyDescent="0.2">
      <c r="A50" s="67" t="str">
        <f t="shared" si="1"/>
        <v/>
      </c>
      <c r="B50" s="54"/>
      <c r="C50" s="67" t="str">
        <f>IF($B50="","",IFERROR(VLOOKUP($B50,'Application Portfolio'!$A$2:$B$1000,2,FALSE()),""))</f>
        <v/>
      </c>
      <c r="D50" s="68"/>
      <c r="E50" s="68"/>
      <c r="F50" s="68"/>
      <c r="G50" s="68"/>
      <c r="H50" s="68"/>
      <c r="I50" s="55" t="str">
        <f>IF(OR($B50="", $D50="", $E50="", $F50="", $G50="", $H50=""),"",ROUND(($D50*Lists!$AN$20)+($E50*Lists!$AN$21)+($F50*Lists!$AN$22)+($G50*Lists!$AN$23)+($H50*Lists!$AN$24),2))</f>
        <v/>
      </c>
      <c r="J50" s="54"/>
      <c r="K50" s="56"/>
      <c r="L50" s="54"/>
    </row>
    <row r="51" spans="1:12" ht="15.75" customHeight="1" x14ac:dyDescent="0.2">
      <c r="A51" s="67" t="str">
        <f t="shared" si="1"/>
        <v/>
      </c>
      <c r="B51" s="59"/>
      <c r="C51" s="67" t="str">
        <f>IF($B51="","",IFERROR(VLOOKUP($B51,'Application Portfolio'!$A$2:$B$1000,2,FALSE()),""))</f>
        <v/>
      </c>
      <c r="D51" s="69"/>
      <c r="E51" s="69"/>
      <c r="F51" s="69"/>
      <c r="G51" s="69"/>
      <c r="H51" s="69"/>
      <c r="I51" s="55" t="str">
        <f>IF(OR($B51="", $D51="", $E51="", $F51="", $G51="", $H51=""),"",ROUND(($D51*Lists!$AN$20)+($E51*Lists!$AN$21)+($F51*Lists!$AN$22)+($G51*Lists!$AN$23)+($H51*Lists!$AN$24),2))</f>
        <v/>
      </c>
      <c r="J51" s="59"/>
      <c r="K51" s="60"/>
      <c r="L51" s="59"/>
    </row>
    <row r="52" spans="1:12" ht="15.75" customHeight="1" x14ac:dyDescent="0.2">
      <c r="A52" s="67" t="str">
        <f t="shared" si="1"/>
        <v/>
      </c>
      <c r="B52" s="54"/>
      <c r="C52" s="67" t="str">
        <f>IF($B52="","",IFERROR(VLOOKUP($B52,'Application Portfolio'!$A$2:$B$1000,2,FALSE()),""))</f>
        <v/>
      </c>
      <c r="D52" s="68"/>
      <c r="E52" s="68"/>
      <c r="F52" s="68"/>
      <c r="G52" s="68"/>
      <c r="H52" s="68"/>
      <c r="I52" s="55" t="str">
        <f>IF(OR($B52="", $D52="", $E52="", $F52="", $G52="", $H52=""),"",ROUND(($D52*Lists!$AN$20)+($E52*Lists!$AN$21)+($F52*Lists!$AN$22)+($G52*Lists!$AN$23)+($H52*Lists!$AN$24),2))</f>
        <v/>
      </c>
      <c r="J52" s="54"/>
      <c r="K52" s="56"/>
      <c r="L52" s="54"/>
    </row>
    <row r="53" spans="1:12" ht="15.75" customHeight="1" x14ac:dyDescent="0.2">
      <c r="A53" s="67" t="str">
        <f t="shared" si="1"/>
        <v/>
      </c>
      <c r="B53" s="59"/>
      <c r="C53" s="67" t="str">
        <f>IF($B53="","",IFERROR(VLOOKUP($B53,'Application Portfolio'!$A$2:$B$1000,2,FALSE()),""))</f>
        <v/>
      </c>
      <c r="D53" s="69"/>
      <c r="E53" s="69"/>
      <c r="F53" s="69"/>
      <c r="G53" s="69"/>
      <c r="H53" s="69"/>
      <c r="I53" s="55" t="str">
        <f>IF(OR($B53="", $D53="", $E53="", $F53="", $G53="", $H53=""),"",ROUND(($D53*Lists!$AN$20)+($E53*Lists!$AN$21)+($F53*Lists!$AN$22)+($G53*Lists!$AN$23)+($H53*Lists!$AN$24),2))</f>
        <v/>
      </c>
      <c r="J53" s="59"/>
      <c r="K53" s="60"/>
      <c r="L53" s="59"/>
    </row>
    <row r="54" spans="1:12" ht="15.75" customHeight="1" x14ac:dyDescent="0.2">
      <c r="A54" s="67" t="str">
        <f t="shared" si="1"/>
        <v/>
      </c>
      <c r="B54" s="54"/>
      <c r="C54" s="67" t="str">
        <f>IF($B54="","",IFERROR(VLOOKUP($B54,'Application Portfolio'!$A$2:$B$1000,2,FALSE()),""))</f>
        <v/>
      </c>
      <c r="D54" s="68"/>
      <c r="E54" s="68"/>
      <c r="F54" s="68"/>
      <c r="G54" s="68"/>
      <c r="H54" s="68"/>
      <c r="I54" s="55" t="str">
        <f>IF(OR($B54="", $D54="", $E54="", $F54="", $G54="", $H54=""),"",ROUND(($D54*Lists!$AN$20)+($E54*Lists!$AN$21)+($F54*Lists!$AN$22)+($G54*Lists!$AN$23)+($H54*Lists!$AN$24),2))</f>
        <v/>
      </c>
      <c r="J54" s="54"/>
      <c r="K54" s="56"/>
      <c r="L54" s="54"/>
    </row>
    <row r="55" spans="1:12" ht="15.75" customHeight="1" x14ac:dyDescent="0.2">
      <c r="A55" s="67" t="str">
        <f t="shared" si="1"/>
        <v/>
      </c>
      <c r="B55" s="59"/>
      <c r="C55" s="67" t="str">
        <f>IF($B55="","",IFERROR(VLOOKUP($B55,'Application Portfolio'!$A$2:$B$1000,2,FALSE()),""))</f>
        <v/>
      </c>
      <c r="D55" s="69"/>
      <c r="E55" s="69"/>
      <c r="F55" s="69"/>
      <c r="G55" s="69"/>
      <c r="H55" s="69"/>
      <c r="I55" s="55" t="str">
        <f>IF(OR($B55="", $D55="", $E55="", $F55="", $G55="", $H55=""),"",ROUND(($D55*Lists!$AN$20)+($E55*Lists!$AN$21)+($F55*Lists!$AN$22)+($G55*Lists!$AN$23)+($H55*Lists!$AN$24),2))</f>
        <v/>
      </c>
      <c r="J55" s="59"/>
      <c r="K55" s="60"/>
      <c r="L55" s="59"/>
    </row>
    <row r="56" spans="1:12" ht="15.75" customHeight="1" x14ac:dyDescent="0.2">
      <c r="A56" s="67" t="str">
        <f t="shared" si="1"/>
        <v/>
      </c>
      <c r="B56" s="54"/>
      <c r="C56" s="67" t="str">
        <f>IF($B56="","",IFERROR(VLOOKUP($B56,'Application Portfolio'!$A$2:$B$1000,2,FALSE()),""))</f>
        <v/>
      </c>
      <c r="D56" s="68"/>
      <c r="E56" s="68"/>
      <c r="F56" s="68"/>
      <c r="G56" s="68"/>
      <c r="H56" s="68"/>
      <c r="I56" s="55" t="str">
        <f>IF(OR($B56="", $D56="", $E56="", $F56="", $G56="", $H56=""),"",ROUND(($D56*Lists!$AN$20)+($E56*Lists!$AN$21)+($F56*Lists!$AN$22)+($G56*Lists!$AN$23)+($H56*Lists!$AN$24),2))</f>
        <v/>
      </c>
      <c r="J56" s="54"/>
      <c r="K56" s="56"/>
      <c r="L56" s="54"/>
    </row>
    <row r="57" spans="1:12" ht="15.75" customHeight="1" x14ac:dyDescent="0.2">
      <c r="A57" s="67" t="str">
        <f t="shared" si="1"/>
        <v/>
      </c>
      <c r="B57" s="59"/>
      <c r="C57" s="67" t="str">
        <f>IF($B57="","",IFERROR(VLOOKUP($B57,'Application Portfolio'!$A$2:$B$1000,2,FALSE()),""))</f>
        <v/>
      </c>
      <c r="D57" s="69"/>
      <c r="E57" s="69"/>
      <c r="F57" s="69"/>
      <c r="G57" s="69"/>
      <c r="H57" s="69"/>
      <c r="I57" s="55" t="str">
        <f>IF(OR($B57="", $D57="", $E57="", $F57="", $G57="", $H57=""),"",ROUND(($D57*Lists!$AN$20)+($E57*Lists!$AN$21)+($F57*Lists!$AN$22)+($G57*Lists!$AN$23)+($H57*Lists!$AN$24),2))</f>
        <v/>
      </c>
      <c r="J57" s="59"/>
      <c r="K57" s="60"/>
      <c r="L57" s="59"/>
    </row>
    <row r="58" spans="1:12" ht="15.75" customHeight="1" x14ac:dyDescent="0.2">
      <c r="A58" s="67" t="str">
        <f t="shared" si="1"/>
        <v/>
      </c>
      <c r="B58" s="54"/>
      <c r="C58" s="67" t="str">
        <f>IF($B58="","",IFERROR(VLOOKUP($B58,'Application Portfolio'!$A$2:$B$1000,2,FALSE()),""))</f>
        <v/>
      </c>
      <c r="D58" s="68"/>
      <c r="E58" s="68"/>
      <c r="F58" s="68"/>
      <c r="G58" s="68"/>
      <c r="H58" s="68"/>
      <c r="I58" s="55" t="str">
        <f>IF(OR($B58="", $D58="", $E58="", $F58="", $G58="", $H58=""),"",ROUND(($D58*Lists!$AN$20)+($E58*Lists!$AN$21)+($F58*Lists!$AN$22)+($G58*Lists!$AN$23)+($H58*Lists!$AN$24),2))</f>
        <v/>
      </c>
      <c r="J58" s="54"/>
      <c r="K58" s="56"/>
      <c r="L58" s="54"/>
    </row>
    <row r="59" spans="1:12" ht="15.75" customHeight="1" x14ac:dyDescent="0.2">
      <c r="A59" s="67" t="str">
        <f t="shared" si="1"/>
        <v/>
      </c>
      <c r="B59" s="59"/>
      <c r="C59" s="67" t="str">
        <f>IF($B59="","",IFERROR(VLOOKUP($B59,'Application Portfolio'!$A$2:$B$1000,2,FALSE()),""))</f>
        <v/>
      </c>
      <c r="D59" s="69"/>
      <c r="E59" s="69"/>
      <c r="F59" s="69"/>
      <c r="G59" s="69"/>
      <c r="H59" s="69"/>
      <c r="I59" s="55" t="str">
        <f>IF(OR($B59="", $D59="", $E59="", $F59="", $G59="", $H59=""),"",ROUND(($D59*Lists!$AN$20)+($E59*Lists!$AN$21)+($F59*Lists!$AN$22)+($G59*Lists!$AN$23)+($H59*Lists!$AN$24),2))</f>
        <v/>
      </c>
      <c r="J59" s="59"/>
      <c r="K59" s="60"/>
      <c r="L59" s="59"/>
    </row>
    <row r="60" spans="1:12" ht="15.75" customHeight="1" x14ac:dyDescent="0.2">
      <c r="A60" s="63" t="str">
        <f t="shared" si="1"/>
        <v/>
      </c>
      <c r="B60" s="63"/>
      <c r="C60" s="62" t="str">
        <f>IF($B60="","",IFERROR(VLOOKUP($B60,'Application Portfolio'!$A$2:$B$1000,2,FALSE()),""))</f>
        <v/>
      </c>
      <c r="D60" s="66"/>
      <c r="E60" s="66"/>
      <c r="F60" s="66"/>
      <c r="G60" s="66"/>
      <c r="H60" s="66"/>
      <c r="I60" s="64" t="str">
        <f>IF(OR($B60="", $D60="", $E60="", $F60="", $G60="", $H60=""),"",ROUND(($D60*Lists!$AN$20)+($E60*Lists!$AN$21)+($F60*Lists!$AN$22)+($G60*Lists!$AN$23)+($H60*Lists!$AN$24),2))</f>
        <v/>
      </c>
      <c r="J60" s="62"/>
      <c r="K60" s="65"/>
      <c r="L60" s="62"/>
    </row>
    <row r="61" spans="1:12" ht="15.75" customHeight="1" x14ac:dyDescent="0.2">
      <c r="A61" s="63" t="str">
        <f t="shared" si="1"/>
        <v/>
      </c>
      <c r="B61" s="63"/>
      <c r="C61" s="62" t="str">
        <f>IF($B61="","",IFERROR(VLOOKUP($B61,'Application Portfolio'!$A$2:$B$1000,2,FALSE()),""))</f>
        <v/>
      </c>
      <c r="D61" s="66"/>
      <c r="E61" s="66"/>
      <c r="F61" s="66"/>
      <c r="G61" s="66"/>
      <c r="H61" s="66"/>
      <c r="I61" s="64" t="str">
        <f>IF(OR($B61="", $D61="", $E61="", $F61="", $G61="", $H61=""),"",ROUND(($D61*Lists!$AN$20)+($E61*Lists!$AN$21)+($F61*Lists!$AN$22)+($G61*Lists!$AN$23)+($H61*Lists!$AN$24),2))</f>
        <v/>
      </c>
      <c r="J61" s="62"/>
      <c r="K61" s="65"/>
      <c r="L61" s="62"/>
    </row>
    <row r="62" spans="1:12" ht="15.75" customHeight="1" x14ac:dyDescent="0.2">
      <c r="A62" s="63" t="str">
        <f t="shared" si="1"/>
        <v/>
      </c>
      <c r="B62" s="63"/>
      <c r="C62" s="62" t="str">
        <f>IF($B62="","",IFERROR(VLOOKUP($B62,'Application Portfolio'!$A$2:$B$1000,2,FALSE()),""))</f>
        <v/>
      </c>
      <c r="D62" s="66"/>
      <c r="E62" s="66"/>
      <c r="F62" s="66"/>
      <c r="G62" s="66"/>
      <c r="H62" s="66"/>
      <c r="I62" s="64" t="str">
        <f>IF(OR($B62="", $D62="", $E62="", $F62="", $G62="", $H62=""),"",ROUND(($D62*Lists!$AN$20)+($E62*Lists!$AN$21)+($F62*Lists!$AN$22)+($G62*Lists!$AN$23)+($H62*Lists!$AN$24),2))</f>
        <v/>
      </c>
      <c r="J62" s="62"/>
      <c r="K62" s="65"/>
      <c r="L62" s="62"/>
    </row>
    <row r="63" spans="1:12" ht="15.75" customHeight="1" x14ac:dyDescent="0.2">
      <c r="A63" s="63" t="str">
        <f t="shared" si="1"/>
        <v/>
      </c>
      <c r="B63" s="63"/>
      <c r="C63" s="62" t="str">
        <f>IF($B63="","",IFERROR(VLOOKUP($B63,'Application Portfolio'!$A$2:$B$1000,2,FALSE()),""))</f>
        <v/>
      </c>
      <c r="D63" s="66"/>
      <c r="E63" s="66"/>
      <c r="F63" s="66"/>
      <c r="G63" s="66"/>
      <c r="H63" s="66"/>
      <c r="I63" s="64" t="str">
        <f>IF(OR($B63="", $D63="", $E63="", $F63="", $G63="", $H63=""),"",ROUND(($D63*Lists!$AN$20)+($E63*Lists!$AN$21)+($F63*Lists!$AN$22)+($G63*Lists!$AN$23)+($H63*Lists!$AN$24),2))</f>
        <v/>
      </c>
      <c r="J63" s="62"/>
      <c r="K63" s="65"/>
      <c r="L63" s="62"/>
    </row>
    <row r="64" spans="1:12" ht="15.75" customHeight="1" x14ac:dyDescent="0.2">
      <c r="A64" s="63" t="str">
        <f t="shared" si="1"/>
        <v/>
      </c>
      <c r="B64" s="63"/>
      <c r="C64" s="62" t="str">
        <f>IF($B64="","",IFERROR(VLOOKUP($B64,'Application Portfolio'!$A$2:$B$1000,2,FALSE()),""))</f>
        <v/>
      </c>
      <c r="D64" s="66"/>
      <c r="E64" s="66"/>
      <c r="F64" s="66"/>
      <c r="G64" s="66"/>
      <c r="H64" s="66"/>
      <c r="I64" s="64" t="str">
        <f>IF(OR($B64="", $D64="", $E64="", $F64="", $G64="", $H64=""),"",ROUND(($D64*Lists!$AN$20)+($E64*Lists!$AN$21)+($F64*Lists!$AN$22)+($G64*Lists!$AN$23)+($H64*Lists!$AN$24),2))</f>
        <v/>
      </c>
      <c r="J64" s="62"/>
      <c r="K64" s="65"/>
      <c r="L64" s="62"/>
    </row>
    <row r="65" spans="1:12" ht="15.75" customHeight="1" x14ac:dyDescent="0.2">
      <c r="A65" s="63" t="str">
        <f t="shared" si="1"/>
        <v/>
      </c>
      <c r="B65" s="63"/>
      <c r="C65" s="62" t="str">
        <f>IF($B65="","",IFERROR(VLOOKUP($B65,'Application Portfolio'!$A$2:$B$1000,2,FALSE()),""))</f>
        <v/>
      </c>
      <c r="D65" s="66"/>
      <c r="E65" s="66"/>
      <c r="F65" s="66"/>
      <c r="G65" s="66"/>
      <c r="H65" s="66"/>
      <c r="I65" s="64" t="str">
        <f>IF(OR($B65="", $D65="", $E65="", $F65="", $G65="", $H65=""),"",ROUND(($D65*Lists!$AN$20)+($E65*Lists!$AN$21)+($F65*Lists!$AN$22)+($G65*Lists!$AN$23)+($H65*Lists!$AN$24),2))</f>
        <v/>
      </c>
      <c r="J65" s="62"/>
      <c r="K65" s="65"/>
      <c r="L65" s="62"/>
    </row>
    <row r="66" spans="1:12" ht="15.75" customHeight="1" x14ac:dyDescent="0.2">
      <c r="A66" s="63" t="str">
        <f t="shared" si="1"/>
        <v/>
      </c>
      <c r="B66" s="63"/>
      <c r="C66" s="62" t="str">
        <f>IF($B66="","",IFERROR(VLOOKUP($B66,'Application Portfolio'!$A$2:$B$1000,2,FALSE()),""))</f>
        <v/>
      </c>
      <c r="D66" s="66"/>
      <c r="E66" s="66"/>
      <c r="F66" s="66"/>
      <c r="G66" s="66"/>
      <c r="H66" s="66"/>
      <c r="I66" s="64" t="str">
        <f>IF(OR($B66="", $D66="", $E66="", $F66="", $G66="", $H66=""),"",ROUND(($D66*Lists!$AN$20)+($E66*Lists!$AN$21)+($F66*Lists!$AN$22)+($G66*Lists!$AN$23)+($H66*Lists!$AN$24),2))</f>
        <v/>
      </c>
      <c r="J66" s="62"/>
      <c r="K66" s="65"/>
      <c r="L66" s="62"/>
    </row>
    <row r="67" spans="1:12" ht="15.75" customHeight="1" x14ac:dyDescent="0.2">
      <c r="A67" s="63" t="str">
        <f t="shared" si="1"/>
        <v/>
      </c>
      <c r="B67" s="63"/>
      <c r="C67" s="62" t="str">
        <f>IF($B67="","",IFERROR(VLOOKUP($B67,'Application Portfolio'!$A$2:$B$1000,2,FALSE()),""))</f>
        <v/>
      </c>
      <c r="D67" s="66"/>
      <c r="E67" s="66"/>
      <c r="F67" s="66"/>
      <c r="G67" s="66"/>
      <c r="H67" s="66"/>
      <c r="I67" s="64" t="str">
        <f>IF(OR($B67="", $D67="", $E67="", $F67="", $G67="", $H67=""),"",ROUND(($D67*Lists!$AN$20)+($E67*Lists!$AN$21)+($F67*Lists!$AN$22)+($G67*Lists!$AN$23)+($H67*Lists!$AN$24),2))</f>
        <v/>
      </c>
      <c r="J67" s="62"/>
      <c r="K67" s="65"/>
      <c r="L67" s="62"/>
    </row>
    <row r="68" spans="1:12" ht="15.75" customHeight="1" x14ac:dyDescent="0.2">
      <c r="A68" s="63" t="str">
        <f t="shared" si="1"/>
        <v/>
      </c>
      <c r="B68" s="63"/>
      <c r="C68" s="62" t="str">
        <f>IF($B68="","",IFERROR(VLOOKUP($B68,'Application Portfolio'!$A$2:$B$1000,2,FALSE()),""))</f>
        <v/>
      </c>
      <c r="D68" s="66"/>
      <c r="E68" s="66"/>
      <c r="F68" s="66"/>
      <c r="G68" s="66"/>
      <c r="H68" s="66"/>
      <c r="I68" s="64" t="str">
        <f>IF(OR($B68="", $D68="", $E68="", $F68="", $G68="", $H68=""),"",ROUND(($D68*Lists!$AN$20)+($E68*Lists!$AN$21)+($F68*Lists!$AN$22)+($G68*Lists!$AN$23)+($H68*Lists!$AN$24),2))</f>
        <v/>
      </c>
      <c r="J68" s="62"/>
      <c r="K68" s="65"/>
      <c r="L68" s="62"/>
    </row>
    <row r="69" spans="1:12" ht="15.75" customHeight="1" x14ac:dyDescent="0.2">
      <c r="A69" s="63" t="str">
        <f t="shared" si="1"/>
        <v/>
      </c>
      <c r="B69" s="63"/>
      <c r="C69" s="62" t="str">
        <f>IF($B69="","",IFERROR(VLOOKUP($B69,'Application Portfolio'!$A$2:$B$1000,2,FALSE()),""))</f>
        <v/>
      </c>
      <c r="D69" s="66"/>
      <c r="E69" s="66"/>
      <c r="F69" s="66"/>
      <c r="G69" s="66"/>
      <c r="H69" s="66"/>
      <c r="I69" s="64" t="str">
        <f>IF(OR($B69="", $D69="", $E69="", $F69="", $G69="", $H69=""),"",ROUND(($D69*Lists!$AN$20)+($E69*Lists!$AN$21)+($F69*Lists!$AN$22)+($G69*Lists!$AN$23)+($H69*Lists!$AN$24),2))</f>
        <v/>
      </c>
      <c r="J69" s="62"/>
      <c r="K69" s="65"/>
      <c r="L69" s="62"/>
    </row>
    <row r="70" spans="1:12" ht="15.75" customHeight="1" x14ac:dyDescent="0.2">
      <c r="A70" s="63" t="str">
        <f t="shared" si="1"/>
        <v/>
      </c>
      <c r="B70" s="63"/>
      <c r="C70" s="62" t="str">
        <f>IF($B70="","",IFERROR(VLOOKUP($B70,'Application Portfolio'!$A$2:$B$1000,2,FALSE()),""))</f>
        <v/>
      </c>
      <c r="D70" s="66"/>
      <c r="E70" s="66"/>
      <c r="F70" s="66"/>
      <c r="G70" s="66"/>
      <c r="H70" s="66"/>
      <c r="I70" s="64" t="str">
        <f>IF(OR($B70="", $D70="", $E70="", $F70="", $G70="", $H70=""),"",ROUND(($D70*Lists!$AN$20)+($E70*Lists!$AN$21)+($F70*Lists!$AN$22)+($G70*Lists!$AN$23)+($H70*Lists!$AN$24),2))</f>
        <v/>
      </c>
      <c r="J70" s="62"/>
      <c r="K70" s="65"/>
      <c r="L70" s="62"/>
    </row>
    <row r="71" spans="1:12" ht="15.75" customHeight="1" x14ac:dyDescent="0.2">
      <c r="A71" s="63" t="str">
        <f t="shared" si="1"/>
        <v/>
      </c>
      <c r="B71" s="63"/>
      <c r="C71" s="62" t="str">
        <f>IF($B71="","",IFERROR(VLOOKUP($B71,'Application Portfolio'!$A$2:$B$1000,2,FALSE()),""))</f>
        <v/>
      </c>
      <c r="D71" s="66"/>
      <c r="E71" s="66"/>
      <c r="F71" s="66"/>
      <c r="G71" s="66"/>
      <c r="H71" s="66"/>
      <c r="I71" s="64" t="str">
        <f>IF(OR($B71="", $D71="", $E71="", $F71="", $G71="", $H71=""),"",ROUND(($D71*Lists!$AN$20)+($E71*Lists!$AN$21)+($F71*Lists!$AN$22)+($G71*Lists!$AN$23)+($H71*Lists!$AN$24),2))</f>
        <v/>
      </c>
      <c r="J71" s="62"/>
      <c r="K71" s="65"/>
      <c r="L71" s="62"/>
    </row>
    <row r="72" spans="1:12" ht="15.75" customHeight="1" x14ac:dyDescent="0.2">
      <c r="A72" s="63" t="str">
        <f t="shared" si="1"/>
        <v/>
      </c>
      <c r="B72" s="63"/>
      <c r="C72" s="62" t="str">
        <f>IF($B72="","",IFERROR(VLOOKUP($B72,'Application Portfolio'!$A$2:$B$1000,2,FALSE()),""))</f>
        <v/>
      </c>
      <c r="D72" s="66"/>
      <c r="E72" s="66"/>
      <c r="F72" s="66"/>
      <c r="G72" s="66"/>
      <c r="H72" s="66"/>
      <c r="I72" s="64" t="str">
        <f>IF(OR($B72="", $D72="", $E72="", $F72="", $G72="", $H72=""),"",ROUND(($D72*Lists!$AN$20)+($E72*Lists!$AN$21)+($F72*Lists!$AN$22)+($G72*Lists!$AN$23)+($H72*Lists!$AN$24),2))</f>
        <v/>
      </c>
      <c r="J72" s="62"/>
      <c r="K72" s="65"/>
      <c r="L72" s="62"/>
    </row>
    <row r="73" spans="1:12" ht="15.75" customHeight="1" x14ac:dyDescent="0.2">
      <c r="A73" s="63" t="str">
        <f t="shared" si="1"/>
        <v/>
      </c>
      <c r="B73" s="63"/>
      <c r="C73" s="62" t="str">
        <f>IF($B73="","",IFERROR(VLOOKUP($B73,'Application Portfolio'!$A$2:$B$1000,2,FALSE()),""))</f>
        <v/>
      </c>
      <c r="D73" s="66"/>
      <c r="E73" s="66"/>
      <c r="F73" s="66"/>
      <c r="G73" s="66"/>
      <c r="H73" s="66"/>
      <c r="I73" s="64" t="str">
        <f>IF(OR($B73="", $D73="", $E73="", $F73="", $G73="", $H73=""),"",ROUND(($D73*Lists!$AN$20)+($E73*Lists!$AN$21)+($F73*Lists!$AN$22)+($G73*Lists!$AN$23)+($H73*Lists!$AN$24),2))</f>
        <v/>
      </c>
      <c r="J73" s="62"/>
      <c r="K73" s="65"/>
      <c r="L73" s="62"/>
    </row>
    <row r="74" spans="1:12" ht="15.75" customHeight="1" x14ac:dyDescent="0.2">
      <c r="A74" s="63" t="str">
        <f t="shared" si="1"/>
        <v/>
      </c>
      <c r="B74" s="63"/>
      <c r="C74" s="62" t="str">
        <f>IF($B74="","",IFERROR(VLOOKUP($B74,'Application Portfolio'!$A$2:$B$1000,2,FALSE()),""))</f>
        <v/>
      </c>
      <c r="D74" s="66"/>
      <c r="E74" s="66"/>
      <c r="F74" s="66"/>
      <c r="G74" s="66"/>
      <c r="H74" s="66"/>
      <c r="I74" s="64" t="str">
        <f>IF(OR($B74="", $D74="", $E74="", $F74="", $G74="", $H74=""),"",ROUND(($D74*Lists!$AN$20)+($E74*Lists!$AN$21)+($F74*Lists!$AN$22)+($G74*Lists!$AN$23)+($H74*Lists!$AN$24),2))</f>
        <v/>
      </c>
      <c r="J74" s="62"/>
      <c r="K74" s="65"/>
      <c r="L74" s="62"/>
    </row>
    <row r="75" spans="1:12" ht="15.75" customHeight="1" x14ac:dyDescent="0.2">
      <c r="A75" s="63" t="str">
        <f t="shared" si="1"/>
        <v/>
      </c>
      <c r="B75" s="63"/>
      <c r="C75" s="62" t="str">
        <f>IF($B75="","",IFERROR(VLOOKUP($B75,'Application Portfolio'!$A$2:$B$1000,2,FALSE()),""))</f>
        <v/>
      </c>
      <c r="D75" s="66"/>
      <c r="E75" s="66"/>
      <c r="F75" s="66"/>
      <c r="G75" s="66"/>
      <c r="H75" s="66"/>
      <c r="I75" s="64" t="str">
        <f>IF(OR($B75="", $D75="", $E75="", $F75="", $G75="", $H75=""),"",ROUND(($D75*Lists!$AN$20)+($E75*Lists!$AN$21)+($F75*Lists!$AN$22)+($G75*Lists!$AN$23)+($H75*Lists!$AN$24),2))</f>
        <v/>
      </c>
      <c r="J75" s="62"/>
      <c r="K75" s="65"/>
      <c r="L75" s="62"/>
    </row>
    <row r="76" spans="1:12" ht="15.75" customHeight="1" x14ac:dyDescent="0.2">
      <c r="A76" s="63" t="str">
        <f t="shared" si="1"/>
        <v/>
      </c>
      <c r="B76" s="63"/>
      <c r="C76" s="62" t="str">
        <f>IF($B76="","",IFERROR(VLOOKUP($B76,'Application Portfolio'!$A$2:$B$1000,2,FALSE()),""))</f>
        <v/>
      </c>
      <c r="D76" s="66"/>
      <c r="E76" s="66"/>
      <c r="F76" s="66"/>
      <c r="G76" s="66"/>
      <c r="H76" s="66"/>
      <c r="I76" s="64" t="str">
        <f>IF(OR($B76="", $D76="", $E76="", $F76="", $G76="", $H76=""),"",ROUND(($D76*Lists!$AN$20)+($E76*Lists!$AN$21)+($F76*Lists!$AN$22)+($G76*Lists!$AN$23)+($H76*Lists!$AN$24),2))</f>
        <v/>
      </c>
      <c r="J76" s="62"/>
      <c r="K76" s="65"/>
      <c r="L76" s="62"/>
    </row>
    <row r="77" spans="1:12" ht="15.75" customHeight="1" x14ac:dyDescent="0.2">
      <c r="A77" s="63" t="str">
        <f t="shared" si="1"/>
        <v/>
      </c>
      <c r="B77" s="63"/>
      <c r="C77" s="62" t="str">
        <f>IF($B77="","",IFERROR(VLOOKUP($B77,'Application Portfolio'!$A$2:$B$1000,2,FALSE()),""))</f>
        <v/>
      </c>
      <c r="D77" s="66"/>
      <c r="E77" s="66"/>
      <c r="F77" s="66"/>
      <c r="G77" s="66"/>
      <c r="H77" s="66"/>
      <c r="I77" s="64" t="str">
        <f>IF(OR($B77="", $D77="", $E77="", $F77="", $G77="", $H77=""),"",ROUND(($D77*Lists!$AN$20)+($E77*Lists!$AN$21)+($F77*Lists!$AN$22)+($G77*Lists!$AN$23)+($H77*Lists!$AN$24),2))</f>
        <v/>
      </c>
      <c r="J77" s="62"/>
      <c r="K77" s="65"/>
      <c r="L77" s="62"/>
    </row>
    <row r="78" spans="1:12" ht="15.75" customHeight="1" x14ac:dyDescent="0.2">
      <c r="A78" s="63" t="str">
        <f t="shared" si="1"/>
        <v/>
      </c>
      <c r="B78" s="63"/>
      <c r="C78" s="62" t="str">
        <f>IF($B78="","",IFERROR(VLOOKUP($B78,'Application Portfolio'!$A$2:$B$1000,2,FALSE()),""))</f>
        <v/>
      </c>
      <c r="D78" s="66"/>
      <c r="E78" s="66"/>
      <c r="F78" s="66"/>
      <c r="G78" s="66"/>
      <c r="H78" s="66"/>
      <c r="I78" s="64" t="str">
        <f>IF(OR($B78="", $D78="", $E78="", $F78="", $G78="", $H78=""),"",ROUND(($D78*Lists!$AN$20)+($E78*Lists!$AN$21)+($F78*Lists!$AN$22)+($G78*Lists!$AN$23)+($H78*Lists!$AN$24),2))</f>
        <v/>
      </c>
      <c r="J78" s="62"/>
      <c r="K78" s="65"/>
      <c r="L78" s="62"/>
    </row>
    <row r="79" spans="1:12" ht="15.75" customHeight="1" x14ac:dyDescent="0.2">
      <c r="A79" s="63" t="str">
        <f t="shared" si="1"/>
        <v/>
      </c>
      <c r="B79" s="63"/>
      <c r="C79" s="62" t="str">
        <f>IF($B79="","",IFERROR(VLOOKUP($B79,'Application Portfolio'!$A$2:$B$1000,2,FALSE()),""))</f>
        <v/>
      </c>
      <c r="D79" s="66"/>
      <c r="E79" s="66"/>
      <c r="F79" s="66"/>
      <c r="G79" s="66"/>
      <c r="H79" s="66"/>
      <c r="I79" s="64" t="str">
        <f>IF(OR($B79="", $D79="", $E79="", $F79="", $G79="", $H79=""),"",ROUND(($D79*Lists!$AN$20)+($E79*Lists!$AN$21)+($F79*Lists!$AN$22)+($G79*Lists!$AN$23)+($H79*Lists!$AN$24),2))</f>
        <v/>
      </c>
      <c r="J79" s="62"/>
      <c r="K79" s="65"/>
      <c r="L79" s="62"/>
    </row>
    <row r="80" spans="1:12" ht="15.75" customHeight="1" x14ac:dyDescent="0.2">
      <c r="A80" s="63" t="str">
        <f t="shared" si="1"/>
        <v/>
      </c>
      <c r="B80" s="63"/>
      <c r="C80" s="62" t="str">
        <f>IF($B80="","",IFERROR(VLOOKUP($B80,'Application Portfolio'!$A$2:$B$1000,2,FALSE()),""))</f>
        <v/>
      </c>
      <c r="D80" s="66"/>
      <c r="E80" s="66"/>
      <c r="F80" s="66"/>
      <c r="G80" s="66"/>
      <c r="H80" s="66"/>
      <c r="I80" s="64" t="str">
        <f>IF(OR($B80="", $D80="", $E80="", $F80="", $G80="", $H80=""),"",ROUND(($D80*Lists!$AN$20)+($E80*Lists!$AN$21)+($F80*Lists!$AN$22)+($G80*Lists!$AN$23)+($H80*Lists!$AN$24),2))</f>
        <v/>
      </c>
      <c r="J80" s="62"/>
      <c r="K80" s="65"/>
      <c r="L80" s="62"/>
    </row>
    <row r="81" spans="1:12" ht="15.75" customHeight="1" x14ac:dyDescent="0.2">
      <c r="A81" s="63" t="str">
        <f t="shared" si="1"/>
        <v/>
      </c>
      <c r="B81" s="63"/>
      <c r="C81" s="62" t="str">
        <f>IF($B81="","",IFERROR(VLOOKUP($B81,'Application Portfolio'!$A$2:$B$1000,2,FALSE()),""))</f>
        <v/>
      </c>
      <c r="D81" s="66"/>
      <c r="E81" s="66"/>
      <c r="F81" s="66"/>
      <c r="G81" s="66"/>
      <c r="H81" s="66"/>
      <c r="I81" s="64" t="str">
        <f>IF(OR($B81="", $D81="", $E81="", $F81="", $G81="", $H81=""),"",ROUND(($D81*Lists!$AN$20)+($E81*Lists!$AN$21)+($F81*Lists!$AN$22)+($G81*Lists!$AN$23)+($H81*Lists!$AN$24),2))</f>
        <v/>
      </c>
      <c r="J81" s="62"/>
      <c r="K81" s="65"/>
      <c r="L81" s="62"/>
    </row>
    <row r="82" spans="1:12" ht="15.75" customHeight="1" x14ac:dyDescent="0.2">
      <c r="A82" s="63" t="str">
        <f t="shared" si="1"/>
        <v/>
      </c>
      <c r="B82" s="63"/>
      <c r="C82" s="62" t="str">
        <f>IF($B82="","",IFERROR(VLOOKUP($B82,'Application Portfolio'!$A$2:$B$1000,2,FALSE()),""))</f>
        <v/>
      </c>
      <c r="D82" s="66"/>
      <c r="E82" s="66"/>
      <c r="F82" s="66"/>
      <c r="G82" s="66"/>
      <c r="H82" s="66"/>
      <c r="I82" s="64" t="str">
        <f>IF(OR($B82="", $D82="", $E82="", $F82="", $G82="", $H82=""),"",ROUND(($D82*Lists!$AN$20)+($E82*Lists!$AN$21)+($F82*Lists!$AN$22)+($G82*Lists!$AN$23)+($H82*Lists!$AN$24),2))</f>
        <v/>
      </c>
      <c r="J82" s="62"/>
      <c r="K82" s="65"/>
      <c r="L82" s="62"/>
    </row>
    <row r="83" spans="1:12" ht="15.75" customHeight="1" x14ac:dyDescent="0.2">
      <c r="A83" s="63" t="str">
        <f t="shared" si="1"/>
        <v/>
      </c>
      <c r="B83" s="63"/>
      <c r="C83" s="62" t="str">
        <f>IF($B83="","",IFERROR(VLOOKUP($B83,'Application Portfolio'!$A$2:$B$1000,2,FALSE()),""))</f>
        <v/>
      </c>
      <c r="D83" s="66"/>
      <c r="E83" s="66"/>
      <c r="F83" s="66"/>
      <c r="G83" s="66"/>
      <c r="H83" s="66"/>
      <c r="I83" s="64" t="str">
        <f>IF(OR($B83="", $D83="", $E83="", $F83="", $G83="", $H83=""),"",ROUND(($D83*Lists!$AN$20)+($E83*Lists!$AN$21)+($F83*Lists!$AN$22)+($G83*Lists!$AN$23)+($H83*Lists!$AN$24),2))</f>
        <v/>
      </c>
      <c r="J83" s="62"/>
      <c r="K83" s="65"/>
      <c r="L83" s="62"/>
    </row>
    <row r="84" spans="1:12" ht="15.75" customHeight="1" x14ac:dyDescent="0.2">
      <c r="A84" s="63" t="str">
        <f t="shared" si="1"/>
        <v/>
      </c>
      <c r="B84" s="63"/>
      <c r="C84" s="62" t="str">
        <f>IF($B84="","",IFERROR(VLOOKUP($B84,'Application Portfolio'!$A$2:$B$1000,2,FALSE()),""))</f>
        <v/>
      </c>
      <c r="D84" s="66"/>
      <c r="E84" s="66"/>
      <c r="F84" s="66"/>
      <c r="G84" s="66"/>
      <c r="H84" s="66"/>
      <c r="I84" s="64" t="str">
        <f>IF(OR($B84="", $D84="", $E84="", $F84="", $G84="", $H84=""),"",ROUND(($D84*Lists!$AN$20)+($E84*Lists!$AN$21)+($F84*Lists!$AN$22)+($G84*Lists!$AN$23)+($H84*Lists!$AN$24),2))</f>
        <v/>
      </c>
      <c r="J84" s="62"/>
      <c r="K84" s="65"/>
      <c r="L84" s="62"/>
    </row>
    <row r="85" spans="1:12" ht="15.75" customHeight="1" x14ac:dyDescent="0.2">
      <c r="A85" s="63" t="str">
        <f t="shared" si="1"/>
        <v/>
      </c>
      <c r="B85" s="63"/>
      <c r="C85" s="62" t="str">
        <f>IF($B85="","",IFERROR(VLOOKUP($B85,'Application Portfolio'!$A$2:$B$1000,2,FALSE()),""))</f>
        <v/>
      </c>
      <c r="D85" s="66"/>
      <c r="E85" s="66"/>
      <c r="F85" s="66"/>
      <c r="G85" s="66"/>
      <c r="H85" s="66"/>
      <c r="I85" s="64" t="str">
        <f>IF(OR($B85="", $D85="", $E85="", $F85="", $G85="", $H85=""),"",ROUND(($D85*Lists!$AN$20)+($E85*Lists!$AN$21)+($F85*Lists!$AN$22)+($G85*Lists!$AN$23)+($H85*Lists!$AN$24),2))</f>
        <v/>
      </c>
      <c r="J85" s="62"/>
      <c r="K85" s="65"/>
      <c r="L85" s="62"/>
    </row>
    <row r="86" spans="1:12" ht="15.75" customHeight="1" x14ac:dyDescent="0.2">
      <c r="A86" s="63" t="str">
        <f t="shared" si="1"/>
        <v/>
      </c>
      <c r="B86" s="63"/>
      <c r="C86" s="62" t="str">
        <f>IF($B86="","",IFERROR(VLOOKUP($B86,'Application Portfolio'!$A$2:$B$1000,2,FALSE()),""))</f>
        <v/>
      </c>
      <c r="D86" s="66"/>
      <c r="E86" s="66"/>
      <c r="F86" s="66"/>
      <c r="G86" s="66"/>
      <c r="H86" s="66"/>
      <c r="I86" s="64" t="str">
        <f>IF(OR($B86="", $D86="", $E86="", $F86="", $G86="", $H86=""),"",ROUND(($D86*Lists!$AN$20)+($E86*Lists!$AN$21)+($F86*Lists!$AN$22)+($G86*Lists!$AN$23)+($H86*Lists!$AN$24),2))</f>
        <v/>
      </c>
      <c r="J86" s="62"/>
      <c r="K86" s="65"/>
      <c r="L86" s="62"/>
    </row>
    <row r="87" spans="1:12" ht="15.75" customHeight="1" x14ac:dyDescent="0.2">
      <c r="A87" s="63" t="str">
        <f t="shared" si="1"/>
        <v/>
      </c>
      <c r="B87" s="63"/>
      <c r="C87" s="62" t="str">
        <f>IF($B87="","",IFERROR(VLOOKUP($B87,'Application Portfolio'!$A$2:$B$1000,2,FALSE()),""))</f>
        <v/>
      </c>
      <c r="D87" s="66"/>
      <c r="E87" s="66"/>
      <c r="F87" s="66"/>
      <c r="G87" s="66"/>
      <c r="H87" s="66"/>
      <c r="I87" s="64" t="str">
        <f>IF(OR($B87="", $D87="", $E87="", $F87="", $G87="", $H87=""),"",ROUND(($D87*Lists!$AN$20)+($E87*Lists!$AN$21)+($F87*Lists!$AN$22)+($G87*Lists!$AN$23)+($H87*Lists!$AN$24),2))</f>
        <v/>
      </c>
      <c r="J87" s="62"/>
      <c r="K87" s="65"/>
      <c r="L87" s="62"/>
    </row>
    <row r="88" spans="1:12" ht="15.75" customHeight="1" x14ac:dyDescent="0.2">
      <c r="A88" s="63" t="str">
        <f t="shared" si="1"/>
        <v/>
      </c>
      <c r="B88" s="63"/>
      <c r="C88" s="62" t="str">
        <f>IF($B88="","",IFERROR(VLOOKUP($B88,'Application Portfolio'!$A$2:$B$1000,2,FALSE()),""))</f>
        <v/>
      </c>
      <c r="D88" s="66"/>
      <c r="E88" s="66"/>
      <c r="F88" s="66"/>
      <c r="G88" s="66"/>
      <c r="H88" s="66"/>
      <c r="I88" s="64" t="str">
        <f>IF(OR($B88="", $D88="", $E88="", $F88="", $G88="", $H88=""),"",ROUND(($D88*Lists!$AN$20)+($E88*Lists!$AN$21)+($F88*Lists!$AN$22)+($G88*Lists!$AN$23)+($H88*Lists!$AN$24),2))</f>
        <v/>
      </c>
      <c r="J88" s="62"/>
      <c r="K88" s="65"/>
      <c r="L88" s="62"/>
    </row>
    <row r="89" spans="1:12" ht="15.75" customHeight="1" x14ac:dyDescent="0.2">
      <c r="A89" s="63" t="str">
        <f t="shared" si="1"/>
        <v/>
      </c>
      <c r="B89" s="63"/>
      <c r="C89" s="62" t="str">
        <f>IF($B89="","",IFERROR(VLOOKUP($B89,'Application Portfolio'!$A$2:$B$1000,2,FALSE()),""))</f>
        <v/>
      </c>
      <c r="D89" s="66"/>
      <c r="E89" s="66"/>
      <c r="F89" s="66"/>
      <c r="G89" s="66"/>
      <c r="H89" s="66"/>
      <c r="I89" s="64" t="str">
        <f>IF(OR($B89="", $D89="", $E89="", $F89="", $G89="", $H89=""),"",ROUND(($D89*Lists!$AN$20)+($E89*Lists!$AN$21)+($F89*Lists!$AN$22)+($G89*Lists!$AN$23)+($H89*Lists!$AN$24),2))</f>
        <v/>
      </c>
      <c r="J89" s="62"/>
      <c r="K89" s="65"/>
      <c r="L89" s="62"/>
    </row>
    <row r="90" spans="1:12" ht="15.75" customHeight="1" x14ac:dyDescent="0.2">
      <c r="A90" s="63" t="str">
        <f t="shared" si="1"/>
        <v/>
      </c>
      <c r="B90" s="63"/>
      <c r="C90" s="62" t="str">
        <f>IF($B90="","",IFERROR(VLOOKUP($B90,'Application Portfolio'!$A$2:$B$1000,2,FALSE()),""))</f>
        <v/>
      </c>
      <c r="D90" s="66"/>
      <c r="E90" s="66"/>
      <c r="F90" s="66"/>
      <c r="G90" s="66"/>
      <c r="H90" s="66"/>
      <c r="I90" s="64" t="str">
        <f>IF(OR($B90="", $D90="", $E90="", $F90="", $G90="", $H90=""),"",ROUND(($D90*Lists!$AN$20)+($E90*Lists!$AN$21)+($F90*Lists!$AN$22)+($G90*Lists!$AN$23)+($H90*Lists!$AN$24),2))</f>
        <v/>
      </c>
      <c r="J90" s="62"/>
      <c r="K90" s="65"/>
      <c r="L90" s="62"/>
    </row>
    <row r="91" spans="1:12" ht="15.75" customHeight="1" x14ac:dyDescent="0.2">
      <c r="A91" s="63" t="str">
        <f t="shared" si="1"/>
        <v/>
      </c>
      <c r="B91" s="63"/>
      <c r="C91" s="62" t="str">
        <f>IF($B91="","",IFERROR(VLOOKUP($B91,'Application Portfolio'!$A$2:$B$1000,2,FALSE()),""))</f>
        <v/>
      </c>
      <c r="D91" s="66"/>
      <c r="E91" s="66"/>
      <c r="F91" s="66"/>
      <c r="G91" s="66"/>
      <c r="H91" s="66"/>
      <c r="I91" s="64" t="str">
        <f>IF(OR($B91="", $D91="", $E91="", $F91="", $G91="", $H91=""),"",ROUND(($D91*Lists!$AN$20)+($E91*Lists!$AN$21)+($F91*Lists!$AN$22)+($G91*Lists!$AN$23)+($H91*Lists!$AN$24),2))</f>
        <v/>
      </c>
      <c r="J91" s="62"/>
      <c r="K91" s="65"/>
      <c r="L91" s="62"/>
    </row>
    <row r="92" spans="1:12" ht="15.75" customHeight="1" x14ac:dyDescent="0.2">
      <c r="A92" s="63" t="str">
        <f t="shared" si="1"/>
        <v/>
      </c>
      <c r="B92" s="63"/>
      <c r="C92" s="62" t="str">
        <f>IF($B92="","",IFERROR(VLOOKUP($B92,'Application Portfolio'!$A$2:$B$1000,2,FALSE()),""))</f>
        <v/>
      </c>
      <c r="D92" s="66"/>
      <c r="E92" s="66"/>
      <c r="F92" s="66"/>
      <c r="G92" s="66"/>
      <c r="H92" s="66"/>
      <c r="I92" s="64" t="str">
        <f>IF(OR($B92="", $D92="", $E92="", $F92="", $G92="", $H92=""),"",ROUND(($D92*Lists!$AN$20)+($E92*Lists!$AN$21)+($F92*Lists!$AN$22)+($G92*Lists!$AN$23)+($H92*Lists!$AN$24),2))</f>
        <v/>
      </c>
      <c r="J92" s="62"/>
      <c r="K92" s="65"/>
      <c r="L92" s="62"/>
    </row>
    <row r="93" spans="1:12" ht="15.75" customHeight="1" x14ac:dyDescent="0.2">
      <c r="A93" s="63" t="str">
        <f t="shared" si="1"/>
        <v/>
      </c>
      <c r="B93" s="63"/>
      <c r="C93" s="62" t="str">
        <f>IF($B93="","",IFERROR(VLOOKUP($B93,'Application Portfolio'!$A$2:$B$1000,2,FALSE()),""))</f>
        <v/>
      </c>
      <c r="D93" s="66"/>
      <c r="E93" s="66"/>
      <c r="F93" s="66"/>
      <c r="G93" s="66"/>
      <c r="H93" s="66"/>
      <c r="I93" s="64" t="str">
        <f>IF(OR($B93="", $D93="", $E93="", $F93="", $G93="", $H93=""),"",ROUND(($D93*Lists!$AN$20)+($E93*Lists!$AN$21)+($F93*Lists!$AN$22)+($G93*Lists!$AN$23)+($H93*Lists!$AN$24),2))</f>
        <v/>
      </c>
      <c r="J93" s="62"/>
      <c r="K93" s="65"/>
      <c r="L93" s="62"/>
    </row>
    <row r="94" spans="1:12" ht="15.75" customHeight="1" x14ac:dyDescent="0.2">
      <c r="A94" s="63" t="str">
        <f t="shared" si="1"/>
        <v/>
      </c>
      <c r="B94" s="63"/>
      <c r="C94" s="62" t="str">
        <f>IF($B94="","",IFERROR(VLOOKUP($B94,'Application Portfolio'!$A$2:$B$1000,2,FALSE()),""))</f>
        <v/>
      </c>
      <c r="D94" s="66"/>
      <c r="E94" s="66"/>
      <c r="F94" s="66"/>
      <c r="G94" s="66"/>
      <c r="H94" s="66"/>
      <c r="I94" s="64" t="str">
        <f>IF(OR($B94="", $D94="", $E94="", $F94="", $G94="", $H94=""),"",ROUND(($D94*Lists!$AN$20)+($E94*Lists!$AN$21)+($F94*Lists!$AN$22)+($G94*Lists!$AN$23)+($H94*Lists!$AN$24),2))</f>
        <v/>
      </c>
      <c r="J94" s="62"/>
      <c r="K94" s="65"/>
      <c r="L94" s="62"/>
    </row>
    <row r="95" spans="1:12" ht="15.75" customHeight="1" x14ac:dyDescent="0.2">
      <c r="A95" s="63" t="str">
        <f t="shared" si="1"/>
        <v/>
      </c>
      <c r="B95" s="63"/>
      <c r="C95" s="62" t="str">
        <f>IF($B95="","",IFERROR(VLOOKUP($B95,'Application Portfolio'!$A$2:$B$1000,2,FALSE()),""))</f>
        <v/>
      </c>
      <c r="D95" s="66"/>
      <c r="E95" s="66"/>
      <c r="F95" s="66"/>
      <c r="G95" s="66"/>
      <c r="H95" s="66"/>
      <c r="I95" s="64" t="str">
        <f>IF(OR($B95="", $D95="", $E95="", $F95="", $G95="", $H95=""),"",ROUND(($D95*Lists!$AN$20)+($E95*Lists!$AN$21)+($F95*Lists!$AN$22)+($G95*Lists!$AN$23)+($H95*Lists!$AN$24),2))</f>
        <v/>
      </c>
      <c r="J95" s="62"/>
      <c r="K95" s="65"/>
      <c r="L95" s="62"/>
    </row>
    <row r="96" spans="1:12" ht="15.75" customHeight="1" x14ac:dyDescent="0.2">
      <c r="A96" s="63" t="str">
        <f t="shared" ref="A96:A159" si="2">IF($B96="","", "R-" &amp; RIGHT("0000"&amp;ROW()-1,4))</f>
        <v/>
      </c>
      <c r="B96" s="63"/>
      <c r="C96" s="62" t="str">
        <f>IF($B96="","",IFERROR(VLOOKUP($B96,'Application Portfolio'!$A$2:$B$1000,2,FALSE()),""))</f>
        <v/>
      </c>
      <c r="D96" s="66"/>
      <c r="E96" s="66"/>
      <c r="F96" s="66"/>
      <c r="G96" s="66"/>
      <c r="H96" s="66"/>
      <c r="I96" s="64" t="str">
        <f>IF(OR($B96="", $D96="", $E96="", $F96="", $G96="", $H96=""),"",ROUND(($D96*Lists!$AN$20)+($E96*Lists!$AN$21)+($F96*Lists!$AN$22)+($G96*Lists!$AN$23)+($H96*Lists!$AN$24),2))</f>
        <v/>
      </c>
      <c r="J96" s="62"/>
      <c r="K96" s="65"/>
      <c r="L96" s="62"/>
    </row>
    <row r="97" spans="1:12" ht="15.75" customHeight="1" x14ac:dyDescent="0.2">
      <c r="A97" s="63" t="str">
        <f t="shared" si="2"/>
        <v/>
      </c>
      <c r="B97" s="63"/>
      <c r="C97" s="62" t="str">
        <f>IF($B97="","",IFERROR(VLOOKUP($B97,'Application Portfolio'!$A$2:$B$1000,2,FALSE()),""))</f>
        <v/>
      </c>
      <c r="D97" s="66"/>
      <c r="E97" s="66"/>
      <c r="F97" s="66"/>
      <c r="G97" s="66"/>
      <c r="H97" s="66"/>
      <c r="I97" s="64" t="str">
        <f>IF(OR($B97="", $D97="", $E97="", $F97="", $G97="", $H97=""),"",ROUND(($D97*Lists!$AN$20)+($E97*Lists!$AN$21)+($F97*Lists!$AN$22)+($G97*Lists!$AN$23)+($H97*Lists!$AN$24),2))</f>
        <v/>
      </c>
      <c r="J97" s="62"/>
      <c r="K97" s="65"/>
      <c r="L97" s="62"/>
    </row>
    <row r="98" spans="1:12" ht="15.75" customHeight="1" x14ac:dyDescent="0.2">
      <c r="A98" s="63" t="str">
        <f t="shared" si="2"/>
        <v/>
      </c>
      <c r="B98" s="63"/>
      <c r="C98" s="62" t="str">
        <f>IF($B98="","",IFERROR(VLOOKUP($B98,'Application Portfolio'!$A$2:$B$1000,2,FALSE()),""))</f>
        <v/>
      </c>
      <c r="D98" s="66"/>
      <c r="E98" s="66"/>
      <c r="F98" s="66"/>
      <c r="G98" s="66"/>
      <c r="H98" s="66"/>
      <c r="I98" s="64" t="str">
        <f>IF(OR($B98="", $D98="", $E98="", $F98="", $G98="", $H98=""),"",ROUND(($D98*Lists!$AN$20)+($E98*Lists!$AN$21)+($F98*Lists!$AN$22)+($G98*Lists!$AN$23)+($H98*Lists!$AN$24),2))</f>
        <v/>
      </c>
      <c r="J98" s="62"/>
      <c r="K98" s="65"/>
      <c r="L98" s="62"/>
    </row>
    <row r="99" spans="1:12" ht="15.75" customHeight="1" x14ac:dyDescent="0.2">
      <c r="A99" s="63" t="str">
        <f t="shared" si="2"/>
        <v/>
      </c>
      <c r="B99" s="63"/>
      <c r="C99" s="62" t="str">
        <f>IF($B99="","",IFERROR(VLOOKUP($B99,'Application Portfolio'!$A$2:$B$1000,2,FALSE()),""))</f>
        <v/>
      </c>
      <c r="D99" s="66"/>
      <c r="E99" s="66"/>
      <c r="F99" s="66"/>
      <c r="G99" s="66"/>
      <c r="H99" s="66"/>
      <c r="I99" s="64" t="str">
        <f>IF(OR($B99="", $D99="", $E99="", $F99="", $G99="", $H99=""),"",ROUND(($D99*Lists!$AN$20)+($E99*Lists!$AN$21)+($F99*Lists!$AN$22)+($G99*Lists!$AN$23)+($H99*Lists!$AN$24),2))</f>
        <v/>
      </c>
      <c r="J99" s="62"/>
      <c r="K99" s="65"/>
      <c r="L99" s="62"/>
    </row>
    <row r="100" spans="1:12" ht="15.75" customHeight="1" x14ac:dyDescent="0.2">
      <c r="A100" s="63" t="str">
        <f t="shared" si="2"/>
        <v/>
      </c>
      <c r="B100" s="63"/>
      <c r="C100" s="62" t="str">
        <f>IF($B100="","",IFERROR(VLOOKUP($B100,'Application Portfolio'!$A$2:$B$1000,2,FALSE()),""))</f>
        <v/>
      </c>
      <c r="D100" s="66"/>
      <c r="E100" s="66"/>
      <c r="F100" s="66"/>
      <c r="G100" s="66"/>
      <c r="H100" s="66"/>
      <c r="I100" s="64" t="str">
        <f>IF(OR($B100="", $D100="", $E100="", $F100="", $G100="", $H100=""),"",ROUND(($D100*Lists!$AN$20)+($E100*Lists!$AN$21)+($F100*Lists!$AN$22)+($G100*Lists!$AN$23)+($H100*Lists!$AN$24),2))</f>
        <v/>
      </c>
      <c r="J100" s="62"/>
      <c r="K100" s="65"/>
      <c r="L100" s="62"/>
    </row>
    <row r="101" spans="1:12" ht="15.75" customHeight="1" x14ac:dyDescent="0.2">
      <c r="A101" s="63" t="str">
        <f t="shared" si="2"/>
        <v/>
      </c>
      <c r="B101" s="63"/>
      <c r="C101" s="62" t="str">
        <f>IF($B101="","",IFERROR(VLOOKUP($B101,'Application Portfolio'!$A$2:$B$1000,2,FALSE()),""))</f>
        <v/>
      </c>
      <c r="D101" s="66"/>
      <c r="E101" s="66"/>
      <c r="F101" s="66"/>
      <c r="G101" s="66"/>
      <c r="H101" s="66"/>
      <c r="I101" s="64" t="str">
        <f>IF(OR($B101="", $D101="", $E101="", $F101="", $G101="", $H101=""),"",ROUND(($D101*Lists!$AN$20)+($E101*Lists!$AN$21)+($F101*Lists!$AN$22)+($G101*Lists!$AN$23)+($H101*Lists!$AN$24),2))</f>
        <v/>
      </c>
      <c r="J101" s="62"/>
      <c r="K101" s="65"/>
      <c r="L101" s="62"/>
    </row>
    <row r="102" spans="1:12" ht="15.75" customHeight="1" x14ac:dyDescent="0.2">
      <c r="A102" s="63" t="str">
        <f t="shared" si="2"/>
        <v/>
      </c>
      <c r="B102" s="63"/>
      <c r="C102" s="62" t="str">
        <f>IF($B102="","",IFERROR(VLOOKUP($B102,'Application Portfolio'!$A$2:$B$1000,2,FALSE()),""))</f>
        <v/>
      </c>
      <c r="D102" s="66"/>
      <c r="E102" s="66"/>
      <c r="F102" s="66"/>
      <c r="G102" s="66"/>
      <c r="H102" s="66"/>
      <c r="I102" s="64" t="str">
        <f>IF(OR($B102="", $D102="", $E102="", $F102="", $G102="", $H102=""),"",ROUND(($D102*Lists!$AN$20)+($E102*Lists!$AN$21)+($F102*Lists!$AN$22)+($G102*Lists!$AN$23)+($H102*Lists!$AN$24),2))</f>
        <v/>
      </c>
      <c r="J102" s="62"/>
      <c r="K102" s="65"/>
      <c r="L102" s="62"/>
    </row>
    <row r="103" spans="1:12" ht="15.75" customHeight="1" x14ac:dyDescent="0.2">
      <c r="A103" s="63" t="str">
        <f t="shared" si="2"/>
        <v/>
      </c>
      <c r="B103" s="63"/>
      <c r="C103" s="62" t="str">
        <f>IF($B103="","",IFERROR(VLOOKUP($B103,'Application Portfolio'!$A$2:$B$1000,2,FALSE()),""))</f>
        <v/>
      </c>
      <c r="D103" s="66"/>
      <c r="E103" s="66"/>
      <c r="F103" s="66"/>
      <c r="G103" s="66"/>
      <c r="H103" s="66"/>
      <c r="I103" s="64" t="str">
        <f>IF(OR($B103="", $D103="", $E103="", $F103="", $G103="", $H103=""),"",ROUND(($D103*Lists!$AN$20)+($E103*Lists!$AN$21)+($F103*Lists!$AN$22)+($G103*Lists!$AN$23)+($H103*Lists!$AN$24),2))</f>
        <v/>
      </c>
      <c r="J103" s="62"/>
      <c r="K103" s="65"/>
      <c r="L103" s="62"/>
    </row>
    <row r="104" spans="1:12" ht="15.75" customHeight="1" x14ac:dyDescent="0.2">
      <c r="A104" s="63" t="str">
        <f t="shared" si="2"/>
        <v/>
      </c>
      <c r="B104" s="63"/>
      <c r="C104" s="62" t="str">
        <f>IF($B104="","",IFERROR(VLOOKUP($B104,'Application Portfolio'!$A$2:$B$1000,2,FALSE()),""))</f>
        <v/>
      </c>
      <c r="D104" s="66"/>
      <c r="E104" s="66"/>
      <c r="F104" s="66"/>
      <c r="G104" s="66"/>
      <c r="H104" s="66"/>
      <c r="I104" s="64" t="str">
        <f>IF(OR($B104="", $D104="", $E104="", $F104="", $G104="", $H104=""),"",ROUND(($D104*Lists!$AN$20)+($E104*Lists!$AN$21)+($F104*Lists!$AN$22)+($G104*Lists!$AN$23)+($H104*Lists!$AN$24),2))</f>
        <v/>
      </c>
      <c r="J104" s="62"/>
      <c r="K104" s="65"/>
      <c r="L104" s="62"/>
    </row>
    <row r="105" spans="1:12" ht="15.75" customHeight="1" x14ac:dyDescent="0.2">
      <c r="A105" s="63" t="str">
        <f t="shared" si="2"/>
        <v/>
      </c>
      <c r="B105" s="63"/>
      <c r="C105" s="62" t="str">
        <f>IF($B105="","",IFERROR(VLOOKUP($B105,'Application Portfolio'!$A$2:$B$1000,2,FALSE()),""))</f>
        <v/>
      </c>
      <c r="D105" s="66"/>
      <c r="E105" s="66"/>
      <c r="F105" s="66"/>
      <c r="G105" s="66"/>
      <c r="H105" s="66"/>
      <c r="I105" s="64" t="str">
        <f>IF(OR($B105="", $D105="", $E105="", $F105="", $G105="", $H105=""),"",ROUND(($D105*Lists!$AN$20)+($E105*Lists!$AN$21)+($F105*Lists!$AN$22)+($G105*Lists!$AN$23)+($H105*Lists!$AN$24),2))</f>
        <v/>
      </c>
      <c r="J105" s="62"/>
      <c r="K105" s="65"/>
      <c r="L105" s="62"/>
    </row>
    <row r="106" spans="1:12" ht="15.75" customHeight="1" x14ac:dyDescent="0.2">
      <c r="A106" s="63" t="str">
        <f t="shared" si="2"/>
        <v/>
      </c>
      <c r="B106" s="63"/>
      <c r="C106" s="62" t="str">
        <f>IF($B106="","",IFERROR(VLOOKUP($B106,'Application Portfolio'!$A$2:$B$1000,2,FALSE()),""))</f>
        <v/>
      </c>
      <c r="D106" s="66"/>
      <c r="E106" s="66"/>
      <c r="F106" s="66"/>
      <c r="G106" s="66"/>
      <c r="H106" s="66"/>
      <c r="I106" s="64" t="str">
        <f>IF(OR($B106="", $D106="", $E106="", $F106="", $G106="", $H106=""),"",ROUND(($D106*Lists!$AN$20)+($E106*Lists!$AN$21)+($F106*Lists!$AN$22)+($G106*Lists!$AN$23)+($H106*Lists!$AN$24),2))</f>
        <v/>
      </c>
      <c r="J106" s="62"/>
      <c r="K106" s="65"/>
      <c r="L106" s="62"/>
    </row>
    <row r="107" spans="1:12" ht="15.75" customHeight="1" x14ac:dyDescent="0.2">
      <c r="A107" s="63" t="str">
        <f t="shared" si="2"/>
        <v/>
      </c>
      <c r="B107" s="63"/>
      <c r="C107" s="62" t="str">
        <f>IF($B107="","",IFERROR(VLOOKUP($B107,'Application Portfolio'!$A$2:$B$1000,2,FALSE()),""))</f>
        <v/>
      </c>
      <c r="D107" s="66"/>
      <c r="E107" s="66"/>
      <c r="F107" s="66"/>
      <c r="G107" s="66"/>
      <c r="H107" s="66"/>
      <c r="I107" s="64" t="str">
        <f>IF(OR($B107="", $D107="", $E107="", $F107="", $G107="", $H107=""),"",ROUND(($D107*Lists!$AN$20)+($E107*Lists!$AN$21)+($F107*Lists!$AN$22)+($G107*Lists!$AN$23)+($H107*Lists!$AN$24),2))</f>
        <v/>
      </c>
      <c r="J107" s="62"/>
      <c r="K107" s="65"/>
      <c r="L107" s="62"/>
    </row>
    <row r="108" spans="1:12" ht="15.75" customHeight="1" x14ac:dyDescent="0.2">
      <c r="A108" s="63" t="str">
        <f t="shared" si="2"/>
        <v/>
      </c>
      <c r="B108" s="63"/>
      <c r="C108" s="62" t="str">
        <f>IF($B108="","",IFERROR(VLOOKUP($B108,'Application Portfolio'!$A$2:$B$1000,2,FALSE()),""))</f>
        <v/>
      </c>
      <c r="D108" s="66"/>
      <c r="E108" s="66"/>
      <c r="F108" s="66"/>
      <c r="G108" s="66"/>
      <c r="H108" s="66"/>
      <c r="I108" s="64" t="str">
        <f>IF(OR($B108="", $D108="", $E108="", $F108="", $G108="", $H108=""),"",ROUND(($D108*Lists!$AN$20)+($E108*Lists!$AN$21)+($F108*Lists!$AN$22)+($G108*Lists!$AN$23)+($H108*Lists!$AN$24),2))</f>
        <v/>
      </c>
      <c r="J108" s="62"/>
      <c r="K108" s="65"/>
      <c r="L108" s="62"/>
    </row>
    <row r="109" spans="1:12" ht="15.75" customHeight="1" x14ac:dyDescent="0.2">
      <c r="A109" s="63" t="str">
        <f t="shared" si="2"/>
        <v/>
      </c>
      <c r="B109" s="63"/>
      <c r="C109" s="62" t="str">
        <f>IF($B109="","",IFERROR(VLOOKUP($B109,'Application Portfolio'!$A$2:$B$1000,2,FALSE()),""))</f>
        <v/>
      </c>
      <c r="D109" s="66"/>
      <c r="E109" s="66"/>
      <c r="F109" s="66"/>
      <c r="G109" s="66"/>
      <c r="H109" s="66"/>
      <c r="I109" s="64" t="str">
        <f>IF(OR($B109="", $D109="", $E109="", $F109="", $G109="", $H109=""),"",ROUND(($D109*Lists!$AN$20)+($E109*Lists!$AN$21)+($F109*Lists!$AN$22)+($G109*Lists!$AN$23)+($H109*Lists!$AN$24),2))</f>
        <v/>
      </c>
      <c r="J109" s="62"/>
      <c r="K109" s="65"/>
      <c r="L109" s="62"/>
    </row>
    <row r="110" spans="1:12" ht="15.75" customHeight="1" x14ac:dyDescent="0.2">
      <c r="A110" s="63" t="str">
        <f t="shared" si="2"/>
        <v/>
      </c>
      <c r="B110" s="63"/>
      <c r="C110" s="62" t="str">
        <f>IF($B110="","",IFERROR(VLOOKUP($B110,'Application Portfolio'!$A$2:$B$1000,2,FALSE()),""))</f>
        <v/>
      </c>
      <c r="D110" s="66"/>
      <c r="E110" s="66"/>
      <c r="F110" s="66"/>
      <c r="G110" s="66"/>
      <c r="H110" s="66"/>
      <c r="I110" s="64" t="str">
        <f>IF(OR($B110="", $D110="", $E110="", $F110="", $G110="", $H110=""),"",ROUND(($D110*Lists!$AN$20)+($E110*Lists!$AN$21)+($F110*Lists!$AN$22)+($G110*Lists!$AN$23)+($H110*Lists!$AN$24),2))</f>
        <v/>
      </c>
      <c r="J110" s="62"/>
      <c r="K110" s="65"/>
      <c r="L110" s="62"/>
    </row>
    <row r="111" spans="1:12" ht="15.75" customHeight="1" x14ac:dyDescent="0.2">
      <c r="A111" s="63" t="str">
        <f t="shared" si="2"/>
        <v/>
      </c>
      <c r="B111" s="63"/>
      <c r="C111" s="62" t="str">
        <f>IF($B111="","",IFERROR(VLOOKUP($B111,'Application Portfolio'!$A$2:$B$1000,2,FALSE()),""))</f>
        <v/>
      </c>
      <c r="D111" s="66"/>
      <c r="E111" s="66"/>
      <c r="F111" s="66"/>
      <c r="G111" s="66"/>
      <c r="H111" s="66"/>
      <c r="I111" s="64" t="str">
        <f>IF(OR($B111="", $D111="", $E111="", $F111="", $G111="", $H111=""),"",ROUND(($D111*Lists!$AN$20)+($E111*Lists!$AN$21)+($F111*Lists!$AN$22)+($G111*Lists!$AN$23)+($H111*Lists!$AN$24),2))</f>
        <v/>
      </c>
      <c r="J111" s="62"/>
      <c r="K111" s="65"/>
      <c r="L111" s="62"/>
    </row>
    <row r="112" spans="1:12" ht="15.75" customHeight="1" x14ac:dyDescent="0.2">
      <c r="A112" s="63" t="str">
        <f t="shared" si="2"/>
        <v/>
      </c>
      <c r="B112" s="63"/>
      <c r="C112" s="62" t="str">
        <f>IF($B112="","",IFERROR(VLOOKUP($B112,'Application Portfolio'!$A$2:$B$1000,2,FALSE()),""))</f>
        <v/>
      </c>
      <c r="D112" s="66"/>
      <c r="E112" s="66"/>
      <c r="F112" s="66"/>
      <c r="G112" s="66"/>
      <c r="H112" s="66"/>
      <c r="I112" s="64" t="str">
        <f>IF(OR($B112="", $D112="", $E112="", $F112="", $G112="", $H112=""),"",ROUND(($D112*Lists!$AN$20)+($E112*Lists!$AN$21)+($F112*Lists!$AN$22)+($G112*Lists!$AN$23)+($H112*Lists!$AN$24),2))</f>
        <v/>
      </c>
      <c r="J112" s="62"/>
      <c r="K112" s="65"/>
      <c r="L112" s="62"/>
    </row>
    <row r="113" spans="1:12" ht="15.75" customHeight="1" x14ac:dyDescent="0.2">
      <c r="A113" s="63" t="str">
        <f t="shared" si="2"/>
        <v/>
      </c>
      <c r="B113" s="63"/>
      <c r="C113" s="62" t="str">
        <f>IF($B113="","",IFERROR(VLOOKUP($B113,'Application Portfolio'!$A$2:$B$1000,2,FALSE()),""))</f>
        <v/>
      </c>
      <c r="D113" s="66"/>
      <c r="E113" s="66"/>
      <c r="F113" s="66"/>
      <c r="G113" s="66"/>
      <c r="H113" s="66"/>
      <c r="I113" s="64" t="str">
        <f>IF(OR($B113="", $D113="", $E113="", $F113="", $G113="", $H113=""),"",ROUND(($D113*Lists!$AN$20)+($E113*Lists!$AN$21)+($F113*Lists!$AN$22)+($G113*Lists!$AN$23)+($H113*Lists!$AN$24),2))</f>
        <v/>
      </c>
      <c r="J113" s="62"/>
      <c r="K113" s="65"/>
      <c r="L113" s="62"/>
    </row>
    <row r="114" spans="1:12" ht="15.75" customHeight="1" x14ac:dyDescent="0.2">
      <c r="A114" s="63" t="str">
        <f t="shared" si="2"/>
        <v/>
      </c>
      <c r="B114" s="63"/>
      <c r="C114" s="62" t="str">
        <f>IF($B114="","",IFERROR(VLOOKUP($B114,'Application Portfolio'!$A$2:$B$1000,2,FALSE()),""))</f>
        <v/>
      </c>
      <c r="D114" s="66"/>
      <c r="E114" s="66"/>
      <c r="F114" s="66"/>
      <c r="G114" s="66"/>
      <c r="H114" s="66"/>
      <c r="I114" s="64" t="str">
        <f>IF(OR($B114="", $D114="", $E114="", $F114="", $G114="", $H114=""),"",ROUND(($D114*Lists!$AN$20)+($E114*Lists!$AN$21)+($F114*Lists!$AN$22)+($G114*Lists!$AN$23)+($H114*Lists!$AN$24),2))</f>
        <v/>
      </c>
      <c r="J114" s="62"/>
      <c r="K114" s="65"/>
      <c r="L114" s="62"/>
    </row>
    <row r="115" spans="1:12" ht="15.75" customHeight="1" x14ac:dyDescent="0.2">
      <c r="A115" s="63" t="str">
        <f t="shared" si="2"/>
        <v/>
      </c>
      <c r="B115" s="63"/>
      <c r="C115" s="62" t="str">
        <f>IF($B115="","",IFERROR(VLOOKUP($B115,'Application Portfolio'!$A$2:$B$1000,2,FALSE()),""))</f>
        <v/>
      </c>
      <c r="D115" s="66"/>
      <c r="E115" s="66"/>
      <c r="F115" s="66"/>
      <c r="G115" s="66"/>
      <c r="H115" s="66"/>
      <c r="I115" s="64" t="str">
        <f>IF(OR($B115="", $D115="", $E115="", $F115="", $G115="", $H115=""),"",ROUND(($D115*Lists!$AN$20)+($E115*Lists!$AN$21)+($F115*Lists!$AN$22)+($G115*Lists!$AN$23)+($H115*Lists!$AN$24),2))</f>
        <v/>
      </c>
      <c r="J115" s="62"/>
      <c r="K115" s="65"/>
      <c r="L115" s="62"/>
    </row>
    <row r="116" spans="1:12" ht="15.75" customHeight="1" x14ac:dyDescent="0.2">
      <c r="A116" s="63" t="str">
        <f t="shared" si="2"/>
        <v/>
      </c>
      <c r="B116" s="63"/>
      <c r="C116" s="62" t="str">
        <f>IF($B116="","",IFERROR(VLOOKUP($B116,'Application Portfolio'!$A$2:$B$1000,2,FALSE()),""))</f>
        <v/>
      </c>
      <c r="D116" s="66"/>
      <c r="E116" s="66"/>
      <c r="F116" s="66"/>
      <c r="G116" s="66"/>
      <c r="H116" s="66"/>
      <c r="I116" s="64" t="str">
        <f>IF(OR($B116="", $D116="", $E116="", $F116="", $G116="", $H116=""),"",ROUND(($D116*Lists!$AN$20)+($E116*Lists!$AN$21)+($F116*Lists!$AN$22)+($G116*Lists!$AN$23)+($H116*Lists!$AN$24),2))</f>
        <v/>
      </c>
      <c r="J116" s="62"/>
      <c r="K116" s="65"/>
      <c r="L116" s="62"/>
    </row>
    <row r="117" spans="1:12" ht="15.75" customHeight="1" x14ac:dyDescent="0.2">
      <c r="A117" s="63" t="str">
        <f t="shared" si="2"/>
        <v/>
      </c>
      <c r="B117" s="63"/>
      <c r="C117" s="62" t="str">
        <f>IF($B117="","",IFERROR(VLOOKUP($B117,'Application Portfolio'!$A$2:$B$1000,2,FALSE()),""))</f>
        <v/>
      </c>
      <c r="D117" s="66"/>
      <c r="E117" s="66"/>
      <c r="F117" s="66"/>
      <c r="G117" s="66"/>
      <c r="H117" s="66"/>
      <c r="I117" s="64" t="str">
        <f>IF(OR($B117="", $D117="", $E117="", $F117="", $G117="", $H117=""),"",ROUND(($D117*Lists!$AN$20)+($E117*Lists!$AN$21)+($F117*Lists!$AN$22)+($G117*Lists!$AN$23)+($H117*Lists!$AN$24),2))</f>
        <v/>
      </c>
      <c r="J117" s="62"/>
      <c r="K117" s="65"/>
      <c r="L117" s="62"/>
    </row>
    <row r="118" spans="1:12" ht="15.75" customHeight="1" x14ac:dyDescent="0.2">
      <c r="A118" s="63" t="str">
        <f t="shared" si="2"/>
        <v/>
      </c>
      <c r="B118" s="63"/>
      <c r="C118" s="62" t="str">
        <f>IF($B118="","",IFERROR(VLOOKUP($B118,'Application Portfolio'!$A$2:$B$1000,2,FALSE()),""))</f>
        <v/>
      </c>
      <c r="D118" s="66"/>
      <c r="E118" s="66"/>
      <c r="F118" s="66"/>
      <c r="G118" s="66"/>
      <c r="H118" s="66"/>
      <c r="I118" s="64" t="str">
        <f>IF(OR($B118="", $D118="", $E118="", $F118="", $G118="", $H118=""),"",ROUND(($D118*Lists!$AN$20)+($E118*Lists!$AN$21)+($F118*Lists!$AN$22)+($G118*Lists!$AN$23)+($H118*Lists!$AN$24),2))</f>
        <v/>
      </c>
      <c r="J118" s="62"/>
      <c r="K118" s="65"/>
      <c r="L118" s="62"/>
    </row>
    <row r="119" spans="1:12" ht="15.75" customHeight="1" x14ac:dyDescent="0.2">
      <c r="A119" s="63" t="str">
        <f t="shared" si="2"/>
        <v/>
      </c>
      <c r="B119" s="63"/>
      <c r="C119" s="62" t="str">
        <f>IF($B119="","",IFERROR(VLOOKUP($B119,'Application Portfolio'!$A$2:$B$1000,2,FALSE()),""))</f>
        <v/>
      </c>
      <c r="D119" s="66"/>
      <c r="E119" s="66"/>
      <c r="F119" s="66"/>
      <c r="G119" s="66"/>
      <c r="H119" s="66"/>
      <c r="I119" s="64" t="str">
        <f>IF(OR($B119="", $D119="", $E119="", $F119="", $G119="", $H119=""),"",ROUND(($D119*Lists!$AN$20)+($E119*Lists!$AN$21)+($F119*Lists!$AN$22)+($G119*Lists!$AN$23)+($H119*Lists!$AN$24),2))</f>
        <v/>
      </c>
      <c r="J119" s="62"/>
      <c r="K119" s="65"/>
      <c r="L119" s="62"/>
    </row>
    <row r="120" spans="1:12" ht="15.75" customHeight="1" x14ac:dyDescent="0.2">
      <c r="A120" s="63" t="str">
        <f t="shared" si="2"/>
        <v/>
      </c>
      <c r="B120" s="63"/>
      <c r="C120" s="62" t="str">
        <f>IF($B120="","",IFERROR(VLOOKUP($B120,'Application Portfolio'!$A$2:$B$1000,2,FALSE()),""))</f>
        <v/>
      </c>
      <c r="D120" s="66"/>
      <c r="E120" s="66"/>
      <c r="F120" s="66"/>
      <c r="G120" s="66"/>
      <c r="H120" s="66"/>
      <c r="I120" s="64" t="str">
        <f>IF(OR($B120="", $D120="", $E120="", $F120="", $G120="", $H120=""),"",ROUND(($D120*Lists!$AN$20)+($E120*Lists!$AN$21)+($F120*Lists!$AN$22)+($G120*Lists!$AN$23)+($H120*Lists!$AN$24),2))</f>
        <v/>
      </c>
      <c r="J120" s="62"/>
      <c r="K120" s="65"/>
      <c r="L120" s="62"/>
    </row>
    <row r="121" spans="1:12" ht="15.75" customHeight="1" x14ac:dyDescent="0.2">
      <c r="A121" s="63" t="str">
        <f t="shared" si="2"/>
        <v/>
      </c>
      <c r="B121" s="63"/>
      <c r="C121" s="62" t="str">
        <f>IF($B121="","",IFERROR(VLOOKUP($B121,'Application Portfolio'!$A$2:$B$1000,2,FALSE()),""))</f>
        <v/>
      </c>
      <c r="D121" s="66"/>
      <c r="E121" s="66"/>
      <c r="F121" s="66"/>
      <c r="G121" s="66"/>
      <c r="H121" s="66"/>
      <c r="I121" s="64" t="str">
        <f>IF(OR($B121="", $D121="", $E121="", $F121="", $G121="", $H121=""),"",ROUND(($D121*Lists!$AN$20)+($E121*Lists!$AN$21)+($F121*Lists!$AN$22)+($G121*Lists!$AN$23)+($H121*Lists!$AN$24),2))</f>
        <v/>
      </c>
      <c r="J121" s="62"/>
      <c r="K121" s="65"/>
      <c r="L121" s="62"/>
    </row>
    <row r="122" spans="1:12" ht="15.75" customHeight="1" x14ac:dyDescent="0.2">
      <c r="A122" s="63" t="str">
        <f t="shared" si="2"/>
        <v/>
      </c>
      <c r="B122" s="63"/>
      <c r="C122" s="62" t="str">
        <f>IF($B122="","",IFERROR(VLOOKUP($B122,'Application Portfolio'!$A$2:$B$1000,2,FALSE()),""))</f>
        <v/>
      </c>
      <c r="D122" s="66"/>
      <c r="E122" s="66"/>
      <c r="F122" s="66"/>
      <c r="G122" s="66"/>
      <c r="H122" s="66"/>
      <c r="I122" s="64" t="str">
        <f>IF(OR($B122="", $D122="", $E122="", $F122="", $G122="", $H122=""),"",ROUND(($D122*Lists!$AN$20)+($E122*Lists!$AN$21)+($F122*Lists!$AN$22)+($G122*Lists!$AN$23)+($H122*Lists!$AN$24),2))</f>
        <v/>
      </c>
      <c r="J122" s="62"/>
      <c r="K122" s="65"/>
      <c r="L122" s="62"/>
    </row>
    <row r="123" spans="1:12" ht="15.75" customHeight="1" x14ac:dyDescent="0.2">
      <c r="A123" s="63" t="str">
        <f t="shared" si="2"/>
        <v/>
      </c>
      <c r="B123" s="63"/>
      <c r="C123" s="62" t="str">
        <f>IF($B123="","",IFERROR(VLOOKUP($B123,'Application Portfolio'!$A$2:$B$1000,2,FALSE()),""))</f>
        <v/>
      </c>
      <c r="D123" s="66"/>
      <c r="E123" s="66"/>
      <c r="F123" s="66"/>
      <c r="G123" s="66"/>
      <c r="H123" s="66"/>
      <c r="I123" s="64" t="str">
        <f>IF(OR($B123="", $D123="", $E123="", $F123="", $G123="", $H123=""),"",ROUND(($D123*Lists!$AN$20)+($E123*Lists!$AN$21)+($F123*Lists!$AN$22)+($G123*Lists!$AN$23)+($H123*Lists!$AN$24),2))</f>
        <v/>
      </c>
      <c r="J123" s="62"/>
      <c r="K123" s="65"/>
      <c r="L123" s="62"/>
    </row>
    <row r="124" spans="1:12" ht="15.75" customHeight="1" x14ac:dyDescent="0.2">
      <c r="A124" s="63" t="str">
        <f t="shared" si="2"/>
        <v/>
      </c>
      <c r="B124" s="63"/>
      <c r="C124" s="62" t="str">
        <f>IF($B124="","",IFERROR(VLOOKUP($B124,'Application Portfolio'!$A$2:$B$1000,2,FALSE()),""))</f>
        <v/>
      </c>
      <c r="D124" s="66"/>
      <c r="E124" s="66"/>
      <c r="F124" s="66"/>
      <c r="G124" s="66"/>
      <c r="H124" s="66"/>
      <c r="I124" s="64" t="str">
        <f>IF(OR($B124="", $D124="", $E124="", $F124="", $G124="", $H124=""),"",ROUND(($D124*Lists!$AN$20)+($E124*Lists!$AN$21)+($F124*Lists!$AN$22)+($G124*Lists!$AN$23)+($H124*Lists!$AN$24),2))</f>
        <v/>
      </c>
      <c r="J124" s="62"/>
      <c r="K124" s="65"/>
      <c r="L124" s="62"/>
    </row>
    <row r="125" spans="1:12" ht="15.75" customHeight="1" x14ac:dyDescent="0.2">
      <c r="A125" s="63" t="str">
        <f t="shared" si="2"/>
        <v/>
      </c>
      <c r="B125" s="63"/>
      <c r="C125" s="62" t="str">
        <f>IF($B125="","",IFERROR(VLOOKUP($B125,'Application Portfolio'!$A$2:$B$1000,2,FALSE()),""))</f>
        <v/>
      </c>
      <c r="D125" s="66"/>
      <c r="E125" s="66"/>
      <c r="F125" s="66"/>
      <c r="G125" s="66"/>
      <c r="H125" s="66"/>
      <c r="I125" s="64" t="str">
        <f>IF(OR($B125="", $D125="", $E125="", $F125="", $G125="", $H125=""),"",ROUND(($D125*Lists!$AN$20)+($E125*Lists!$AN$21)+($F125*Lists!$AN$22)+($G125*Lists!$AN$23)+($H125*Lists!$AN$24),2))</f>
        <v/>
      </c>
      <c r="J125" s="62"/>
      <c r="K125" s="65"/>
      <c r="L125" s="62"/>
    </row>
    <row r="126" spans="1:12" ht="15.75" customHeight="1" x14ac:dyDescent="0.2">
      <c r="A126" s="63" t="str">
        <f t="shared" si="2"/>
        <v/>
      </c>
      <c r="B126" s="63"/>
      <c r="C126" s="62" t="str">
        <f>IF($B126="","",IFERROR(VLOOKUP($B126,'Application Portfolio'!$A$2:$B$1000,2,FALSE()),""))</f>
        <v/>
      </c>
      <c r="D126" s="66"/>
      <c r="E126" s="66"/>
      <c r="F126" s="66"/>
      <c r="G126" s="66"/>
      <c r="H126" s="66"/>
      <c r="I126" s="64" t="str">
        <f>IF(OR($B126="", $D126="", $E126="", $F126="", $G126="", $H126=""),"",ROUND(($D126*Lists!$AN$20)+($E126*Lists!$AN$21)+($F126*Lists!$AN$22)+($G126*Lists!$AN$23)+($H126*Lists!$AN$24),2))</f>
        <v/>
      </c>
      <c r="J126" s="62"/>
      <c r="K126" s="65"/>
      <c r="L126" s="62"/>
    </row>
    <row r="127" spans="1:12" ht="15.75" customHeight="1" x14ac:dyDescent="0.2">
      <c r="A127" s="63" t="str">
        <f t="shared" si="2"/>
        <v/>
      </c>
      <c r="B127" s="63"/>
      <c r="C127" s="62" t="str">
        <f>IF($B127="","",IFERROR(VLOOKUP($B127,'Application Portfolio'!$A$2:$B$1000,2,FALSE()),""))</f>
        <v/>
      </c>
      <c r="D127" s="66"/>
      <c r="E127" s="66"/>
      <c r="F127" s="66"/>
      <c r="G127" s="66"/>
      <c r="H127" s="66"/>
      <c r="I127" s="64" t="str">
        <f>IF(OR($B127="", $D127="", $E127="", $F127="", $G127="", $H127=""),"",ROUND(($D127*Lists!$AN$20)+($E127*Lists!$AN$21)+($F127*Lists!$AN$22)+($G127*Lists!$AN$23)+($H127*Lists!$AN$24),2))</f>
        <v/>
      </c>
      <c r="J127" s="62"/>
      <c r="K127" s="65"/>
      <c r="L127" s="62"/>
    </row>
    <row r="128" spans="1:12" ht="15.75" customHeight="1" x14ac:dyDescent="0.2">
      <c r="A128" s="63" t="str">
        <f t="shared" si="2"/>
        <v/>
      </c>
      <c r="B128" s="63"/>
      <c r="C128" s="62" t="str">
        <f>IF($B128="","",IFERROR(VLOOKUP($B128,'Application Portfolio'!$A$2:$B$1000,2,FALSE()),""))</f>
        <v/>
      </c>
      <c r="D128" s="66"/>
      <c r="E128" s="66"/>
      <c r="F128" s="66"/>
      <c r="G128" s="66"/>
      <c r="H128" s="66"/>
      <c r="I128" s="64" t="str">
        <f>IF(OR($B128="", $D128="", $E128="", $F128="", $G128="", $H128=""),"",ROUND(($D128*Lists!$AN$20)+($E128*Lists!$AN$21)+($F128*Lists!$AN$22)+($G128*Lists!$AN$23)+($H128*Lists!$AN$24),2))</f>
        <v/>
      </c>
      <c r="J128" s="62"/>
      <c r="K128" s="65"/>
      <c r="L128" s="62"/>
    </row>
    <row r="129" spans="1:12" ht="15.75" customHeight="1" x14ac:dyDescent="0.2">
      <c r="A129" s="63" t="str">
        <f t="shared" si="2"/>
        <v/>
      </c>
      <c r="B129" s="63"/>
      <c r="C129" s="62" t="str">
        <f>IF($B129="","",IFERROR(VLOOKUP($B129,'Application Portfolio'!$A$2:$B$1000,2,FALSE()),""))</f>
        <v/>
      </c>
      <c r="D129" s="66"/>
      <c r="E129" s="66"/>
      <c r="F129" s="66"/>
      <c r="G129" s="66"/>
      <c r="H129" s="66"/>
      <c r="I129" s="64" t="str">
        <f>IF(OR($B129="", $D129="", $E129="", $F129="", $G129="", $H129=""),"",ROUND(($D129*Lists!$AN$20)+($E129*Lists!$AN$21)+($F129*Lists!$AN$22)+($G129*Lists!$AN$23)+($H129*Lists!$AN$24),2))</f>
        <v/>
      </c>
      <c r="J129" s="62"/>
      <c r="K129" s="65"/>
      <c r="L129" s="62"/>
    </row>
    <row r="130" spans="1:12" ht="15.75" customHeight="1" x14ac:dyDescent="0.2">
      <c r="A130" s="63" t="str">
        <f t="shared" si="2"/>
        <v/>
      </c>
      <c r="B130" s="63"/>
      <c r="C130" s="62" t="str">
        <f>IF($B130="","",IFERROR(VLOOKUP($B130,'Application Portfolio'!$A$2:$B$1000,2,FALSE()),""))</f>
        <v/>
      </c>
      <c r="D130" s="66"/>
      <c r="E130" s="66"/>
      <c r="F130" s="66"/>
      <c r="G130" s="66"/>
      <c r="H130" s="66"/>
      <c r="I130" s="64" t="str">
        <f>IF(OR($B130="", $D130="", $E130="", $F130="", $G130="", $H130=""),"",ROUND(($D130*Lists!$AN$20)+($E130*Lists!$AN$21)+($F130*Lists!$AN$22)+($G130*Lists!$AN$23)+($H130*Lists!$AN$24),2))</f>
        <v/>
      </c>
      <c r="J130" s="62"/>
      <c r="K130" s="65"/>
      <c r="L130" s="62"/>
    </row>
    <row r="131" spans="1:12" ht="15.75" customHeight="1" x14ac:dyDescent="0.2">
      <c r="A131" s="63" t="str">
        <f t="shared" si="2"/>
        <v/>
      </c>
      <c r="B131" s="63"/>
      <c r="C131" s="62" t="str">
        <f>IF($B131="","",IFERROR(VLOOKUP($B131,'Application Portfolio'!$A$2:$B$1000,2,FALSE()),""))</f>
        <v/>
      </c>
      <c r="D131" s="66"/>
      <c r="E131" s="66"/>
      <c r="F131" s="66"/>
      <c r="G131" s="66"/>
      <c r="H131" s="66"/>
      <c r="I131" s="64" t="str">
        <f>IF(OR($B131="", $D131="", $E131="", $F131="", $G131="", $H131=""),"",ROUND(($D131*Lists!$AN$20)+($E131*Lists!$AN$21)+($F131*Lists!$AN$22)+($G131*Lists!$AN$23)+($H131*Lists!$AN$24),2))</f>
        <v/>
      </c>
      <c r="J131" s="62"/>
      <c r="K131" s="65"/>
      <c r="L131" s="62"/>
    </row>
    <row r="132" spans="1:12" ht="15.75" customHeight="1" x14ac:dyDescent="0.2">
      <c r="A132" s="63" t="str">
        <f t="shared" si="2"/>
        <v/>
      </c>
      <c r="B132" s="63"/>
      <c r="C132" s="62" t="str">
        <f>IF($B132="","",IFERROR(VLOOKUP($B132,'Application Portfolio'!$A$2:$B$1000,2,FALSE()),""))</f>
        <v/>
      </c>
      <c r="D132" s="66"/>
      <c r="E132" s="66"/>
      <c r="F132" s="66"/>
      <c r="G132" s="66"/>
      <c r="H132" s="66"/>
      <c r="I132" s="64" t="str">
        <f>IF(OR($B132="", $D132="", $E132="", $F132="", $G132="", $H132=""),"",ROUND(($D132*Lists!$AN$20)+($E132*Lists!$AN$21)+($F132*Lists!$AN$22)+($G132*Lists!$AN$23)+($H132*Lists!$AN$24),2))</f>
        <v/>
      </c>
      <c r="J132" s="62"/>
      <c r="K132" s="65"/>
      <c r="L132" s="62"/>
    </row>
    <row r="133" spans="1:12" ht="15.75" customHeight="1" x14ac:dyDescent="0.2">
      <c r="A133" s="63" t="str">
        <f t="shared" si="2"/>
        <v/>
      </c>
      <c r="B133" s="63"/>
      <c r="C133" s="62" t="str">
        <f>IF($B133="","",IFERROR(VLOOKUP($B133,'Application Portfolio'!$A$2:$B$1000,2,FALSE()),""))</f>
        <v/>
      </c>
      <c r="D133" s="66"/>
      <c r="E133" s="66"/>
      <c r="F133" s="66"/>
      <c r="G133" s="66"/>
      <c r="H133" s="66"/>
      <c r="I133" s="64" t="str">
        <f>IF(OR($B133="", $D133="", $E133="", $F133="", $G133="", $H133=""),"",ROUND(($D133*Lists!$AN$20)+($E133*Lists!$AN$21)+($F133*Lists!$AN$22)+($G133*Lists!$AN$23)+($H133*Lists!$AN$24),2))</f>
        <v/>
      </c>
      <c r="J133" s="62"/>
      <c r="K133" s="65"/>
      <c r="L133" s="62"/>
    </row>
    <row r="134" spans="1:12" ht="15.75" customHeight="1" x14ac:dyDescent="0.2">
      <c r="A134" s="63" t="str">
        <f t="shared" si="2"/>
        <v/>
      </c>
      <c r="B134" s="63"/>
      <c r="C134" s="62" t="str">
        <f>IF($B134="","",IFERROR(VLOOKUP($B134,'Application Portfolio'!$A$2:$B$1000,2,FALSE()),""))</f>
        <v/>
      </c>
      <c r="D134" s="66"/>
      <c r="E134" s="66"/>
      <c r="F134" s="66"/>
      <c r="G134" s="66"/>
      <c r="H134" s="66"/>
      <c r="I134" s="64" t="str">
        <f>IF(OR($B134="", $D134="", $E134="", $F134="", $G134="", $H134=""),"",ROUND(($D134*Lists!$AN$20)+($E134*Lists!$AN$21)+($F134*Lists!$AN$22)+($G134*Lists!$AN$23)+($H134*Lists!$AN$24),2))</f>
        <v/>
      </c>
      <c r="J134" s="62"/>
      <c r="K134" s="65"/>
      <c r="L134" s="62"/>
    </row>
    <row r="135" spans="1:12" ht="15.75" customHeight="1" x14ac:dyDescent="0.2">
      <c r="A135" s="63" t="str">
        <f t="shared" si="2"/>
        <v/>
      </c>
      <c r="B135" s="63"/>
      <c r="C135" s="62" t="str">
        <f>IF($B135="","",IFERROR(VLOOKUP($B135,'Application Portfolio'!$A$2:$B$1000,2,FALSE()),""))</f>
        <v/>
      </c>
      <c r="D135" s="66"/>
      <c r="E135" s="66"/>
      <c r="F135" s="66"/>
      <c r="G135" s="66"/>
      <c r="H135" s="66"/>
      <c r="I135" s="64" t="str">
        <f>IF(OR($B135="", $D135="", $E135="", $F135="", $G135="", $H135=""),"",ROUND(($D135*Lists!$AN$20)+($E135*Lists!$AN$21)+($F135*Lists!$AN$22)+($G135*Lists!$AN$23)+($H135*Lists!$AN$24),2))</f>
        <v/>
      </c>
      <c r="J135" s="62"/>
      <c r="K135" s="65"/>
      <c r="L135" s="62"/>
    </row>
    <row r="136" spans="1:12" ht="15.75" customHeight="1" x14ac:dyDescent="0.2">
      <c r="A136" s="63" t="str">
        <f t="shared" si="2"/>
        <v/>
      </c>
      <c r="B136" s="63"/>
      <c r="C136" s="62" t="str">
        <f>IF($B136="","",IFERROR(VLOOKUP($B136,'Application Portfolio'!$A$2:$B$1000,2,FALSE()),""))</f>
        <v/>
      </c>
      <c r="D136" s="66"/>
      <c r="E136" s="66"/>
      <c r="F136" s="66"/>
      <c r="G136" s="66"/>
      <c r="H136" s="66"/>
      <c r="I136" s="64" t="str">
        <f>IF(OR($B136="", $D136="", $E136="", $F136="", $G136="", $H136=""),"",ROUND(($D136*Lists!$AN$20)+($E136*Lists!$AN$21)+($F136*Lists!$AN$22)+($G136*Lists!$AN$23)+($H136*Lists!$AN$24),2))</f>
        <v/>
      </c>
      <c r="J136" s="62"/>
      <c r="K136" s="65"/>
      <c r="L136" s="62"/>
    </row>
    <row r="137" spans="1:12" ht="15.75" customHeight="1" x14ac:dyDescent="0.2">
      <c r="A137" s="63" t="str">
        <f t="shared" si="2"/>
        <v/>
      </c>
      <c r="B137" s="63"/>
      <c r="C137" s="62" t="str">
        <f>IF($B137="","",IFERROR(VLOOKUP($B137,'Application Portfolio'!$A$2:$B$1000,2,FALSE()),""))</f>
        <v/>
      </c>
      <c r="D137" s="66"/>
      <c r="E137" s="66"/>
      <c r="F137" s="66"/>
      <c r="G137" s="66"/>
      <c r="H137" s="66"/>
      <c r="I137" s="64" t="str">
        <f>IF(OR($B137="", $D137="", $E137="", $F137="", $G137="", $H137=""),"",ROUND(($D137*Lists!$AN$20)+($E137*Lists!$AN$21)+($F137*Lists!$AN$22)+($G137*Lists!$AN$23)+($H137*Lists!$AN$24),2))</f>
        <v/>
      </c>
      <c r="J137" s="62"/>
      <c r="K137" s="65"/>
      <c r="L137" s="62"/>
    </row>
    <row r="138" spans="1:12" ht="15.75" customHeight="1" x14ac:dyDescent="0.2">
      <c r="A138" s="63" t="str">
        <f t="shared" si="2"/>
        <v/>
      </c>
      <c r="B138" s="63"/>
      <c r="C138" s="62" t="str">
        <f>IF($B138="","",IFERROR(VLOOKUP($B138,'Application Portfolio'!$A$2:$B$1000,2,FALSE()),""))</f>
        <v/>
      </c>
      <c r="D138" s="66"/>
      <c r="E138" s="66"/>
      <c r="F138" s="66"/>
      <c r="G138" s="66"/>
      <c r="H138" s="66"/>
      <c r="I138" s="64" t="str">
        <f>IF(OR($B138="", $D138="", $E138="", $F138="", $G138="", $H138=""),"",ROUND(($D138*Lists!$AN$20)+($E138*Lists!$AN$21)+($F138*Lists!$AN$22)+($G138*Lists!$AN$23)+($H138*Lists!$AN$24),2))</f>
        <v/>
      </c>
      <c r="J138" s="62"/>
      <c r="K138" s="65"/>
      <c r="L138" s="62"/>
    </row>
    <row r="139" spans="1:12" ht="15.75" customHeight="1" x14ac:dyDescent="0.2">
      <c r="A139" s="63" t="str">
        <f t="shared" si="2"/>
        <v/>
      </c>
      <c r="B139" s="63"/>
      <c r="C139" s="62" t="str">
        <f>IF($B139="","",IFERROR(VLOOKUP($B139,'Application Portfolio'!$A$2:$B$1000,2,FALSE()),""))</f>
        <v/>
      </c>
      <c r="D139" s="66"/>
      <c r="E139" s="66"/>
      <c r="F139" s="66"/>
      <c r="G139" s="66"/>
      <c r="H139" s="66"/>
      <c r="I139" s="64" t="str">
        <f>IF(OR($B139="", $D139="", $E139="", $F139="", $G139="", $H139=""),"",ROUND(($D139*Lists!$AN$20)+($E139*Lists!$AN$21)+($F139*Lists!$AN$22)+($G139*Lists!$AN$23)+($H139*Lists!$AN$24),2))</f>
        <v/>
      </c>
      <c r="J139" s="62"/>
      <c r="K139" s="65"/>
      <c r="L139" s="62"/>
    </row>
    <row r="140" spans="1:12" ht="15.75" customHeight="1" x14ac:dyDescent="0.2">
      <c r="A140" s="63" t="str">
        <f t="shared" si="2"/>
        <v/>
      </c>
      <c r="B140" s="63"/>
      <c r="C140" s="62" t="str">
        <f>IF($B140="","",IFERROR(VLOOKUP($B140,'Application Portfolio'!$A$2:$B$1000,2,FALSE()),""))</f>
        <v/>
      </c>
      <c r="D140" s="66"/>
      <c r="E140" s="66"/>
      <c r="F140" s="66"/>
      <c r="G140" s="66"/>
      <c r="H140" s="66"/>
      <c r="I140" s="64" t="str">
        <f>IF(OR($B140="", $D140="", $E140="", $F140="", $G140="", $H140=""),"",ROUND(($D140*Lists!$AN$20)+($E140*Lists!$AN$21)+($F140*Lists!$AN$22)+($G140*Lists!$AN$23)+($H140*Lists!$AN$24),2))</f>
        <v/>
      </c>
      <c r="J140" s="62"/>
      <c r="K140" s="65"/>
      <c r="L140" s="62"/>
    </row>
    <row r="141" spans="1:12" ht="15.75" customHeight="1" x14ac:dyDescent="0.2">
      <c r="A141" s="63" t="str">
        <f t="shared" si="2"/>
        <v/>
      </c>
      <c r="B141" s="63"/>
      <c r="C141" s="62" t="str">
        <f>IF($B141="","",IFERROR(VLOOKUP($B141,'Application Portfolio'!$A$2:$B$1000,2,FALSE()),""))</f>
        <v/>
      </c>
      <c r="D141" s="66"/>
      <c r="E141" s="66"/>
      <c r="F141" s="66"/>
      <c r="G141" s="66"/>
      <c r="H141" s="66"/>
      <c r="I141" s="64" t="str">
        <f>IF(OR($B141="", $D141="", $E141="", $F141="", $G141="", $H141=""),"",ROUND(($D141*Lists!$AN$20)+($E141*Lists!$AN$21)+($F141*Lists!$AN$22)+($G141*Lists!$AN$23)+($H141*Lists!$AN$24),2))</f>
        <v/>
      </c>
      <c r="J141" s="62"/>
      <c r="K141" s="65"/>
      <c r="L141" s="62"/>
    </row>
    <row r="142" spans="1:12" ht="15.75" customHeight="1" x14ac:dyDescent="0.2">
      <c r="A142" s="63" t="str">
        <f t="shared" si="2"/>
        <v/>
      </c>
      <c r="B142" s="63"/>
      <c r="C142" s="62" t="str">
        <f>IF($B142="","",IFERROR(VLOOKUP($B142,'Application Portfolio'!$A$2:$B$1000,2,FALSE()),""))</f>
        <v/>
      </c>
      <c r="D142" s="66"/>
      <c r="E142" s="66"/>
      <c r="F142" s="66"/>
      <c r="G142" s="66"/>
      <c r="H142" s="66"/>
      <c r="I142" s="64" t="str">
        <f>IF(OR($B142="", $D142="", $E142="", $F142="", $G142="", $H142=""),"",ROUND(($D142*Lists!$AN$20)+($E142*Lists!$AN$21)+($F142*Lists!$AN$22)+($G142*Lists!$AN$23)+($H142*Lists!$AN$24),2))</f>
        <v/>
      </c>
      <c r="J142" s="62"/>
      <c r="K142" s="65"/>
      <c r="L142" s="62"/>
    </row>
    <row r="143" spans="1:12" ht="15.75" customHeight="1" x14ac:dyDescent="0.2">
      <c r="A143" s="63" t="str">
        <f t="shared" si="2"/>
        <v/>
      </c>
      <c r="B143" s="63"/>
      <c r="C143" s="62" t="str">
        <f>IF($B143="","",IFERROR(VLOOKUP($B143,'Application Portfolio'!$A$2:$B$1000,2,FALSE()),""))</f>
        <v/>
      </c>
      <c r="D143" s="66"/>
      <c r="E143" s="66"/>
      <c r="F143" s="66"/>
      <c r="G143" s="66"/>
      <c r="H143" s="66"/>
      <c r="I143" s="64" t="str">
        <f>IF(OR($B143="", $D143="", $E143="", $F143="", $G143="", $H143=""),"",ROUND(($D143*Lists!$AN$20)+($E143*Lists!$AN$21)+($F143*Lists!$AN$22)+($G143*Lists!$AN$23)+($H143*Lists!$AN$24),2))</f>
        <v/>
      </c>
      <c r="J143" s="62"/>
      <c r="K143" s="65"/>
      <c r="L143" s="62"/>
    </row>
    <row r="144" spans="1:12" ht="15.75" customHeight="1" x14ac:dyDescent="0.2">
      <c r="A144" s="63" t="str">
        <f t="shared" si="2"/>
        <v/>
      </c>
      <c r="B144" s="63"/>
      <c r="C144" s="62" t="str">
        <f>IF($B144="","",IFERROR(VLOOKUP($B144,'Application Portfolio'!$A$2:$B$1000,2,FALSE()),""))</f>
        <v/>
      </c>
      <c r="D144" s="66"/>
      <c r="E144" s="66"/>
      <c r="F144" s="66"/>
      <c r="G144" s="66"/>
      <c r="H144" s="66"/>
      <c r="I144" s="64" t="str">
        <f>IF(OR($B144="", $D144="", $E144="", $F144="", $G144="", $H144=""),"",ROUND(($D144*Lists!$AN$20)+($E144*Lists!$AN$21)+($F144*Lists!$AN$22)+($G144*Lists!$AN$23)+($H144*Lists!$AN$24),2))</f>
        <v/>
      </c>
      <c r="J144" s="62"/>
      <c r="K144" s="65"/>
      <c r="L144" s="62"/>
    </row>
    <row r="145" spans="1:12" ht="15.75" customHeight="1" x14ac:dyDescent="0.2">
      <c r="A145" s="63" t="str">
        <f t="shared" si="2"/>
        <v/>
      </c>
      <c r="B145" s="63"/>
      <c r="C145" s="62" t="str">
        <f>IF($B145="","",IFERROR(VLOOKUP($B145,'Application Portfolio'!$A$2:$B$1000,2,FALSE()),""))</f>
        <v/>
      </c>
      <c r="D145" s="66"/>
      <c r="E145" s="66"/>
      <c r="F145" s="66"/>
      <c r="G145" s="66"/>
      <c r="H145" s="66"/>
      <c r="I145" s="64" t="str">
        <f>IF(OR($B145="", $D145="", $E145="", $F145="", $G145="", $H145=""),"",ROUND(($D145*Lists!$AN$20)+($E145*Lists!$AN$21)+($F145*Lists!$AN$22)+($G145*Lists!$AN$23)+($H145*Lists!$AN$24),2))</f>
        <v/>
      </c>
      <c r="J145" s="62"/>
      <c r="K145" s="65"/>
      <c r="L145" s="62"/>
    </row>
    <row r="146" spans="1:12" ht="15.75" customHeight="1" x14ac:dyDescent="0.2">
      <c r="A146" s="63" t="str">
        <f t="shared" si="2"/>
        <v/>
      </c>
      <c r="B146" s="63"/>
      <c r="C146" s="62" t="str">
        <f>IF($B146="","",IFERROR(VLOOKUP($B146,'Application Portfolio'!$A$2:$B$1000,2,FALSE()),""))</f>
        <v/>
      </c>
      <c r="D146" s="66"/>
      <c r="E146" s="66"/>
      <c r="F146" s="66"/>
      <c r="G146" s="66"/>
      <c r="H146" s="66"/>
      <c r="I146" s="64" t="str">
        <f>IF(OR($B146="", $D146="", $E146="", $F146="", $G146="", $H146=""),"",ROUND(($D146*Lists!$AN$20)+($E146*Lists!$AN$21)+($F146*Lists!$AN$22)+($G146*Lists!$AN$23)+($H146*Lists!$AN$24),2))</f>
        <v/>
      </c>
      <c r="J146" s="62"/>
      <c r="K146" s="65"/>
      <c r="L146" s="62"/>
    </row>
    <row r="147" spans="1:12" ht="15.75" customHeight="1" x14ac:dyDescent="0.2">
      <c r="A147" s="63" t="str">
        <f t="shared" si="2"/>
        <v/>
      </c>
      <c r="B147" s="63"/>
      <c r="C147" s="62" t="str">
        <f>IF($B147="","",IFERROR(VLOOKUP($B147,'Application Portfolio'!$A$2:$B$1000,2,FALSE()),""))</f>
        <v/>
      </c>
      <c r="D147" s="66"/>
      <c r="E147" s="66"/>
      <c r="F147" s="66"/>
      <c r="G147" s="66"/>
      <c r="H147" s="66"/>
      <c r="I147" s="64" t="str">
        <f>IF(OR($B147="", $D147="", $E147="", $F147="", $G147="", $H147=""),"",ROUND(($D147*Lists!$AN$20)+($E147*Lists!$AN$21)+($F147*Lists!$AN$22)+($G147*Lists!$AN$23)+($H147*Lists!$AN$24),2))</f>
        <v/>
      </c>
      <c r="J147" s="62"/>
      <c r="K147" s="65"/>
      <c r="L147" s="62"/>
    </row>
    <row r="148" spans="1:12" ht="15.75" customHeight="1" x14ac:dyDescent="0.2">
      <c r="A148" s="63" t="str">
        <f t="shared" si="2"/>
        <v/>
      </c>
      <c r="B148" s="63"/>
      <c r="C148" s="62" t="str">
        <f>IF($B148="","",IFERROR(VLOOKUP($B148,'Application Portfolio'!$A$2:$B$1000,2,FALSE()),""))</f>
        <v/>
      </c>
      <c r="D148" s="66"/>
      <c r="E148" s="66"/>
      <c r="F148" s="66"/>
      <c r="G148" s="66"/>
      <c r="H148" s="66"/>
      <c r="I148" s="64" t="str">
        <f>IF(OR($B148="", $D148="", $E148="", $F148="", $G148="", $H148=""),"",ROUND(($D148*Lists!$AN$20)+($E148*Lists!$AN$21)+($F148*Lists!$AN$22)+($G148*Lists!$AN$23)+($H148*Lists!$AN$24),2))</f>
        <v/>
      </c>
      <c r="J148" s="62"/>
      <c r="K148" s="65"/>
      <c r="L148" s="62"/>
    </row>
    <row r="149" spans="1:12" ht="15.75" customHeight="1" x14ac:dyDescent="0.2">
      <c r="A149" s="63" t="str">
        <f t="shared" si="2"/>
        <v/>
      </c>
      <c r="B149" s="63"/>
      <c r="C149" s="62" t="str">
        <f>IF($B149="","",IFERROR(VLOOKUP($B149,'Application Portfolio'!$A$2:$B$1000,2,FALSE()),""))</f>
        <v/>
      </c>
      <c r="D149" s="66"/>
      <c r="E149" s="66"/>
      <c r="F149" s="66"/>
      <c r="G149" s="66"/>
      <c r="H149" s="66"/>
      <c r="I149" s="64" t="str">
        <f>IF(OR($B149="", $D149="", $E149="", $F149="", $G149="", $H149=""),"",ROUND(($D149*Lists!$AN$20)+($E149*Lists!$AN$21)+($F149*Lists!$AN$22)+($G149*Lists!$AN$23)+($H149*Lists!$AN$24),2))</f>
        <v/>
      </c>
      <c r="J149" s="62"/>
      <c r="K149" s="65"/>
      <c r="L149" s="62"/>
    </row>
    <row r="150" spans="1:12" ht="15.75" customHeight="1" x14ac:dyDescent="0.2">
      <c r="A150" s="63" t="str">
        <f t="shared" si="2"/>
        <v/>
      </c>
      <c r="B150" s="63"/>
      <c r="C150" s="62" t="str">
        <f>IF($B150="","",IFERROR(VLOOKUP($B150,'Application Portfolio'!$A$2:$B$1000,2,FALSE()),""))</f>
        <v/>
      </c>
      <c r="D150" s="66"/>
      <c r="E150" s="66"/>
      <c r="F150" s="66"/>
      <c r="G150" s="66"/>
      <c r="H150" s="66"/>
      <c r="I150" s="64" t="str">
        <f>IF(OR($B150="", $D150="", $E150="", $F150="", $G150="", $H150=""),"",ROUND(($D150*Lists!$AN$20)+($E150*Lists!$AN$21)+($F150*Lists!$AN$22)+($G150*Lists!$AN$23)+($H150*Lists!$AN$24),2))</f>
        <v/>
      </c>
      <c r="J150" s="62"/>
      <c r="K150" s="65"/>
      <c r="L150" s="62"/>
    </row>
    <row r="151" spans="1:12" ht="15.75" customHeight="1" x14ac:dyDescent="0.2">
      <c r="A151" s="63" t="str">
        <f t="shared" si="2"/>
        <v/>
      </c>
      <c r="B151" s="63"/>
      <c r="C151" s="62" t="str">
        <f>IF($B151="","",IFERROR(VLOOKUP($B151,'Application Portfolio'!$A$2:$B$1000,2,FALSE()),""))</f>
        <v/>
      </c>
      <c r="D151" s="66"/>
      <c r="E151" s="66"/>
      <c r="F151" s="66"/>
      <c r="G151" s="66"/>
      <c r="H151" s="66"/>
      <c r="I151" s="64" t="str">
        <f>IF(OR($B151="", $D151="", $E151="", $F151="", $G151="", $H151=""),"",ROUND(($D151*Lists!$AN$20)+($E151*Lists!$AN$21)+($F151*Lists!$AN$22)+($G151*Lists!$AN$23)+($H151*Lists!$AN$24),2))</f>
        <v/>
      </c>
      <c r="J151" s="62"/>
      <c r="K151" s="65"/>
      <c r="L151" s="62"/>
    </row>
    <row r="152" spans="1:12" ht="15.75" customHeight="1" x14ac:dyDescent="0.2">
      <c r="A152" s="63" t="str">
        <f t="shared" si="2"/>
        <v/>
      </c>
      <c r="B152" s="63"/>
      <c r="C152" s="62" t="str">
        <f>IF($B152="","",IFERROR(VLOOKUP($B152,'Application Portfolio'!$A$2:$B$1000,2,FALSE()),""))</f>
        <v/>
      </c>
      <c r="D152" s="66"/>
      <c r="E152" s="66"/>
      <c r="F152" s="66"/>
      <c r="G152" s="66"/>
      <c r="H152" s="66"/>
      <c r="I152" s="64" t="str">
        <f>IF(OR($B152="", $D152="", $E152="", $F152="", $G152="", $H152=""),"",ROUND(($D152*Lists!$AN$20)+($E152*Lists!$AN$21)+($F152*Lists!$AN$22)+($G152*Lists!$AN$23)+($H152*Lists!$AN$24),2))</f>
        <v/>
      </c>
      <c r="J152" s="62"/>
      <c r="K152" s="65"/>
      <c r="L152" s="62"/>
    </row>
    <row r="153" spans="1:12" ht="15.75" customHeight="1" x14ac:dyDescent="0.2">
      <c r="A153" s="63" t="str">
        <f t="shared" si="2"/>
        <v/>
      </c>
      <c r="B153" s="63"/>
      <c r="C153" s="62" t="str">
        <f>IF($B153="","",IFERROR(VLOOKUP($B153,'Application Portfolio'!$A$2:$B$1000,2,FALSE()),""))</f>
        <v/>
      </c>
      <c r="D153" s="66"/>
      <c r="E153" s="66"/>
      <c r="F153" s="66"/>
      <c r="G153" s="66"/>
      <c r="H153" s="66"/>
      <c r="I153" s="64" t="str">
        <f>IF(OR($B153="", $D153="", $E153="", $F153="", $G153="", $H153=""),"",ROUND(($D153*Lists!$AN$20)+($E153*Lists!$AN$21)+($F153*Lists!$AN$22)+($G153*Lists!$AN$23)+($H153*Lists!$AN$24),2))</f>
        <v/>
      </c>
      <c r="J153" s="62"/>
      <c r="K153" s="65"/>
      <c r="L153" s="62"/>
    </row>
    <row r="154" spans="1:12" ht="15.75" customHeight="1" x14ac:dyDescent="0.2">
      <c r="A154" s="63" t="str">
        <f t="shared" si="2"/>
        <v/>
      </c>
      <c r="B154" s="63"/>
      <c r="C154" s="62" t="str">
        <f>IF($B154="","",IFERROR(VLOOKUP($B154,'Application Portfolio'!$A$2:$B$1000,2,FALSE()),""))</f>
        <v/>
      </c>
      <c r="D154" s="66"/>
      <c r="E154" s="66"/>
      <c r="F154" s="66"/>
      <c r="G154" s="66"/>
      <c r="H154" s="66"/>
      <c r="I154" s="64" t="str">
        <f>IF(OR($B154="", $D154="", $E154="", $F154="", $G154="", $H154=""),"",ROUND(($D154*Lists!$AN$20)+($E154*Lists!$AN$21)+($F154*Lists!$AN$22)+($G154*Lists!$AN$23)+($H154*Lists!$AN$24),2))</f>
        <v/>
      </c>
      <c r="J154" s="62"/>
      <c r="K154" s="65"/>
      <c r="L154" s="62"/>
    </row>
    <row r="155" spans="1:12" ht="15.75" customHeight="1" x14ac:dyDescent="0.2">
      <c r="A155" s="63" t="str">
        <f t="shared" si="2"/>
        <v/>
      </c>
      <c r="B155" s="63"/>
      <c r="C155" s="62" t="str">
        <f>IF($B155="","",IFERROR(VLOOKUP($B155,'Application Portfolio'!$A$2:$B$1000,2,FALSE()),""))</f>
        <v/>
      </c>
      <c r="D155" s="66"/>
      <c r="E155" s="66"/>
      <c r="F155" s="66"/>
      <c r="G155" s="66"/>
      <c r="H155" s="66"/>
      <c r="I155" s="64" t="str">
        <f>IF(OR($B155="", $D155="", $E155="", $F155="", $G155="", $H155=""),"",ROUND(($D155*Lists!$AN$20)+($E155*Lists!$AN$21)+($F155*Lists!$AN$22)+($G155*Lists!$AN$23)+($H155*Lists!$AN$24),2))</f>
        <v/>
      </c>
      <c r="J155" s="62"/>
      <c r="K155" s="65"/>
      <c r="L155" s="62"/>
    </row>
    <row r="156" spans="1:12" ht="15.75" customHeight="1" x14ac:dyDescent="0.2">
      <c r="A156" s="63" t="str">
        <f t="shared" si="2"/>
        <v/>
      </c>
      <c r="B156" s="63"/>
      <c r="C156" s="62" t="str">
        <f>IF($B156="","",IFERROR(VLOOKUP($B156,'Application Portfolio'!$A$2:$B$1000,2,FALSE()),""))</f>
        <v/>
      </c>
      <c r="D156" s="66"/>
      <c r="E156" s="66"/>
      <c r="F156" s="66"/>
      <c r="G156" s="66"/>
      <c r="H156" s="66"/>
      <c r="I156" s="64" t="str">
        <f>IF(OR($B156="", $D156="", $E156="", $F156="", $G156="", $H156=""),"",ROUND(($D156*Lists!$AN$20)+($E156*Lists!$AN$21)+($F156*Lists!$AN$22)+($G156*Lists!$AN$23)+($H156*Lists!$AN$24),2))</f>
        <v/>
      </c>
      <c r="J156" s="62"/>
      <c r="K156" s="65"/>
      <c r="L156" s="62"/>
    </row>
    <row r="157" spans="1:12" ht="15.75" customHeight="1" x14ac:dyDescent="0.2">
      <c r="A157" s="63" t="str">
        <f t="shared" si="2"/>
        <v/>
      </c>
      <c r="B157" s="63"/>
      <c r="C157" s="62" t="str">
        <f>IF($B157="","",IFERROR(VLOOKUP($B157,'Application Portfolio'!$A$2:$B$1000,2,FALSE()),""))</f>
        <v/>
      </c>
      <c r="D157" s="66"/>
      <c r="E157" s="66"/>
      <c r="F157" s="66"/>
      <c r="G157" s="66"/>
      <c r="H157" s="66"/>
      <c r="I157" s="64" t="str">
        <f>IF(OR($B157="", $D157="", $E157="", $F157="", $G157="", $H157=""),"",ROUND(($D157*Lists!$AN$20)+($E157*Lists!$AN$21)+($F157*Lists!$AN$22)+($G157*Lists!$AN$23)+($H157*Lists!$AN$24),2))</f>
        <v/>
      </c>
      <c r="J157" s="62"/>
      <c r="K157" s="65"/>
      <c r="L157" s="62"/>
    </row>
    <row r="158" spans="1:12" ht="15.75" customHeight="1" x14ac:dyDescent="0.2">
      <c r="A158" s="63" t="str">
        <f t="shared" si="2"/>
        <v/>
      </c>
      <c r="B158" s="63"/>
      <c r="C158" s="62" t="str">
        <f>IF($B158="","",IFERROR(VLOOKUP($B158,'Application Portfolio'!$A$2:$B$1000,2,FALSE()),""))</f>
        <v/>
      </c>
      <c r="D158" s="66"/>
      <c r="E158" s="66"/>
      <c r="F158" s="66"/>
      <c r="G158" s="66"/>
      <c r="H158" s="66"/>
      <c r="I158" s="64" t="str">
        <f>IF(OR($B158="", $D158="", $E158="", $F158="", $G158="", $H158=""),"",ROUND(($D158*Lists!$AN$20)+($E158*Lists!$AN$21)+($F158*Lists!$AN$22)+($G158*Lists!$AN$23)+($H158*Lists!$AN$24),2))</f>
        <v/>
      </c>
      <c r="J158" s="62"/>
      <c r="K158" s="65"/>
      <c r="L158" s="62"/>
    </row>
    <row r="159" spans="1:12" ht="15.75" customHeight="1" x14ac:dyDescent="0.2">
      <c r="A159" s="63" t="str">
        <f t="shared" si="2"/>
        <v/>
      </c>
      <c r="B159" s="63"/>
      <c r="C159" s="62" t="str">
        <f>IF($B159="","",IFERROR(VLOOKUP($B159,'Application Portfolio'!$A$2:$B$1000,2,FALSE()),""))</f>
        <v/>
      </c>
      <c r="D159" s="66"/>
      <c r="E159" s="66"/>
      <c r="F159" s="66"/>
      <c r="G159" s="66"/>
      <c r="H159" s="66"/>
      <c r="I159" s="64" t="str">
        <f>IF(OR($B159="", $D159="", $E159="", $F159="", $G159="", $H159=""),"",ROUND(($D159*Lists!$AN$20)+($E159*Lists!$AN$21)+($F159*Lists!$AN$22)+($G159*Lists!$AN$23)+($H159*Lists!$AN$24),2))</f>
        <v/>
      </c>
      <c r="J159" s="62"/>
      <c r="K159" s="65"/>
      <c r="L159" s="62"/>
    </row>
    <row r="160" spans="1:12" ht="15.75" customHeight="1" x14ac:dyDescent="0.2">
      <c r="A160" s="63" t="str">
        <f t="shared" ref="A160:A223" si="3">IF($B160="","", "R-" &amp; RIGHT("0000"&amp;ROW()-1,4))</f>
        <v/>
      </c>
      <c r="B160" s="63"/>
      <c r="C160" s="62" t="str">
        <f>IF($B160="","",IFERROR(VLOOKUP($B160,'Application Portfolio'!$A$2:$B$1000,2,FALSE()),""))</f>
        <v/>
      </c>
      <c r="D160" s="66"/>
      <c r="E160" s="66"/>
      <c r="F160" s="66"/>
      <c r="G160" s="66"/>
      <c r="H160" s="66"/>
      <c r="I160" s="64" t="str">
        <f>IF(OR($B160="", $D160="", $E160="", $F160="", $G160="", $H160=""),"",ROUND(($D160*Lists!$AN$20)+($E160*Lists!$AN$21)+($F160*Lists!$AN$22)+($G160*Lists!$AN$23)+($H160*Lists!$AN$24),2))</f>
        <v/>
      </c>
      <c r="J160" s="62"/>
      <c r="K160" s="65"/>
      <c r="L160" s="62"/>
    </row>
    <row r="161" spans="1:12" ht="15.75" customHeight="1" x14ac:dyDescent="0.2">
      <c r="A161" s="63" t="str">
        <f t="shared" si="3"/>
        <v/>
      </c>
      <c r="B161" s="63"/>
      <c r="C161" s="62" t="str">
        <f>IF($B161="","",IFERROR(VLOOKUP($B161,'Application Portfolio'!$A$2:$B$1000,2,FALSE()),""))</f>
        <v/>
      </c>
      <c r="D161" s="66"/>
      <c r="E161" s="66"/>
      <c r="F161" s="66"/>
      <c r="G161" s="66"/>
      <c r="H161" s="66"/>
      <c r="I161" s="64" t="str">
        <f>IF(OR($B161="", $D161="", $E161="", $F161="", $G161="", $H161=""),"",ROUND(($D161*Lists!$AN$20)+($E161*Lists!$AN$21)+($F161*Lists!$AN$22)+($G161*Lists!$AN$23)+($H161*Lists!$AN$24),2))</f>
        <v/>
      </c>
      <c r="J161" s="62"/>
      <c r="K161" s="65"/>
      <c r="L161" s="62"/>
    </row>
    <row r="162" spans="1:12" ht="15.75" customHeight="1" x14ac:dyDescent="0.2">
      <c r="A162" s="63" t="str">
        <f t="shared" si="3"/>
        <v/>
      </c>
      <c r="B162" s="63"/>
      <c r="C162" s="62" t="str">
        <f>IF($B162="","",IFERROR(VLOOKUP($B162,'Application Portfolio'!$A$2:$B$1000,2,FALSE()),""))</f>
        <v/>
      </c>
      <c r="D162" s="66"/>
      <c r="E162" s="66"/>
      <c r="F162" s="66"/>
      <c r="G162" s="66"/>
      <c r="H162" s="66"/>
      <c r="I162" s="64" t="str">
        <f>IF(OR($B162="", $D162="", $E162="", $F162="", $G162="", $H162=""),"",ROUND(($D162*Lists!$AN$20)+($E162*Lists!$AN$21)+($F162*Lists!$AN$22)+($G162*Lists!$AN$23)+($H162*Lists!$AN$24),2))</f>
        <v/>
      </c>
      <c r="J162" s="62"/>
      <c r="K162" s="65"/>
      <c r="L162" s="62"/>
    </row>
    <row r="163" spans="1:12" ht="15.75" customHeight="1" x14ac:dyDescent="0.2">
      <c r="A163" s="63" t="str">
        <f t="shared" si="3"/>
        <v/>
      </c>
      <c r="B163" s="63"/>
      <c r="C163" s="62" t="str">
        <f>IF($B163="","",IFERROR(VLOOKUP($B163,'Application Portfolio'!$A$2:$B$1000,2,FALSE()),""))</f>
        <v/>
      </c>
      <c r="D163" s="66"/>
      <c r="E163" s="66"/>
      <c r="F163" s="66"/>
      <c r="G163" s="66"/>
      <c r="H163" s="66"/>
      <c r="I163" s="64" t="str">
        <f>IF(OR($B163="", $D163="", $E163="", $F163="", $G163="", $H163=""),"",ROUND(($D163*Lists!$AN$20)+($E163*Lists!$AN$21)+($F163*Lists!$AN$22)+($G163*Lists!$AN$23)+($H163*Lists!$AN$24),2))</f>
        <v/>
      </c>
      <c r="J163" s="62"/>
      <c r="K163" s="65"/>
      <c r="L163" s="62"/>
    </row>
    <row r="164" spans="1:12" ht="15.75" customHeight="1" x14ac:dyDescent="0.2">
      <c r="A164" s="63" t="str">
        <f t="shared" si="3"/>
        <v/>
      </c>
      <c r="B164" s="63"/>
      <c r="C164" s="62" t="str">
        <f>IF($B164="","",IFERROR(VLOOKUP($B164,'Application Portfolio'!$A$2:$B$1000,2,FALSE()),""))</f>
        <v/>
      </c>
      <c r="D164" s="66"/>
      <c r="E164" s="66"/>
      <c r="F164" s="66"/>
      <c r="G164" s="66"/>
      <c r="H164" s="66"/>
      <c r="I164" s="64" t="str">
        <f>IF(OR($B164="", $D164="", $E164="", $F164="", $G164="", $H164=""),"",ROUND(($D164*Lists!$AN$20)+($E164*Lists!$AN$21)+($F164*Lists!$AN$22)+($G164*Lists!$AN$23)+($H164*Lists!$AN$24),2))</f>
        <v/>
      </c>
      <c r="J164" s="62"/>
      <c r="K164" s="65"/>
      <c r="L164" s="62"/>
    </row>
    <row r="165" spans="1:12" ht="15.75" customHeight="1" x14ac:dyDescent="0.2">
      <c r="A165" s="63" t="str">
        <f t="shared" si="3"/>
        <v/>
      </c>
      <c r="B165" s="63"/>
      <c r="C165" s="62" t="str">
        <f>IF($B165="","",IFERROR(VLOOKUP($B165,'Application Portfolio'!$A$2:$B$1000,2,FALSE()),""))</f>
        <v/>
      </c>
      <c r="D165" s="66"/>
      <c r="E165" s="66"/>
      <c r="F165" s="66"/>
      <c r="G165" s="66"/>
      <c r="H165" s="66"/>
      <c r="I165" s="64" t="str">
        <f>IF(OR($B165="", $D165="", $E165="", $F165="", $G165="", $H165=""),"",ROUND(($D165*Lists!$AN$20)+($E165*Lists!$AN$21)+($F165*Lists!$AN$22)+($G165*Lists!$AN$23)+($H165*Lists!$AN$24),2))</f>
        <v/>
      </c>
      <c r="J165" s="62"/>
      <c r="K165" s="65"/>
      <c r="L165" s="62"/>
    </row>
    <row r="166" spans="1:12" ht="15.75" customHeight="1" x14ac:dyDescent="0.2">
      <c r="A166" s="63" t="str">
        <f t="shared" si="3"/>
        <v/>
      </c>
      <c r="B166" s="63"/>
      <c r="C166" s="62" t="str">
        <f>IF($B166="","",IFERROR(VLOOKUP($B166,'Application Portfolio'!$A$2:$B$1000,2,FALSE()),""))</f>
        <v/>
      </c>
      <c r="D166" s="66"/>
      <c r="E166" s="66"/>
      <c r="F166" s="66"/>
      <c r="G166" s="66"/>
      <c r="H166" s="66"/>
      <c r="I166" s="64" t="str">
        <f>IF(OR($B166="", $D166="", $E166="", $F166="", $G166="", $H166=""),"",ROUND(($D166*Lists!$AN$20)+($E166*Lists!$AN$21)+($F166*Lists!$AN$22)+($G166*Lists!$AN$23)+($H166*Lists!$AN$24),2))</f>
        <v/>
      </c>
      <c r="J166" s="62"/>
      <c r="K166" s="65"/>
      <c r="L166" s="62"/>
    </row>
    <row r="167" spans="1:12" ht="15.75" customHeight="1" x14ac:dyDescent="0.2">
      <c r="A167" s="63" t="str">
        <f t="shared" si="3"/>
        <v/>
      </c>
      <c r="B167" s="63"/>
      <c r="C167" s="62" t="str">
        <f>IF($B167="","",IFERROR(VLOOKUP($B167,'Application Portfolio'!$A$2:$B$1000,2,FALSE()),""))</f>
        <v/>
      </c>
      <c r="D167" s="66"/>
      <c r="E167" s="66"/>
      <c r="F167" s="66"/>
      <c r="G167" s="66"/>
      <c r="H167" s="66"/>
      <c r="I167" s="64" t="str">
        <f>IF(OR($B167="", $D167="", $E167="", $F167="", $G167="", $H167=""),"",ROUND(($D167*Lists!$AN$20)+($E167*Lists!$AN$21)+($F167*Lists!$AN$22)+($G167*Lists!$AN$23)+($H167*Lists!$AN$24),2))</f>
        <v/>
      </c>
      <c r="J167" s="62"/>
      <c r="K167" s="65"/>
      <c r="L167" s="62"/>
    </row>
    <row r="168" spans="1:12" ht="15.75" customHeight="1" x14ac:dyDescent="0.2">
      <c r="A168" s="63" t="str">
        <f t="shared" si="3"/>
        <v/>
      </c>
      <c r="B168" s="63"/>
      <c r="C168" s="62" t="str">
        <f>IF($B168="","",IFERROR(VLOOKUP($B168,'Application Portfolio'!$A$2:$B$1000,2,FALSE()),""))</f>
        <v/>
      </c>
      <c r="D168" s="66"/>
      <c r="E168" s="66"/>
      <c r="F168" s="66"/>
      <c r="G168" s="66"/>
      <c r="H168" s="66"/>
      <c r="I168" s="64" t="str">
        <f>IF(OR($B168="", $D168="", $E168="", $F168="", $G168="", $H168=""),"",ROUND(($D168*Lists!$AN$20)+($E168*Lists!$AN$21)+($F168*Lists!$AN$22)+($G168*Lists!$AN$23)+($H168*Lists!$AN$24),2))</f>
        <v/>
      </c>
      <c r="J168" s="62"/>
      <c r="K168" s="65"/>
      <c r="L168" s="62"/>
    </row>
    <row r="169" spans="1:12" ht="15.75" customHeight="1" x14ac:dyDescent="0.2">
      <c r="A169" s="63" t="str">
        <f t="shared" si="3"/>
        <v/>
      </c>
      <c r="B169" s="63"/>
      <c r="C169" s="62" t="str">
        <f>IF($B169="","",IFERROR(VLOOKUP($B169,'Application Portfolio'!$A$2:$B$1000,2,FALSE()),""))</f>
        <v/>
      </c>
      <c r="D169" s="66"/>
      <c r="E169" s="66"/>
      <c r="F169" s="66"/>
      <c r="G169" s="66"/>
      <c r="H169" s="66"/>
      <c r="I169" s="64" t="str">
        <f>IF(OR($B169="", $D169="", $E169="", $F169="", $G169="", $H169=""),"",ROUND(($D169*Lists!$AN$20)+($E169*Lists!$AN$21)+($F169*Lists!$AN$22)+($G169*Lists!$AN$23)+($H169*Lists!$AN$24),2))</f>
        <v/>
      </c>
      <c r="J169" s="62"/>
      <c r="K169" s="65"/>
      <c r="L169" s="62"/>
    </row>
    <row r="170" spans="1:12" ht="15.75" customHeight="1" x14ac:dyDescent="0.2">
      <c r="A170" s="63" t="str">
        <f t="shared" si="3"/>
        <v/>
      </c>
      <c r="B170" s="63"/>
      <c r="C170" s="62" t="str">
        <f>IF($B170="","",IFERROR(VLOOKUP($B170,'Application Portfolio'!$A$2:$B$1000,2,FALSE()),""))</f>
        <v/>
      </c>
      <c r="D170" s="66"/>
      <c r="E170" s="66"/>
      <c r="F170" s="66"/>
      <c r="G170" s="66"/>
      <c r="H170" s="66"/>
      <c r="I170" s="64" t="str">
        <f>IF(OR($B170="", $D170="", $E170="", $F170="", $G170="", $H170=""),"",ROUND(($D170*Lists!$AN$20)+($E170*Lists!$AN$21)+($F170*Lists!$AN$22)+($G170*Lists!$AN$23)+($H170*Lists!$AN$24),2))</f>
        <v/>
      </c>
      <c r="J170" s="62"/>
      <c r="K170" s="65"/>
      <c r="L170" s="62"/>
    </row>
    <row r="171" spans="1:12" ht="15.75" customHeight="1" x14ac:dyDescent="0.2">
      <c r="A171" s="63" t="str">
        <f t="shared" si="3"/>
        <v/>
      </c>
      <c r="B171" s="63"/>
      <c r="C171" s="62" t="str">
        <f>IF($B171="","",IFERROR(VLOOKUP($B171,'Application Portfolio'!$A$2:$B$1000,2,FALSE()),""))</f>
        <v/>
      </c>
      <c r="D171" s="66"/>
      <c r="E171" s="66"/>
      <c r="F171" s="66"/>
      <c r="G171" s="66"/>
      <c r="H171" s="66"/>
      <c r="I171" s="64" t="str">
        <f>IF(OR($B171="", $D171="", $E171="", $F171="", $G171="", $H171=""),"",ROUND(($D171*Lists!$AN$20)+($E171*Lists!$AN$21)+($F171*Lists!$AN$22)+($G171*Lists!$AN$23)+($H171*Lists!$AN$24),2))</f>
        <v/>
      </c>
      <c r="J171" s="62"/>
      <c r="K171" s="65"/>
      <c r="L171" s="62"/>
    </row>
    <row r="172" spans="1:12" ht="15.75" customHeight="1" x14ac:dyDescent="0.2">
      <c r="A172" s="63" t="str">
        <f t="shared" si="3"/>
        <v/>
      </c>
      <c r="B172" s="63"/>
      <c r="C172" s="62" t="str">
        <f>IF($B172="","",IFERROR(VLOOKUP($B172,'Application Portfolio'!$A$2:$B$1000,2,FALSE()),""))</f>
        <v/>
      </c>
      <c r="D172" s="66"/>
      <c r="E172" s="66"/>
      <c r="F172" s="66"/>
      <c r="G172" s="66"/>
      <c r="H172" s="66"/>
      <c r="I172" s="64" t="str">
        <f>IF(OR($B172="", $D172="", $E172="", $F172="", $G172="", $H172=""),"",ROUND(($D172*Lists!$AN$20)+($E172*Lists!$AN$21)+($F172*Lists!$AN$22)+($G172*Lists!$AN$23)+($H172*Lists!$AN$24),2))</f>
        <v/>
      </c>
      <c r="J172" s="62"/>
      <c r="K172" s="65"/>
      <c r="L172" s="62"/>
    </row>
    <row r="173" spans="1:12" ht="15.75" customHeight="1" x14ac:dyDescent="0.2">
      <c r="A173" s="63" t="str">
        <f t="shared" si="3"/>
        <v/>
      </c>
      <c r="B173" s="63"/>
      <c r="C173" s="62" t="str">
        <f>IF($B173="","",IFERROR(VLOOKUP($B173,'Application Portfolio'!$A$2:$B$1000,2,FALSE()),""))</f>
        <v/>
      </c>
      <c r="D173" s="66"/>
      <c r="E173" s="66"/>
      <c r="F173" s="66"/>
      <c r="G173" s="66"/>
      <c r="H173" s="66"/>
      <c r="I173" s="64" t="str">
        <f>IF(OR($B173="", $D173="", $E173="", $F173="", $G173="", $H173=""),"",ROUND(($D173*Lists!$AN$20)+($E173*Lists!$AN$21)+($F173*Lists!$AN$22)+($G173*Lists!$AN$23)+($H173*Lists!$AN$24),2))</f>
        <v/>
      </c>
      <c r="J173" s="62"/>
      <c r="K173" s="65"/>
      <c r="L173" s="62"/>
    </row>
    <row r="174" spans="1:12" ht="15.75" customHeight="1" x14ac:dyDescent="0.2">
      <c r="A174" s="63" t="str">
        <f t="shared" si="3"/>
        <v/>
      </c>
      <c r="B174" s="63"/>
      <c r="C174" s="62" t="str">
        <f>IF($B174="","",IFERROR(VLOOKUP($B174,'Application Portfolio'!$A$2:$B$1000,2,FALSE()),""))</f>
        <v/>
      </c>
      <c r="D174" s="66"/>
      <c r="E174" s="66"/>
      <c r="F174" s="66"/>
      <c r="G174" s="66"/>
      <c r="H174" s="66"/>
      <c r="I174" s="64" t="str">
        <f>IF(OR($B174="", $D174="", $E174="", $F174="", $G174="", $H174=""),"",ROUND(($D174*Lists!$AN$20)+($E174*Lists!$AN$21)+($F174*Lists!$AN$22)+($G174*Lists!$AN$23)+($H174*Lists!$AN$24),2))</f>
        <v/>
      </c>
      <c r="J174" s="62"/>
      <c r="K174" s="65"/>
      <c r="L174" s="62"/>
    </row>
    <row r="175" spans="1:12" ht="15.75" customHeight="1" x14ac:dyDescent="0.2">
      <c r="A175" s="63" t="str">
        <f t="shared" si="3"/>
        <v/>
      </c>
      <c r="B175" s="63"/>
      <c r="C175" s="62" t="str">
        <f>IF($B175="","",IFERROR(VLOOKUP($B175,'Application Portfolio'!$A$2:$B$1000,2,FALSE()),""))</f>
        <v/>
      </c>
      <c r="D175" s="66"/>
      <c r="E175" s="66"/>
      <c r="F175" s="66"/>
      <c r="G175" s="66"/>
      <c r="H175" s="66"/>
      <c r="I175" s="64" t="str">
        <f>IF(OR($B175="", $D175="", $E175="", $F175="", $G175="", $H175=""),"",ROUND(($D175*Lists!$AN$20)+($E175*Lists!$AN$21)+($F175*Lists!$AN$22)+($G175*Lists!$AN$23)+($H175*Lists!$AN$24),2))</f>
        <v/>
      </c>
      <c r="J175" s="62"/>
      <c r="K175" s="65"/>
      <c r="L175" s="62"/>
    </row>
    <row r="176" spans="1:12" ht="15.75" customHeight="1" x14ac:dyDescent="0.2">
      <c r="A176" s="63" t="str">
        <f t="shared" si="3"/>
        <v/>
      </c>
      <c r="B176" s="63"/>
      <c r="C176" s="62" t="str">
        <f>IF($B176="","",IFERROR(VLOOKUP($B176,'Application Portfolio'!$A$2:$B$1000,2,FALSE()),""))</f>
        <v/>
      </c>
      <c r="D176" s="66"/>
      <c r="E176" s="66"/>
      <c r="F176" s="66"/>
      <c r="G176" s="66"/>
      <c r="H176" s="66"/>
      <c r="I176" s="64" t="str">
        <f>IF(OR($B176="", $D176="", $E176="", $F176="", $G176="", $H176=""),"",ROUND(($D176*Lists!$AN$20)+($E176*Lists!$AN$21)+($F176*Lists!$AN$22)+($G176*Lists!$AN$23)+($H176*Lists!$AN$24),2))</f>
        <v/>
      </c>
      <c r="J176" s="62"/>
      <c r="K176" s="65"/>
      <c r="L176" s="62"/>
    </row>
    <row r="177" spans="1:12" ht="15.75" customHeight="1" x14ac:dyDescent="0.2">
      <c r="A177" s="63" t="str">
        <f t="shared" si="3"/>
        <v/>
      </c>
      <c r="B177" s="63"/>
      <c r="C177" s="62" t="str">
        <f>IF($B177="","",IFERROR(VLOOKUP($B177,'Application Portfolio'!$A$2:$B$1000,2,FALSE()),""))</f>
        <v/>
      </c>
      <c r="D177" s="66"/>
      <c r="E177" s="66"/>
      <c r="F177" s="66"/>
      <c r="G177" s="66"/>
      <c r="H177" s="66"/>
      <c r="I177" s="64" t="str">
        <f>IF(OR($B177="", $D177="", $E177="", $F177="", $G177="", $H177=""),"",ROUND(($D177*Lists!$AN$20)+($E177*Lists!$AN$21)+($F177*Lists!$AN$22)+($G177*Lists!$AN$23)+($H177*Lists!$AN$24),2))</f>
        <v/>
      </c>
      <c r="J177" s="62"/>
      <c r="K177" s="65"/>
      <c r="L177" s="62"/>
    </row>
    <row r="178" spans="1:12" ht="15.75" customHeight="1" x14ac:dyDescent="0.2">
      <c r="A178" s="63" t="str">
        <f t="shared" si="3"/>
        <v/>
      </c>
      <c r="B178" s="63"/>
      <c r="C178" s="62" t="str">
        <f>IF($B178="","",IFERROR(VLOOKUP($B178,'Application Portfolio'!$A$2:$B$1000,2,FALSE()),""))</f>
        <v/>
      </c>
      <c r="D178" s="66"/>
      <c r="E178" s="66"/>
      <c r="F178" s="66"/>
      <c r="G178" s="66"/>
      <c r="H178" s="66"/>
      <c r="I178" s="64" t="str">
        <f>IF(OR($B178="", $D178="", $E178="", $F178="", $G178="", $H178=""),"",ROUND(($D178*Lists!$AN$20)+($E178*Lists!$AN$21)+($F178*Lists!$AN$22)+($G178*Lists!$AN$23)+($H178*Lists!$AN$24),2))</f>
        <v/>
      </c>
      <c r="J178" s="62"/>
      <c r="K178" s="65"/>
      <c r="L178" s="62"/>
    </row>
    <row r="179" spans="1:12" ht="15.75" customHeight="1" x14ac:dyDescent="0.2">
      <c r="A179" s="63" t="str">
        <f t="shared" si="3"/>
        <v/>
      </c>
      <c r="B179" s="63"/>
      <c r="C179" s="62" t="str">
        <f>IF($B179="","",IFERROR(VLOOKUP($B179,'Application Portfolio'!$A$2:$B$1000,2,FALSE()),""))</f>
        <v/>
      </c>
      <c r="D179" s="66"/>
      <c r="E179" s="66"/>
      <c r="F179" s="66"/>
      <c r="G179" s="66"/>
      <c r="H179" s="66"/>
      <c r="I179" s="64" t="str">
        <f>IF(OR($B179="", $D179="", $E179="", $F179="", $G179="", $H179=""),"",ROUND(($D179*Lists!$AN$20)+($E179*Lists!$AN$21)+($F179*Lists!$AN$22)+($G179*Lists!$AN$23)+($H179*Lists!$AN$24),2))</f>
        <v/>
      </c>
      <c r="J179" s="62"/>
      <c r="K179" s="65"/>
      <c r="L179" s="62"/>
    </row>
    <row r="180" spans="1:12" ht="15.75" customHeight="1" x14ac:dyDescent="0.2">
      <c r="A180" s="63" t="str">
        <f t="shared" si="3"/>
        <v/>
      </c>
      <c r="B180" s="63"/>
      <c r="C180" s="62" t="str">
        <f>IF($B180="","",IFERROR(VLOOKUP($B180,'Application Portfolio'!$A$2:$B$1000,2,FALSE()),""))</f>
        <v/>
      </c>
      <c r="D180" s="66"/>
      <c r="E180" s="66"/>
      <c r="F180" s="66"/>
      <c r="G180" s="66"/>
      <c r="H180" s="66"/>
      <c r="I180" s="64" t="str">
        <f>IF(OR($B180="", $D180="", $E180="", $F180="", $G180="", $H180=""),"",ROUND(($D180*Lists!$AN$20)+($E180*Lists!$AN$21)+($F180*Lists!$AN$22)+($G180*Lists!$AN$23)+($H180*Lists!$AN$24),2))</f>
        <v/>
      </c>
      <c r="J180" s="62"/>
      <c r="K180" s="65"/>
      <c r="L180" s="62"/>
    </row>
    <row r="181" spans="1:12" ht="15.75" customHeight="1" x14ac:dyDescent="0.2">
      <c r="A181" s="63" t="str">
        <f t="shared" si="3"/>
        <v/>
      </c>
      <c r="B181" s="63"/>
      <c r="C181" s="62" t="str">
        <f>IF($B181="","",IFERROR(VLOOKUP($B181,'Application Portfolio'!$A$2:$B$1000,2,FALSE()),""))</f>
        <v/>
      </c>
      <c r="D181" s="66"/>
      <c r="E181" s="66"/>
      <c r="F181" s="66"/>
      <c r="G181" s="66"/>
      <c r="H181" s="66"/>
      <c r="I181" s="64" t="str">
        <f>IF(OR($B181="", $D181="", $E181="", $F181="", $G181="", $H181=""),"",ROUND(($D181*Lists!$AN$20)+($E181*Lists!$AN$21)+($F181*Lists!$AN$22)+($G181*Lists!$AN$23)+($H181*Lists!$AN$24),2))</f>
        <v/>
      </c>
      <c r="J181" s="62"/>
      <c r="K181" s="65"/>
      <c r="L181" s="62"/>
    </row>
    <row r="182" spans="1:12" ht="15.75" customHeight="1" x14ac:dyDescent="0.2">
      <c r="A182" s="63" t="str">
        <f t="shared" si="3"/>
        <v/>
      </c>
      <c r="B182" s="63"/>
      <c r="C182" s="62" t="str">
        <f>IF($B182="","",IFERROR(VLOOKUP($B182,'Application Portfolio'!$A$2:$B$1000,2,FALSE()),""))</f>
        <v/>
      </c>
      <c r="D182" s="66"/>
      <c r="E182" s="66"/>
      <c r="F182" s="66"/>
      <c r="G182" s="66"/>
      <c r="H182" s="66"/>
      <c r="I182" s="64" t="str">
        <f>IF(OR($B182="", $D182="", $E182="", $F182="", $G182="", $H182=""),"",ROUND(($D182*Lists!$AN$20)+($E182*Lists!$AN$21)+($F182*Lists!$AN$22)+($G182*Lists!$AN$23)+($H182*Lists!$AN$24),2))</f>
        <v/>
      </c>
      <c r="J182" s="62"/>
      <c r="K182" s="65"/>
      <c r="L182" s="62"/>
    </row>
    <row r="183" spans="1:12" ht="15.75" customHeight="1" x14ac:dyDescent="0.2">
      <c r="A183" s="63" t="str">
        <f t="shared" si="3"/>
        <v/>
      </c>
      <c r="B183" s="63"/>
      <c r="C183" s="62" t="str">
        <f>IF($B183="","",IFERROR(VLOOKUP($B183,'Application Portfolio'!$A$2:$B$1000,2,FALSE()),""))</f>
        <v/>
      </c>
      <c r="D183" s="66"/>
      <c r="E183" s="66"/>
      <c r="F183" s="66"/>
      <c r="G183" s="66"/>
      <c r="H183" s="66"/>
      <c r="I183" s="64" t="str">
        <f>IF(OR($B183="", $D183="", $E183="", $F183="", $G183="", $H183=""),"",ROUND(($D183*Lists!$AN$20)+($E183*Lists!$AN$21)+($F183*Lists!$AN$22)+($G183*Lists!$AN$23)+($H183*Lists!$AN$24),2))</f>
        <v/>
      </c>
      <c r="J183" s="62"/>
      <c r="K183" s="65"/>
      <c r="L183" s="62"/>
    </row>
    <row r="184" spans="1:12" ht="15.75" customHeight="1" x14ac:dyDescent="0.2">
      <c r="A184" s="63" t="str">
        <f t="shared" si="3"/>
        <v/>
      </c>
      <c r="B184" s="63"/>
      <c r="C184" s="62" t="str">
        <f>IF($B184="","",IFERROR(VLOOKUP($B184,'Application Portfolio'!$A$2:$B$1000,2,FALSE()),""))</f>
        <v/>
      </c>
      <c r="D184" s="66"/>
      <c r="E184" s="66"/>
      <c r="F184" s="66"/>
      <c r="G184" s="66"/>
      <c r="H184" s="66"/>
      <c r="I184" s="64" t="str">
        <f>IF(OR($B184="", $D184="", $E184="", $F184="", $G184="", $H184=""),"",ROUND(($D184*Lists!$AN$20)+($E184*Lists!$AN$21)+($F184*Lists!$AN$22)+($G184*Lists!$AN$23)+($H184*Lists!$AN$24),2))</f>
        <v/>
      </c>
      <c r="J184" s="62"/>
      <c r="K184" s="65"/>
      <c r="L184" s="62"/>
    </row>
    <row r="185" spans="1:12" ht="15.75" customHeight="1" x14ac:dyDescent="0.2">
      <c r="A185" s="63" t="str">
        <f t="shared" si="3"/>
        <v/>
      </c>
      <c r="B185" s="63"/>
      <c r="C185" s="62" t="str">
        <f>IF($B185="","",IFERROR(VLOOKUP($B185,'Application Portfolio'!$A$2:$B$1000,2,FALSE()),""))</f>
        <v/>
      </c>
      <c r="D185" s="66"/>
      <c r="E185" s="66"/>
      <c r="F185" s="66"/>
      <c r="G185" s="66"/>
      <c r="H185" s="66"/>
      <c r="I185" s="64" t="str">
        <f>IF(OR($B185="", $D185="", $E185="", $F185="", $G185="", $H185=""),"",ROUND(($D185*Lists!$AN$20)+($E185*Lists!$AN$21)+($F185*Lists!$AN$22)+($G185*Lists!$AN$23)+($H185*Lists!$AN$24),2))</f>
        <v/>
      </c>
      <c r="J185" s="62"/>
      <c r="K185" s="65"/>
      <c r="L185" s="62"/>
    </row>
    <row r="186" spans="1:12" ht="15.75" customHeight="1" x14ac:dyDescent="0.2">
      <c r="A186" s="63" t="str">
        <f t="shared" si="3"/>
        <v/>
      </c>
      <c r="B186" s="63"/>
      <c r="C186" s="62" t="str">
        <f>IF($B186="","",IFERROR(VLOOKUP($B186,'Application Portfolio'!$A$2:$B$1000,2,FALSE()),""))</f>
        <v/>
      </c>
      <c r="D186" s="66"/>
      <c r="E186" s="66"/>
      <c r="F186" s="66"/>
      <c r="G186" s="66"/>
      <c r="H186" s="66"/>
      <c r="I186" s="64" t="str">
        <f>IF(OR($B186="", $D186="", $E186="", $F186="", $G186="", $H186=""),"",ROUND(($D186*Lists!$AN$20)+($E186*Lists!$AN$21)+($F186*Lists!$AN$22)+($G186*Lists!$AN$23)+($H186*Lists!$AN$24),2))</f>
        <v/>
      </c>
      <c r="J186" s="62"/>
      <c r="K186" s="65"/>
      <c r="L186" s="62"/>
    </row>
    <row r="187" spans="1:12" ht="15.75" customHeight="1" x14ac:dyDescent="0.2">
      <c r="A187" s="63" t="str">
        <f t="shared" si="3"/>
        <v/>
      </c>
      <c r="B187" s="63"/>
      <c r="C187" s="62" t="str">
        <f>IF($B187="","",IFERROR(VLOOKUP($B187,'Application Portfolio'!$A$2:$B$1000,2,FALSE()),""))</f>
        <v/>
      </c>
      <c r="D187" s="66"/>
      <c r="E187" s="66"/>
      <c r="F187" s="66"/>
      <c r="G187" s="66"/>
      <c r="H187" s="66"/>
      <c r="I187" s="64" t="str">
        <f>IF(OR($B187="", $D187="", $E187="", $F187="", $G187="", $H187=""),"",ROUND(($D187*Lists!$AN$20)+($E187*Lists!$AN$21)+($F187*Lists!$AN$22)+($G187*Lists!$AN$23)+($H187*Lists!$AN$24),2))</f>
        <v/>
      </c>
      <c r="J187" s="62"/>
      <c r="K187" s="65"/>
      <c r="L187" s="62"/>
    </row>
    <row r="188" spans="1:12" ht="15.75" customHeight="1" x14ac:dyDescent="0.2">
      <c r="A188" s="63" t="str">
        <f t="shared" si="3"/>
        <v/>
      </c>
      <c r="B188" s="63"/>
      <c r="C188" s="62" t="str">
        <f>IF($B188="","",IFERROR(VLOOKUP($B188,'Application Portfolio'!$A$2:$B$1000,2,FALSE()),""))</f>
        <v/>
      </c>
      <c r="D188" s="66"/>
      <c r="E188" s="66"/>
      <c r="F188" s="66"/>
      <c r="G188" s="66"/>
      <c r="H188" s="66"/>
      <c r="I188" s="64" t="str">
        <f>IF(OR($B188="", $D188="", $E188="", $F188="", $G188="", $H188=""),"",ROUND(($D188*Lists!$AN$20)+($E188*Lists!$AN$21)+($F188*Lists!$AN$22)+($G188*Lists!$AN$23)+($H188*Lists!$AN$24),2))</f>
        <v/>
      </c>
      <c r="J188" s="62"/>
      <c r="K188" s="65"/>
      <c r="L188" s="62"/>
    </row>
    <row r="189" spans="1:12" ht="15.75" customHeight="1" x14ac:dyDescent="0.2">
      <c r="A189" s="63" t="str">
        <f t="shared" si="3"/>
        <v/>
      </c>
      <c r="B189" s="63"/>
      <c r="C189" s="62" t="str">
        <f>IF($B189="","",IFERROR(VLOOKUP($B189,'Application Portfolio'!$A$2:$B$1000,2,FALSE()),""))</f>
        <v/>
      </c>
      <c r="D189" s="66"/>
      <c r="E189" s="66"/>
      <c r="F189" s="66"/>
      <c r="G189" s="66"/>
      <c r="H189" s="66"/>
      <c r="I189" s="64" t="str">
        <f>IF(OR($B189="", $D189="", $E189="", $F189="", $G189="", $H189=""),"",ROUND(($D189*Lists!$AN$20)+($E189*Lists!$AN$21)+($F189*Lists!$AN$22)+($G189*Lists!$AN$23)+($H189*Lists!$AN$24),2))</f>
        <v/>
      </c>
      <c r="J189" s="62"/>
      <c r="K189" s="65"/>
      <c r="L189" s="62"/>
    </row>
    <row r="190" spans="1:12" ht="15.75" customHeight="1" x14ac:dyDescent="0.2">
      <c r="A190" s="63" t="str">
        <f t="shared" si="3"/>
        <v/>
      </c>
      <c r="B190" s="63"/>
      <c r="C190" s="62" t="str">
        <f>IF($B190="","",IFERROR(VLOOKUP($B190,'Application Portfolio'!$A$2:$B$1000,2,FALSE()),""))</f>
        <v/>
      </c>
      <c r="D190" s="66"/>
      <c r="E190" s="66"/>
      <c r="F190" s="66"/>
      <c r="G190" s="66"/>
      <c r="H190" s="66"/>
      <c r="I190" s="64" t="str">
        <f>IF(OR($B190="", $D190="", $E190="", $F190="", $G190="", $H190=""),"",ROUND(($D190*Lists!$AN$20)+($E190*Lists!$AN$21)+($F190*Lists!$AN$22)+($G190*Lists!$AN$23)+($H190*Lists!$AN$24),2))</f>
        <v/>
      </c>
      <c r="J190" s="62"/>
      <c r="K190" s="65"/>
      <c r="L190" s="62"/>
    </row>
    <row r="191" spans="1:12" ht="15.75" customHeight="1" x14ac:dyDescent="0.2">
      <c r="A191" s="63" t="str">
        <f t="shared" si="3"/>
        <v/>
      </c>
      <c r="B191" s="63"/>
      <c r="C191" s="62" t="str">
        <f>IF($B191="","",IFERROR(VLOOKUP($B191,'Application Portfolio'!$A$2:$B$1000,2,FALSE()),""))</f>
        <v/>
      </c>
      <c r="D191" s="66"/>
      <c r="E191" s="66"/>
      <c r="F191" s="66"/>
      <c r="G191" s="66"/>
      <c r="H191" s="66"/>
      <c r="I191" s="64" t="str">
        <f>IF(OR($B191="", $D191="", $E191="", $F191="", $G191="", $H191=""),"",ROUND(($D191*Lists!$AN$20)+($E191*Lists!$AN$21)+($F191*Lists!$AN$22)+($G191*Lists!$AN$23)+($H191*Lists!$AN$24),2))</f>
        <v/>
      </c>
      <c r="J191" s="62"/>
      <c r="K191" s="65"/>
      <c r="L191" s="62"/>
    </row>
    <row r="192" spans="1:12" ht="15.75" customHeight="1" x14ac:dyDescent="0.2">
      <c r="A192" s="63" t="str">
        <f t="shared" si="3"/>
        <v/>
      </c>
      <c r="B192" s="63"/>
      <c r="C192" s="62" t="str">
        <f>IF($B192="","",IFERROR(VLOOKUP($B192,'Application Portfolio'!$A$2:$B$1000,2,FALSE()),""))</f>
        <v/>
      </c>
      <c r="D192" s="66"/>
      <c r="E192" s="66"/>
      <c r="F192" s="66"/>
      <c r="G192" s="66"/>
      <c r="H192" s="66"/>
      <c r="I192" s="64" t="str">
        <f>IF(OR($B192="", $D192="", $E192="", $F192="", $G192="", $H192=""),"",ROUND(($D192*Lists!$AN$20)+($E192*Lists!$AN$21)+($F192*Lists!$AN$22)+($G192*Lists!$AN$23)+($H192*Lists!$AN$24),2))</f>
        <v/>
      </c>
      <c r="J192" s="62"/>
      <c r="K192" s="65"/>
      <c r="L192" s="62"/>
    </row>
    <row r="193" spans="1:12" ht="15.75" customHeight="1" x14ac:dyDescent="0.2">
      <c r="A193" s="63" t="str">
        <f t="shared" si="3"/>
        <v/>
      </c>
      <c r="B193" s="63"/>
      <c r="C193" s="62" t="str">
        <f>IF($B193="","",IFERROR(VLOOKUP($B193,'Application Portfolio'!$A$2:$B$1000,2,FALSE()),""))</f>
        <v/>
      </c>
      <c r="D193" s="66"/>
      <c r="E193" s="66"/>
      <c r="F193" s="66"/>
      <c r="G193" s="66"/>
      <c r="H193" s="66"/>
      <c r="I193" s="64" t="str">
        <f>IF(OR($B193="", $D193="", $E193="", $F193="", $G193="", $H193=""),"",ROUND(($D193*Lists!$AN$20)+($E193*Lists!$AN$21)+($F193*Lists!$AN$22)+($G193*Lists!$AN$23)+($H193*Lists!$AN$24),2))</f>
        <v/>
      </c>
      <c r="J193" s="62"/>
      <c r="K193" s="65"/>
      <c r="L193" s="62"/>
    </row>
    <row r="194" spans="1:12" ht="15.75" customHeight="1" x14ac:dyDescent="0.2">
      <c r="A194" s="63" t="str">
        <f t="shared" si="3"/>
        <v/>
      </c>
      <c r="B194" s="63"/>
      <c r="C194" s="62" t="str">
        <f>IF($B194="","",IFERROR(VLOOKUP($B194,'Application Portfolio'!$A$2:$B$1000,2,FALSE()),""))</f>
        <v/>
      </c>
      <c r="D194" s="66"/>
      <c r="E194" s="66"/>
      <c r="F194" s="66"/>
      <c r="G194" s="66"/>
      <c r="H194" s="66"/>
      <c r="I194" s="64" t="str">
        <f>IF(OR($B194="", $D194="", $E194="", $F194="", $G194="", $H194=""),"",ROUND(($D194*Lists!$AN$20)+($E194*Lists!$AN$21)+($F194*Lists!$AN$22)+($G194*Lists!$AN$23)+($H194*Lists!$AN$24),2))</f>
        <v/>
      </c>
      <c r="J194" s="62"/>
      <c r="K194" s="65"/>
      <c r="L194" s="62"/>
    </row>
    <row r="195" spans="1:12" ht="15.75" customHeight="1" x14ac:dyDescent="0.2">
      <c r="A195" s="63" t="str">
        <f t="shared" si="3"/>
        <v/>
      </c>
      <c r="B195" s="63"/>
      <c r="C195" s="62" t="str">
        <f>IF($B195="","",IFERROR(VLOOKUP($B195,'Application Portfolio'!$A$2:$B$1000,2,FALSE()),""))</f>
        <v/>
      </c>
      <c r="D195" s="66"/>
      <c r="E195" s="66"/>
      <c r="F195" s="66"/>
      <c r="G195" s="66"/>
      <c r="H195" s="66"/>
      <c r="I195" s="64" t="str">
        <f>IF(OR($B195="", $D195="", $E195="", $F195="", $G195="", $H195=""),"",ROUND(($D195*Lists!$AN$20)+($E195*Lists!$AN$21)+($F195*Lists!$AN$22)+($G195*Lists!$AN$23)+($H195*Lists!$AN$24),2))</f>
        <v/>
      </c>
      <c r="J195" s="62"/>
      <c r="K195" s="65"/>
      <c r="L195" s="62"/>
    </row>
    <row r="196" spans="1:12" ht="15.75" customHeight="1" x14ac:dyDescent="0.2">
      <c r="A196" s="63" t="str">
        <f t="shared" si="3"/>
        <v/>
      </c>
      <c r="B196" s="63"/>
      <c r="C196" s="62" t="str">
        <f>IF($B196="","",IFERROR(VLOOKUP($B196,'Application Portfolio'!$A$2:$B$1000,2,FALSE()),""))</f>
        <v/>
      </c>
      <c r="D196" s="66"/>
      <c r="E196" s="66"/>
      <c r="F196" s="66"/>
      <c r="G196" s="66"/>
      <c r="H196" s="66"/>
      <c r="I196" s="64" t="str">
        <f>IF(OR($B196="", $D196="", $E196="", $F196="", $G196="", $H196=""),"",ROUND(($D196*Lists!$AN$20)+($E196*Lists!$AN$21)+($F196*Lists!$AN$22)+($G196*Lists!$AN$23)+($H196*Lists!$AN$24),2))</f>
        <v/>
      </c>
      <c r="J196" s="62"/>
      <c r="K196" s="65"/>
      <c r="L196" s="62"/>
    </row>
    <row r="197" spans="1:12" ht="15.75" customHeight="1" x14ac:dyDescent="0.2">
      <c r="A197" s="63" t="str">
        <f t="shared" si="3"/>
        <v/>
      </c>
      <c r="B197" s="63"/>
      <c r="C197" s="62" t="str">
        <f>IF($B197="","",IFERROR(VLOOKUP($B197,'Application Portfolio'!$A$2:$B$1000,2,FALSE()),""))</f>
        <v/>
      </c>
      <c r="D197" s="66"/>
      <c r="E197" s="66"/>
      <c r="F197" s="66"/>
      <c r="G197" s="66"/>
      <c r="H197" s="66"/>
      <c r="I197" s="64" t="str">
        <f>IF(OR($B197="", $D197="", $E197="", $F197="", $G197="", $H197=""),"",ROUND(($D197*Lists!$AN$20)+($E197*Lists!$AN$21)+($F197*Lists!$AN$22)+($G197*Lists!$AN$23)+($H197*Lists!$AN$24),2))</f>
        <v/>
      </c>
      <c r="J197" s="62"/>
      <c r="K197" s="65"/>
      <c r="L197" s="62"/>
    </row>
    <row r="198" spans="1:12" ht="15.75" customHeight="1" x14ac:dyDescent="0.2">
      <c r="A198" s="63" t="str">
        <f t="shared" si="3"/>
        <v/>
      </c>
      <c r="B198" s="63"/>
      <c r="C198" s="62" t="str">
        <f>IF($B198="","",IFERROR(VLOOKUP($B198,'Application Portfolio'!$A$2:$B$1000,2,FALSE()),""))</f>
        <v/>
      </c>
      <c r="D198" s="66"/>
      <c r="E198" s="66"/>
      <c r="F198" s="66"/>
      <c r="G198" s="66"/>
      <c r="H198" s="66"/>
      <c r="I198" s="64" t="str">
        <f>IF(OR($B198="", $D198="", $E198="", $F198="", $G198="", $H198=""),"",ROUND(($D198*Lists!$AN$20)+($E198*Lists!$AN$21)+($F198*Lists!$AN$22)+($G198*Lists!$AN$23)+($H198*Lists!$AN$24),2))</f>
        <v/>
      </c>
      <c r="J198" s="62"/>
      <c r="K198" s="65"/>
      <c r="L198" s="62"/>
    </row>
    <row r="199" spans="1:12" ht="15.75" customHeight="1" x14ac:dyDescent="0.2">
      <c r="A199" s="63" t="str">
        <f t="shared" si="3"/>
        <v/>
      </c>
      <c r="B199" s="63"/>
      <c r="C199" s="62" t="str">
        <f>IF($B199="","",IFERROR(VLOOKUP($B199,'Application Portfolio'!$A$2:$B$1000,2,FALSE()),""))</f>
        <v/>
      </c>
      <c r="D199" s="66"/>
      <c r="E199" s="66"/>
      <c r="F199" s="66"/>
      <c r="G199" s="66"/>
      <c r="H199" s="66"/>
      <c r="I199" s="64" t="str">
        <f>IF(OR($B199="", $D199="", $E199="", $F199="", $G199="", $H199=""),"",ROUND(($D199*Lists!$AN$20)+($E199*Lists!$AN$21)+($F199*Lists!$AN$22)+($G199*Lists!$AN$23)+($H199*Lists!$AN$24),2))</f>
        <v/>
      </c>
      <c r="J199" s="62"/>
      <c r="K199" s="65"/>
      <c r="L199" s="62"/>
    </row>
    <row r="200" spans="1:12" ht="15.75" customHeight="1" x14ac:dyDescent="0.2">
      <c r="A200" s="63" t="str">
        <f t="shared" si="3"/>
        <v/>
      </c>
      <c r="B200" s="63"/>
      <c r="C200" s="62" t="str">
        <f>IF($B200="","",IFERROR(VLOOKUP($B200,'Application Portfolio'!$A$2:$B$1000,2,FALSE()),""))</f>
        <v/>
      </c>
      <c r="D200" s="66"/>
      <c r="E200" s="66"/>
      <c r="F200" s="66"/>
      <c r="G200" s="66"/>
      <c r="H200" s="66"/>
      <c r="I200" s="64" t="str">
        <f>IF(OR($B200="", $D200="", $E200="", $F200="", $G200="", $H200=""),"",ROUND(($D200*Lists!$AN$20)+($E200*Lists!$AN$21)+($F200*Lists!$AN$22)+($G200*Lists!$AN$23)+($H200*Lists!$AN$24),2))</f>
        <v/>
      </c>
      <c r="J200" s="62"/>
      <c r="K200" s="65"/>
      <c r="L200" s="62"/>
    </row>
    <row r="201" spans="1:12" ht="15.75" customHeight="1" x14ac:dyDescent="0.2">
      <c r="A201" s="63" t="str">
        <f t="shared" si="3"/>
        <v/>
      </c>
      <c r="B201" s="63"/>
      <c r="C201" s="62" t="str">
        <f>IF($B201="","",IFERROR(VLOOKUP($B201,'Application Portfolio'!$A$2:$B$1000,2,FALSE()),""))</f>
        <v/>
      </c>
      <c r="D201" s="66"/>
      <c r="E201" s="66"/>
      <c r="F201" s="66"/>
      <c r="G201" s="66"/>
      <c r="H201" s="66"/>
      <c r="I201" s="64" t="str">
        <f>IF(OR($B201="", $D201="", $E201="", $F201="", $G201="", $H201=""),"",ROUND(($D201*Lists!$AN$20)+($E201*Lists!$AN$21)+($F201*Lists!$AN$22)+($G201*Lists!$AN$23)+($H201*Lists!$AN$24),2))</f>
        <v/>
      </c>
      <c r="J201" s="62"/>
      <c r="K201" s="65"/>
      <c r="L201" s="62"/>
    </row>
    <row r="202" spans="1:12" ht="15.75" customHeight="1" x14ac:dyDescent="0.2">
      <c r="A202" s="63" t="str">
        <f t="shared" si="3"/>
        <v/>
      </c>
      <c r="B202" s="63"/>
      <c r="C202" s="62" t="str">
        <f>IF($B202="","",IFERROR(VLOOKUP($B202,'Application Portfolio'!$A$2:$B$1000,2,FALSE()),""))</f>
        <v/>
      </c>
      <c r="D202" s="66"/>
      <c r="E202" s="66"/>
      <c r="F202" s="66"/>
      <c r="G202" s="66"/>
      <c r="H202" s="66"/>
      <c r="I202" s="64" t="str">
        <f>IF(OR($B202="", $D202="", $E202="", $F202="", $G202="", $H202=""),"",ROUND(($D202*Lists!$AN$20)+($E202*Lists!$AN$21)+($F202*Lists!$AN$22)+($G202*Lists!$AN$23)+($H202*Lists!$AN$24),2))</f>
        <v/>
      </c>
      <c r="J202" s="62"/>
      <c r="K202" s="65"/>
      <c r="L202" s="62"/>
    </row>
    <row r="203" spans="1:12" ht="15.75" customHeight="1" x14ac:dyDescent="0.2">
      <c r="A203" s="63" t="str">
        <f t="shared" si="3"/>
        <v/>
      </c>
      <c r="B203" s="63"/>
      <c r="C203" s="62" t="str">
        <f>IF($B203="","",IFERROR(VLOOKUP($B203,'Application Portfolio'!$A$2:$B$1000,2,FALSE()),""))</f>
        <v/>
      </c>
      <c r="D203" s="66"/>
      <c r="E203" s="66"/>
      <c r="F203" s="66"/>
      <c r="G203" s="66"/>
      <c r="H203" s="66"/>
      <c r="I203" s="64" t="str">
        <f>IF(OR($B203="", $D203="", $E203="", $F203="", $G203="", $H203=""),"",ROUND(($D203*Lists!$AN$20)+($E203*Lists!$AN$21)+($F203*Lists!$AN$22)+($G203*Lists!$AN$23)+($H203*Lists!$AN$24),2))</f>
        <v/>
      </c>
      <c r="J203" s="62"/>
      <c r="K203" s="65"/>
      <c r="L203" s="62"/>
    </row>
    <row r="204" spans="1:12" ht="15.75" customHeight="1" x14ac:dyDescent="0.2">
      <c r="A204" s="63" t="str">
        <f t="shared" si="3"/>
        <v/>
      </c>
      <c r="B204" s="63"/>
      <c r="C204" s="62" t="str">
        <f>IF($B204="","",IFERROR(VLOOKUP($B204,'Application Portfolio'!$A$2:$B$1000,2,FALSE()),""))</f>
        <v/>
      </c>
      <c r="D204" s="66"/>
      <c r="E204" s="66"/>
      <c r="F204" s="66"/>
      <c r="G204" s="66"/>
      <c r="H204" s="66"/>
      <c r="I204" s="64" t="str">
        <f>IF(OR($B204="", $D204="", $E204="", $F204="", $G204="", $H204=""),"",ROUND(($D204*Lists!$AN$20)+($E204*Lists!$AN$21)+($F204*Lists!$AN$22)+($G204*Lists!$AN$23)+($H204*Lists!$AN$24),2))</f>
        <v/>
      </c>
      <c r="J204" s="62"/>
      <c r="K204" s="65"/>
      <c r="L204" s="62"/>
    </row>
    <row r="205" spans="1:12" ht="15.75" customHeight="1" x14ac:dyDescent="0.2">
      <c r="A205" s="63" t="str">
        <f t="shared" si="3"/>
        <v/>
      </c>
      <c r="B205" s="63"/>
      <c r="C205" s="62" t="str">
        <f>IF($B205="","",IFERROR(VLOOKUP($B205,'Application Portfolio'!$A$2:$B$1000,2,FALSE()),""))</f>
        <v/>
      </c>
      <c r="D205" s="66"/>
      <c r="E205" s="66"/>
      <c r="F205" s="66"/>
      <c r="G205" s="66"/>
      <c r="H205" s="66"/>
      <c r="I205" s="64" t="str">
        <f>IF(OR($B205="", $D205="", $E205="", $F205="", $G205="", $H205=""),"",ROUND(($D205*Lists!$AN$20)+($E205*Lists!$AN$21)+($F205*Lists!$AN$22)+($G205*Lists!$AN$23)+($H205*Lists!$AN$24),2))</f>
        <v/>
      </c>
      <c r="J205" s="62"/>
      <c r="K205" s="65"/>
      <c r="L205" s="62"/>
    </row>
    <row r="206" spans="1:12" ht="15.75" customHeight="1" x14ac:dyDescent="0.2">
      <c r="A206" s="63" t="str">
        <f t="shared" si="3"/>
        <v/>
      </c>
      <c r="B206" s="63"/>
      <c r="C206" s="62" t="str">
        <f>IF($B206="","",IFERROR(VLOOKUP($B206,'Application Portfolio'!$A$2:$B$1000,2,FALSE()),""))</f>
        <v/>
      </c>
      <c r="D206" s="66"/>
      <c r="E206" s="66"/>
      <c r="F206" s="66"/>
      <c r="G206" s="66"/>
      <c r="H206" s="66"/>
      <c r="I206" s="64" t="str">
        <f>IF(OR($B206="", $D206="", $E206="", $F206="", $G206="", $H206=""),"",ROUND(($D206*Lists!$AN$20)+($E206*Lists!$AN$21)+($F206*Lists!$AN$22)+($G206*Lists!$AN$23)+($H206*Lists!$AN$24),2))</f>
        <v/>
      </c>
      <c r="J206" s="62"/>
      <c r="K206" s="65"/>
      <c r="L206" s="62"/>
    </row>
    <row r="207" spans="1:12" ht="15.75" customHeight="1" x14ac:dyDescent="0.2">
      <c r="A207" s="63" t="str">
        <f t="shared" si="3"/>
        <v/>
      </c>
      <c r="B207" s="63"/>
      <c r="C207" s="62" t="str">
        <f>IF($B207="","",IFERROR(VLOOKUP($B207,'Application Portfolio'!$A$2:$B$1000,2,FALSE()),""))</f>
        <v/>
      </c>
      <c r="D207" s="66"/>
      <c r="E207" s="66"/>
      <c r="F207" s="66"/>
      <c r="G207" s="66"/>
      <c r="H207" s="66"/>
      <c r="I207" s="64" t="str">
        <f>IF(OR($B207="", $D207="", $E207="", $F207="", $G207="", $H207=""),"",ROUND(($D207*Lists!$AN$20)+($E207*Lists!$AN$21)+($F207*Lists!$AN$22)+($G207*Lists!$AN$23)+($H207*Lists!$AN$24),2))</f>
        <v/>
      </c>
      <c r="J207" s="62"/>
      <c r="K207" s="65"/>
      <c r="L207" s="62"/>
    </row>
    <row r="208" spans="1:12" ht="15.75" customHeight="1" x14ac:dyDescent="0.2">
      <c r="A208" s="63" t="str">
        <f t="shared" si="3"/>
        <v/>
      </c>
      <c r="B208" s="63"/>
      <c r="C208" s="62" t="str">
        <f>IF($B208="","",IFERROR(VLOOKUP($B208,'Application Portfolio'!$A$2:$B$1000,2,FALSE()),""))</f>
        <v/>
      </c>
      <c r="D208" s="66"/>
      <c r="E208" s="66"/>
      <c r="F208" s="66"/>
      <c r="G208" s="66"/>
      <c r="H208" s="66"/>
      <c r="I208" s="64" t="str">
        <f>IF(OR($B208="", $D208="", $E208="", $F208="", $G208="", $H208=""),"",ROUND(($D208*Lists!$AN$20)+($E208*Lists!$AN$21)+($F208*Lists!$AN$22)+($G208*Lists!$AN$23)+($H208*Lists!$AN$24),2))</f>
        <v/>
      </c>
      <c r="J208" s="62"/>
      <c r="K208" s="65"/>
      <c r="L208" s="62"/>
    </row>
    <row r="209" spans="1:12" ht="15.75" customHeight="1" x14ac:dyDescent="0.2">
      <c r="A209" s="63" t="str">
        <f t="shared" si="3"/>
        <v/>
      </c>
      <c r="B209" s="63"/>
      <c r="C209" s="62" t="str">
        <f>IF($B209="","",IFERROR(VLOOKUP($B209,'Application Portfolio'!$A$2:$B$1000,2,FALSE()),""))</f>
        <v/>
      </c>
      <c r="D209" s="66"/>
      <c r="E209" s="66"/>
      <c r="F209" s="66"/>
      <c r="G209" s="66"/>
      <c r="H209" s="66"/>
      <c r="I209" s="64" t="str">
        <f>IF(OR($B209="", $D209="", $E209="", $F209="", $G209="", $H209=""),"",ROUND(($D209*Lists!$AN$20)+($E209*Lists!$AN$21)+($F209*Lists!$AN$22)+($G209*Lists!$AN$23)+($H209*Lists!$AN$24),2))</f>
        <v/>
      </c>
      <c r="J209" s="62"/>
      <c r="K209" s="65"/>
      <c r="L209" s="62"/>
    </row>
    <row r="210" spans="1:12" ht="15.75" customHeight="1" x14ac:dyDescent="0.2">
      <c r="A210" s="63" t="str">
        <f t="shared" si="3"/>
        <v/>
      </c>
      <c r="B210" s="63"/>
      <c r="C210" s="62" t="str">
        <f>IF($B210="","",IFERROR(VLOOKUP($B210,'Application Portfolio'!$A$2:$B$1000,2,FALSE()),""))</f>
        <v/>
      </c>
      <c r="D210" s="66"/>
      <c r="E210" s="66"/>
      <c r="F210" s="66"/>
      <c r="G210" s="66"/>
      <c r="H210" s="66"/>
      <c r="I210" s="64" t="str">
        <f>IF(OR($B210="", $D210="", $E210="", $F210="", $G210="", $H210=""),"",ROUND(($D210*Lists!$AN$20)+($E210*Lists!$AN$21)+($F210*Lists!$AN$22)+($G210*Lists!$AN$23)+($H210*Lists!$AN$24),2))</f>
        <v/>
      </c>
      <c r="J210" s="62"/>
      <c r="K210" s="65"/>
      <c r="L210" s="62"/>
    </row>
    <row r="211" spans="1:12" ht="15.75" customHeight="1" x14ac:dyDescent="0.2">
      <c r="A211" s="63" t="str">
        <f t="shared" si="3"/>
        <v/>
      </c>
      <c r="B211" s="63"/>
      <c r="C211" s="62" t="str">
        <f>IF($B211="","",IFERROR(VLOOKUP($B211,'Application Portfolio'!$A$2:$B$1000,2,FALSE()),""))</f>
        <v/>
      </c>
      <c r="D211" s="66"/>
      <c r="E211" s="66"/>
      <c r="F211" s="66"/>
      <c r="G211" s="66"/>
      <c r="H211" s="66"/>
      <c r="I211" s="64" t="str">
        <f>IF(OR($B211="", $D211="", $E211="", $F211="", $G211="", $H211=""),"",ROUND(($D211*Lists!$AN$20)+($E211*Lists!$AN$21)+($F211*Lists!$AN$22)+($G211*Lists!$AN$23)+($H211*Lists!$AN$24),2))</f>
        <v/>
      </c>
      <c r="J211" s="62"/>
      <c r="K211" s="65"/>
      <c r="L211" s="62"/>
    </row>
    <row r="212" spans="1:12" ht="15.75" customHeight="1" x14ac:dyDescent="0.2">
      <c r="A212" s="63" t="str">
        <f t="shared" si="3"/>
        <v/>
      </c>
      <c r="B212" s="63"/>
      <c r="C212" s="62" t="str">
        <f>IF($B212="","",IFERROR(VLOOKUP($B212,'Application Portfolio'!$A$2:$B$1000,2,FALSE()),""))</f>
        <v/>
      </c>
      <c r="D212" s="66"/>
      <c r="E212" s="66"/>
      <c r="F212" s="66"/>
      <c r="G212" s="66"/>
      <c r="H212" s="66"/>
      <c r="I212" s="64" t="str">
        <f>IF(OR($B212="", $D212="", $E212="", $F212="", $G212="", $H212=""),"",ROUND(($D212*Lists!$AN$20)+($E212*Lists!$AN$21)+($F212*Lists!$AN$22)+($G212*Lists!$AN$23)+($H212*Lists!$AN$24),2))</f>
        <v/>
      </c>
      <c r="J212" s="62"/>
      <c r="K212" s="65"/>
      <c r="L212" s="62"/>
    </row>
    <row r="213" spans="1:12" ht="15.75" customHeight="1" x14ac:dyDescent="0.2">
      <c r="A213" s="63" t="str">
        <f t="shared" si="3"/>
        <v/>
      </c>
      <c r="B213" s="63"/>
      <c r="C213" s="62" t="str">
        <f>IF($B213="","",IFERROR(VLOOKUP($B213,'Application Portfolio'!$A$2:$B$1000,2,FALSE()),""))</f>
        <v/>
      </c>
      <c r="D213" s="66"/>
      <c r="E213" s="66"/>
      <c r="F213" s="66"/>
      <c r="G213" s="66"/>
      <c r="H213" s="66"/>
      <c r="I213" s="64" t="str">
        <f>IF(OR($B213="", $D213="", $E213="", $F213="", $G213="", $H213=""),"",ROUND(($D213*Lists!$AN$20)+($E213*Lists!$AN$21)+($F213*Lists!$AN$22)+($G213*Lists!$AN$23)+($H213*Lists!$AN$24),2))</f>
        <v/>
      </c>
      <c r="J213" s="62"/>
      <c r="K213" s="65"/>
      <c r="L213" s="62"/>
    </row>
    <row r="214" spans="1:12" ht="15.75" customHeight="1" x14ac:dyDescent="0.2">
      <c r="A214" s="63" t="str">
        <f t="shared" si="3"/>
        <v/>
      </c>
      <c r="B214" s="63"/>
      <c r="C214" s="62" t="str">
        <f>IF($B214="","",IFERROR(VLOOKUP($B214,'Application Portfolio'!$A$2:$B$1000,2,FALSE()),""))</f>
        <v/>
      </c>
      <c r="D214" s="66"/>
      <c r="E214" s="66"/>
      <c r="F214" s="66"/>
      <c r="G214" s="66"/>
      <c r="H214" s="66"/>
      <c r="I214" s="64" t="str">
        <f>IF(OR($B214="", $D214="", $E214="", $F214="", $G214="", $H214=""),"",ROUND(($D214*Lists!$AN$20)+($E214*Lists!$AN$21)+($F214*Lists!$AN$22)+($G214*Lists!$AN$23)+($H214*Lists!$AN$24),2))</f>
        <v/>
      </c>
      <c r="J214" s="62"/>
      <c r="K214" s="65"/>
      <c r="L214" s="62"/>
    </row>
    <row r="215" spans="1:12" ht="15.75" customHeight="1" x14ac:dyDescent="0.2">
      <c r="A215" s="63" t="str">
        <f t="shared" si="3"/>
        <v/>
      </c>
      <c r="B215" s="63"/>
      <c r="C215" s="62" t="str">
        <f>IF($B215="","",IFERROR(VLOOKUP($B215,'Application Portfolio'!$A$2:$B$1000,2,FALSE()),""))</f>
        <v/>
      </c>
      <c r="D215" s="66"/>
      <c r="E215" s="66"/>
      <c r="F215" s="66"/>
      <c r="G215" s="66"/>
      <c r="H215" s="66"/>
      <c r="I215" s="64" t="str">
        <f>IF(OR($B215="", $D215="", $E215="", $F215="", $G215="", $H215=""),"",ROUND(($D215*Lists!$AN$20)+($E215*Lists!$AN$21)+($F215*Lists!$AN$22)+($G215*Lists!$AN$23)+($H215*Lists!$AN$24),2))</f>
        <v/>
      </c>
      <c r="J215" s="62"/>
      <c r="K215" s="65"/>
      <c r="L215" s="62"/>
    </row>
    <row r="216" spans="1:12" ht="15.75" customHeight="1" x14ac:dyDescent="0.2">
      <c r="A216" s="63" t="str">
        <f t="shared" si="3"/>
        <v/>
      </c>
      <c r="B216" s="63"/>
      <c r="C216" s="62" t="str">
        <f>IF($B216="","",IFERROR(VLOOKUP($B216,'Application Portfolio'!$A$2:$B$1000,2,FALSE()),""))</f>
        <v/>
      </c>
      <c r="D216" s="66"/>
      <c r="E216" s="66"/>
      <c r="F216" s="66"/>
      <c r="G216" s="66"/>
      <c r="H216" s="66"/>
      <c r="I216" s="64" t="str">
        <f>IF(OR($B216="", $D216="", $E216="", $F216="", $G216="", $H216=""),"",ROUND(($D216*Lists!$AN$20)+($E216*Lists!$AN$21)+($F216*Lists!$AN$22)+($G216*Lists!$AN$23)+($H216*Lists!$AN$24),2))</f>
        <v/>
      </c>
      <c r="J216" s="62"/>
      <c r="K216" s="65"/>
      <c r="L216" s="62"/>
    </row>
    <row r="217" spans="1:12" ht="15.75" customHeight="1" x14ac:dyDescent="0.2">
      <c r="A217" s="63" t="str">
        <f t="shared" si="3"/>
        <v/>
      </c>
      <c r="B217" s="63"/>
      <c r="C217" s="62" t="str">
        <f>IF($B217="","",IFERROR(VLOOKUP($B217,'Application Portfolio'!$A$2:$B$1000,2,FALSE()),""))</f>
        <v/>
      </c>
      <c r="D217" s="66"/>
      <c r="E217" s="66"/>
      <c r="F217" s="66"/>
      <c r="G217" s="66"/>
      <c r="H217" s="66"/>
      <c r="I217" s="64" t="str">
        <f>IF(OR($B217="", $D217="", $E217="", $F217="", $G217="", $H217=""),"",ROUND(($D217*Lists!$AN$20)+($E217*Lists!$AN$21)+($F217*Lists!$AN$22)+($G217*Lists!$AN$23)+($H217*Lists!$AN$24),2))</f>
        <v/>
      </c>
      <c r="J217" s="62"/>
      <c r="K217" s="65"/>
      <c r="L217" s="62"/>
    </row>
    <row r="218" spans="1:12" ht="15.75" customHeight="1" x14ac:dyDescent="0.2">
      <c r="A218" s="63" t="str">
        <f t="shared" si="3"/>
        <v/>
      </c>
      <c r="B218" s="63"/>
      <c r="C218" s="62" t="str">
        <f>IF($B218="","",IFERROR(VLOOKUP($B218,'Application Portfolio'!$A$2:$B$1000,2,FALSE()),""))</f>
        <v/>
      </c>
      <c r="D218" s="66"/>
      <c r="E218" s="66"/>
      <c r="F218" s="66"/>
      <c r="G218" s="66"/>
      <c r="H218" s="66"/>
      <c r="I218" s="64" t="str">
        <f>IF(OR($B218="", $D218="", $E218="", $F218="", $G218="", $H218=""),"",ROUND(($D218*Lists!$AN$20)+($E218*Lists!$AN$21)+($F218*Lists!$AN$22)+($G218*Lists!$AN$23)+($H218*Lists!$AN$24),2))</f>
        <v/>
      </c>
      <c r="J218" s="62"/>
      <c r="K218" s="65"/>
      <c r="L218" s="62"/>
    </row>
    <row r="219" spans="1:12" ht="15.75" customHeight="1" x14ac:dyDescent="0.2">
      <c r="A219" s="63" t="str">
        <f t="shared" si="3"/>
        <v/>
      </c>
      <c r="B219" s="63"/>
      <c r="C219" s="62" t="str">
        <f>IF($B219="","",IFERROR(VLOOKUP($B219,'Application Portfolio'!$A$2:$B$1000,2,FALSE()),""))</f>
        <v/>
      </c>
      <c r="D219" s="66"/>
      <c r="E219" s="66"/>
      <c r="F219" s="66"/>
      <c r="G219" s="66"/>
      <c r="H219" s="66"/>
      <c r="I219" s="64" t="str">
        <f>IF(OR($B219="", $D219="", $E219="", $F219="", $G219="", $H219=""),"",ROUND(($D219*Lists!$AN$20)+($E219*Lists!$AN$21)+($F219*Lists!$AN$22)+($G219*Lists!$AN$23)+($H219*Lists!$AN$24),2))</f>
        <v/>
      </c>
      <c r="J219" s="62"/>
      <c r="K219" s="65"/>
      <c r="L219" s="62"/>
    </row>
    <row r="220" spans="1:12" ht="15.75" customHeight="1" x14ac:dyDescent="0.2">
      <c r="A220" s="63" t="str">
        <f t="shared" si="3"/>
        <v/>
      </c>
      <c r="B220" s="63"/>
      <c r="C220" s="62" t="str">
        <f>IF($B220="","",IFERROR(VLOOKUP($B220,'Application Portfolio'!$A$2:$B$1000,2,FALSE()),""))</f>
        <v/>
      </c>
      <c r="D220" s="66"/>
      <c r="E220" s="66"/>
      <c r="F220" s="66"/>
      <c r="G220" s="66"/>
      <c r="H220" s="66"/>
      <c r="I220" s="64" t="str">
        <f>IF(OR($B220="", $D220="", $E220="", $F220="", $G220="", $H220=""),"",ROUND(($D220*Lists!$AN$20)+($E220*Lists!$AN$21)+($F220*Lists!$AN$22)+($G220*Lists!$AN$23)+($H220*Lists!$AN$24),2))</f>
        <v/>
      </c>
      <c r="J220" s="62"/>
      <c r="K220" s="65"/>
      <c r="L220" s="62"/>
    </row>
    <row r="221" spans="1:12" ht="15.75" customHeight="1" x14ac:dyDescent="0.2">
      <c r="A221" s="63" t="str">
        <f t="shared" si="3"/>
        <v/>
      </c>
      <c r="B221" s="63"/>
      <c r="C221" s="62" t="str">
        <f>IF($B221="","",IFERROR(VLOOKUP($B221,'Application Portfolio'!$A$2:$B$1000,2,FALSE()),""))</f>
        <v/>
      </c>
      <c r="D221" s="66"/>
      <c r="E221" s="66"/>
      <c r="F221" s="66"/>
      <c r="G221" s="66"/>
      <c r="H221" s="66"/>
      <c r="I221" s="64" t="str">
        <f>IF(OR($B221="", $D221="", $E221="", $F221="", $G221="", $H221=""),"",ROUND(($D221*Lists!$AN$20)+($E221*Lists!$AN$21)+($F221*Lists!$AN$22)+($G221*Lists!$AN$23)+($H221*Lists!$AN$24),2))</f>
        <v/>
      </c>
      <c r="J221" s="62"/>
      <c r="K221" s="65"/>
      <c r="L221" s="62"/>
    </row>
    <row r="222" spans="1:12" ht="15.75" customHeight="1" x14ac:dyDescent="0.2">
      <c r="A222" s="63" t="str">
        <f t="shared" si="3"/>
        <v/>
      </c>
      <c r="B222" s="63"/>
      <c r="C222" s="62" t="str">
        <f>IF($B222="","",IFERROR(VLOOKUP($B222,'Application Portfolio'!$A$2:$B$1000,2,FALSE()),""))</f>
        <v/>
      </c>
      <c r="D222" s="66"/>
      <c r="E222" s="66"/>
      <c r="F222" s="66"/>
      <c r="G222" s="66"/>
      <c r="H222" s="66"/>
      <c r="I222" s="64" t="str">
        <f>IF(OR($B222="", $D222="", $E222="", $F222="", $G222="", $H222=""),"",ROUND(($D222*Lists!$AN$20)+($E222*Lists!$AN$21)+($F222*Lists!$AN$22)+($G222*Lists!$AN$23)+($H222*Lists!$AN$24),2))</f>
        <v/>
      </c>
      <c r="J222" s="62"/>
      <c r="K222" s="65"/>
      <c r="L222" s="62"/>
    </row>
    <row r="223" spans="1:12" ht="15.75" customHeight="1" x14ac:dyDescent="0.2">
      <c r="A223" s="63" t="str">
        <f t="shared" si="3"/>
        <v/>
      </c>
      <c r="B223" s="63"/>
      <c r="C223" s="62" t="str">
        <f>IF($B223="","",IFERROR(VLOOKUP($B223,'Application Portfolio'!$A$2:$B$1000,2,FALSE()),""))</f>
        <v/>
      </c>
      <c r="D223" s="66"/>
      <c r="E223" s="66"/>
      <c r="F223" s="66"/>
      <c r="G223" s="66"/>
      <c r="H223" s="66"/>
      <c r="I223" s="64" t="str">
        <f>IF(OR($B223="", $D223="", $E223="", $F223="", $G223="", $H223=""),"",ROUND(($D223*Lists!$AN$20)+($E223*Lists!$AN$21)+($F223*Lists!$AN$22)+($G223*Lists!$AN$23)+($H223*Lists!$AN$24),2))</f>
        <v/>
      </c>
      <c r="J223" s="62"/>
      <c r="K223" s="65"/>
      <c r="L223" s="62"/>
    </row>
    <row r="224" spans="1:12" ht="15.75" customHeight="1" x14ac:dyDescent="0.2">
      <c r="A224" s="63" t="str">
        <f t="shared" ref="A224:A287" si="4">IF($B224="","", "R-" &amp; RIGHT("0000"&amp;ROW()-1,4))</f>
        <v/>
      </c>
      <c r="B224" s="63"/>
      <c r="C224" s="62" t="str">
        <f>IF($B224="","",IFERROR(VLOOKUP($B224,'Application Portfolio'!$A$2:$B$1000,2,FALSE()),""))</f>
        <v/>
      </c>
      <c r="D224" s="66"/>
      <c r="E224" s="66"/>
      <c r="F224" s="66"/>
      <c r="G224" s="66"/>
      <c r="H224" s="66"/>
      <c r="I224" s="64" t="str">
        <f>IF(OR($B224="", $D224="", $E224="", $F224="", $G224="", $H224=""),"",ROUND(($D224*Lists!$AN$20)+($E224*Lists!$AN$21)+($F224*Lists!$AN$22)+($G224*Lists!$AN$23)+($H224*Lists!$AN$24),2))</f>
        <v/>
      </c>
      <c r="J224" s="62"/>
      <c r="K224" s="65"/>
      <c r="L224" s="62"/>
    </row>
    <row r="225" spans="1:12" ht="15.75" customHeight="1" x14ac:dyDescent="0.2">
      <c r="A225" s="63" t="str">
        <f t="shared" si="4"/>
        <v/>
      </c>
      <c r="B225" s="63"/>
      <c r="C225" s="62" t="str">
        <f>IF($B225="","",IFERROR(VLOOKUP($B225,'Application Portfolio'!$A$2:$B$1000,2,FALSE()),""))</f>
        <v/>
      </c>
      <c r="D225" s="66"/>
      <c r="E225" s="66"/>
      <c r="F225" s="66"/>
      <c r="G225" s="66"/>
      <c r="H225" s="66"/>
      <c r="I225" s="64" t="str">
        <f>IF(OR($B225="", $D225="", $E225="", $F225="", $G225="", $H225=""),"",ROUND(($D225*Lists!$AN$20)+($E225*Lists!$AN$21)+($F225*Lists!$AN$22)+($G225*Lists!$AN$23)+($H225*Lists!$AN$24),2))</f>
        <v/>
      </c>
      <c r="J225" s="62"/>
      <c r="K225" s="65"/>
      <c r="L225" s="62"/>
    </row>
    <row r="226" spans="1:12" ht="15.75" customHeight="1" x14ac:dyDescent="0.2">
      <c r="A226" s="63" t="str">
        <f t="shared" si="4"/>
        <v/>
      </c>
      <c r="B226" s="63"/>
      <c r="C226" s="62" t="str">
        <f>IF($B226="","",IFERROR(VLOOKUP($B226,'Application Portfolio'!$A$2:$B$1000,2,FALSE()),""))</f>
        <v/>
      </c>
      <c r="D226" s="66"/>
      <c r="E226" s="66"/>
      <c r="F226" s="66"/>
      <c r="G226" s="66"/>
      <c r="H226" s="66"/>
      <c r="I226" s="64" t="str">
        <f>IF(OR($B226="", $D226="", $E226="", $F226="", $G226="", $H226=""),"",ROUND(($D226*Lists!$AN$20)+($E226*Lists!$AN$21)+($F226*Lists!$AN$22)+($G226*Lists!$AN$23)+($H226*Lists!$AN$24),2))</f>
        <v/>
      </c>
      <c r="J226" s="62"/>
      <c r="K226" s="65"/>
      <c r="L226" s="62"/>
    </row>
    <row r="227" spans="1:12" ht="15.75" customHeight="1" x14ac:dyDescent="0.2">
      <c r="A227" s="63" t="str">
        <f t="shared" si="4"/>
        <v/>
      </c>
      <c r="B227" s="63"/>
      <c r="C227" s="62" t="str">
        <f>IF($B227="","",IFERROR(VLOOKUP($B227,'Application Portfolio'!$A$2:$B$1000,2,FALSE()),""))</f>
        <v/>
      </c>
      <c r="D227" s="66"/>
      <c r="E227" s="66"/>
      <c r="F227" s="66"/>
      <c r="G227" s="66"/>
      <c r="H227" s="66"/>
      <c r="I227" s="64" t="str">
        <f>IF(OR($B227="", $D227="", $E227="", $F227="", $G227="", $H227=""),"",ROUND(($D227*Lists!$AN$20)+($E227*Lists!$AN$21)+($F227*Lists!$AN$22)+($G227*Lists!$AN$23)+($H227*Lists!$AN$24),2))</f>
        <v/>
      </c>
      <c r="J227" s="62"/>
      <c r="K227" s="65"/>
      <c r="L227" s="62"/>
    </row>
    <row r="228" spans="1:12" ht="15.75" customHeight="1" x14ac:dyDescent="0.2">
      <c r="A228" s="63" t="str">
        <f t="shared" si="4"/>
        <v/>
      </c>
      <c r="B228" s="63"/>
      <c r="C228" s="62" t="str">
        <f>IF($B228="","",IFERROR(VLOOKUP($B228,'Application Portfolio'!$A$2:$B$1000,2,FALSE()),""))</f>
        <v/>
      </c>
      <c r="D228" s="66"/>
      <c r="E228" s="66"/>
      <c r="F228" s="66"/>
      <c r="G228" s="66"/>
      <c r="H228" s="66"/>
      <c r="I228" s="64" t="str">
        <f>IF(OR($B228="", $D228="", $E228="", $F228="", $G228="", $H228=""),"",ROUND(($D228*Lists!$AN$20)+($E228*Lists!$AN$21)+($F228*Lists!$AN$22)+($G228*Lists!$AN$23)+($H228*Lists!$AN$24),2))</f>
        <v/>
      </c>
      <c r="J228" s="62"/>
      <c r="K228" s="65"/>
      <c r="L228" s="62"/>
    </row>
    <row r="229" spans="1:12" ht="15.75" customHeight="1" x14ac:dyDescent="0.2">
      <c r="A229" s="63" t="str">
        <f t="shared" si="4"/>
        <v/>
      </c>
      <c r="B229" s="63"/>
      <c r="C229" s="62" t="str">
        <f>IF($B229="","",IFERROR(VLOOKUP($B229,'Application Portfolio'!$A$2:$B$1000,2,FALSE()),""))</f>
        <v/>
      </c>
      <c r="D229" s="66"/>
      <c r="E229" s="66"/>
      <c r="F229" s="66"/>
      <c r="G229" s="66"/>
      <c r="H229" s="66"/>
      <c r="I229" s="64" t="str">
        <f>IF(OR($B229="", $D229="", $E229="", $F229="", $G229="", $H229=""),"",ROUND(($D229*Lists!$AN$20)+($E229*Lists!$AN$21)+($F229*Lists!$AN$22)+($G229*Lists!$AN$23)+($H229*Lists!$AN$24),2))</f>
        <v/>
      </c>
      <c r="J229" s="62"/>
      <c r="K229" s="65"/>
      <c r="L229" s="62"/>
    </row>
    <row r="230" spans="1:12" ht="15.75" customHeight="1" x14ac:dyDescent="0.2">
      <c r="A230" s="63" t="str">
        <f t="shared" si="4"/>
        <v/>
      </c>
      <c r="B230" s="63"/>
      <c r="C230" s="62" t="str">
        <f>IF($B230="","",IFERROR(VLOOKUP($B230,'Application Portfolio'!$A$2:$B$1000,2,FALSE()),""))</f>
        <v/>
      </c>
      <c r="D230" s="66"/>
      <c r="E230" s="66"/>
      <c r="F230" s="66"/>
      <c r="G230" s="66"/>
      <c r="H230" s="66"/>
      <c r="I230" s="64" t="str">
        <f>IF(OR($B230="", $D230="", $E230="", $F230="", $G230="", $H230=""),"",ROUND(($D230*Lists!$AN$20)+($E230*Lists!$AN$21)+($F230*Lists!$AN$22)+($G230*Lists!$AN$23)+($H230*Lists!$AN$24),2))</f>
        <v/>
      </c>
      <c r="J230" s="62"/>
      <c r="K230" s="65"/>
      <c r="L230" s="62"/>
    </row>
    <row r="231" spans="1:12" ht="15.75" customHeight="1" x14ac:dyDescent="0.2">
      <c r="A231" s="63" t="str">
        <f t="shared" si="4"/>
        <v/>
      </c>
      <c r="B231" s="63"/>
      <c r="C231" s="62" t="str">
        <f>IF($B231="","",IFERROR(VLOOKUP($B231,'Application Portfolio'!$A$2:$B$1000,2,FALSE()),""))</f>
        <v/>
      </c>
      <c r="D231" s="66"/>
      <c r="E231" s="66"/>
      <c r="F231" s="66"/>
      <c r="G231" s="66"/>
      <c r="H231" s="66"/>
      <c r="I231" s="64" t="str">
        <f>IF(OR($B231="", $D231="", $E231="", $F231="", $G231="", $H231=""),"",ROUND(($D231*Lists!$AN$20)+($E231*Lists!$AN$21)+($F231*Lists!$AN$22)+($G231*Lists!$AN$23)+($H231*Lists!$AN$24),2))</f>
        <v/>
      </c>
      <c r="J231" s="62"/>
      <c r="K231" s="65"/>
      <c r="L231" s="62"/>
    </row>
    <row r="232" spans="1:12" ht="15.75" customHeight="1" x14ac:dyDescent="0.2">
      <c r="A232" s="63" t="str">
        <f t="shared" si="4"/>
        <v/>
      </c>
      <c r="B232" s="63"/>
      <c r="C232" s="62" t="str">
        <f>IF($B232="","",IFERROR(VLOOKUP($B232,'Application Portfolio'!$A$2:$B$1000,2,FALSE()),""))</f>
        <v/>
      </c>
      <c r="D232" s="66"/>
      <c r="E232" s="66"/>
      <c r="F232" s="66"/>
      <c r="G232" s="66"/>
      <c r="H232" s="66"/>
      <c r="I232" s="64" t="str">
        <f>IF(OR($B232="", $D232="", $E232="", $F232="", $G232="", $H232=""),"",ROUND(($D232*Lists!$AN$20)+($E232*Lists!$AN$21)+($F232*Lists!$AN$22)+($G232*Lists!$AN$23)+($H232*Lists!$AN$24),2))</f>
        <v/>
      </c>
      <c r="J232" s="62"/>
      <c r="K232" s="65"/>
      <c r="L232" s="62"/>
    </row>
    <row r="233" spans="1:12" ht="15.75" customHeight="1" x14ac:dyDescent="0.2">
      <c r="A233" s="63" t="str">
        <f t="shared" si="4"/>
        <v/>
      </c>
      <c r="B233" s="63"/>
      <c r="C233" s="62" t="str">
        <f>IF($B233="","",IFERROR(VLOOKUP($B233,'Application Portfolio'!$A$2:$B$1000,2,FALSE()),""))</f>
        <v/>
      </c>
      <c r="D233" s="66"/>
      <c r="E233" s="66"/>
      <c r="F233" s="66"/>
      <c r="G233" s="66"/>
      <c r="H233" s="66"/>
      <c r="I233" s="64" t="str">
        <f>IF(OR($B233="", $D233="", $E233="", $F233="", $G233="", $H233=""),"",ROUND(($D233*Lists!$AN$20)+($E233*Lists!$AN$21)+($F233*Lists!$AN$22)+($G233*Lists!$AN$23)+($H233*Lists!$AN$24),2))</f>
        <v/>
      </c>
      <c r="J233" s="62"/>
      <c r="K233" s="65"/>
      <c r="L233" s="62"/>
    </row>
    <row r="234" spans="1:12" ht="15.75" customHeight="1" x14ac:dyDescent="0.2">
      <c r="A234" s="63" t="str">
        <f t="shared" si="4"/>
        <v/>
      </c>
      <c r="B234" s="63"/>
      <c r="C234" s="62" t="str">
        <f>IF($B234="","",IFERROR(VLOOKUP($B234,'Application Portfolio'!$A$2:$B$1000,2,FALSE()),""))</f>
        <v/>
      </c>
      <c r="D234" s="66"/>
      <c r="E234" s="66"/>
      <c r="F234" s="66"/>
      <c r="G234" s="66"/>
      <c r="H234" s="66"/>
      <c r="I234" s="64" t="str">
        <f>IF(OR($B234="", $D234="", $E234="", $F234="", $G234="", $H234=""),"",ROUND(($D234*Lists!$AN$20)+($E234*Lists!$AN$21)+($F234*Lists!$AN$22)+($G234*Lists!$AN$23)+($H234*Lists!$AN$24),2))</f>
        <v/>
      </c>
      <c r="J234" s="62"/>
      <c r="K234" s="65"/>
      <c r="L234" s="62"/>
    </row>
    <row r="235" spans="1:12" ht="15.75" customHeight="1" x14ac:dyDescent="0.2">
      <c r="A235" s="63" t="str">
        <f t="shared" si="4"/>
        <v/>
      </c>
      <c r="B235" s="63"/>
      <c r="C235" s="62" t="str">
        <f>IF($B235="","",IFERROR(VLOOKUP($B235,'Application Portfolio'!$A$2:$B$1000,2,FALSE()),""))</f>
        <v/>
      </c>
      <c r="D235" s="66"/>
      <c r="E235" s="66"/>
      <c r="F235" s="66"/>
      <c r="G235" s="66"/>
      <c r="H235" s="66"/>
      <c r="I235" s="64" t="str">
        <f>IF(OR($B235="", $D235="", $E235="", $F235="", $G235="", $H235=""),"",ROUND(($D235*Lists!$AN$20)+($E235*Lists!$AN$21)+($F235*Lists!$AN$22)+($G235*Lists!$AN$23)+($H235*Lists!$AN$24),2))</f>
        <v/>
      </c>
      <c r="J235" s="62"/>
      <c r="K235" s="65"/>
      <c r="L235" s="62"/>
    </row>
    <row r="236" spans="1:12" ht="15.75" customHeight="1" x14ac:dyDescent="0.2">
      <c r="A236" s="63" t="str">
        <f t="shared" si="4"/>
        <v/>
      </c>
      <c r="B236" s="63"/>
      <c r="C236" s="62" t="str">
        <f>IF($B236="","",IFERROR(VLOOKUP($B236,'Application Portfolio'!$A$2:$B$1000,2,FALSE()),""))</f>
        <v/>
      </c>
      <c r="D236" s="66"/>
      <c r="E236" s="66"/>
      <c r="F236" s="66"/>
      <c r="G236" s="66"/>
      <c r="H236" s="66"/>
      <c r="I236" s="64" t="str">
        <f>IF(OR($B236="", $D236="", $E236="", $F236="", $G236="", $H236=""),"",ROUND(($D236*Lists!$AN$20)+($E236*Lists!$AN$21)+($F236*Lists!$AN$22)+($G236*Lists!$AN$23)+($H236*Lists!$AN$24),2))</f>
        <v/>
      </c>
      <c r="J236" s="62"/>
      <c r="K236" s="65"/>
      <c r="L236" s="62"/>
    </row>
    <row r="237" spans="1:12" ht="15.75" customHeight="1" x14ac:dyDescent="0.2">
      <c r="A237" s="63" t="str">
        <f t="shared" si="4"/>
        <v/>
      </c>
      <c r="B237" s="63"/>
      <c r="C237" s="62" t="str">
        <f>IF($B237="","",IFERROR(VLOOKUP($B237,'Application Portfolio'!$A$2:$B$1000,2,FALSE()),""))</f>
        <v/>
      </c>
      <c r="D237" s="66"/>
      <c r="E237" s="66"/>
      <c r="F237" s="66"/>
      <c r="G237" s="66"/>
      <c r="H237" s="66"/>
      <c r="I237" s="64" t="str">
        <f>IF(OR($B237="", $D237="", $E237="", $F237="", $G237="", $H237=""),"",ROUND(($D237*Lists!$AN$20)+($E237*Lists!$AN$21)+($F237*Lists!$AN$22)+($G237*Lists!$AN$23)+($H237*Lists!$AN$24),2))</f>
        <v/>
      </c>
      <c r="J237" s="62"/>
      <c r="K237" s="65"/>
      <c r="L237" s="62"/>
    </row>
    <row r="238" spans="1:12" ht="15.75" customHeight="1" x14ac:dyDescent="0.2">
      <c r="A238" s="63" t="str">
        <f t="shared" si="4"/>
        <v/>
      </c>
      <c r="B238" s="63"/>
      <c r="C238" s="62" t="str">
        <f>IF($B238="","",IFERROR(VLOOKUP($B238,'Application Portfolio'!$A$2:$B$1000,2,FALSE()),""))</f>
        <v/>
      </c>
      <c r="D238" s="66"/>
      <c r="E238" s="66"/>
      <c r="F238" s="66"/>
      <c r="G238" s="66"/>
      <c r="H238" s="66"/>
      <c r="I238" s="64" t="str">
        <f>IF(OR($B238="", $D238="", $E238="", $F238="", $G238="", $H238=""),"",ROUND(($D238*Lists!$AN$20)+($E238*Lists!$AN$21)+($F238*Lists!$AN$22)+($G238*Lists!$AN$23)+($H238*Lists!$AN$24),2))</f>
        <v/>
      </c>
      <c r="J238" s="62"/>
      <c r="K238" s="65"/>
      <c r="L238" s="62"/>
    </row>
    <row r="239" spans="1:12" ht="15.75" customHeight="1" x14ac:dyDescent="0.2">
      <c r="A239" s="63" t="str">
        <f t="shared" si="4"/>
        <v/>
      </c>
      <c r="B239" s="63"/>
      <c r="C239" s="62" t="str">
        <f>IF($B239="","",IFERROR(VLOOKUP($B239,'Application Portfolio'!$A$2:$B$1000,2,FALSE()),""))</f>
        <v/>
      </c>
      <c r="D239" s="66"/>
      <c r="E239" s="66"/>
      <c r="F239" s="66"/>
      <c r="G239" s="66"/>
      <c r="H239" s="66"/>
      <c r="I239" s="64" t="str">
        <f>IF(OR($B239="", $D239="", $E239="", $F239="", $G239="", $H239=""),"",ROUND(($D239*Lists!$AN$20)+($E239*Lists!$AN$21)+($F239*Lists!$AN$22)+($G239*Lists!$AN$23)+($H239*Lists!$AN$24),2))</f>
        <v/>
      </c>
      <c r="J239" s="62"/>
      <c r="K239" s="65"/>
      <c r="L239" s="62"/>
    </row>
    <row r="240" spans="1:12" ht="15.75" customHeight="1" x14ac:dyDescent="0.2">
      <c r="A240" s="63" t="str">
        <f t="shared" si="4"/>
        <v/>
      </c>
      <c r="B240" s="63"/>
      <c r="C240" s="62" t="str">
        <f>IF($B240="","",IFERROR(VLOOKUP($B240,'Application Portfolio'!$A$2:$B$1000,2,FALSE()),""))</f>
        <v/>
      </c>
      <c r="D240" s="66"/>
      <c r="E240" s="66"/>
      <c r="F240" s="66"/>
      <c r="G240" s="66"/>
      <c r="H240" s="66"/>
      <c r="I240" s="64" t="str">
        <f>IF(OR($B240="", $D240="", $E240="", $F240="", $G240="", $H240=""),"",ROUND(($D240*Lists!$AN$20)+($E240*Lists!$AN$21)+($F240*Lists!$AN$22)+($G240*Lists!$AN$23)+($H240*Lists!$AN$24),2))</f>
        <v/>
      </c>
      <c r="J240" s="62"/>
      <c r="K240" s="65"/>
      <c r="L240" s="62"/>
    </row>
    <row r="241" spans="1:12" ht="15.75" customHeight="1" x14ac:dyDescent="0.2">
      <c r="A241" s="63" t="str">
        <f t="shared" si="4"/>
        <v/>
      </c>
      <c r="B241" s="63"/>
      <c r="C241" s="62" t="str">
        <f>IF($B241="","",IFERROR(VLOOKUP($B241,'Application Portfolio'!$A$2:$B$1000,2,FALSE()),""))</f>
        <v/>
      </c>
      <c r="D241" s="66"/>
      <c r="E241" s="66"/>
      <c r="F241" s="66"/>
      <c r="G241" s="66"/>
      <c r="H241" s="66"/>
      <c r="I241" s="64" t="str">
        <f>IF(OR($B241="", $D241="", $E241="", $F241="", $G241="", $H241=""),"",ROUND(($D241*Lists!$AN$20)+($E241*Lists!$AN$21)+($F241*Lists!$AN$22)+($G241*Lists!$AN$23)+($H241*Lists!$AN$24),2))</f>
        <v/>
      </c>
      <c r="J241" s="62"/>
      <c r="K241" s="65"/>
      <c r="L241" s="62"/>
    </row>
    <row r="242" spans="1:12" ht="15.75" customHeight="1" x14ac:dyDescent="0.2">
      <c r="A242" s="63" t="str">
        <f t="shared" si="4"/>
        <v/>
      </c>
      <c r="B242" s="63"/>
      <c r="C242" s="62" t="str">
        <f>IF($B242="","",IFERROR(VLOOKUP($B242,'Application Portfolio'!$A$2:$B$1000,2,FALSE()),""))</f>
        <v/>
      </c>
      <c r="D242" s="66"/>
      <c r="E242" s="66"/>
      <c r="F242" s="66"/>
      <c r="G242" s="66"/>
      <c r="H242" s="66"/>
      <c r="I242" s="64" t="str">
        <f>IF(OR($B242="", $D242="", $E242="", $F242="", $G242="", $H242=""),"",ROUND(($D242*Lists!$AN$20)+($E242*Lists!$AN$21)+($F242*Lists!$AN$22)+($G242*Lists!$AN$23)+($H242*Lists!$AN$24),2))</f>
        <v/>
      </c>
      <c r="J242" s="62"/>
      <c r="K242" s="65"/>
      <c r="L242" s="62"/>
    </row>
    <row r="243" spans="1:12" ht="15.75" customHeight="1" x14ac:dyDescent="0.2">
      <c r="A243" s="63" t="str">
        <f t="shared" si="4"/>
        <v/>
      </c>
      <c r="B243" s="63"/>
      <c r="C243" s="62" t="str">
        <f>IF($B243="","",IFERROR(VLOOKUP($B243,'Application Portfolio'!$A$2:$B$1000,2,FALSE()),""))</f>
        <v/>
      </c>
      <c r="D243" s="66"/>
      <c r="E243" s="66"/>
      <c r="F243" s="66"/>
      <c r="G243" s="66"/>
      <c r="H243" s="66"/>
      <c r="I243" s="64" t="str">
        <f>IF(OR($B243="", $D243="", $E243="", $F243="", $G243="", $H243=""),"",ROUND(($D243*Lists!$AN$20)+($E243*Lists!$AN$21)+($F243*Lists!$AN$22)+($G243*Lists!$AN$23)+($H243*Lists!$AN$24),2))</f>
        <v/>
      </c>
      <c r="J243" s="62"/>
      <c r="K243" s="65"/>
      <c r="L243" s="62"/>
    </row>
    <row r="244" spans="1:12" ht="15.75" customHeight="1" x14ac:dyDescent="0.2">
      <c r="A244" s="63" t="str">
        <f t="shared" si="4"/>
        <v/>
      </c>
      <c r="B244" s="63"/>
      <c r="C244" s="62" t="str">
        <f>IF($B244="","",IFERROR(VLOOKUP($B244,'Application Portfolio'!$A$2:$B$1000,2,FALSE()),""))</f>
        <v/>
      </c>
      <c r="D244" s="66"/>
      <c r="E244" s="66"/>
      <c r="F244" s="66"/>
      <c r="G244" s="66"/>
      <c r="H244" s="66"/>
      <c r="I244" s="64" t="str">
        <f>IF(OR($B244="", $D244="", $E244="", $F244="", $G244="", $H244=""),"",ROUND(($D244*Lists!$AN$20)+($E244*Lists!$AN$21)+($F244*Lists!$AN$22)+($G244*Lists!$AN$23)+($H244*Lists!$AN$24),2))</f>
        <v/>
      </c>
      <c r="J244" s="62"/>
      <c r="K244" s="65"/>
      <c r="L244" s="62"/>
    </row>
    <row r="245" spans="1:12" ht="15.75" customHeight="1" x14ac:dyDescent="0.2">
      <c r="A245" s="63" t="str">
        <f t="shared" si="4"/>
        <v/>
      </c>
      <c r="B245" s="63"/>
      <c r="C245" s="62" t="str">
        <f>IF($B245="","",IFERROR(VLOOKUP($B245,'Application Portfolio'!$A$2:$B$1000,2,FALSE()),""))</f>
        <v/>
      </c>
      <c r="D245" s="66"/>
      <c r="E245" s="66"/>
      <c r="F245" s="66"/>
      <c r="G245" s="66"/>
      <c r="H245" s="66"/>
      <c r="I245" s="64" t="str">
        <f>IF(OR($B245="", $D245="", $E245="", $F245="", $G245="", $H245=""),"",ROUND(($D245*Lists!$AN$20)+($E245*Lists!$AN$21)+($F245*Lists!$AN$22)+($G245*Lists!$AN$23)+($H245*Lists!$AN$24),2))</f>
        <v/>
      </c>
      <c r="J245" s="62"/>
      <c r="K245" s="65"/>
      <c r="L245" s="62"/>
    </row>
    <row r="246" spans="1:12" ht="15.75" customHeight="1" x14ac:dyDescent="0.2">
      <c r="A246" s="63" t="str">
        <f t="shared" si="4"/>
        <v/>
      </c>
      <c r="B246" s="63"/>
      <c r="C246" s="62" t="str">
        <f>IF($B246="","",IFERROR(VLOOKUP($B246,'Application Portfolio'!$A$2:$B$1000,2,FALSE()),""))</f>
        <v/>
      </c>
      <c r="D246" s="66"/>
      <c r="E246" s="66"/>
      <c r="F246" s="66"/>
      <c r="G246" s="66"/>
      <c r="H246" s="66"/>
      <c r="I246" s="64" t="str">
        <f>IF(OR($B246="", $D246="", $E246="", $F246="", $G246="", $H246=""),"",ROUND(($D246*Lists!$AN$20)+($E246*Lists!$AN$21)+($F246*Lists!$AN$22)+($G246*Lists!$AN$23)+($H246*Lists!$AN$24),2))</f>
        <v/>
      </c>
      <c r="J246" s="62"/>
      <c r="K246" s="65"/>
      <c r="L246" s="62"/>
    </row>
    <row r="247" spans="1:12" ht="15.75" customHeight="1" x14ac:dyDescent="0.2">
      <c r="A247" s="63" t="str">
        <f t="shared" si="4"/>
        <v/>
      </c>
      <c r="B247" s="63"/>
      <c r="C247" s="62" t="str">
        <f>IF($B247="","",IFERROR(VLOOKUP($B247,'Application Portfolio'!$A$2:$B$1000,2,FALSE()),""))</f>
        <v/>
      </c>
      <c r="D247" s="66"/>
      <c r="E247" s="66"/>
      <c r="F247" s="66"/>
      <c r="G247" s="66"/>
      <c r="H247" s="66"/>
      <c r="I247" s="64" t="str">
        <f>IF(OR($B247="", $D247="", $E247="", $F247="", $G247="", $H247=""),"",ROUND(($D247*Lists!$AN$20)+($E247*Lists!$AN$21)+($F247*Lists!$AN$22)+($G247*Lists!$AN$23)+($H247*Lists!$AN$24),2))</f>
        <v/>
      </c>
      <c r="J247" s="62"/>
      <c r="K247" s="65"/>
      <c r="L247" s="62"/>
    </row>
    <row r="248" spans="1:12" ht="15.75" customHeight="1" x14ac:dyDescent="0.2">
      <c r="A248" s="63" t="str">
        <f t="shared" si="4"/>
        <v/>
      </c>
      <c r="B248" s="63"/>
      <c r="C248" s="62" t="str">
        <f>IF($B248="","",IFERROR(VLOOKUP($B248,'Application Portfolio'!$A$2:$B$1000,2,FALSE()),""))</f>
        <v/>
      </c>
      <c r="D248" s="66"/>
      <c r="E248" s="66"/>
      <c r="F248" s="66"/>
      <c r="G248" s="66"/>
      <c r="H248" s="66"/>
      <c r="I248" s="64" t="str">
        <f>IF(OR($B248="", $D248="", $E248="", $F248="", $G248="", $H248=""),"",ROUND(($D248*Lists!$AN$20)+($E248*Lists!$AN$21)+($F248*Lists!$AN$22)+($G248*Lists!$AN$23)+($H248*Lists!$AN$24),2))</f>
        <v/>
      </c>
      <c r="J248" s="62"/>
      <c r="K248" s="65"/>
      <c r="L248" s="62"/>
    </row>
    <row r="249" spans="1:12" ht="15.75" customHeight="1" x14ac:dyDescent="0.2">
      <c r="A249" s="63" t="str">
        <f t="shared" si="4"/>
        <v/>
      </c>
      <c r="B249" s="63"/>
      <c r="C249" s="62" t="str">
        <f>IF($B249="","",IFERROR(VLOOKUP($B249,'Application Portfolio'!$A$2:$B$1000,2,FALSE()),""))</f>
        <v/>
      </c>
      <c r="D249" s="66"/>
      <c r="E249" s="66"/>
      <c r="F249" s="66"/>
      <c r="G249" s="66"/>
      <c r="H249" s="66"/>
      <c r="I249" s="64" t="str">
        <f>IF(OR($B249="", $D249="", $E249="", $F249="", $G249="", $H249=""),"",ROUND(($D249*Lists!$AN$20)+($E249*Lists!$AN$21)+($F249*Lists!$AN$22)+($G249*Lists!$AN$23)+($H249*Lists!$AN$24),2))</f>
        <v/>
      </c>
      <c r="J249" s="62"/>
      <c r="K249" s="65"/>
      <c r="L249" s="62"/>
    </row>
    <row r="250" spans="1:12" ht="15.75" customHeight="1" x14ac:dyDescent="0.2">
      <c r="A250" s="63" t="str">
        <f t="shared" si="4"/>
        <v/>
      </c>
      <c r="B250" s="63"/>
      <c r="C250" s="62" t="str">
        <f>IF($B250="","",IFERROR(VLOOKUP($B250,'Application Portfolio'!$A$2:$B$1000,2,FALSE()),""))</f>
        <v/>
      </c>
      <c r="D250" s="66"/>
      <c r="E250" s="66"/>
      <c r="F250" s="66"/>
      <c r="G250" s="66"/>
      <c r="H250" s="66"/>
      <c r="I250" s="64" t="str">
        <f>IF(OR($B250="", $D250="", $E250="", $F250="", $G250="", $H250=""),"",ROUND(($D250*Lists!$AN$20)+($E250*Lists!$AN$21)+($F250*Lists!$AN$22)+($G250*Lists!$AN$23)+($H250*Lists!$AN$24),2))</f>
        <v/>
      </c>
      <c r="J250" s="62"/>
      <c r="K250" s="65"/>
      <c r="L250" s="62"/>
    </row>
    <row r="251" spans="1:12" ht="15.75" customHeight="1" x14ac:dyDescent="0.2">
      <c r="A251" s="63" t="str">
        <f t="shared" si="4"/>
        <v/>
      </c>
      <c r="B251" s="63"/>
      <c r="C251" s="62" t="str">
        <f>IF($B251="","",IFERROR(VLOOKUP($B251,'Application Portfolio'!$A$2:$B$1000,2,FALSE()),""))</f>
        <v/>
      </c>
      <c r="D251" s="66"/>
      <c r="E251" s="66"/>
      <c r="F251" s="66"/>
      <c r="G251" s="66"/>
      <c r="H251" s="66"/>
      <c r="I251" s="64" t="str">
        <f>IF(OR($B251="", $D251="", $E251="", $F251="", $G251="", $H251=""),"",ROUND(($D251*Lists!$AN$20)+($E251*Lists!$AN$21)+($F251*Lists!$AN$22)+($G251*Lists!$AN$23)+($H251*Lists!$AN$24),2))</f>
        <v/>
      </c>
      <c r="J251" s="62"/>
      <c r="K251" s="65"/>
      <c r="L251" s="62"/>
    </row>
    <row r="252" spans="1:12" ht="15.75" customHeight="1" x14ac:dyDescent="0.2">
      <c r="A252" s="63" t="str">
        <f t="shared" si="4"/>
        <v/>
      </c>
      <c r="B252" s="63"/>
      <c r="C252" s="62" t="str">
        <f>IF($B252="","",IFERROR(VLOOKUP($B252,'Application Portfolio'!$A$2:$B$1000,2,FALSE()),""))</f>
        <v/>
      </c>
      <c r="D252" s="66"/>
      <c r="E252" s="66"/>
      <c r="F252" s="66"/>
      <c r="G252" s="66"/>
      <c r="H252" s="66"/>
      <c r="I252" s="64" t="str">
        <f>IF(OR($B252="", $D252="", $E252="", $F252="", $G252="", $H252=""),"",ROUND(($D252*Lists!$AN$20)+($E252*Lists!$AN$21)+($F252*Lists!$AN$22)+($G252*Lists!$AN$23)+($H252*Lists!$AN$24),2))</f>
        <v/>
      </c>
      <c r="J252" s="62"/>
      <c r="K252" s="65"/>
      <c r="L252" s="62"/>
    </row>
    <row r="253" spans="1:12" ht="15.75" customHeight="1" x14ac:dyDescent="0.2">
      <c r="A253" s="63" t="str">
        <f t="shared" si="4"/>
        <v/>
      </c>
      <c r="B253" s="63"/>
      <c r="C253" s="62" t="str">
        <f>IF($B253="","",IFERROR(VLOOKUP($B253,'Application Portfolio'!$A$2:$B$1000,2,FALSE()),""))</f>
        <v/>
      </c>
      <c r="D253" s="66"/>
      <c r="E253" s="66"/>
      <c r="F253" s="66"/>
      <c r="G253" s="66"/>
      <c r="H253" s="66"/>
      <c r="I253" s="64" t="str">
        <f>IF(OR($B253="", $D253="", $E253="", $F253="", $G253="", $H253=""),"",ROUND(($D253*Lists!$AN$20)+($E253*Lists!$AN$21)+($F253*Lists!$AN$22)+($G253*Lists!$AN$23)+($H253*Lists!$AN$24),2))</f>
        <v/>
      </c>
      <c r="J253" s="62"/>
      <c r="K253" s="65"/>
      <c r="L253" s="62"/>
    </row>
    <row r="254" spans="1:12" ht="15.75" customHeight="1" x14ac:dyDescent="0.2">
      <c r="A254" s="63" t="str">
        <f t="shared" si="4"/>
        <v/>
      </c>
      <c r="B254" s="63"/>
      <c r="C254" s="62" t="str">
        <f>IF($B254="","",IFERROR(VLOOKUP($B254,'Application Portfolio'!$A$2:$B$1000,2,FALSE()),""))</f>
        <v/>
      </c>
      <c r="D254" s="66"/>
      <c r="E254" s="66"/>
      <c r="F254" s="66"/>
      <c r="G254" s="66"/>
      <c r="H254" s="66"/>
      <c r="I254" s="64" t="str">
        <f>IF(OR($B254="", $D254="", $E254="", $F254="", $G254="", $H254=""),"",ROUND(($D254*Lists!$AN$20)+($E254*Lists!$AN$21)+($F254*Lists!$AN$22)+($G254*Lists!$AN$23)+($H254*Lists!$AN$24),2))</f>
        <v/>
      </c>
      <c r="J254" s="62"/>
      <c r="K254" s="65"/>
      <c r="L254" s="62"/>
    </row>
    <row r="255" spans="1:12" ht="15.75" customHeight="1" x14ac:dyDescent="0.2">
      <c r="A255" s="63" t="str">
        <f t="shared" si="4"/>
        <v/>
      </c>
      <c r="B255" s="63"/>
      <c r="C255" s="62" t="str">
        <f>IF($B255="","",IFERROR(VLOOKUP($B255,'Application Portfolio'!$A$2:$B$1000,2,FALSE()),""))</f>
        <v/>
      </c>
      <c r="D255" s="66"/>
      <c r="E255" s="66"/>
      <c r="F255" s="66"/>
      <c r="G255" s="66"/>
      <c r="H255" s="66"/>
      <c r="I255" s="64" t="str">
        <f>IF(OR($B255="", $D255="", $E255="", $F255="", $G255="", $H255=""),"",ROUND(($D255*Lists!$AN$20)+($E255*Lists!$AN$21)+($F255*Lists!$AN$22)+($G255*Lists!$AN$23)+($H255*Lists!$AN$24),2))</f>
        <v/>
      </c>
      <c r="J255" s="62"/>
      <c r="K255" s="65"/>
      <c r="L255" s="62"/>
    </row>
    <row r="256" spans="1:12" ht="15.75" customHeight="1" x14ac:dyDescent="0.2">
      <c r="A256" s="63" t="str">
        <f t="shared" si="4"/>
        <v/>
      </c>
      <c r="B256" s="63"/>
      <c r="C256" s="62" t="str">
        <f>IF($B256="","",IFERROR(VLOOKUP($B256,'Application Portfolio'!$A$2:$B$1000,2,FALSE()),""))</f>
        <v/>
      </c>
      <c r="D256" s="66"/>
      <c r="E256" s="66"/>
      <c r="F256" s="66"/>
      <c r="G256" s="66"/>
      <c r="H256" s="66"/>
      <c r="I256" s="64" t="str">
        <f>IF(OR($B256="", $D256="", $E256="", $F256="", $G256="", $H256=""),"",ROUND(($D256*Lists!$AN$20)+($E256*Lists!$AN$21)+($F256*Lists!$AN$22)+($G256*Lists!$AN$23)+($H256*Lists!$AN$24),2))</f>
        <v/>
      </c>
      <c r="J256" s="62"/>
      <c r="K256" s="65"/>
      <c r="L256" s="62"/>
    </row>
    <row r="257" spans="1:12" ht="15.75" customHeight="1" x14ac:dyDescent="0.2">
      <c r="A257" s="63" t="str">
        <f t="shared" si="4"/>
        <v/>
      </c>
      <c r="B257" s="63"/>
      <c r="C257" s="62" t="str">
        <f>IF($B257="","",IFERROR(VLOOKUP($B257,'Application Portfolio'!$A$2:$B$1000,2,FALSE()),""))</f>
        <v/>
      </c>
      <c r="D257" s="66"/>
      <c r="E257" s="66"/>
      <c r="F257" s="66"/>
      <c r="G257" s="66"/>
      <c r="H257" s="66"/>
      <c r="I257" s="64" t="str">
        <f>IF(OR($B257="", $D257="", $E257="", $F257="", $G257="", $H257=""),"",ROUND(($D257*Lists!$AN$20)+($E257*Lists!$AN$21)+($F257*Lists!$AN$22)+($G257*Lists!$AN$23)+($H257*Lists!$AN$24),2))</f>
        <v/>
      </c>
      <c r="J257" s="62"/>
      <c r="K257" s="65"/>
      <c r="L257" s="62"/>
    </row>
    <row r="258" spans="1:12" ht="15.75" customHeight="1" x14ac:dyDescent="0.2">
      <c r="A258" s="63" t="str">
        <f t="shared" si="4"/>
        <v/>
      </c>
      <c r="B258" s="63"/>
      <c r="C258" s="62" t="str">
        <f>IF($B258="","",IFERROR(VLOOKUP($B258,'Application Portfolio'!$A$2:$B$1000,2,FALSE()),""))</f>
        <v/>
      </c>
      <c r="D258" s="66"/>
      <c r="E258" s="66"/>
      <c r="F258" s="66"/>
      <c r="G258" s="66"/>
      <c r="H258" s="66"/>
      <c r="I258" s="64" t="str">
        <f>IF(OR($B258="", $D258="", $E258="", $F258="", $G258="", $H258=""),"",ROUND(($D258*Lists!$AN$20)+($E258*Lists!$AN$21)+($F258*Lists!$AN$22)+($G258*Lists!$AN$23)+($H258*Lists!$AN$24),2))</f>
        <v/>
      </c>
      <c r="J258" s="62"/>
      <c r="K258" s="65"/>
      <c r="L258" s="62"/>
    </row>
    <row r="259" spans="1:12" ht="15.75" customHeight="1" x14ac:dyDescent="0.2">
      <c r="A259" s="63" t="str">
        <f t="shared" si="4"/>
        <v/>
      </c>
      <c r="B259" s="63"/>
      <c r="C259" s="62" t="str">
        <f>IF($B259="","",IFERROR(VLOOKUP($B259,'Application Portfolio'!$A$2:$B$1000,2,FALSE()),""))</f>
        <v/>
      </c>
      <c r="D259" s="66"/>
      <c r="E259" s="66"/>
      <c r="F259" s="66"/>
      <c r="G259" s="66"/>
      <c r="H259" s="66"/>
      <c r="I259" s="64" t="str">
        <f>IF(OR($B259="", $D259="", $E259="", $F259="", $G259="", $H259=""),"",ROUND(($D259*Lists!$AN$20)+($E259*Lists!$AN$21)+($F259*Lists!$AN$22)+($G259*Lists!$AN$23)+($H259*Lists!$AN$24),2))</f>
        <v/>
      </c>
      <c r="J259" s="62"/>
      <c r="K259" s="65"/>
      <c r="L259" s="62"/>
    </row>
    <row r="260" spans="1:12" ht="15.75" customHeight="1" x14ac:dyDescent="0.2">
      <c r="A260" s="63" t="str">
        <f t="shared" si="4"/>
        <v/>
      </c>
      <c r="B260" s="63"/>
      <c r="C260" s="62" t="str">
        <f>IF($B260="","",IFERROR(VLOOKUP($B260,'Application Portfolio'!$A$2:$B$1000,2,FALSE()),""))</f>
        <v/>
      </c>
      <c r="D260" s="66"/>
      <c r="E260" s="66"/>
      <c r="F260" s="66"/>
      <c r="G260" s="66"/>
      <c r="H260" s="66"/>
      <c r="I260" s="64" t="str">
        <f>IF(OR($B260="", $D260="", $E260="", $F260="", $G260="", $H260=""),"",ROUND(($D260*Lists!$AN$20)+($E260*Lists!$AN$21)+($F260*Lists!$AN$22)+($G260*Lists!$AN$23)+($H260*Lists!$AN$24),2))</f>
        <v/>
      </c>
      <c r="J260" s="62"/>
      <c r="K260" s="65"/>
      <c r="L260" s="62"/>
    </row>
    <row r="261" spans="1:12" ht="15.75" customHeight="1" x14ac:dyDescent="0.2">
      <c r="A261" s="63" t="str">
        <f t="shared" si="4"/>
        <v/>
      </c>
      <c r="B261" s="63"/>
      <c r="C261" s="62" t="str">
        <f>IF($B261="","",IFERROR(VLOOKUP($B261,'Application Portfolio'!$A$2:$B$1000,2,FALSE()),""))</f>
        <v/>
      </c>
      <c r="D261" s="66"/>
      <c r="E261" s="66"/>
      <c r="F261" s="66"/>
      <c r="G261" s="66"/>
      <c r="H261" s="66"/>
      <c r="I261" s="64" t="str">
        <f>IF(OR($B261="", $D261="", $E261="", $F261="", $G261="", $H261=""),"",ROUND(($D261*Lists!$AN$20)+($E261*Lists!$AN$21)+($F261*Lists!$AN$22)+($G261*Lists!$AN$23)+($H261*Lists!$AN$24),2))</f>
        <v/>
      </c>
      <c r="J261" s="62"/>
      <c r="K261" s="65"/>
      <c r="L261" s="62"/>
    </row>
    <row r="262" spans="1:12" ht="15.75" customHeight="1" x14ac:dyDescent="0.2">
      <c r="A262" s="63" t="str">
        <f t="shared" si="4"/>
        <v/>
      </c>
      <c r="B262" s="63"/>
      <c r="C262" s="62" t="str">
        <f>IF($B262="","",IFERROR(VLOOKUP($B262,'Application Portfolio'!$A$2:$B$1000,2,FALSE()),""))</f>
        <v/>
      </c>
      <c r="D262" s="66"/>
      <c r="E262" s="66"/>
      <c r="F262" s="66"/>
      <c r="G262" s="66"/>
      <c r="H262" s="66"/>
      <c r="I262" s="64" t="str">
        <f>IF(OR($B262="", $D262="", $E262="", $F262="", $G262="", $H262=""),"",ROUND(($D262*Lists!$AN$20)+($E262*Lists!$AN$21)+($F262*Lists!$AN$22)+($G262*Lists!$AN$23)+($H262*Lists!$AN$24),2))</f>
        <v/>
      </c>
      <c r="J262" s="62"/>
      <c r="K262" s="65"/>
      <c r="L262" s="62"/>
    </row>
    <row r="263" spans="1:12" ht="15.75" customHeight="1" x14ac:dyDescent="0.2">
      <c r="A263" s="63" t="str">
        <f t="shared" si="4"/>
        <v/>
      </c>
      <c r="B263" s="63"/>
      <c r="C263" s="62" t="str">
        <f>IF($B263="","",IFERROR(VLOOKUP($B263,'Application Portfolio'!$A$2:$B$1000,2,FALSE()),""))</f>
        <v/>
      </c>
      <c r="D263" s="66"/>
      <c r="E263" s="66"/>
      <c r="F263" s="66"/>
      <c r="G263" s="66"/>
      <c r="H263" s="66"/>
      <c r="I263" s="64" t="str">
        <f>IF(OR($B263="", $D263="", $E263="", $F263="", $G263="", $H263=""),"",ROUND(($D263*Lists!$AN$20)+($E263*Lists!$AN$21)+($F263*Lists!$AN$22)+($G263*Lists!$AN$23)+($H263*Lists!$AN$24),2))</f>
        <v/>
      </c>
      <c r="J263" s="62"/>
      <c r="K263" s="65"/>
      <c r="L263" s="62"/>
    </row>
    <row r="264" spans="1:12" ht="15.75" customHeight="1" x14ac:dyDescent="0.2">
      <c r="A264" s="63" t="str">
        <f t="shared" si="4"/>
        <v/>
      </c>
      <c r="B264" s="63"/>
      <c r="C264" s="62" t="str">
        <f>IF($B264="","",IFERROR(VLOOKUP($B264,'Application Portfolio'!$A$2:$B$1000,2,FALSE()),""))</f>
        <v/>
      </c>
      <c r="D264" s="66"/>
      <c r="E264" s="66"/>
      <c r="F264" s="66"/>
      <c r="G264" s="66"/>
      <c r="H264" s="66"/>
      <c r="I264" s="64" t="str">
        <f>IF(OR($B264="", $D264="", $E264="", $F264="", $G264="", $H264=""),"",ROUND(($D264*Lists!$AN$20)+($E264*Lists!$AN$21)+($F264*Lists!$AN$22)+($G264*Lists!$AN$23)+($H264*Lists!$AN$24),2))</f>
        <v/>
      </c>
      <c r="J264" s="62"/>
      <c r="K264" s="65"/>
      <c r="L264" s="62"/>
    </row>
    <row r="265" spans="1:12" ht="15.75" customHeight="1" x14ac:dyDescent="0.2">
      <c r="A265" s="63" t="str">
        <f t="shared" si="4"/>
        <v/>
      </c>
      <c r="B265" s="63"/>
      <c r="C265" s="62" t="str">
        <f>IF($B265="","",IFERROR(VLOOKUP($B265,'Application Portfolio'!$A$2:$B$1000,2,FALSE()),""))</f>
        <v/>
      </c>
      <c r="D265" s="66"/>
      <c r="E265" s="66"/>
      <c r="F265" s="66"/>
      <c r="G265" s="66"/>
      <c r="H265" s="66"/>
      <c r="I265" s="64" t="str">
        <f>IF(OR($B265="", $D265="", $E265="", $F265="", $G265="", $H265=""),"",ROUND(($D265*Lists!$AN$20)+($E265*Lists!$AN$21)+($F265*Lists!$AN$22)+($G265*Lists!$AN$23)+($H265*Lists!$AN$24),2))</f>
        <v/>
      </c>
      <c r="J265" s="62"/>
      <c r="K265" s="65"/>
      <c r="L265" s="62"/>
    </row>
    <row r="266" spans="1:12" ht="15.75" customHeight="1" x14ac:dyDescent="0.2">
      <c r="A266" s="63" t="str">
        <f t="shared" si="4"/>
        <v/>
      </c>
      <c r="B266" s="63"/>
      <c r="C266" s="62" t="str">
        <f>IF($B266="","",IFERROR(VLOOKUP($B266,'Application Portfolio'!$A$2:$B$1000,2,FALSE()),""))</f>
        <v/>
      </c>
      <c r="D266" s="66"/>
      <c r="E266" s="66"/>
      <c r="F266" s="66"/>
      <c r="G266" s="66"/>
      <c r="H266" s="66"/>
      <c r="I266" s="64" t="str">
        <f>IF(OR($B266="", $D266="", $E266="", $F266="", $G266="", $H266=""),"",ROUND(($D266*Lists!$AN$20)+($E266*Lists!$AN$21)+($F266*Lists!$AN$22)+($G266*Lists!$AN$23)+($H266*Lists!$AN$24),2))</f>
        <v/>
      </c>
      <c r="J266" s="62"/>
      <c r="K266" s="65"/>
      <c r="L266" s="62"/>
    </row>
    <row r="267" spans="1:12" ht="15.75" customHeight="1" x14ac:dyDescent="0.2">
      <c r="A267" s="63" t="str">
        <f t="shared" si="4"/>
        <v/>
      </c>
      <c r="B267" s="63"/>
      <c r="C267" s="62" t="str">
        <f>IF($B267="","",IFERROR(VLOOKUP($B267,'Application Portfolio'!$A$2:$B$1000,2,FALSE()),""))</f>
        <v/>
      </c>
      <c r="D267" s="66"/>
      <c r="E267" s="66"/>
      <c r="F267" s="66"/>
      <c r="G267" s="66"/>
      <c r="H267" s="66"/>
      <c r="I267" s="64" t="str">
        <f>IF(OR($B267="", $D267="", $E267="", $F267="", $G267="", $H267=""),"",ROUND(($D267*Lists!$AN$20)+($E267*Lists!$AN$21)+($F267*Lists!$AN$22)+($G267*Lists!$AN$23)+($H267*Lists!$AN$24),2))</f>
        <v/>
      </c>
      <c r="J267" s="62"/>
      <c r="K267" s="65"/>
      <c r="L267" s="62"/>
    </row>
    <row r="268" spans="1:12" ht="15.75" customHeight="1" x14ac:dyDescent="0.2">
      <c r="A268" s="63" t="str">
        <f t="shared" si="4"/>
        <v/>
      </c>
      <c r="B268" s="63"/>
      <c r="C268" s="62" t="str">
        <f>IF($B268="","",IFERROR(VLOOKUP($B268,'Application Portfolio'!$A$2:$B$1000,2,FALSE()),""))</f>
        <v/>
      </c>
      <c r="D268" s="66"/>
      <c r="E268" s="66"/>
      <c r="F268" s="66"/>
      <c r="G268" s="66"/>
      <c r="H268" s="66"/>
      <c r="I268" s="64" t="str">
        <f>IF(OR($B268="", $D268="", $E268="", $F268="", $G268="", $H268=""),"",ROUND(($D268*Lists!$AN$20)+($E268*Lists!$AN$21)+($F268*Lists!$AN$22)+($G268*Lists!$AN$23)+($H268*Lists!$AN$24),2))</f>
        <v/>
      </c>
      <c r="J268" s="62"/>
      <c r="K268" s="65"/>
      <c r="L268" s="62"/>
    </row>
    <row r="269" spans="1:12" ht="15.75" customHeight="1" x14ac:dyDescent="0.2">
      <c r="A269" s="63" t="str">
        <f t="shared" si="4"/>
        <v/>
      </c>
      <c r="B269" s="63"/>
      <c r="C269" s="62" t="str">
        <f>IF($B269="","",IFERROR(VLOOKUP($B269,'Application Portfolio'!$A$2:$B$1000,2,FALSE()),""))</f>
        <v/>
      </c>
      <c r="D269" s="66"/>
      <c r="E269" s="66"/>
      <c r="F269" s="66"/>
      <c r="G269" s="66"/>
      <c r="H269" s="66"/>
      <c r="I269" s="64" t="str">
        <f>IF(OR($B269="", $D269="", $E269="", $F269="", $G269="", $H269=""),"",ROUND(($D269*Lists!$AN$20)+($E269*Lists!$AN$21)+($F269*Lists!$AN$22)+($G269*Lists!$AN$23)+($H269*Lists!$AN$24),2))</f>
        <v/>
      </c>
      <c r="J269" s="62"/>
      <c r="K269" s="65"/>
      <c r="L269" s="62"/>
    </row>
    <row r="270" spans="1:12" ht="15.75" customHeight="1" x14ac:dyDescent="0.2">
      <c r="A270" s="63" t="str">
        <f t="shared" si="4"/>
        <v/>
      </c>
      <c r="B270" s="63"/>
      <c r="C270" s="62" t="str">
        <f>IF($B270="","",IFERROR(VLOOKUP($B270,'Application Portfolio'!$A$2:$B$1000,2,FALSE()),""))</f>
        <v/>
      </c>
      <c r="D270" s="66"/>
      <c r="E270" s="66"/>
      <c r="F270" s="66"/>
      <c r="G270" s="66"/>
      <c r="H270" s="66"/>
      <c r="I270" s="64" t="str">
        <f>IF(OR($B270="", $D270="", $E270="", $F270="", $G270="", $H270=""),"",ROUND(($D270*Lists!$AN$20)+($E270*Lists!$AN$21)+($F270*Lists!$AN$22)+($G270*Lists!$AN$23)+($H270*Lists!$AN$24),2))</f>
        <v/>
      </c>
      <c r="J270" s="62"/>
      <c r="K270" s="65"/>
      <c r="L270" s="62"/>
    </row>
    <row r="271" spans="1:12" ht="15.75" customHeight="1" x14ac:dyDescent="0.2">
      <c r="A271" s="63" t="str">
        <f t="shared" si="4"/>
        <v/>
      </c>
      <c r="B271" s="63"/>
      <c r="C271" s="62" t="str">
        <f>IF($B271="","",IFERROR(VLOOKUP($B271,'Application Portfolio'!$A$2:$B$1000,2,FALSE()),""))</f>
        <v/>
      </c>
      <c r="D271" s="66"/>
      <c r="E271" s="66"/>
      <c r="F271" s="66"/>
      <c r="G271" s="66"/>
      <c r="H271" s="66"/>
      <c r="I271" s="64" t="str">
        <f>IF(OR($B271="", $D271="", $E271="", $F271="", $G271="", $H271=""),"",ROUND(($D271*Lists!$AN$20)+($E271*Lists!$AN$21)+($F271*Lists!$AN$22)+($G271*Lists!$AN$23)+($H271*Lists!$AN$24),2))</f>
        <v/>
      </c>
      <c r="J271" s="62"/>
      <c r="K271" s="65"/>
      <c r="L271" s="62"/>
    </row>
    <row r="272" spans="1:12" ht="15.75" customHeight="1" x14ac:dyDescent="0.2">
      <c r="A272" s="63" t="str">
        <f t="shared" si="4"/>
        <v/>
      </c>
      <c r="B272" s="63"/>
      <c r="C272" s="62" t="str">
        <f>IF($B272="","",IFERROR(VLOOKUP($B272,'Application Portfolio'!$A$2:$B$1000,2,FALSE()),""))</f>
        <v/>
      </c>
      <c r="D272" s="66"/>
      <c r="E272" s="66"/>
      <c r="F272" s="66"/>
      <c r="G272" s="66"/>
      <c r="H272" s="66"/>
      <c r="I272" s="64" t="str">
        <f>IF(OR($B272="", $D272="", $E272="", $F272="", $G272="", $H272=""),"",ROUND(($D272*Lists!$AN$20)+($E272*Lists!$AN$21)+($F272*Lists!$AN$22)+($G272*Lists!$AN$23)+($H272*Lists!$AN$24),2))</f>
        <v/>
      </c>
      <c r="J272" s="62"/>
      <c r="K272" s="65"/>
      <c r="L272" s="62"/>
    </row>
    <row r="273" spans="1:12" ht="15.75" customHeight="1" x14ac:dyDescent="0.2">
      <c r="A273" s="63" t="str">
        <f t="shared" si="4"/>
        <v/>
      </c>
      <c r="B273" s="63"/>
      <c r="C273" s="62" t="str">
        <f>IF($B273="","",IFERROR(VLOOKUP($B273,'Application Portfolio'!$A$2:$B$1000,2,FALSE()),""))</f>
        <v/>
      </c>
      <c r="D273" s="66"/>
      <c r="E273" s="66"/>
      <c r="F273" s="66"/>
      <c r="G273" s="66"/>
      <c r="H273" s="66"/>
      <c r="I273" s="64" t="str">
        <f>IF(OR($B273="", $D273="", $E273="", $F273="", $G273="", $H273=""),"",ROUND(($D273*Lists!$AN$20)+($E273*Lists!$AN$21)+($F273*Lists!$AN$22)+($G273*Lists!$AN$23)+($H273*Lists!$AN$24),2))</f>
        <v/>
      </c>
      <c r="J273" s="62"/>
      <c r="K273" s="65"/>
      <c r="L273" s="62"/>
    </row>
    <row r="274" spans="1:12" ht="15.75" customHeight="1" x14ac:dyDescent="0.2">
      <c r="A274" s="63" t="str">
        <f t="shared" si="4"/>
        <v/>
      </c>
      <c r="B274" s="63"/>
      <c r="C274" s="62" t="str">
        <f>IF($B274="","",IFERROR(VLOOKUP($B274,'Application Portfolio'!$A$2:$B$1000,2,FALSE()),""))</f>
        <v/>
      </c>
      <c r="D274" s="66"/>
      <c r="E274" s="66"/>
      <c r="F274" s="66"/>
      <c r="G274" s="66"/>
      <c r="H274" s="66"/>
      <c r="I274" s="64" t="str">
        <f>IF(OR($B274="", $D274="", $E274="", $F274="", $G274="", $H274=""),"",ROUND(($D274*Lists!$AN$20)+($E274*Lists!$AN$21)+($F274*Lists!$AN$22)+($G274*Lists!$AN$23)+($H274*Lists!$AN$24),2))</f>
        <v/>
      </c>
      <c r="J274" s="62"/>
      <c r="K274" s="65"/>
      <c r="L274" s="62"/>
    </row>
    <row r="275" spans="1:12" ht="15.75" customHeight="1" x14ac:dyDescent="0.2">
      <c r="A275" s="63" t="str">
        <f t="shared" si="4"/>
        <v/>
      </c>
      <c r="B275" s="63"/>
      <c r="C275" s="62" t="str">
        <f>IF($B275="","",IFERROR(VLOOKUP($B275,'Application Portfolio'!$A$2:$B$1000,2,FALSE()),""))</f>
        <v/>
      </c>
      <c r="D275" s="66"/>
      <c r="E275" s="66"/>
      <c r="F275" s="66"/>
      <c r="G275" s="66"/>
      <c r="H275" s="66"/>
      <c r="I275" s="64" t="str">
        <f>IF(OR($B275="", $D275="", $E275="", $F275="", $G275="", $H275=""),"",ROUND(($D275*Lists!$AN$20)+($E275*Lists!$AN$21)+($F275*Lists!$AN$22)+($G275*Lists!$AN$23)+($H275*Lists!$AN$24),2))</f>
        <v/>
      </c>
      <c r="J275" s="62"/>
      <c r="K275" s="65"/>
      <c r="L275" s="62"/>
    </row>
    <row r="276" spans="1:12" ht="15.75" customHeight="1" x14ac:dyDescent="0.2">
      <c r="A276" s="63" t="str">
        <f t="shared" si="4"/>
        <v/>
      </c>
      <c r="B276" s="63"/>
      <c r="C276" s="62" t="str">
        <f>IF($B276="","",IFERROR(VLOOKUP($B276,'Application Portfolio'!$A$2:$B$1000,2,FALSE()),""))</f>
        <v/>
      </c>
      <c r="D276" s="66"/>
      <c r="E276" s="66"/>
      <c r="F276" s="66"/>
      <c r="G276" s="66"/>
      <c r="H276" s="66"/>
      <c r="I276" s="64" t="str">
        <f>IF(OR($B276="", $D276="", $E276="", $F276="", $G276="", $H276=""),"",ROUND(($D276*Lists!$AN$20)+($E276*Lists!$AN$21)+($F276*Lists!$AN$22)+($G276*Lists!$AN$23)+($H276*Lists!$AN$24),2))</f>
        <v/>
      </c>
      <c r="J276" s="62"/>
      <c r="K276" s="65"/>
      <c r="L276" s="62"/>
    </row>
    <row r="277" spans="1:12" ht="15.75" customHeight="1" x14ac:dyDescent="0.2">
      <c r="A277" s="63" t="str">
        <f t="shared" si="4"/>
        <v/>
      </c>
      <c r="B277" s="63"/>
      <c r="C277" s="62" t="str">
        <f>IF($B277="","",IFERROR(VLOOKUP($B277,'Application Portfolio'!$A$2:$B$1000,2,FALSE()),""))</f>
        <v/>
      </c>
      <c r="D277" s="66"/>
      <c r="E277" s="66"/>
      <c r="F277" s="66"/>
      <c r="G277" s="66"/>
      <c r="H277" s="66"/>
      <c r="I277" s="64" t="str">
        <f>IF(OR($B277="", $D277="", $E277="", $F277="", $G277="", $H277=""),"",ROUND(($D277*Lists!$AN$20)+($E277*Lists!$AN$21)+($F277*Lists!$AN$22)+($G277*Lists!$AN$23)+($H277*Lists!$AN$24),2))</f>
        <v/>
      </c>
      <c r="J277" s="62"/>
      <c r="K277" s="65"/>
      <c r="L277" s="62"/>
    </row>
    <row r="278" spans="1:12" ht="15.75" customHeight="1" x14ac:dyDescent="0.2">
      <c r="A278" s="63" t="str">
        <f t="shared" si="4"/>
        <v/>
      </c>
      <c r="B278" s="63"/>
      <c r="C278" s="62" t="str">
        <f>IF($B278="","",IFERROR(VLOOKUP($B278,'Application Portfolio'!$A$2:$B$1000,2,FALSE()),""))</f>
        <v/>
      </c>
      <c r="D278" s="66"/>
      <c r="E278" s="66"/>
      <c r="F278" s="66"/>
      <c r="G278" s="66"/>
      <c r="H278" s="66"/>
      <c r="I278" s="64" t="str">
        <f>IF(OR($B278="", $D278="", $E278="", $F278="", $G278="", $H278=""),"",ROUND(($D278*Lists!$AN$20)+($E278*Lists!$AN$21)+($F278*Lists!$AN$22)+($G278*Lists!$AN$23)+($H278*Lists!$AN$24),2))</f>
        <v/>
      </c>
      <c r="J278" s="62"/>
      <c r="K278" s="65"/>
      <c r="L278" s="62"/>
    </row>
    <row r="279" spans="1:12" ht="15.75" customHeight="1" x14ac:dyDescent="0.2">
      <c r="A279" s="63" t="str">
        <f t="shared" si="4"/>
        <v/>
      </c>
      <c r="B279" s="63"/>
      <c r="C279" s="62" t="str">
        <f>IF($B279="","",IFERROR(VLOOKUP($B279,'Application Portfolio'!$A$2:$B$1000,2,FALSE()),""))</f>
        <v/>
      </c>
      <c r="D279" s="66"/>
      <c r="E279" s="66"/>
      <c r="F279" s="66"/>
      <c r="G279" s="66"/>
      <c r="H279" s="66"/>
      <c r="I279" s="64" t="str">
        <f>IF(OR($B279="", $D279="", $E279="", $F279="", $G279="", $H279=""),"",ROUND(($D279*Lists!$AN$20)+($E279*Lists!$AN$21)+($F279*Lists!$AN$22)+($G279*Lists!$AN$23)+($H279*Lists!$AN$24),2))</f>
        <v/>
      </c>
      <c r="J279" s="62"/>
      <c r="K279" s="65"/>
      <c r="L279" s="62"/>
    </row>
    <row r="280" spans="1:12" ht="15.75" customHeight="1" x14ac:dyDescent="0.2">
      <c r="A280" s="63" t="str">
        <f t="shared" si="4"/>
        <v/>
      </c>
      <c r="B280" s="63"/>
      <c r="C280" s="62" t="str">
        <f>IF($B280="","",IFERROR(VLOOKUP($B280,'Application Portfolio'!$A$2:$B$1000,2,FALSE()),""))</f>
        <v/>
      </c>
      <c r="D280" s="66"/>
      <c r="E280" s="66"/>
      <c r="F280" s="66"/>
      <c r="G280" s="66"/>
      <c r="H280" s="66"/>
      <c r="I280" s="64" t="str">
        <f>IF(OR($B280="", $D280="", $E280="", $F280="", $G280="", $H280=""),"",ROUND(($D280*Lists!$AN$20)+($E280*Lists!$AN$21)+($F280*Lists!$AN$22)+($G280*Lists!$AN$23)+($H280*Lists!$AN$24),2))</f>
        <v/>
      </c>
      <c r="J280" s="62"/>
      <c r="K280" s="65"/>
      <c r="L280" s="62"/>
    </row>
    <row r="281" spans="1:12" ht="15.75" customHeight="1" x14ac:dyDescent="0.2">
      <c r="A281" s="63" t="str">
        <f t="shared" si="4"/>
        <v/>
      </c>
      <c r="B281" s="63"/>
      <c r="C281" s="62" t="str">
        <f>IF($B281="","",IFERROR(VLOOKUP($B281,'Application Portfolio'!$A$2:$B$1000,2,FALSE()),""))</f>
        <v/>
      </c>
      <c r="D281" s="66"/>
      <c r="E281" s="66"/>
      <c r="F281" s="66"/>
      <c r="G281" s="66"/>
      <c r="H281" s="66"/>
      <c r="I281" s="64" t="str">
        <f>IF(OR($B281="", $D281="", $E281="", $F281="", $G281="", $H281=""),"",ROUND(($D281*Lists!$AN$20)+($E281*Lists!$AN$21)+($F281*Lists!$AN$22)+($G281*Lists!$AN$23)+($H281*Lists!$AN$24),2))</f>
        <v/>
      </c>
      <c r="J281" s="62"/>
      <c r="K281" s="65"/>
      <c r="L281" s="62"/>
    </row>
    <row r="282" spans="1:12" ht="15.75" customHeight="1" x14ac:dyDescent="0.2">
      <c r="A282" s="63" t="str">
        <f t="shared" si="4"/>
        <v/>
      </c>
      <c r="B282" s="63"/>
      <c r="C282" s="62" t="str">
        <f>IF($B282="","",IFERROR(VLOOKUP($B282,'Application Portfolio'!$A$2:$B$1000,2,FALSE()),""))</f>
        <v/>
      </c>
      <c r="D282" s="66"/>
      <c r="E282" s="66"/>
      <c r="F282" s="66"/>
      <c r="G282" s="66"/>
      <c r="H282" s="66"/>
      <c r="I282" s="64" t="str">
        <f>IF(OR($B282="", $D282="", $E282="", $F282="", $G282="", $H282=""),"",ROUND(($D282*Lists!$AN$20)+($E282*Lists!$AN$21)+($F282*Lists!$AN$22)+($G282*Lists!$AN$23)+($H282*Lists!$AN$24),2))</f>
        <v/>
      </c>
      <c r="J282" s="62"/>
      <c r="K282" s="65"/>
      <c r="L282" s="62"/>
    </row>
    <row r="283" spans="1:12" ht="15.75" customHeight="1" x14ac:dyDescent="0.2">
      <c r="A283" s="63" t="str">
        <f t="shared" si="4"/>
        <v/>
      </c>
      <c r="B283" s="63"/>
      <c r="C283" s="62" t="str">
        <f>IF($B283="","",IFERROR(VLOOKUP($B283,'Application Portfolio'!$A$2:$B$1000,2,FALSE()),""))</f>
        <v/>
      </c>
      <c r="D283" s="66"/>
      <c r="E283" s="66"/>
      <c r="F283" s="66"/>
      <c r="G283" s="66"/>
      <c r="H283" s="66"/>
      <c r="I283" s="64" t="str">
        <f>IF(OR($B283="", $D283="", $E283="", $F283="", $G283="", $H283=""),"",ROUND(($D283*Lists!$AN$20)+($E283*Lists!$AN$21)+($F283*Lists!$AN$22)+($G283*Lists!$AN$23)+($H283*Lists!$AN$24),2))</f>
        <v/>
      </c>
      <c r="J283" s="62"/>
      <c r="K283" s="65"/>
      <c r="L283" s="62"/>
    </row>
    <row r="284" spans="1:12" ht="15.75" customHeight="1" x14ac:dyDescent="0.2">
      <c r="A284" s="63" t="str">
        <f t="shared" si="4"/>
        <v/>
      </c>
      <c r="B284" s="63"/>
      <c r="C284" s="62" t="str">
        <f>IF($B284="","",IFERROR(VLOOKUP($B284,'Application Portfolio'!$A$2:$B$1000,2,FALSE()),""))</f>
        <v/>
      </c>
      <c r="D284" s="66"/>
      <c r="E284" s="66"/>
      <c r="F284" s="66"/>
      <c r="G284" s="66"/>
      <c r="H284" s="66"/>
      <c r="I284" s="64" t="str">
        <f>IF(OR($B284="", $D284="", $E284="", $F284="", $G284="", $H284=""),"",ROUND(($D284*Lists!$AN$20)+($E284*Lists!$AN$21)+($F284*Lists!$AN$22)+($G284*Lists!$AN$23)+($H284*Lists!$AN$24),2))</f>
        <v/>
      </c>
      <c r="J284" s="62"/>
      <c r="K284" s="65"/>
      <c r="L284" s="62"/>
    </row>
    <row r="285" spans="1:12" ht="15.75" customHeight="1" x14ac:dyDescent="0.2">
      <c r="A285" s="63" t="str">
        <f t="shared" si="4"/>
        <v/>
      </c>
      <c r="B285" s="63"/>
      <c r="C285" s="62" t="str">
        <f>IF($B285="","",IFERROR(VLOOKUP($B285,'Application Portfolio'!$A$2:$B$1000,2,FALSE()),""))</f>
        <v/>
      </c>
      <c r="D285" s="66"/>
      <c r="E285" s="66"/>
      <c r="F285" s="66"/>
      <c r="G285" s="66"/>
      <c r="H285" s="66"/>
      <c r="I285" s="64" t="str">
        <f>IF(OR($B285="", $D285="", $E285="", $F285="", $G285="", $H285=""),"",ROUND(($D285*Lists!$AN$20)+($E285*Lists!$AN$21)+($F285*Lists!$AN$22)+($G285*Lists!$AN$23)+($H285*Lists!$AN$24),2))</f>
        <v/>
      </c>
      <c r="J285" s="62"/>
      <c r="K285" s="65"/>
      <c r="L285" s="62"/>
    </row>
    <row r="286" spans="1:12" ht="15.75" customHeight="1" x14ac:dyDescent="0.2">
      <c r="A286" s="63" t="str">
        <f t="shared" si="4"/>
        <v/>
      </c>
      <c r="B286" s="63"/>
      <c r="C286" s="62" t="str">
        <f>IF($B286="","",IFERROR(VLOOKUP($B286,'Application Portfolio'!$A$2:$B$1000,2,FALSE()),""))</f>
        <v/>
      </c>
      <c r="D286" s="66"/>
      <c r="E286" s="66"/>
      <c r="F286" s="66"/>
      <c r="G286" s="66"/>
      <c r="H286" s="66"/>
      <c r="I286" s="64" t="str">
        <f>IF(OR($B286="", $D286="", $E286="", $F286="", $G286="", $H286=""),"",ROUND(($D286*Lists!$AN$20)+($E286*Lists!$AN$21)+($F286*Lists!$AN$22)+($G286*Lists!$AN$23)+($H286*Lists!$AN$24),2))</f>
        <v/>
      </c>
      <c r="J286" s="62"/>
      <c r="K286" s="65"/>
      <c r="L286" s="62"/>
    </row>
    <row r="287" spans="1:12" ht="15.75" customHeight="1" x14ac:dyDescent="0.2">
      <c r="A287" s="63" t="str">
        <f t="shared" si="4"/>
        <v/>
      </c>
      <c r="B287" s="63"/>
      <c r="C287" s="62" t="str">
        <f>IF($B287="","",IFERROR(VLOOKUP($B287,'Application Portfolio'!$A$2:$B$1000,2,FALSE()),""))</f>
        <v/>
      </c>
      <c r="D287" s="66"/>
      <c r="E287" s="66"/>
      <c r="F287" s="66"/>
      <c r="G287" s="66"/>
      <c r="H287" s="66"/>
      <c r="I287" s="64" t="str">
        <f>IF(OR($B287="", $D287="", $E287="", $F287="", $G287="", $H287=""),"",ROUND(($D287*Lists!$AN$20)+($E287*Lists!$AN$21)+($F287*Lists!$AN$22)+($G287*Lists!$AN$23)+($H287*Lists!$AN$24),2))</f>
        <v/>
      </c>
      <c r="J287" s="62"/>
      <c r="K287" s="65"/>
      <c r="L287" s="62"/>
    </row>
    <row r="288" spans="1:12" ht="15.75" customHeight="1" x14ac:dyDescent="0.2">
      <c r="A288" s="63" t="str">
        <f t="shared" ref="A288:A351" si="5">IF($B288="","", "R-" &amp; RIGHT("0000"&amp;ROW()-1,4))</f>
        <v/>
      </c>
      <c r="B288" s="63"/>
      <c r="C288" s="62" t="str">
        <f>IF($B288="","",IFERROR(VLOOKUP($B288,'Application Portfolio'!$A$2:$B$1000,2,FALSE()),""))</f>
        <v/>
      </c>
      <c r="D288" s="66"/>
      <c r="E288" s="66"/>
      <c r="F288" s="66"/>
      <c r="G288" s="66"/>
      <c r="H288" s="66"/>
      <c r="I288" s="64" t="str">
        <f>IF(OR($B288="", $D288="", $E288="", $F288="", $G288="", $H288=""),"",ROUND(($D288*Lists!$AN$20)+($E288*Lists!$AN$21)+($F288*Lists!$AN$22)+($G288*Lists!$AN$23)+($H288*Lists!$AN$24),2))</f>
        <v/>
      </c>
      <c r="J288" s="62"/>
      <c r="K288" s="65"/>
      <c r="L288" s="62"/>
    </row>
    <row r="289" spans="1:12" ht="15.75" customHeight="1" x14ac:dyDescent="0.2">
      <c r="A289" s="63" t="str">
        <f t="shared" si="5"/>
        <v/>
      </c>
      <c r="B289" s="63"/>
      <c r="C289" s="62" t="str">
        <f>IF($B289="","",IFERROR(VLOOKUP($B289,'Application Portfolio'!$A$2:$B$1000,2,FALSE()),""))</f>
        <v/>
      </c>
      <c r="D289" s="66"/>
      <c r="E289" s="66"/>
      <c r="F289" s="66"/>
      <c r="G289" s="66"/>
      <c r="H289" s="66"/>
      <c r="I289" s="64" t="str">
        <f>IF(OR($B289="", $D289="", $E289="", $F289="", $G289="", $H289=""),"",ROUND(($D289*Lists!$AN$20)+($E289*Lists!$AN$21)+($F289*Lists!$AN$22)+($G289*Lists!$AN$23)+($H289*Lists!$AN$24),2))</f>
        <v/>
      </c>
      <c r="J289" s="62"/>
      <c r="K289" s="65"/>
      <c r="L289" s="62"/>
    </row>
    <row r="290" spans="1:12" ht="15.75" customHeight="1" x14ac:dyDescent="0.2">
      <c r="A290" s="63" t="str">
        <f t="shared" si="5"/>
        <v/>
      </c>
      <c r="B290" s="63"/>
      <c r="C290" s="62" t="str">
        <f>IF($B290="","",IFERROR(VLOOKUP($B290,'Application Portfolio'!$A$2:$B$1000,2,FALSE()),""))</f>
        <v/>
      </c>
      <c r="D290" s="66"/>
      <c r="E290" s="66"/>
      <c r="F290" s="66"/>
      <c r="G290" s="66"/>
      <c r="H290" s="66"/>
      <c r="I290" s="64" t="str">
        <f>IF(OR($B290="", $D290="", $E290="", $F290="", $G290="", $H290=""),"",ROUND(($D290*Lists!$AN$20)+($E290*Lists!$AN$21)+($F290*Lists!$AN$22)+($G290*Lists!$AN$23)+($H290*Lists!$AN$24),2))</f>
        <v/>
      </c>
      <c r="J290" s="62"/>
      <c r="K290" s="65"/>
      <c r="L290" s="62"/>
    </row>
    <row r="291" spans="1:12" ht="15.75" customHeight="1" x14ac:dyDescent="0.2">
      <c r="A291" s="63" t="str">
        <f t="shared" si="5"/>
        <v/>
      </c>
      <c r="B291" s="63"/>
      <c r="C291" s="62" t="str">
        <f>IF($B291="","",IFERROR(VLOOKUP($B291,'Application Portfolio'!$A$2:$B$1000,2,FALSE()),""))</f>
        <v/>
      </c>
      <c r="D291" s="66"/>
      <c r="E291" s="66"/>
      <c r="F291" s="66"/>
      <c r="G291" s="66"/>
      <c r="H291" s="66"/>
      <c r="I291" s="64" t="str">
        <f>IF(OR($B291="", $D291="", $E291="", $F291="", $G291="", $H291=""),"",ROUND(($D291*Lists!$AN$20)+($E291*Lists!$AN$21)+($F291*Lists!$AN$22)+($G291*Lists!$AN$23)+($H291*Lists!$AN$24),2))</f>
        <v/>
      </c>
      <c r="J291" s="62"/>
      <c r="K291" s="65"/>
      <c r="L291" s="62"/>
    </row>
    <row r="292" spans="1:12" ht="15.75" customHeight="1" x14ac:dyDescent="0.2">
      <c r="A292" s="63" t="str">
        <f t="shared" si="5"/>
        <v/>
      </c>
      <c r="B292" s="63"/>
      <c r="C292" s="62" t="str">
        <f>IF($B292="","",IFERROR(VLOOKUP($B292,'Application Portfolio'!$A$2:$B$1000,2,FALSE()),""))</f>
        <v/>
      </c>
      <c r="D292" s="66"/>
      <c r="E292" s="66"/>
      <c r="F292" s="66"/>
      <c r="G292" s="66"/>
      <c r="H292" s="66"/>
      <c r="I292" s="64" t="str">
        <f>IF(OR($B292="", $D292="", $E292="", $F292="", $G292="", $H292=""),"",ROUND(($D292*Lists!$AN$20)+($E292*Lists!$AN$21)+($F292*Lists!$AN$22)+($G292*Lists!$AN$23)+($H292*Lists!$AN$24),2))</f>
        <v/>
      </c>
      <c r="J292" s="62"/>
      <c r="K292" s="65"/>
      <c r="L292" s="62"/>
    </row>
    <row r="293" spans="1:12" ht="15.75" customHeight="1" x14ac:dyDescent="0.2">
      <c r="A293" s="63" t="str">
        <f t="shared" si="5"/>
        <v/>
      </c>
      <c r="B293" s="63"/>
      <c r="C293" s="62" t="str">
        <f>IF($B293="","",IFERROR(VLOOKUP($B293,'Application Portfolio'!$A$2:$B$1000,2,FALSE()),""))</f>
        <v/>
      </c>
      <c r="D293" s="66"/>
      <c r="E293" s="66"/>
      <c r="F293" s="66"/>
      <c r="G293" s="66"/>
      <c r="H293" s="66"/>
      <c r="I293" s="64" t="str">
        <f>IF(OR($B293="", $D293="", $E293="", $F293="", $G293="", $H293=""),"",ROUND(($D293*Lists!$AN$20)+($E293*Lists!$AN$21)+($F293*Lists!$AN$22)+($G293*Lists!$AN$23)+($H293*Lists!$AN$24),2))</f>
        <v/>
      </c>
      <c r="J293" s="62"/>
      <c r="K293" s="65"/>
      <c r="L293" s="62"/>
    </row>
    <row r="294" spans="1:12" ht="15.75" customHeight="1" x14ac:dyDescent="0.2">
      <c r="A294" s="63" t="str">
        <f t="shared" si="5"/>
        <v/>
      </c>
      <c r="B294" s="63"/>
      <c r="C294" s="62" t="str">
        <f>IF($B294="","",IFERROR(VLOOKUP($B294,'Application Portfolio'!$A$2:$B$1000,2,FALSE()),""))</f>
        <v/>
      </c>
      <c r="D294" s="66"/>
      <c r="E294" s="66"/>
      <c r="F294" s="66"/>
      <c r="G294" s="66"/>
      <c r="H294" s="66"/>
      <c r="I294" s="64" t="str">
        <f>IF(OR($B294="", $D294="", $E294="", $F294="", $G294="", $H294=""),"",ROUND(($D294*Lists!$AN$20)+($E294*Lists!$AN$21)+($F294*Lists!$AN$22)+($G294*Lists!$AN$23)+($H294*Lists!$AN$24),2))</f>
        <v/>
      </c>
      <c r="J294" s="62"/>
      <c r="K294" s="65"/>
      <c r="L294" s="62"/>
    </row>
    <row r="295" spans="1:12" ht="15.75" customHeight="1" x14ac:dyDescent="0.2">
      <c r="A295" s="63" t="str">
        <f t="shared" si="5"/>
        <v/>
      </c>
      <c r="B295" s="63"/>
      <c r="C295" s="62" t="str">
        <f>IF($B295="","",IFERROR(VLOOKUP($B295,'Application Portfolio'!$A$2:$B$1000,2,FALSE()),""))</f>
        <v/>
      </c>
      <c r="D295" s="66"/>
      <c r="E295" s="66"/>
      <c r="F295" s="66"/>
      <c r="G295" s="66"/>
      <c r="H295" s="66"/>
      <c r="I295" s="64" t="str">
        <f>IF(OR($B295="", $D295="", $E295="", $F295="", $G295="", $H295=""),"",ROUND(($D295*Lists!$AN$20)+($E295*Lists!$AN$21)+($F295*Lists!$AN$22)+($G295*Lists!$AN$23)+($H295*Lists!$AN$24),2))</f>
        <v/>
      </c>
      <c r="J295" s="62"/>
      <c r="K295" s="65"/>
      <c r="L295" s="62"/>
    </row>
    <row r="296" spans="1:12" ht="15.75" customHeight="1" x14ac:dyDescent="0.2">
      <c r="A296" s="63" t="str">
        <f t="shared" si="5"/>
        <v/>
      </c>
      <c r="B296" s="63"/>
      <c r="C296" s="62" t="str">
        <f>IF($B296="","",IFERROR(VLOOKUP($B296,'Application Portfolio'!$A$2:$B$1000,2,FALSE()),""))</f>
        <v/>
      </c>
      <c r="D296" s="66"/>
      <c r="E296" s="66"/>
      <c r="F296" s="66"/>
      <c r="G296" s="66"/>
      <c r="H296" s="66"/>
      <c r="I296" s="64" t="str">
        <f>IF(OR($B296="", $D296="", $E296="", $F296="", $G296="", $H296=""),"",ROUND(($D296*Lists!$AN$20)+($E296*Lists!$AN$21)+($F296*Lists!$AN$22)+($G296*Lists!$AN$23)+($H296*Lists!$AN$24),2))</f>
        <v/>
      </c>
      <c r="J296" s="62"/>
      <c r="K296" s="65"/>
      <c r="L296" s="62"/>
    </row>
    <row r="297" spans="1:12" ht="15.75" customHeight="1" x14ac:dyDescent="0.2">
      <c r="A297" s="63" t="str">
        <f t="shared" si="5"/>
        <v/>
      </c>
      <c r="B297" s="63"/>
      <c r="C297" s="62" t="str">
        <f>IF($B297="","",IFERROR(VLOOKUP($B297,'Application Portfolio'!$A$2:$B$1000,2,FALSE()),""))</f>
        <v/>
      </c>
      <c r="D297" s="66"/>
      <c r="E297" s="66"/>
      <c r="F297" s="66"/>
      <c r="G297" s="66"/>
      <c r="H297" s="66"/>
      <c r="I297" s="64" t="str">
        <f>IF(OR($B297="", $D297="", $E297="", $F297="", $G297="", $H297=""),"",ROUND(($D297*Lists!$AN$20)+($E297*Lists!$AN$21)+($F297*Lists!$AN$22)+($G297*Lists!$AN$23)+($H297*Lists!$AN$24),2))</f>
        <v/>
      </c>
      <c r="J297" s="62"/>
      <c r="K297" s="65"/>
      <c r="L297" s="62"/>
    </row>
    <row r="298" spans="1:12" ht="15.75" customHeight="1" x14ac:dyDescent="0.2">
      <c r="A298" s="63" t="str">
        <f t="shared" si="5"/>
        <v/>
      </c>
      <c r="B298" s="63"/>
      <c r="C298" s="62" t="str">
        <f>IF($B298="","",IFERROR(VLOOKUP($B298,'Application Portfolio'!$A$2:$B$1000,2,FALSE()),""))</f>
        <v/>
      </c>
      <c r="D298" s="66"/>
      <c r="E298" s="66"/>
      <c r="F298" s="66"/>
      <c r="G298" s="66"/>
      <c r="H298" s="66"/>
      <c r="I298" s="64" t="str">
        <f>IF(OR($B298="", $D298="", $E298="", $F298="", $G298="", $H298=""),"",ROUND(($D298*Lists!$AN$20)+($E298*Lists!$AN$21)+($F298*Lists!$AN$22)+($G298*Lists!$AN$23)+($H298*Lists!$AN$24),2))</f>
        <v/>
      </c>
      <c r="J298" s="62"/>
      <c r="K298" s="65"/>
      <c r="L298" s="62"/>
    </row>
    <row r="299" spans="1:12" ht="15.75" customHeight="1" x14ac:dyDescent="0.2">
      <c r="A299" s="63" t="str">
        <f t="shared" si="5"/>
        <v/>
      </c>
      <c r="B299" s="63"/>
      <c r="C299" s="62" t="str">
        <f>IF($B299="","",IFERROR(VLOOKUP($B299,'Application Portfolio'!$A$2:$B$1000,2,FALSE()),""))</f>
        <v/>
      </c>
      <c r="D299" s="66"/>
      <c r="E299" s="66"/>
      <c r="F299" s="66"/>
      <c r="G299" s="66"/>
      <c r="H299" s="66"/>
      <c r="I299" s="64" t="str">
        <f>IF(OR($B299="", $D299="", $E299="", $F299="", $G299="", $H299=""),"",ROUND(($D299*Lists!$AN$20)+($E299*Lists!$AN$21)+($F299*Lists!$AN$22)+($G299*Lists!$AN$23)+($H299*Lists!$AN$24),2))</f>
        <v/>
      </c>
      <c r="J299" s="62"/>
      <c r="K299" s="65"/>
      <c r="L299" s="62"/>
    </row>
    <row r="300" spans="1:12" ht="15.75" customHeight="1" x14ac:dyDescent="0.2">
      <c r="A300" s="63" t="str">
        <f t="shared" si="5"/>
        <v/>
      </c>
      <c r="B300" s="63"/>
      <c r="C300" s="62" t="str">
        <f>IF($B300="","",IFERROR(VLOOKUP($B300,'Application Portfolio'!$A$2:$B$1000,2,FALSE()),""))</f>
        <v/>
      </c>
      <c r="D300" s="66"/>
      <c r="E300" s="66"/>
      <c r="F300" s="66"/>
      <c r="G300" s="66"/>
      <c r="H300" s="66"/>
      <c r="I300" s="64" t="str">
        <f>IF(OR($B300="", $D300="", $E300="", $F300="", $G300="", $H300=""),"",ROUND(($D300*Lists!$AN$20)+($E300*Lists!$AN$21)+($F300*Lists!$AN$22)+($G300*Lists!$AN$23)+($H300*Lists!$AN$24),2))</f>
        <v/>
      </c>
      <c r="J300" s="62"/>
      <c r="K300" s="65"/>
      <c r="L300" s="62"/>
    </row>
    <row r="301" spans="1:12" ht="15.75" customHeight="1" x14ac:dyDescent="0.2">
      <c r="A301" s="63" t="str">
        <f t="shared" si="5"/>
        <v/>
      </c>
      <c r="B301" s="63"/>
      <c r="C301" s="62" t="str">
        <f>IF($B301="","",IFERROR(VLOOKUP($B301,'Application Portfolio'!$A$2:$B$1000,2,FALSE()),""))</f>
        <v/>
      </c>
      <c r="D301" s="66"/>
      <c r="E301" s="66"/>
      <c r="F301" s="66"/>
      <c r="G301" s="66"/>
      <c r="H301" s="66"/>
      <c r="I301" s="64" t="str">
        <f>IF(OR($B301="", $D301="", $E301="", $F301="", $G301="", $H301=""),"",ROUND(($D301*Lists!$AN$20)+($E301*Lists!$AN$21)+($F301*Lists!$AN$22)+($G301*Lists!$AN$23)+($H301*Lists!$AN$24),2))</f>
        <v/>
      </c>
      <c r="J301" s="62"/>
      <c r="K301" s="65"/>
      <c r="L301" s="62"/>
    </row>
    <row r="302" spans="1:12" ht="15.75" customHeight="1" x14ac:dyDescent="0.2">
      <c r="A302" s="63" t="str">
        <f t="shared" si="5"/>
        <v/>
      </c>
      <c r="B302" s="63"/>
      <c r="C302" s="62" t="str">
        <f>IF($B302="","",IFERROR(VLOOKUP($B302,'Application Portfolio'!$A$2:$B$1000,2,FALSE()),""))</f>
        <v/>
      </c>
      <c r="D302" s="66"/>
      <c r="E302" s="66"/>
      <c r="F302" s="66"/>
      <c r="G302" s="66"/>
      <c r="H302" s="66"/>
      <c r="I302" s="64" t="str">
        <f>IF(OR($B302="", $D302="", $E302="", $F302="", $G302="", $H302=""),"",ROUND(($D302*Lists!$AN$20)+($E302*Lists!$AN$21)+($F302*Lists!$AN$22)+($G302*Lists!$AN$23)+($H302*Lists!$AN$24),2))</f>
        <v/>
      </c>
      <c r="J302" s="62"/>
      <c r="K302" s="65"/>
      <c r="L302" s="62"/>
    </row>
    <row r="303" spans="1:12" ht="15.75" customHeight="1" x14ac:dyDescent="0.2">
      <c r="A303" s="63" t="str">
        <f t="shared" si="5"/>
        <v/>
      </c>
      <c r="B303" s="63"/>
      <c r="C303" s="62" t="str">
        <f>IF($B303="","",IFERROR(VLOOKUP($B303,'Application Portfolio'!$A$2:$B$1000,2,FALSE()),""))</f>
        <v/>
      </c>
      <c r="D303" s="66"/>
      <c r="E303" s="66"/>
      <c r="F303" s="66"/>
      <c r="G303" s="66"/>
      <c r="H303" s="66"/>
      <c r="I303" s="64" t="str">
        <f>IF(OR($B303="", $D303="", $E303="", $F303="", $G303="", $H303=""),"",ROUND(($D303*Lists!$AN$20)+($E303*Lists!$AN$21)+($F303*Lists!$AN$22)+($G303*Lists!$AN$23)+($H303*Lists!$AN$24),2))</f>
        <v/>
      </c>
      <c r="J303" s="62"/>
      <c r="K303" s="65"/>
      <c r="L303" s="62"/>
    </row>
    <row r="304" spans="1:12" ht="15.75" customHeight="1" x14ac:dyDescent="0.2">
      <c r="A304" s="63" t="str">
        <f t="shared" si="5"/>
        <v/>
      </c>
      <c r="B304" s="63"/>
      <c r="C304" s="62" t="str">
        <f>IF($B304="","",IFERROR(VLOOKUP($B304,'Application Portfolio'!$A$2:$B$1000,2,FALSE()),""))</f>
        <v/>
      </c>
      <c r="D304" s="66"/>
      <c r="E304" s="66"/>
      <c r="F304" s="66"/>
      <c r="G304" s="66"/>
      <c r="H304" s="66"/>
      <c r="I304" s="64" t="str">
        <f>IF(OR($B304="", $D304="", $E304="", $F304="", $G304="", $H304=""),"",ROUND(($D304*Lists!$AN$20)+($E304*Lists!$AN$21)+($F304*Lists!$AN$22)+($G304*Lists!$AN$23)+($H304*Lists!$AN$24),2))</f>
        <v/>
      </c>
      <c r="J304" s="62"/>
      <c r="K304" s="65"/>
      <c r="L304" s="62"/>
    </row>
    <row r="305" spans="1:12" ht="15.75" customHeight="1" x14ac:dyDescent="0.2">
      <c r="A305" s="63" t="str">
        <f t="shared" si="5"/>
        <v/>
      </c>
      <c r="B305" s="63"/>
      <c r="C305" s="62" t="str">
        <f>IF($B305="","",IFERROR(VLOOKUP($B305,'Application Portfolio'!$A$2:$B$1000,2,FALSE()),""))</f>
        <v/>
      </c>
      <c r="D305" s="66"/>
      <c r="E305" s="66"/>
      <c r="F305" s="66"/>
      <c r="G305" s="66"/>
      <c r="H305" s="66"/>
      <c r="I305" s="64" t="str">
        <f>IF(OR($B305="", $D305="", $E305="", $F305="", $G305="", $H305=""),"",ROUND(($D305*Lists!$AN$20)+($E305*Lists!$AN$21)+($F305*Lists!$AN$22)+($G305*Lists!$AN$23)+($H305*Lists!$AN$24),2))</f>
        <v/>
      </c>
      <c r="J305" s="62"/>
      <c r="K305" s="65"/>
      <c r="L305" s="62"/>
    </row>
    <row r="306" spans="1:12" ht="15.75" customHeight="1" x14ac:dyDescent="0.2">
      <c r="A306" s="63" t="str">
        <f t="shared" si="5"/>
        <v/>
      </c>
      <c r="B306" s="63"/>
      <c r="C306" s="62" t="str">
        <f>IF($B306="","",IFERROR(VLOOKUP($B306,'Application Portfolio'!$A$2:$B$1000,2,FALSE()),""))</f>
        <v/>
      </c>
      <c r="D306" s="66"/>
      <c r="E306" s="66"/>
      <c r="F306" s="66"/>
      <c r="G306" s="66"/>
      <c r="H306" s="66"/>
      <c r="I306" s="64" t="str">
        <f>IF(OR($B306="", $D306="", $E306="", $F306="", $G306="", $H306=""),"",ROUND(($D306*Lists!$AN$20)+($E306*Lists!$AN$21)+($F306*Lists!$AN$22)+($G306*Lists!$AN$23)+($H306*Lists!$AN$24),2))</f>
        <v/>
      </c>
      <c r="J306" s="62"/>
      <c r="K306" s="65"/>
      <c r="L306" s="62"/>
    </row>
    <row r="307" spans="1:12" ht="15.75" customHeight="1" x14ac:dyDescent="0.2">
      <c r="A307" s="63" t="str">
        <f t="shared" si="5"/>
        <v/>
      </c>
      <c r="B307" s="63"/>
      <c r="C307" s="62" t="str">
        <f>IF($B307="","",IFERROR(VLOOKUP($B307,'Application Portfolio'!$A$2:$B$1000,2,FALSE()),""))</f>
        <v/>
      </c>
      <c r="D307" s="66"/>
      <c r="E307" s="66"/>
      <c r="F307" s="66"/>
      <c r="G307" s="66"/>
      <c r="H307" s="66"/>
      <c r="I307" s="64" t="str">
        <f>IF(OR($B307="", $D307="", $E307="", $F307="", $G307="", $H307=""),"",ROUND(($D307*Lists!$AN$20)+($E307*Lists!$AN$21)+($F307*Lists!$AN$22)+($G307*Lists!$AN$23)+($H307*Lists!$AN$24),2))</f>
        <v/>
      </c>
      <c r="J307" s="62"/>
      <c r="K307" s="65"/>
      <c r="L307" s="62"/>
    </row>
    <row r="308" spans="1:12" ht="15.75" customHeight="1" x14ac:dyDescent="0.2">
      <c r="A308" s="63" t="str">
        <f t="shared" si="5"/>
        <v/>
      </c>
      <c r="B308" s="63"/>
      <c r="C308" s="62" t="str">
        <f>IF($B308="","",IFERROR(VLOOKUP($B308,'Application Portfolio'!$A$2:$B$1000,2,FALSE()),""))</f>
        <v/>
      </c>
      <c r="D308" s="66"/>
      <c r="E308" s="66"/>
      <c r="F308" s="66"/>
      <c r="G308" s="66"/>
      <c r="H308" s="66"/>
      <c r="I308" s="64" t="str">
        <f>IF(OR($B308="", $D308="", $E308="", $F308="", $G308="", $H308=""),"",ROUND(($D308*Lists!$AN$20)+($E308*Lists!$AN$21)+($F308*Lists!$AN$22)+($G308*Lists!$AN$23)+($H308*Lists!$AN$24),2))</f>
        <v/>
      </c>
      <c r="J308" s="62"/>
      <c r="K308" s="65"/>
      <c r="L308" s="62"/>
    </row>
    <row r="309" spans="1:12" ht="15.75" customHeight="1" x14ac:dyDescent="0.2">
      <c r="A309" s="63" t="str">
        <f t="shared" si="5"/>
        <v/>
      </c>
      <c r="B309" s="63"/>
      <c r="C309" s="62" t="str">
        <f>IF($B309="","",IFERROR(VLOOKUP($B309,'Application Portfolio'!$A$2:$B$1000,2,FALSE()),""))</f>
        <v/>
      </c>
      <c r="D309" s="66"/>
      <c r="E309" s="66"/>
      <c r="F309" s="66"/>
      <c r="G309" s="66"/>
      <c r="H309" s="66"/>
      <c r="I309" s="64" t="str">
        <f>IF(OR($B309="", $D309="", $E309="", $F309="", $G309="", $H309=""),"",ROUND(($D309*Lists!$AN$20)+($E309*Lists!$AN$21)+($F309*Lists!$AN$22)+($G309*Lists!$AN$23)+($H309*Lists!$AN$24),2))</f>
        <v/>
      </c>
      <c r="J309" s="62"/>
      <c r="K309" s="65"/>
      <c r="L309" s="62"/>
    </row>
    <row r="310" spans="1:12" ht="15.75" customHeight="1" x14ac:dyDescent="0.2">
      <c r="A310" s="63" t="str">
        <f t="shared" si="5"/>
        <v/>
      </c>
      <c r="B310" s="63"/>
      <c r="C310" s="62" t="str">
        <f>IF($B310="","",IFERROR(VLOOKUP($B310,'Application Portfolio'!$A$2:$B$1000,2,FALSE()),""))</f>
        <v/>
      </c>
      <c r="D310" s="66"/>
      <c r="E310" s="66"/>
      <c r="F310" s="66"/>
      <c r="G310" s="66"/>
      <c r="H310" s="66"/>
      <c r="I310" s="64" t="str">
        <f>IF(OR($B310="", $D310="", $E310="", $F310="", $G310="", $H310=""),"",ROUND(($D310*Lists!$AN$20)+($E310*Lists!$AN$21)+($F310*Lists!$AN$22)+($G310*Lists!$AN$23)+($H310*Lists!$AN$24),2))</f>
        <v/>
      </c>
      <c r="J310" s="62"/>
      <c r="K310" s="65"/>
      <c r="L310" s="62"/>
    </row>
    <row r="311" spans="1:12" ht="15.75" customHeight="1" x14ac:dyDescent="0.2">
      <c r="A311" s="63" t="str">
        <f t="shared" si="5"/>
        <v/>
      </c>
      <c r="B311" s="63"/>
      <c r="C311" s="62" t="str">
        <f>IF($B311="","",IFERROR(VLOOKUP($B311,'Application Portfolio'!$A$2:$B$1000,2,FALSE()),""))</f>
        <v/>
      </c>
      <c r="D311" s="66"/>
      <c r="E311" s="66"/>
      <c r="F311" s="66"/>
      <c r="G311" s="66"/>
      <c r="H311" s="66"/>
      <c r="I311" s="64" t="str">
        <f>IF(OR($B311="", $D311="", $E311="", $F311="", $G311="", $H311=""),"",ROUND(($D311*Lists!$AN$20)+($E311*Lists!$AN$21)+($F311*Lists!$AN$22)+($G311*Lists!$AN$23)+($H311*Lists!$AN$24),2))</f>
        <v/>
      </c>
      <c r="J311" s="62"/>
      <c r="K311" s="65"/>
      <c r="L311" s="62"/>
    </row>
    <row r="312" spans="1:12" ht="15.75" customHeight="1" x14ac:dyDescent="0.2">
      <c r="A312" s="63" t="str">
        <f t="shared" si="5"/>
        <v/>
      </c>
      <c r="B312" s="63"/>
      <c r="C312" s="62" t="str">
        <f>IF($B312="","",IFERROR(VLOOKUP($B312,'Application Portfolio'!$A$2:$B$1000,2,FALSE()),""))</f>
        <v/>
      </c>
      <c r="D312" s="66"/>
      <c r="E312" s="66"/>
      <c r="F312" s="66"/>
      <c r="G312" s="66"/>
      <c r="H312" s="66"/>
      <c r="I312" s="64" t="str">
        <f>IF(OR($B312="", $D312="", $E312="", $F312="", $G312="", $H312=""),"",ROUND(($D312*Lists!$AN$20)+($E312*Lists!$AN$21)+($F312*Lists!$AN$22)+($G312*Lists!$AN$23)+($H312*Lists!$AN$24),2))</f>
        <v/>
      </c>
      <c r="J312" s="62"/>
      <c r="K312" s="65"/>
      <c r="L312" s="62"/>
    </row>
    <row r="313" spans="1:12" ht="15.75" customHeight="1" x14ac:dyDescent="0.2">
      <c r="A313" s="63" t="str">
        <f t="shared" si="5"/>
        <v/>
      </c>
      <c r="B313" s="63"/>
      <c r="C313" s="62" t="str">
        <f>IF($B313="","",IFERROR(VLOOKUP($B313,'Application Portfolio'!$A$2:$B$1000,2,FALSE()),""))</f>
        <v/>
      </c>
      <c r="D313" s="66"/>
      <c r="E313" s="66"/>
      <c r="F313" s="66"/>
      <c r="G313" s="66"/>
      <c r="H313" s="66"/>
      <c r="I313" s="64" t="str">
        <f>IF(OR($B313="", $D313="", $E313="", $F313="", $G313="", $H313=""),"",ROUND(($D313*Lists!$AN$20)+($E313*Lists!$AN$21)+($F313*Lists!$AN$22)+($G313*Lists!$AN$23)+($H313*Lists!$AN$24),2))</f>
        <v/>
      </c>
      <c r="J313" s="62"/>
      <c r="K313" s="65"/>
      <c r="L313" s="62"/>
    </row>
    <row r="314" spans="1:12" ht="15.75" customHeight="1" x14ac:dyDescent="0.2">
      <c r="A314" s="63" t="str">
        <f t="shared" si="5"/>
        <v/>
      </c>
      <c r="B314" s="63"/>
      <c r="C314" s="62" t="str">
        <f>IF($B314="","",IFERROR(VLOOKUP($B314,'Application Portfolio'!$A$2:$B$1000,2,FALSE()),""))</f>
        <v/>
      </c>
      <c r="D314" s="66"/>
      <c r="E314" s="66"/>
      <c r="F314" s="66"/>
      <c r="G314" s="66"/>
      <c r="H314" s="66"/>
      <c r="I314" s="64" t="str">
        <f>IF(OR($B314="", $D314="", $E314="", $F314="", $G314="", $H314=""),"",ROUND(($D314*Lists!$AN$20)+($E314*Lists!$AN$21)+($F314*Lists!$AN$22)+($G314*Lists!$AN$23)+($H314*Lists!$AN$24),2))</f>
        <v/>
      </c>
      <c r="J314" s="62"/>
      <c r="K314" s="65"/>
      <c r="L314" s="62"/>
    </row>
    <row r="315" spans="1:12" ht="15.75" customHeight="1" x14ac:dyDescent="0.2">
      <c r="A315" s="63" t="str">
        <f t="shared" si="5"/>
        <v/>
      </c>
      <c r="B315" s="63"/>
      <c r="C315" s="62" t="str">
        <f>IF($B315="","",IFERROR(VLOOKUP($B315,'Application Portfolio'!$A$2:$B$1000,2,FALSE()),""))</f>
        <v/>
      </c>
      <c r="D315" s="66"/>
      <c r="E315" s="66"/>
      <c r="F315" s="66"/>
      <c r="G315" s="66"/>
      <c r="H315" s="66"/>
      <c r="I315" s="64" t="str">
        <f>IF(OR($B315="", $D315="", $E315="", $F315="", $G315="", $H315=""),"",ROUND(($D315*Lists!$AN$20)+($E315*Lists!$AN$21)+($F315*Lists!$AN$22)+($G315*Lists!$AN$23)+($H315*Lists!$AN$24),2))</f>
        <v/>
      </c>
      <c r="J315" s="62"/>
      <c r="K315" s="65"/>
      <c r="L315" s="62"/>
    </row>
    <row r="316" spans="1:12" ht="15.75" customHeight="1" x14ac:dyDescent="0.2">
      <c r="A316" s="63" t="str">
        <f t="shared" si="5"/>
        <v/>
      </c>
      <c r="B316" s="63"/>
      <c r="C316" s="62" t="str">
        <f>IF($B316="","",IFERROR(VLOOKUP($B316,'Application Portfolio'!$A$2:$B$1000,2,FALSE()),""))</f>
        <v/>
      </c>
      <c r="D316" s="66"/>
      <c r="E316" s="66"/>
      <c r="F316" s="66"/>
      <c r="G316" s="66"/>
      <c r="H316" s="66"/>
      <c r="I316" s="64" t="str">
        <f>IF(OR($B316="", $D316="", $E316="", $F316="", $G316="", $H316=""),"",ROUND(($D316*Lists!$AN$20)+($E316*Lists!$AN$21)+($F316*Lists!$AN$22)+($G316*Lists!$AN$23)+($H316*Lists!$AN$24),2))</f>
        <v/>
      </c>
      <c r="J316" s="62"/>
      <c r="K316" s="65"/>
      <c r="L316" s="62"/>
    </row>
    <row r="317" spans="1:12" ht="15.75" customHeight="1" x14ac:dyDescent="0.2">
      <c r="A317" s="63" t="str">
        <f t="shared" si="5"/>
        <v/>
      </c>
      <c r="B317" s="63"/>
      <c r="C317" s="62" t="str">
        <f>IF($B317="","",IFERROR(VLOOKUP($B317,'Application Portfolio'!$A$2:$B$1000,2,FALSE()),""))</f>
        <v/>
      </c>
      <c r="D317" s="66"/>
      <c r="E317" s="66"/>
      <c r="F317" s="66"/>
      <c r="G317" s="66"/>
      <c r="H317" s="66"/>
      <c r="I317" s="64" t="str">
        <f>IF(OR($B317="", $D317="", $E317="", $F317="", $G317="", $H317=""),"",ROUND(($D317*Lists!$AN$20)+($E317*Lists!$AN$21)+($F317*Lists!$AN$22)+($G317*Lists!$AN$23)+($H317*Lists!$AN$24),2))</f>
        <v/>
      </c>
      <c r="J317" s="62"/>
      <c r="K317" s="65"/>
      <c r="L317" s="62"/>
    </row>
    <row r="318" spans="1:12" ht="15.75" customHeight="1" x14ac:dyDescent="0.2">
      <c r="A318" s="63" t="str">
        <f t="shared" si="5"/>
        <v/>
      </c>
      <c r="B318" s="63"/>
      <c r="C318" s="62" t="str">
        <f>IF($B318="","",IFERROR(VLOOKUP($B318,'Application Portfolio'!$A$2:$B$1000,2,FALSE()),""))</f>
        <v/>
      </c>
      <c r="D318" s="66"/>
      <c r="E318" s="66"/>
      <c r="F318" s="66"/>
      <c r="G318" s="66"/>
      <c r="H318" s="66"/>
      <c r="I318" s="64" t="str">
        <f>IF(OR($B318="", $D318="", $E318="", $F318="", $G318="", $H318=""),"",ROUND(($D318*Lists!$AN$20)+($E318*Lists!$AN$21)+($F318*Lists!$AN$22)+($G318*Lists!$AN$23)+($H318*Lists!$AN$24),2))</f>
        <v/>
      </c>
      <c r="J318" s="62"/>
      <c r="K318" s="65"/>
      <c r="L318" s="62"/>
    </row>
    <row r="319" spans="1:12" ht="15.75" customHeight="1" x14ac:dyDescent="0.2">
      <c r="A319" s="63" t="str">
        <f t="shared" si="5"/>
        <v/>
      </c>
      <c r="B319" s="63"/>
      <c r="C319" s="62" t="str">
        <f>IF($B319="","",IFERROR(VLOOKUP($B319,'Application Portfolio'!$A$2:$B$1000,2,FALSE()),""))</f>
        <v/>
      </c>
      <c r="D319" s="66"/>
      <c r="E319" s="66"/>
      <c r="F319" s="66"/>
      <c r="G319" s="66"/>
      <c r="H319" s="66"/>
      <c r="I319" s="64" t="str">
        <f>IF(OR($B319="", $D319="", $E319="", $F319="", $G319="", $H319=""),"",ROUND(($D319*Lists!$AN$20)+($E319*Lists!$AN$21)+($F319*Lists!$AN$22)+($G319*Lists!$AN$23)+($H319*Lists!$AN$24),2))</f>
        <v/>
      </c>
      <c r="J319" s="62"/>
      <c r="K319" s="65"/>
      <c r="L319" s="62"/>
    </row>
    <row r="320" spans="1:12" ht="15.75" customHeight="1" x14ac:dyDescent="0.2">
      <c r="A320" s="63" t="str">
        <f t="shared" si="5"/>
        <v/>
      </c>
      <c r="B320" s="63"/>
      <c r="C320" s="62" t="str">
        <f>IF($B320="","",IFERROR(VLOOKUP($B320,'Application Portfolio'!$A$2:$B$1000,2,FALSE()),""))</f>
        <v/>
      </c>
      <c r="D320" s="66"/>
      <c r="E320" s="66"/>
      <c r="F320" s="66"/>
      <c r="G320" s="66"/>
      <c r="H320" s="66"/>
      <c r="I320" s="64" t="str">
        <f>IF(OR($B320="", $D320="", $E320="", $F320="", $G320="", $H320=""),"",ROUND(($D320*Lists!$AN$20)+($E320*Lists!$AN$21)+($F320*Lists!$AN$22)+($G320*Lists!$AN$23)+($H320*Lists!$AN$24),2))</f>
        <v/>
      </c>
      <c r="J320" s="62"/>
      <c r="K320" s="65"/>
      <c r="L320" s="62"/>
    </row>
    <row r="321" spans="1:12" ht="15.75" customHeight="1" x14ac:dyDescent="0.2">
      <c r="A321" s="63" t="str">
        <f t="shared" si="5"/>
        <v/>
      </c>
      <c r="B321" s="63"/>
      <c r="C321" s="62" t="str">
        <f>IF($B321="","",IFERROR(VLOOKUP($B321,'Application Portfolio'!$A$2:$B$1000,2,FALSE()),""))</f>
        <v/>
      </c>
      <c r="D321" s="66"/>
      <c r="E321" s="66"/>
      <c r="F321" s="66"/>
      <c r="G321" s="66"/>
      <c r="H321" s="66"/>
      <c r="I321" s="64" t="str">
        <f>IF(OR($B321="", $D321="", $E321="", $F321="", $G321="", $H321=""),"",ROUND(($D321*Lists!$AN$20)+($E321*Lists!$AN$21)+($F321*Lists!$AN$22)+($G321*Lists!$AN$23)+($H321*Lists!$AN$24),2))</f>
        <v/>
      </c>
      <c r="J321" s="62"/>
      <c r="K321" s="65"/>
      <c r="L321" s="62"/>
    </row>
    <row r="322" spans="1:12" ht="15.75" customHeight="1" x14ac:dyDescent="0.2">
      <c r="A322" s="63" t="str">
        <f t="shared" si="5"/>
        <v/>
      </c>
      <c r="B322" s="63"/>
      <c r="C322" s="62" t="str">
        <f>IF($B322="","",IFERROR(VLOOKUP($B322,'Application Portfolio'!$A$2:$B$1000,2,FALSE()),""))</f>
        <v/>
      </c>
      <c r="D322" s="66"/>
      <c r="E322" s="66"/>
      <c r="F322" s="66"/>
      <c r="G322" s="66"/>
      <c r="H322" s="66"/>
      <c r="I322" s="64" t="str">
        <f>IF(OR($B322="", $D322="", $E322="", $F322="", $G322="", $H322=""),"",ROUND(($D322*Lists!$AN$20)+($E322*Lists!$AN$21)+($F322*Lists!$AN$22)+($G322*Lists!$AN$23)+($H322*Lists!$AN$24),2))</f>
        <v/>
      </c>
      <c r="J322" s="62"/>
      <c r="K322" s="65"/>
      <c r="L322" s="62"/>
    </row>
    <row r="323" spans="1:12" ht="15.75" customHeight="1" x14ac:dyDescent="0.2">
      <c r="A323" s="63" t="str">
        <f t="shared" si="5"/>
        <v/>
      </c>
      <c r="B323" s="63"/>
      <c r="C323" s="62" t="str">
        <f>IF($B323="","",IFERROR(VLOOKUP($B323,'Application Portfolio'!$A$2:$B$1000,2,FALSE()),""))</f>
        <v/>
      </c>
      <c r="D323" s="66"/>
      <c r="E323" s="66"/>
      <c r="F323" s="66"/>
      <c r="G323" s="66"/>
      <c r="H323" s="66"/>
      <c r="I323" s="64" t="str">
        <f>IF(OR($B323="", $D323="", $E323="", $F323="", $G323="", $H323=""),"",ROUND(($D323*Lists!$AN$20)+($E323*Lists!$AN$21)+($F323*Lists!$AN$22)+($G323*Lists!$AN$23)+($H323*Lists!$AN$24),2))</f>
        <v/>
      </c>
      <c r="J323" s="62"/>
      <c r="K323" s="65"/>
      <c r="L323" s="62"/>
    </row>
    <row r="324" spans="1:12" ht="15.75" customHeight="1" x14ac:dyDescent="0.2">
      <c r="A324" s="63" t="str">
        <f t="shared" si="5"/>
        <v/>
      </c>
      <c r="B324" s="63"/>
      <c r="C324" s="62" t="str">
        <f>IF($B324="","",IFERROR(VLOOKUP($B324,'Application Portfolio'!$A$2:$B$1000,2,FALSE()),""))</f>
        <v/>
      </c>
      <c r="D324" s="66"/>
      <c r="E324" s="66"/>
      <c r="F324" s="66"/>
      <c r="G324" s="66"/>
      <c r="H324" s="66"/>
      <c r="I324" s="64" t="str">
        <f>IF(OR($B324="", $D324="", $E324="", $F324="", $G324="", $H324=""),"",ROUND(($D324*Lists!$AN$20)+($E324*Lists!$AN$21)+($F324*Lists!$AN$22)+($G324*Lists!$AN$23)+($H324*Lists!$AN$24),2))</f>
        <v/>
      </c>
      <c r="J324" s="62"/>
      <c r="K324" s="65"/>
      <c r="L324" s="62"/>
    </row>
    <row r="325" spans="1:12" ht="15.75" customHeight="1" x14ac:dyDescent="0.2">
      <c r="A325" s="63" t="str">
        <f t="shared" si="5"/>
        <v/>
      </c>
      <c r="B325" s="63"/>
      <c r="C325" s="62" t="str">
        <f>IF($B325="","",IFERROR(VLOOKUP($B325,'Application Portfolio'!$A$2:$B$1000,2,FALSE()),""))</f>
        <v/>
      </c>
      <c r="D325" s="66"/>
      <c r="E325" s="66"/>
      <c r="F325" s="66"/>
      <c r="G325" s="66"/>
      <c r="H325" s="66"/>
      <c r="I325" s="64" t="str">
        <f>IF(OR($B325="", $D325="", $E325="", $F325="", $G325="", $H325=""),"",ROUND(($D325*Lists!$AN$20)+($E325*Lists!$AN$21)+($F325*Lists!$AN$22)+($G325*Lists!$AN$23)+($H325*Lists!$AN$24),2))</f>
        <v/>
      </c>
      <c r="J325" s="62"/>
      <c r="K325" s="65"/>
      <c r="L325" s="62"/>
    </row>
    <row r="326" spans="1:12" ht="15.75" customHeight="1" x14ac:dyDescent="0.2">
      <c r="A326" s="63" t="str">
        <f t="shared" si="5"/>
        <v/>
      </c>
      <c r="B326" s="63"/>
      <c r="C326" s="62" t="str">
        <f>IF($B326="","",IFERROR(VLOOKUP($B326,'Application Portfolio'!$A$2:$B$1000,2,FALSE()),""))</f>
        <v/>
      </c>
      <c r="D326" s="66"/>
      <c r="E326" s="66"/>
      <c r="F326" s="66"/>
      <c r="G326" s="66"/>
      <c r="H326" s="66"/>
      <c r="I326" s="64" t="str">
        <f>IF(OR($B326="", $D326="", $E326="", $F326="", $G326="", $H326=""),"",ROUND(($D326*Lists!$AN$20)+($E326*Lists!$AN$21)+($F326*Lists!$AN$22)+($G326*Lists!$AN$23)+($H326*Lists!$AN$24),2))</f>
        <v/>
      </c>
      <c r="J326" s="62"/>
      <c r="K326" s="65"/>
      <c r="L326" s="62"/>
    </row>
    <row r="327" spans="1:12" ht="15.75" customHeight="1" x14ac:dyDescent="0.2">
      <c r="A327" s="63" t="str">
        <f t="shared" si="5"/>
        <v/>
      </c>
      <c r="B327" s="63"/>
      <c r="C327" s="62" t="str">
        <f>IF($B327="","",IFERROR(VLOOKUP($B327,'Application Portfolio'!$A$2:$B$1000,2,FALSE()),""))</f>
        <v/>
      </c>
      <c r="D327" s="66"/>
      <c r="E327" s="66"/>
      <c r="F327" s="66"/>
      <c r="G327" s="66"/>
      <c r="H327" s="66"/>
      <c r="I327" s="64" t="str">
        <f>IF(OR($B327="", $D327="", $E327="", $F327="", $G327="", $H327=""),"",ROUND(($D327*Lists!$AN$20)+($E327*Lists!$AN$21)+($F327*Lists!$AN$22)+($G327*Lists!$AN$23)+($H327*Lists!$AN$24),2))</f>
        <v/>
      </c>
      <c r="J327" s="62"/>
      <c r="K327" s="65"/>
      <c r="L327" s="62"/>
    </row>
    <row r="328" spans="1:12" ht="15.75" customHeight="1" x14ac:dyDescent="0.2">
      <c r="A328" s="63" t="str">
        <f t="shared" si="5"/>
        <v/>
      </c>
      <c r="B328" s="63"/>
      <c r="C328" s="62" t="str">
        <f>IF($B328="","",IFERROR(VLOOKUP($B328,'Application Portfolio'!$A$2:$B$1000,2,FALSE()),""))</f>
        <v/>
      </c>
      <c r="D328" s="66"/>
      <c r="E328" s="66"/>
      <c r="F328" s="66"/>
      <c r="G328" s="66"/>
      <c r="H328" s="66"/>
      <c r="I328" s="64" t="str">
        <f>IF(OR($B328="", $D328="", $E328="", $F328="", $G328="", $H328=""),"",ROUND(($D328*Lists!$AN$20)+($E328*Lists!$AN$21)+($F328*Lists!$AN$22)+($G328*Lists!$AN$23)+($H328*Lists!$AN$24),2))</f>
        <v/>
      </c>
      <c r="J328" s="62"/>
      <c r="K328" s="65"/>
      <c r="L328" s="62"/>
    </row>
    <row r="329" spans="1:12" ht="15.75" customHeight="1" x14ac:dyDescent="0.2">
      <c r="A329" s="63" t="str">
        <f t="shared" si="5"/>
        <v/>
      </c>
      <c r="B329" s="63"/>
      <c r="C329" s="62" t="str">
        <f>IF($B329="","",IFERROR(VLOOKUP($B329,'Application Portfolio'!$A$2:$B$1000,2,FALSE()),""))</f>
        <v/>
      </c>
      <c r="D329" s="66"/>
      <c r="E329" s="66"/>
      <c r="F329" s="66"/>
      <c r="G329" s="66"/>
      <c r="H329" s="66"/>
      <c r="I329" s="64" t="str">
        <f>IF(OR($B329="", $D329="", $E329="", $F329="", $G329="", $H329=""),"",ROUND(($D329*Lists!$AN$20)+($E329*Lists!$AN$21)+($F329*Lists!$AN$22)+($G329*Lists!$AN$23)+($H329*Lists!$AN$24),2))</f>
        <v/>
      </c>
      <c r="J329" s="62"/>
      <c r="K329" s="65"/>
      <c r="L329" s="62"/>
    </row>
    <row r="330" spans="1:12" ht="15.75" customHeight="1" x14ac:dyDescent="0.2">
      <c r="A330" s="63" t="str">
        <f t="shared" si="5"/>
        <v/>
      </c>
      <c r="B330" s="63"/>
      <c r="C330" s="62" t="str">
        <f>IF($B330="","",IFERROR(VLOOKUP($B330,'Application Portfolio'!$A$2:$B$1000,2,FALSE()),""))</f>
        <v/>
      </c>
      <c r="D330" s="66"/>
      <c r="E330" s="66"/>
      <c r="F330" s="66"/>
      <c r="G330" s="66"/>
      <c r="H330" s="66"/>
      <c r="I330" s="64" t="str">
        <f>IF(OR($B330="", $D330="", $E330="", $F330="", $G330="", $H330=""),"",ROUND(($D330*Lists!$AN$20)+($E330*Lists!$AN$21)+($F330*Lists!$AN$22)+($G330*Lists!$AN$23)+($H330*Lists!$AN$24),2))</f>
        <v/>
      </c>
      <c r="J330" s="62"/>
      <c r="K330" s="65"/>
      <c r="L330" s="62"/>
    </row>
    <row r="331" spans="1:12" ht="15.75" customHeight="1" x14ac:dyDescent="0.2">
      <c r="A331" s="63" t="str">
        <f t="shared" si="5"/>
        <v/>
      </c>
      <c r="B331" s="63"/>
      <c r="C331" s="62" t="str">
        <f>IF($B331="","",IFERROR(VLOOKUP($B331,'Application Portfolio'!$A$2:$B$1000,2,FALSE()),""))</f>
        <v/>
      </c>
      <c r="D331" s="66"/>
      <c r="E331" s="66"/>
      <c r="F331" s="66"/>
      <c r="G331" s="66"/>
      <c r="H331" s="66"/>
      <c r="I331" s="64" t="str">
        <f>IF(OR($B331="", $D331="", $E331="", $F331="", $G331="", $H331=""),"",ROUND(($D331*Lists!$AN$20)+($E331*Lists!$AN$21)+($F331*Lists!$AN$22)+($G331*Lists!$AN$23)+($H331*Lists!$AN$24),2))</f>
        <v/>
      </c>
      <c r="J331" s="62"/>
      <c r="K331" s="65"/>
      <c r="L331" s="62"/>
    </row>
    <row r="332" spans="1:12" ht="15.75" customHeight="1" x14ac:dyDescent="0.2">
      <c r="A332" s="63" t="str">
        <f t="shared" si="5"/>
        <v/>
      </c>
      <c r="B332" s="63"/>
      <c r="C332" s="62" t="str">
        <f>IF($B332="","",IFERROR(VLOOKUP($B332,'Application Portfolio'!$A$2:$B$1000,2,FALSE()),""))</f>
        <v/>
      </c>
      <c r="D332" s="66"/>
      <c r="E332" s="66"/>
      <c r="F332" s="66"/>
      <c r="G332" s="66"/>
      <c r="H332" s="66"/>
      <c r="I332" s="64" t="str">
        <f>IF(OR($B332="", $D332="", $E332="", $F332="", $G332="", $H332=""),"",ROUND(($D332*Lists!$AN$20)+($E332*Lists!$AN$21)+($F332*Lists!$AN$22)+($G332*Lists!$AN$23)+($H332*Lists!$AN$24),2))</f>
        <v/>
      </c>
      <c r="J332" s="62"/>
      <c r="K332" s="65"/>
      <c r="L332" s="62"/>
    </row>
    <row r="333" spans="1:12" ht="15.75" customHeight="1" x14ac:dyDescent="0.2">
      <c r="A333" s="63" t="str">
        <f t="shared" si="5"/>
        <v/>
      </c>
      <c r="B333" s="63"/>
      <c r="C333" s="62" t="str">
        <f>IF($B333="","",IFERROR(VLOOKUP($B333,'Application Portfolio'!$A$2:$B$1000,2,FALSE()),""))</f>
        <v/>
      </c>
      <c r="D333" s="66"/>
      <c r="E333" s="66"/>
      <c r="F333" s="66"/>
      <c r="G333" s="66"/>
      <c r="H333" s="66"/>
      <c r="I333" s="64" t="str">
        <f>IF(OR($B333="", $D333="", $E333="", $F333="", $G333="", $H333=""),"",ROUND(($D333*Lists!$AN$20)+($E333*Lists!$AN$21)+($F333*Lists!$AN$22)+($G333*Lists!$AN$23)+($H333*Lists!$AN$24),2))</f>
        <v/>
      </c>
      <c r="J333" s="62"/>
      <c r="K333" s="65"/>
      <c r="L333" s="62"/>
    </row>
    <row r="334" spans="1:12" ht="15.75" customHeight="1" x14ac:dyDescent="0.2">
      <c r="A334" s="63" t="str">
        <f t="shared" si="5"/>
        <v/>
      </c>
      <c r="B334" s="63"/>
      <c r="C334" s="62" t="str">
        <f>IF($B334="","",IFERROR(VLOOKUP($B334,'Application Portfolio'!$A$2:$B$1000,2,FALSE()),""))</f>
        <v/>
      </c>
      <c r="D334" s="66"/>
      <c r="E334" s="66"/>
      <c r="F334" s="66"/>
      <c r="G334" s="66"/>
      <c r="H334" s="66"/>
      <c r="I334" s="64" t="str">
        <f>IF(OR($B334="", $D334="", $E334="", $F334="", $G334="", $H334=""),"",ROUND(($D334*Lists!$AN$20)+($E334*Lists!$AN$21)+($F334*Lists!$AN$22)+($G334*Lists!$AN$23)+($H334*Lists!$AN$24),2))</f>
        <v/>
      </c>
      <c r="J334" s="62"/>
      <c r="K334" s="65"/>
      <c r="L334" s="62"/>
    </row>
    <row r="335" spans="1:12" ht="15.75" customHeight="1" x14ac:dyDescent="0.2">
      <c r="A335" s="63" t="str">
        <f t="shared" si="5"/>
        <v/>
      </c>
      <c r="B335" s="63"/>
      <c r="C335" s="62" t="str">
        <f>IF($B335="","",IFERROR(VLOOKUP($B335,'Application Portfolio'!$A$2:$B$1000,2,FALSE()),""))</f>
        <v/>
      </c>
      <c r="D335" s="66"/>
      <c r="E335" s="66"/>
      <c r="F335" s="66"/>
      <c r="G335" s="66"/>
      <c r="H335" s="66"/>
      <c r="I335" s="64" t="str">
        <f>IF(OR($B335="", $D335="", $E335="", $F335="", $G335="", $H335=""),"",ROUND(($D335*Lists!$AN$20)+($E335*Lists!$AN$21)+($F335*Lists!$AN$22)+($G335*Lists!$AN$23)+($H335*Lists!$AN$24),2))</f>
        <v/>
      </c>
      <c r="J335" s="62"/>
      <c r="K335" s="65"/>
      <c r="L335" s="62"/>
    </row>
    <row r="336" spans="1:12" ht="15.75" customHeight="1" x14ac:dyDescent="0.2">
      <c r="A336" s="63" t="str">
        <f t="shared" si="5"/>
        <v/>
      </c>
      <c r="B336" s="63"/>
      <c r="C336" s="62" t="str">
        <f>IF($B336="","",IFERROR(VLOOKUP($B336,'Application Portfolio'!$A$2:$B$1000,2,FALSE()),""))</f>
        <v/>
      </c>
      <c r="D336" s="66"/>
      <c r="E336" s="66"/>
      <c r="F336" s="66"/>
      <c r="G336" s="66"/>
      <c r="H336" s="66"/>
      <c r="I336" s="64" t="str">
        <f>IF(OR($B336="", $D336="", $E336="", $F336="", $G336="", $H336=""),"",ROUND(($D336*Lists!$AN$20)+($E336*Lists!$AN$21)+($F336*Lists!$AN$22)+($G336*Lists!$AN$23)+($H336*Lists!$AN$24),2))</f>
        <v/>
      </c>
      <c r="J336" s="62"/>
      <c r="K336" s="65"/>
      <c r="L336" s="62"/>
    </row>
    <row r="337" spans="1:12" ht="15.75" customHeight="1" x14ac:dyDescent="0.2">
      <c r="A337" s="63" t="str">
        <f t="shared" si="5"/>
        <v/>
      </c>
      <c r="B337" s="63"/>
      <c r="C337" s="62" t="str">
        <f>IF($B337="","",IFERROR(VLOOKUP($B337,'Application Portfolio'!$A$2:$B$1000,2,FALSE()),""))</f>
        <v/>
      </c>
      <c r="D337" s="66"/>
      <c r="E337" s="66"/>
      <c r="F337" s="66"/>
      <c r="G337" s="66"/>
      <c r="H337" s="66"/>
      <c r="I337" s="64" t="str">
        <f>IF(OR($B337="", $D337="", $E337="", $F337="", $G337="", $H337=""),"",ROUND(($D337*Lists!$AN$20)+($E337*Lists!$AN$21)+($F337*Lists!$AN$22)+($G337*Lists!$AN$23)+($H337*Lists!$AN$24),2))</f>
        <v/>
      </c>
      <c r="J337" s="62"/>
      <c r="K337" s="65"/>
      <c r="L337" s="62"/>
    </row>
    <row r="338" spans="1:12" ht="15.75" customHeight="1" x14ac:dyDescent="0.2">
      <c r="A338" s="63" t="str">
        <f t="shared" si="5"/>
        <v/>
      </c>
      <c r="B338" s="63"/>
      <c r="C338" s="62" t="str">
        <f>IF($B338="","",IFERROR(VLOOKUP($B338,'Application Portfolio'!$A$2:$B$1000,2,FALSE()),""))</f>
        <v/>
      </c>
      <c r="D338" s="66"/>
      <c r="E338" s="66"/>
      <c r="F338" s="66"/>
      <c r="G338" s="66"/>
      <c r="H338" s="66"/>
      <c r="I338" s="64" t="str">
        <f>IF(OR($B338="", $D338="", $E338="", $F338="", $G338="", $H338=""),"",ROUND(($D338*Lists!$AN$20)+($E338*Lists!$AN$21)+($F338*Lists!$AN$22)+($G338*Lists!$AN$23)+($H338*Lists!$AN$24),2))</f>
        <v/>
      </c>
      <c r="J338" s="62"/>
      <c r="K338" s="65"/>
      <c r="L338" s="62"/>
    </row>
    <row r="339" spans="1:12" ht="15.75" customHeight="1" x14ac:dyDescent="0.2">
      <c r="A339" s="63" t="str">
        <f t="shared" si="5"/>
        <v/>
      </c>
      <c r="B339" s="63"/>
      <c r="C339" s="62" t="str">
        <f>IF($B339="","",IFERROR(VLOOKUP($B339,'Application Portfolio'!$A$2:$B$1000,2,FALSE()),""))</f>
        <v/>
      </c>
      <c r="D339" s="66"/>
      <c r="E339" s="66"/>
      <c r="F339" s="66"/>
      <c r="G339" s="66"/>
      <c r="H339" s="66"/>
      <c r="I339" s="64" t="str">
        <f>IF(OR($B339="", $D339="", $E339="", $F339="", $G339="", $H339=""),"",ROUND(($D339*Lists!$AN$20)+($E339*Lists!$AN$21)+($F339*Lists!$AN$22)+($G339*Lists!$AN$23)+($H339*Lists!$AN$24),2))</f>
        <v/>
      </c>
      <c r="J339" s="62"/>
      <c r="K339" s="65"/>
      <c r="L339" s="62"/>
    </row>
    <row r="340" spans="1:12" ht="15.75" customHeight="1" x14ac:dyDescent="0.2">
      <c r="A340" s="63" t="str">
        <f t="shared" si="5"/>
        <v/>
      </c>
      <c r="B340" s="63"/>
      <c r="C340" s="62" t="str">
        <f>IF($B340="","",IFERROR(VLOOKUP($B340,'Application Portfolio'!$A$2:$B$1000,2,FALSE()),""))</f>
        <v/>
      </c>
      <c r="D340" s="66"/>
      <c r="E340" s="66"/>
      <c r="F340" s="66"/>
      <c r="G340" s="66"/>
      <c r="H340" s="66"/>
      <c r="I340" s="64" t="str">
        <f>IF(OR($B340="", $D340="", $E340="", $F340="", $G340="", $H340=""),"",ROUND(($D340*Lists!$AN$20)+($E340*Lists!$AN$21)+($F340*Lists!$AN$22)+($G340*Lists!$AN$23)+($H340*Lists!$AN$24),2))</f>
        <v/>
      </c>
      <c r="J340" s="62"/>
      <c r="K340" s="65"/>
      <c r="L340" s="62"/>
    </row>
    <row r="341" spans="1:12" ht="15.75" customHeight="1" x14ac:dyDescent="0.2">
      <c r="A341" s="63" t="str">
        <f t="shared" si="5"/>
        <v/>
      </c>
      <c r="B341" s="63"/>
      <c r="C341" s="62" t="str">
        <f>IF($B341="","",IFERROR(VLOOKUP($B341,'Application Portfolio'!$A$2:$B$1000,2,FALSE()),""))</f>
        <v/>
      </c>
      <c r="D341" s="66"/>
      <c r="E341" s="66"/>
      <c r="F341" s="66"/>
      <c r="G341" s="66"/>
      <c r="H341" s="66"/>
      <c r="I341" s="64" t="str">
        <f>IF(OR($B341="", $D341="", $E341="", $F341="", $G341="", $H341=""),"",ROUND(($D341*Lists!$AN$20)+($E341*Lists!$AN$21)+($F341*Lists!$AN$22)+($G341*Lists!$AN$23)+($H341*Lists!$AN$24),2))</f>
        <v/>
      </c>
      <c r="J341" s="62"/>
      <c r="K341" s="65"/>
      <c r="L341" s="62"/>
    </row>
    <row r="342" spans="1:12" ht="15.75" customHeight="1" x14ac:dyDescent="0.2">
      <c r="A342" s="63" t="str">
        <f t="shared" si="5"/>
        <v/>
      </c>
      <c r="B342" s="63"/>
      <c r="C342" s="62" t="str">
        <f>IF($B342="","",IFERROR(VLOOKUP($B342,'Application Portfolio'!$A$2:$B$1000,2,FALSE()),""))</f>
        <v/>
      </c>
      <c r="D342" s="66"/>
      <c r="E342" s="66"/>
      <c r="F342" s="66"/>
      <c r="G342" s="66"/>
      <c r="H342" s="66"/>
      <c r="I342" s="64" t="str">
        <f>IF(OR($B342="", $D342="", $E342="", $F342="", $G342="", $H342=""),"",ROUND(($D342*Lists!$AN$20)+($E342*Lists!$AN$21)+($F342*Lists!$AN$22)+($G342*Lists!$AN$23)+($H342*Lists!$AN$24),2))</f>
        <v/>
      </c>
      <c r="J342" s="62"/>
      <c r="K342" s="65"/>
      <c r="L342" s="62"/>
    </row>
    <row r="343" spans="1:12" ht="15.75" customHeight="1" x14ac:dyDescent="0.2">
      <c r="A343" s="63" t="str">
        <f t="shared" si="5"/>
        <v/>
      </c>
      <c r="B343" s="63"/>
      <c r="C343" s="62" t="str">
        <f>IF($B343="","",IFERROR(VLOOKUP($B343,'Application Portfolio'!$A$2:$B$1000,2,FALSE()),""))</f>
        <v/>
      </c>
      <c r="D343" s="66"/>
      <c r="E343" s="66"/>
      <c r="F343" s="66"/>
      <c r="G343" s="66"/>
      <c r="H343" s="66"/>
      <c r="I343" s="64" t="str">
        <f>IF(OR($B343="", $D343="", $E343="", $F343="", $G343="", $H343=""),"",ROUND(($D343*Lists!$AN$20)+($E343*Lists!$AN$21)+($F343*Lists!$AN$22)+($G343*Lists!$AN$23)+($H343*Lists!$AN$24),2))</f>
        <v/>
      </c>
      <c r="J343" s="62"/>
      <c r="K343" s="65"/>
      <c r="L343" s="62"/>
    </row>
    <row r="344" spans="1:12" ht="15.75" customHeight="1" x14ac:dyDescent="0.2">
      <c r="A344" s="63" t="str">
        <f t="shared" si="5"/>
        <v/>
      </c>
      <c r="B344" s="63"/>
      <c r="C344" s="62" t="str">
        <f>IF($B344="","",IFERROR(VLOOKUP($B344,'Application Portfolio'!$A$2:$B$1000,2,FALSE()),""))</f>
        <v/>
      </c>
      <c r="D344" s="66"/>
      <c r="E344" s="66"/>
      <c r="F344" s="66"/>
      <c r="G344" s="66"/>
      <c r="H344" s="66"/>
      <c r="I344" s="64" t="str">
        <f>IF(OR($B344="", $D344="", $E344="", $F344="", $G344="", $H344=""),"",ROUND(($D344*Lists!$AN$20)+($E344*Lists!$AN$21)+($F344*Lists!$AN$22)+($G344*Lists!$AN$23)+($H344*Lists!$AN$24),2))</f>
        <v/>
      </c>
      <c r="J344" s="62"/>
      <c r="K344" s="65"/>
      <c r="L344" s="62"/>
    </row>
    <row r="345" spans="1:12" ht="15.75" customHeight="1" x14ac:dyDescent="0.2">
      <c r="A345" s="63" t="str">
        <f t="shared" si="5"/>
        <v/>
      </c>
      <c r="B345" s="63"/>
      <c r="C345" s="62" t="str">
        <f>IF($B345="","",IFERROR(VLOOKUP($B345,'Application Portfolio'!$A$2:$B$1000,2,FALSE()),""))</f>
        <v/>
      </c>
      <c r="D345" s="66"/>
      <c r="E345" s="66"/>
      <c r="F345" s="66"/>
      <c r="G345" s="66"/>
      <c r="H345" s="66"/>
      <c r="I345" s="64" t="str">
        <f>IF(OR($B345="", $D345="", $E345="", $F345="", $G345="", $H345=""),"",ROUND(($D345*Lists!$AN$20)+($E345*Lists!$AN$21)+($F345*Lists!$AN$22)+($G345*Lists!$AN$23)+($H345*Lists!$AN$24),2))</f>
        <v/>
      </c>
      <c r="J345" s="62"/>
      <c r="K345" s="65"/>
      <c r="L345" s="62"/>
    </row>
    <row r="346" spans="1:12" ht="15.75" customHeight="1" x14ac:dyDescent="0.2">
      <c r="A346" s="63" t="str">
        <f t="shared" si="5"/>
        <v/>
      </c>
      <c r="B346" s="63"/>
      <c r="C346" s="62" t="str">
        <f>IF($B346="","",IFERROR(VLOOKUP($B346,'Application Portfolio'!$A$2:$B$1000,2,FALSE()),""))</f>
        <v/>
      </c>
      <c r="D346" s="66"/>
      <c r="E346" s="66"/>
      <c r="F346" s="66"/>
      <c r="G346" s="66"/>
      <c r="H346" s="66"/>
      <c r="I346" s="64" t="str">
        <f>IF(OR($B346="", $D346="", $E346="", $F346="", $G346="", $H346=""),"",ROUND(($D346*Lists!$AN$20)+($E346*Lists!$AN$21)+($F346*Lists!$AN$22)+($G346*Lists!$AN$23)+($H346*Lists!$AN$24),2))</f>
        <v/>
      </c>
      <c r="J346" s="62"/>
      <c r="K346" s="65"/>
      <c r="L346" s="62"/>
    </row>
    <row r="347" spans="1:12" ht="15.75" customHeight="1" x14ac:dyDescent="0.2">
      <c r="A347" s="63" t="str">
        <f t="shared" si="5"/>
        <v/>
      </c>
      <c r="B347" s="63"/>
      <c r="C347" s="62" t="str">
        <f>IF($B347="","",IFERROR(VLOOKUP($B347,'Application Portfolio'!$A$2:$B$1000,2,FALSE()),""))</f>
        <v/>
      </c>
      <c r="D347" s="66"/>
      <c r="E347" s="66"/>
      <c r="F347" s="66"/>
      <c r="G347" s="66"/>
      <c r="H347" s="66"/>
      <c r="I347" s="64" t="str">
        <f>IF(OR($B347="", $D347="", $E347="", $F347="", $G347="", $H347=""),"",ROUND(($D347*Lists!$AN$20)+($E347*Lists!$AN$21)+($F347*Lists!$AN$22)+($G347*Lists!$AN$23)+($H347*Lists!$AN$24),2))</f>
        <v/>
      </c>
      <c r="J347" s="62"/>
      <c r="K347" s="65"/>
      <c r="L347" s="62"/>
    </row>
    <row r="348" spans="1:12" ht="15.75" customHeight="1" x14ac:dyDescent="0.2">
      <c r="A348" s="63" t="str">
        <f t="shared" si="5"/>
        <v/>
      </c>
      <c r="B348" s="63"/>
      <c r="C348" s="62" t="str">
        <f>IF($B348="","",IFERROR(VLOOKUP($B348,'Application Portfolio'!$A$2:$B$1000,2,FALSE()),""))</f>
        <v/>
      </c>
      <c r="D348" s="66"/>
      <c r="E348" s="66"/>
      <c r="F348" s="66"/>
      <c r="G348" s="66"/>
      <c r="H348" s="66"/>
      <c r="I348" s="64" t="str">
        <f>IF(OR($B348="", $D348="", $E348="", $F348="", $G348="", $H348=""),"",ROUND(($D348*Lists!$AN$20)+($E348*Lists!$AN$21)+($F348*Lists!$AN$22)+($G348*Lists!$AN$23)+($H348*Lists!$AN$24),2))</f>
        <v/>
      </c>
      <c r="J348" s="62"/>
      <c r="K348" s="65"/>
      <c r="L348" s="62"/>
    </row>
    <row r="349" spans="1:12" ht="15.75" customHeight="1" x14ac:dyDescent="0.2">
      <c r="A349" s="63" t="str">
        <f t="shared" si="5"/>
        <v/>
      </c>
      <c r="B349" s="63"/>
      <c r="C349" s="62" t="str">
        <f>IF($B349="","",IFERROR(VLOOKUP($B349,'Application Portfolio'!$A$2:$B$1000,2,FALSE()),""))</f>
        <v/>
      </c>
      <c r="D349" s="66"/>
      <c r="E349" s="66"/>
      <c r="F349" s="66"/>
      <c r="G349" s="66"/>
      <c r="H349" s="66"/>
      <c r="I349" s="64" t="str">
        <f>IF(OR($B349="", $D349="", $E349="", $F349="", $G349="", $H349=""),"",ROUND(($D349*Lists!$AN$20)+($E349*Lists!$AN$21)+($F349*Lists!$AN$22)+($G349*Lists!$AN$23)+($H349*Lists!$AN$24),2))</f>
        <v/>
      </c>
      <c r="J349" s="62"/>
      <c r="K349" s="65"/>
      <c r="L349" s="62"/>
    </row>
    <row r="350" spans="1:12" ht="15.75" customHeight="1" x14ac:dyDescent="0.2">
      <c r="A350" s="63" t="str">
        <f t="shared" si="5"/>
        <v/>
      </c>
      <c r="B350" s="63"/>
      <c r="C350" s="62" t="str">
        <f>IF($B350="","",IFERROR(VLOOKUP($B350,'Application Portfolio'!$A$2:$B$1000,2,FALSE()),""))</f>
        <v/>
      </c>
      <c r="D350" s="66"/>
      <c r="E350" s="66"/>
      <c r="F350" s="66"/>
      <c r="G350" s="66"/>
      <c r="H350" s="66"/>
      <c r="I350" s="64" t="str">
        <f>IF(OR($B350="", $D350="", $E350="", $F350="", $G350="", $H350=""),"",ROUND(($D350*Lists!$AN$20)+($E350*Lists!$AN$21)+($F350*Lists!$AN$22)+($G350*Lists!$AN$23)+($H350*Lists!$AN$24),2))</f>
        <v/>
      </c>
      <c r="J350" s="62"/>
      <c r="K350" s="65"/>
      <c r="L350" s="62"/>
    </row>
    <row r="351" spans="1:12" ht="15.75" customHeight="1" x14ac:dyDescent="0.2">
      <c r="A351" s="63" t="str">
        <f t="shared" si="5"/>
        <v/>
      </c>
      <c r="B351" s="63"/>
      <c r="C351" s="62" t="str">
        <f>IF($B351="","",IFERROR(VLOOKUP($B351,'Application Portfolio'!$A$2:$B$1000,2,FALSE()),""))</f>
        <v/>
      </c>
      <c r="D351" s="66"/>
      <c r="E351" s="66"/>
      <c r="F351" s="66"/>
      <c r="G351" s="66"/>
      <c r="H351" s="66"/>
      <c r="I351" s="64" t="str">
        <f>IF(OR($B351="", $D351="", $E351="", $F351="", $G351="", $H351=""),"",ROUND(($D351*Lists!$AN$20)+($E351*Lists!$AN$21)+($F351*Lists!$AN$22)+($G351*Lists!$AN$23)+($H351*Lists!$AN$24),2))</f>
        <v/>
      </c>
      <c r="J351" s="62"/>
      <c r="K351" s="65"/>
      <c r="L351" s="62"/>
    </row>
    <row r="352" spans="1:12" ht="15.75" customHeight="1" x14ac:dyDescent="0.2">
      <c r="A352" s="63" t="str">
        <f t="shared" ref="A352:A415" si="6">IF($B352="","", "R-" &amp; RIGHT("0000"&amp;ROW()-1,4))</f>
        <v/>
      </c>
      <c r="B352" s="63"/>
      <c r="C352" s="62" t="str">
        <f>IF($B352="","",IFERROR(VLOOKUP($B352,'Application Portfolio'!$A$2:$B$1000,2,FALSE()),""))</f>
        <v/>
      </c>
      <c r="D352" s="66"/>
      <c r="E352" s="66"/>
      <c r="F352" s="66"/>
      <c r="G352" s="66"/>
      <c r="H352" s="66"/>
      <c r="I352" s="64" t="str">
        <f>IF(OR($B352="", $D352="", $E352="", $F352="", $G352="", $H352=""),"",ROUND(($D352*Lists!$AN$20)+($E352*Lists!$AN$21)+($F352*Lists!$AN$22)+($G352*Lists!$AN$23)+($H352*Lists!$AN$24),2))</f>
        <v/>
      </c>
      <c r="J352" s="62"/>
      <c r="K352" s="65"/>
      <c r="L352" s="62"/>
    </row>
    <row r="353" spans="1:12" ht="15.75" customHeight="1" x14ac:dyDescent="0.2">
      <c r="A353" s="63" t="str">
        <f t="shared" si="6"/>
        <v/>
      </c>
      <c r="B353" s="63"/>
      <c r="C353" s="62" t="str">
        <f>IF($B353="","",IFERROR(VLOOKUP($B353,'Application Portfolio'!$A$2:$B$1000,2,FALSE()),""))</f>
        <v/>
      </c>
      <c r="D353" s="66"/>
      <c r="E353" s="66"/>
      <c r="F353" s="66"/>
      <c r="G353" s="66"/>
      <c r="H353" s="66"/>
      <c r="I353" s="64" t="str">
        <f>IF(OR($B353="", $D353="", $E353="", $F353="", $G353="", $H353=""),"",ROUND(($D353*Lists!$AN$20)+($E353*Lists!$AN$21)+($F353*Lists!$AN$22)+($G353*Lists!$AN$23)+($H353*Lists!$AN$24),2))</f>
        <v/>
      </c>
      <c r="J353" s="62"/>
      <c r="K353" s="65"/>
      <c r="L353" s="62"/>
    </row>
    <row r="354" spans="1:12" ht="15.75" customHeight="1" x14ac:dyDescent="0.2">
      <c r="A354" s="63" t="str">
        <f t="shared" si="6"/>
        <v/>
      </c>
      <c r="B354" s="63"/>
      <c r="C354" s="62" t="str">
        <f>IF($B354="","",IFERROR(VLOOKUP($B354,'Application Portfolio'!$A$2:$B$1000,2,FALSE()),""))</f>
        <v/>
      </c>
      <c r="D354" s="66"/>
      <c r="E354" s="66"/>
      <c r="F354" s="66"/>
      <c r="G354" s="66"/>
      <c r="H354" s="66"/>
      <c r="I354" s="64" t="str">
        <f>IF(OR($B354="", $D354="", $E354="", $F354="", $G354="", $H354=""),"",ROUND(($D354*Lists!$AN$20)+($E354*Lists!$AN$21)+($F354*Lists!$AN$22)+($G354*Lists!$AN$23)+($H354*Lists!$AN$24),2))</f>
        <v/>
      </c>
      <c r="J354" s="62"/>
      <c r="K354" s="65"/>
      <c r="L354" s="62"/>
    </row>
    <row r="355" spans="1:12" ht="15.75" customHeight="1" x14ac:dyDescent="0.2">
      <c r="A355" s="63" t="str">
        <f t="shared" si="6"/>
        <v/>
      </c>
      <c r="B355" s="63"/>
      <c r="C355" s="62" t="str">
        <f>IF($B355="","",IFERROR(VLOOKUP($B355,'Application Portfolio'!$A$2:$B$1000,2,FALSE()),""))</f>
        <v/>
      </c>
      <c r="D355" s="66"/>
      <c r="E355" s="66"/>
      <c r="F355" s="66"/>
      <c r="G355" s="66"/>
      <c r="H355" s="66"/>
      <c r="I355" s="64" t="str">
        <f>IF(OR($B355="", $D355="", $E355="", $F355="", $G355="", $H355=""),"",ROUND(($D355*Lists!$AN$20)+($E355*Lists!$AN$21)+($F355*Lists!$AN$22)+($G355*Lists!$AN$23)+($H355*Lists!$AN$24),2))</f>
        <v/>
      </c>
      <c r="J355" s="62"/>
      <c r="K355" s="65"/>
      <c r="L355" s="62"/>
    </row>
    <row r="356" spans="1:12" ht="15.75" customHeight="1" x14ac:dyDescent="0.2">
      <c r="A356" s="63" t="str">
        <f t="shared" si="6"/>
        <v/>
      </c>
      <c r="B356" s="63"/>
      <c r="C356" s="62" t="str">
        <f>IF($B356="","",IFERROR(VLOOKUP($B356,'Application Portfolio'!$A$2:$B$1000,2,FALSE()),""))</f>
        <v/>
      </c>
      <c r="D356" s="66"/>
      <c r="E356" s="66"/>
      <c r="F356" s="66"/>
      <c r="G356" s="66"/>
      <c r="H356" s="66"/>
      <c r="I356" s="64" t="str">
        <f>IF(OR($B356="", $D356="", $E356="", $F356="", $G356="", $H356=""),"",ROUND(($D356*Lists!$AN$20)+($E356*Lists!$AN$21)+($F356*Lists!$AN$22)+($G356*Lists!$AN$23)+($H356*Lists!$AN$24),2))</f>
        <v/>
      </c>
      <c r="J356" s="62"/>
      <c r="K356" s="65"/>
      <c r="L356" s="62"/>
    </row>
    <row r="357" spans="1:12" ht="15.75" customHeight="1" x14ac:dyDescent="0.2">
      <c r="A357" s="63" t="str">
        <f t="shared" si="6"/>
        <v/>
      </c>
      <c r="B357" s="63"/>
      <c r="C357" s="62" t="str">
        <f>IF($B357="","",IFERROR(VLOOKUP($B357,'Application Portfolio'!$A$2:$B$1000,2,FALSE()),""))</f>
        <v/>
      </c>
      <c r="D357" s="66"/>
      <c r="E357" s="66"/>
      <c r="F357" s="66"/>
      <c r="G357" s="66"/>
      <c r="H357" s="66"/>
      <c r="I357" s="64" t="str">
        <f>IF(OR($B357="", $D357="", $E357="", $F357="", $G357="", $H357=""),"",ROUND(($D357*Lists!$AN$20)+($E357*Lists!$AN$21)+($F357*Lists!$AN$22)+($G357*Lists!$AN$23)+($H357*Lists!$AN$24),2))</f>
        <v/>
      </c>
      <c r="J357" s="62"/>
      <c r="K357" s="65"/>
      <c r="L357" s="62"/>
    </row>
    <row r="358" spans="1:12" ht="15.75" customHeight="1" x14ac:dyDescent="0.2">
      <c r="A358" s="63" t="str">
        <f t="shared" si="6"/>
        <v/>
      </c>
      <c r="B358" s="63"/>
      <c r="C358" s="62" t="str">
        <f>IF($B358="","",IFERROR(VLOOKUP($B358,'Application Portfolio'!$A$2:$B$1000,2,FALSE()),""))</f>
        <v/>
      </c>
      <c r="D358" s="66"/>
      <c r="E358" s="66"/>
      <c r="F358" s="66"/>
      <c r="G358" s="66"/>
      <c r="H358" s="66"/>
      <c r="I358" s="64" t="str">
        <f>IF(OR($B358="", $D358="", $E358="", $F358="", $G358="", $H358=""),"",ROUND(($D358*Lists!$AN$20)+($E358*Lists!$AN$21)+($F358*Lists!$AN$22)+($G358*Lists!$AN$23)+($H358*Lists!$AN$24),2))</f>
        <v/>
      </c>
      <c r="J358" s="62"/>
      <c r="K358" s="65"/>
      <c r="L358" s="62"/>
    </row>
    <row r="359" spans="1:12" ht="15.75" customHeight="1" x14ac:dyDescent="0.2">
      <c r="A359" s="63" t="str">
        <f t="shared" si="6"/>
        <v/>
      </c>
      <c r="B359" s="63"/>
      <c r="C359" s="62" t="str">
        <f>IF($B359="","",IFERROR(VLOOKUP($B359,'Application Portfolio'!$A$2:$B$1000,2,FALSE()),""))</f>
        <v/>
      </c>
      <c r="D359" s="66"/>
      <c r="E359" s="66"/>
      <c r="F359" s="66"/>
      <c r="G359" s="66"/>
      <c r="H359" s="66"/>
      <c r="I359" s="64" t="str">
        <f>IF(OR($B359="", $D359="", $E359="", $F359="", $G359="", $H359=""),"",ROUND(($D359*Lists!$AN$20)+($E359*Lists!$AN$21)+($F359*Lists!$AN$22)+($G359*Lists!$AN$23)+($H359*Lists!$AN$24),2))</f>
        <v/>
      </c>
      <c r="J359" s="62"/>
      <c r="K359" s="65"/>
      <c r="L359" s="62"/>
    </row>
    <row r="360" spans="1:12" ht="15.75" customHeight="1" x14ac:dyDescent="0.2">
      <c r="A360" s="63" t="str">
        <f t="shared" si="6"/>
        <v/>
      </c>
      <c r="B360" s="63"/>
      <c r="C360" s="62" t="str">
        <f>IF($B360="","",IFERROR(VLOOKUP($B360,'Application Portfolio'!$A$2:$B$1000,2,FALSE()),""))</f>
        <v/>
      </c>
      <c r="D360" s="66"/>
      <c r="E360" s="66"/>
      <c r="F360" s="66"/>
      <c r="G360" s="66"/>
      <c r="H360" s="66"/>
      <c r="I360" s="64" t="str">
        <f>IF(OR($B360="", $D360="", $E360="", $F360="", $G360="", $H360=""),"",ROUND(($D360*Lists!$AN$20)+($E360*Lists!$AN$21)+($F360*Lists!$AN$22)+($G360*Lists!$AN$23)+($H360*Lists!$AN$24),2))</f>
        <v/>
      </c>
      <c r="J360" s="62"/>
      <c r="K360" s="65"/>
      <c r="L360" s="62"/>
    </row>
    <row r="361" spans="1:12" ht="15.75" customHeight="1" x14ac:dyDescent="0.2">
      <c r="A361" s="63" t="str">
        <f t="shared" si="6"/>
        <v/>
      </c>
      <c r="B361" s="63"/>
      <c r="C361" s="62" t="str">
        <f>IF($B361="","",IFERROR(VLOOKUP($B361,'Application Portfolio'!$A$2:$B$1000,2,FALSE()),""))</f>
        <v/>
      </c>
      <c r="D361" s="66"/>
      <c r="E361" s="66"/>
      <c r="F361" s="66"/>
      <c r="G361" s="66"/>
      <c r="H361" s="66"/>
      <c r="I361" s="64" t="str">
        <f>IF(OR($B361="", $D361="", $E361="", $F361="", $G361="", $H361=""),"",ROUND(($D361*Lists!$AN$20)+($E361*Lists!$AN$21)+($F361*Lists!$AN$22)+($G361*Lists!$AN$23)+($H361*Lists!$AN$24),2))</f>
        <v/>
      </c>
      <c r="J361" s="62"/>
      <c r="K361" s="65"/>
      <c r="L361" s="62"/>
    </row>
    <row r="362" spans="1:12" ht="15.75" customHeight="1" x14ac:dyDescent="0.2">
      <c r="A362" s="63" t="str">
        <f t="shared" si="6"/>
        <v/>
      </c>
      <c r="B362" s="63"/>
      <c r="C362" s="62" t="str">
        <f>IF($B362="","",IFERROR(VLOOKUP($B362,'Application Portfolio'!$A$2:$B$1000,2,FALSE()),""))</f>
        <v/>
      </c>
      <c r="D362" s="66"/>
      <c r="E362" s="66"/>
      <c r="F362" s="66"/>
      <c r="G362" s="66"/>
      <c r="H362" s="66"/>
      <c r="I362" s="64" t="str">
        <f>IF(OR($B362="", $D362="", $E362="", $F362="", $G362="", $H362=""),"",ROUND(($D362*Lists!$AN$20)+($E362*Lists!$AN$21)+($F362*Lists!$AN$22)+($G362*Lists!$AN$23)+($H362*Lists!$AN$24),2))</f>
        <v/>
      </c>
      <c r="J362" s="62"/>
      <c r="K362" s="65"/>
      <c r="L362" s="62"/>
    </row>
    <row r="363" spans="1:12" ht="15.75" customHeight="1" x14ac:dyDescent="0.2">
      <c r="A363" s="63" t="str">
        <f t="shared" si="6"/>
        <v/>
      </c>
      <c r="B363" s="63"/>
      <c r="C363" s="62" t="str">
        <f>IF($B363="","",IFERROR(VLOOKUP($B363,'Application Portfolio'!$A$2:$B$1000,2,FALSE()),""))</f>
        <v/>
      </c>
      <c r="D363" s="66"/>
      <c r="E363" s="66"/>
      <c r="F363" s="66"/>
      <c r="G363" s="66"/>
      <c r="H363" s="66"/>
      <c r="I363" s="64" t="str">
        <f>IF(OR($B363="", $D363="", $E363="", $F363="", $G363="", $H363=""),"",ROUND(($D363*Lists!$AN$20)+($E363*Lists!$AN$21)+($F363*Lists!$AN$22)+($G363*Lists!$AN$23)+($H363*Lists!$AN$24),2))</f>
        <v/>
      </c>
      <c r="J363" s="62"/>
      <c r="K363" s="65"/>
      <c r="L363" s="62"/>
    </row>
    <row r="364" spans="1:12" ht="15.75" customHeight="1" x14ac:dyDescent="0.2">
      <c r="A364" s="63" t="str">
        <f t="shared" si="6"/>
        <v/>
      </c>
      <c r="B364" s="63"/>
      <c r="C364" s="62" t="str">
        <f>IF($B364="","",IFERROR(VLOOKUP($B364,'Application Portfolio'!$A$2:$B$1000,2,FALSE()),""))</f>
        <v/>
      </c>
      <c r="D364" s="66"/>
      <c r="E364" s="66"/>
      <c r="F364" s="66"/>
      <c r="G364" s="66"/>
      <c r="H364" s="66"/>
      <c r="I364" s="64" t="str">
        <f>IF(OR($B364="", $D364="", $E364="", $F364="", $G364="", $H364=""),"",ROUND(($D364*Lists!$AN$20)+($E364*Lists!$AN$21)+($F364*Lists!$AN$22)+($G364*Lists!$AN$23)+($H364*Lists!$AN$24),2))</f>
        <v/>
      </c>
      <c r="J364" s="62"/>
      <c r="K364" s="65"/>
      <c r="L364" s="62"/>
    </row>
    <row r="365" spans="1:12" ht="15.75" customHeight="1" x14ac:dyDescent="0.2">
      <c r="A365" s="63" t="str">
        <f t="shared" si="6"/>
        <v/>
      </c>
      <c r="B365" s="63"/>
      <c r="C365" s="62" t="str">
        <f>IF($B365="","",IFERROR(VLOOKUP($B365,'Application Portfolio'!$A$2:$B$1000,2,FALSE()),""))</f>
        <v/>
      </c>
      <c r="D365" s="66"/>
      <c r="E365" s="66"/>
      <c r="F365" s="66"/>
      <c r="G365" s="66"/>
      <c r="H365" s="66"/>
      <c r="I365" s="64" t="str">
        <f>IF(OR($B365="", $D365="", $E365="", $F365="", $G365="", $H365=""),"",ROUND(($D365*Lists!$AN$20)+($E365*Lists!$AN$21)+($F365*Lists!$AN$22)+($G365*Lists!$AN$23)+($H365*Lists!$AN$24),2))</f>
        <v/>
      </c>
      <c r="J365" s="62"/>
      <c r="K365" s="65"/>
      <c r="L365" s="62"/>
    </row>
    <row r="366" spans="1:12" ht="15.75" customHeight="1" x14ac:dyDescent="0.2">
      <c r="A366" s="63" t="str">
        <f t="shared" si="6"/>
        <v/>
      </c>
      <c r="B366" s="63"/>
      <c r="C366" s="62" t="str">
        <f>IF($B366="","",IFERROR(VLOOKUP($B366,'Application Portfolio'!$A$2:$B$1000,2,FALSE()),""))</f>
        <v/>
      </c>
      <c r="D366" s="66"/>
      <c r="E366" s="66"/>
      <c r="F366" s="66"/>
      <c r="G366" s="66"/>
      <c r="H366" s="66"/>
      <c r="I366" s="64" t="str">
        <f>IF(OR($B366="", $D366="", $E366="", $F366="", $G366="", $H366=""),"",ROUND(($D366*Lists!$AN$20)+($E366*Lists!$AN$21)+($F366*Lists!$AN$22)+($G366*Lists!$AN$23)+($H366*Lists!$AN$24),2))</f>
        <v/>
      </c>
      <c r="J366" s="62"/>
      <c r="K366" s="65"/>
      <c r="L366" s="62"/>
    </row>
    <row r="367" spans="1:12" ht="15.75" customHeight="1" x14ac:dyDescent="0.2">
      <c r="A367" s="63" t="str">
        <f t="shared" si="6"/>
        <v/>
      </c>
      <c r="B367" s="63"/>
      <c r="C367" s="62" t="str">
        <f>IF($B367="","",IFERROR(VLOOKUP($B367,'Application Portfolio'!$A$2:$B$1000,2,FALSE()),""))</f>
        <v/>
      </c>
      <c r="D367" s="66"/>
      <c r="E367" s="66"/>
      <c r="F367" s="66"/>
      <c r="G367" s="66"/>
      <c r="H367" s="66"/>
      <c r="I367" s="64" t="str">
        <f>IF(OR($B367="", $D367="", $E367="", $F367="", $G367="", $H367=""),"",ROUND(($D367*Lists!$AN$20)+($E367*Lists!$AN$21)+($F367*Lists!$AN$22)+($G367*Lists!$AN$23)+($H367*Lists!$AN$24),2))</f>
        <v/>
      </c>
      <c r="J367" s="62"/>
      <c r="K367" s="65"/>
      <c r="L367" s="62"/>
    </row>
    <row r="368" spans="1:12" ht="15.75" customHeight="1" x14ac:dyDescent="0.2">
      <c r="A368" s="63" t="str">
        <f t="shared" si="6"/>
        <v/>
      </c>
      <c r="B368" s="63"/>
      <c r="C368" s="62" t="str">
        <f>IF($B368="","",IFERROR(VLOOKUP($B368,'Application Portfolio'!$A$2:$B$1000,2,FALSE()),""))</f>
        <v/>
      </c>
      <c r="D368" s="66"/>
      <c r="E368" s="66"/>
      <c r="F368" s="66"/>
      <c r="G368" s="66"/>
      <c r="H368" s="66"/>
      <c r="I368" s="64" t="str">
        <f>IF(OR($B368="", $D368="", $E368="", $F368="", $G368="", $H368=""),"",ROUND(($D368*Lists!$AN$20)+($E368*Lists!$AN$21)+($F368*Lists!$AN$22)+($G368*Lists!$AN$23)+($H368*Lists!$AN$24),2))</f>
        <v/>
      </c>
      <c r="J368" s="62"/>
      <c r="K368" s="65"/>
      <c r="L368" s="62"/>
    </row>
    <row r="369" spans="1:12" ht="15.75" customHeight="1" x14ac:dyDescent="0.2">
      <c r="A369" s="63" t="str">
        <f t="shared" si="6"/>
        <v/>
      </c>
      <c r="B369" s="63"/>
      <c r="C369" s="62" t="str">
        <f>IF($B369="","",IFERROR(VLOOKUP($B369,'Application Portfolio'!$A$2:$B$1000,2,FALSE()),""))</f>
        <v/>
      </c>
      <c r="D369" s="66"/>
      <c r="E369" s="66"/>
      <c r="F369" s="66"/>
      <c r="G369" s="66"/>
      <c r="H369" s="66"/>
      <c r="I369" s="64" t="str">
        <f>IF(OR($B369="", $D369="", $E369="", $F369="", $G369="", $H369=""),"",ROUND(($D369*Lists!$AN$20)+($E369*Lists!$AN$21)+($F369*Lists!$AN$22)+($G369*Lists!$AN$23)+($H369*Lists!$AN$24),2))</f>
        <v/>
      </c>
      <c r="J369" s="62"/>
      <c r="K369" s="65"/>
      <c r="L369" s="62"/>
    </row>
    <row r="370" spans="1:12" ht="15.75" customHeight="1" x14ac:dyDescent="0.2">
      <c r="A370" s="63" t="str">
        <f t="shared" si="6"/>
        <v/>
      </c>
      <c r="B370" s="63"/>
      <c r="C370" s="62" t="str">
        <f>IF($B370="","",IFERROR(VLOOKUP($B370,'Application Portfolio'!$A$2:$B$1000,2,FALSE()),""))</f>
        <v/>
      </c>
      <c r="D370" s="66"/>
      <c r="E370" s="66"/>
      <c r="F370" s="66"/>
      <c r="G370" s="66"/>
      <c r="H370" s="66"/>
      <c r="I370" s="64" t="str">
        <f>IF(OR($B370="", $D370="", $E370="", $F370="", $G370="", $H370=""),"",ROUND(($D370*Lists!$AN$20)+($E370*Lists!$AN$21)+($F370*Lists!$AN$22)+($G370*Lists!$AN$23)+($H370*Lists!$AN$24),2))</f>
        <v/>
      </c>
      <c r="J370" s="62"/>
      <c r="K370" s="65"/>
      <c r="L370" s="62"/>
    </row>
    <row r="371" spans="1:12" ht="15.75" customHeight="1" x14ac:dyDescent="0.2">
      <c r="A371" s="63" t="str">
        <f t="shared" si="6"/>
        <v/>
      </c>
      <c r="B371" s="63"/>
      <c r="C371" s="62" t="str">
        <f>IF($B371="","",IFERROR(VLOOKUP($B371,'Application Portfolio'!$A$2:$B$1000,2,FALSE()),""))</f>
        <v/>
      </c>
      <c r="D371" s="66"/>
      <c r="E371" s="66"/>
      <c r="F371" s="66"/>
      <c r="G371" s="66"/>
      <c r="H371" s="66"/>
      <c r="I371" s="64" t="str">
        <f>IF(OR($B371="", $D371="", $E371="", $F371="", $G371="", $H371=""),"",ROUND(($D371*Lists!$AN$20)+($E371*Lists!$AN$21)+($F371*Lists!$AN$22)+($G371*Lists!$AN$23)+($H371*Lists!$AN$24),2))</f>
        <v/>
      </c>
      <c r="J371" s="62"/>
      <c r="K371" s="65"/>
      <c r="L371" s="62"/>
    </row>
    <row r="372" spans="1:12" ht="15.75" customHeight="1" x14ac:dyDescent="0.2">
      <c r="A372" s="63" t="str">
        <f t="shared" si="6"/>
        <v/>
      </c>
      <c r="B372" s="63"/>
      <c r="C372" s="62" t="str">
        <f>IF($B372="","",IFERROR(VLOOKUP($B372,'Application Portfolio'!$A$2:$B$1000,2,FALSE()),""))</f>
        <v/>
      </c>
      <c r="D372" s="66"/>
      <c r="E372" s="66"/>
      <c r="F372" s="66"/>
      <c r="G372" s="66"/>
      <c r="H372" s="66"/>
      <c r="I372" s="64" t="str">
        <f>IF(OR($B372="", $D372="", $E372="", $F372="", $G372="", $H372=""),"",ROUND(($D372*Lists!$AN$20)+($E372*Lists!$AN$21)+($F372*Lists!$AN$22)+($G372*Lists!$AN$23)+($H372*Lists!$AN$24),2))</f>
        <v/>
      </c>
      <c r="J372" s="62"/>
      <c r="K372" s="65"/>
      <c r="L372" s="62"/>
    </row>
    <row r="373" spans="1:12" ht="15.75" customHeight="1" x14ac:dyDescent="0.2">
      <c r="A373" s="63" t="str">
        <f t="shared" si="6"/>
        <v/>
      </c>
      <c r="B373" s="63"/>
      <c r="C373" s="62" t="str">
        <f>IF($B373="","",IFERROR(VLOOKUP($B373,'Application Portfolio'!$A$2:$B$1000,2,FALSE()),""))</f>
        <v/>
      </c>
      <c r="D373" s="66"/>
      <c r="E373" s="66"/>
      <c r="F373" s="66"/>
      <c r="G373" s="66"/>
      <c r="H373" s="66"/>
      <c r="I373" s="64" t="str">
        <f>IF(OR($B373="", $D373="", $E373="", $F373="", $G373="", $H373=""),"",ROUND(($D373*Lists!$AN$20)+($E373*Lists!$AN$21)+($F373*Lists!$AN$22)+($G373*Lists!$AN$23)+($H373*Lists!$AN$24),2))</f>
        <v/>
      </c>
      <c r="J373" s="62"/>
      <c r="K373" s="65"/>
      <c r="L373" s="62"/>
    </row>
    <row r="374" spans="1:12" ht="15.75" customHeight="1" x14ac:dyDescent="0.2">
      <c r="A374" s="63" t="str">
        <f t="shared" si="6"/>
        <v/>
      </c>
      <c r="B374" s="63"/>
      <c r="C374" s="62" t="str">
        <f>IF($B374="","",IFERROR(VLOOKUP($B374,'Application Portfolio'!$A$2:$B$1000,2,FALSE()),""))</f>
        <v/>
      </c>
      <c r="D374" s="66"/>
      <c r="E374" s="66"/>
      <c r="F374" s="66"/>
      <c r="G374" s="66"/>
      <c r="H374" s="66"/>
      <c r="I374" s="64" t="str">
        <f>IF(OR($B374="", $D374="", $E374="", $F374="", $G374="", $H374=""),"",ROUND(($D374*Lists!$AN$20)+($E374*Lists!$AN$21)+($F374*Lists!$AN$22)+($G374*Lists!$AN$23)+($H374*Lists!$AN$24),2))</f>
        <v/>
      </c>
      <c r="J374" s="62"/>
      <c r="K374" s="65"/>
      <c r="L374" s="62"/>
    </row>
    <row r="375" spans="1:12" ht="15.75" customHeight="1" x14ac:dyDescent="0.2">
      <c r="A375" s="63" t="str">
        <f t="shared" si="6"/>
        <v/>
      </c>
      <c r="B375" s="63"/>
      <c r="C375" s="62" t="str">
        <f>IF($B375="","",IFERROR(VLOOKUP($B375,'Application Portfolio'!$A$2:$B$1000,2,FALSE()),""))</f>
        <v/>
      </c>
      <c r="D375" s="66"/>
      <c r="E375" s="66"/>
      <c r="F375" s="66"/>
      <c r="G375" s="66"/>
      <c r="H375" s="66"/>
      <c r="I375" s="64" t="str">
        <f>IF(OR($B375="", $D375="", $E375="", $F375="", $G375="", $H375=""),"",ROUND(($D375*Lists!$AN$20)+($E375*Lists!$AN$21)+($F375*Lists!$AN$22)+($G375*Lists!$AN$23)+($H375*Lists!$AN$24),2))</f>
        <v/>
      </c>
      <c r="J375" s="62"/>
      <c r="K375" s="65"/>
      <c r="L375" s="62"/>
    </row>
    <row r="376" spans="1:12" ht="15.75" customHeight="1" x14ac:dyDescent="0.2">
      <c r="A376" s="63" t="str">
        <f t="shared" si="6"/>
        <v/>
      </c>
      <c r="B376" s="63"/>
      <c r="C376" s="62" t="str">
        <f>IF($B376="","",IFERROR(VLOOKUP($B376,'Application Portfolio'!$A$2:$B$1000,2,FALSE()),""))</f>
        <v/>
      </c>
      <c r="D376" s="66"/>
      <c r="E376" s="66"/>
      <c r="F376" s="66"/>
      <c r="G376" s="66"/>
      <c r="H376" s="66"/>
      <c r="I376" s="64" t="str">
        <f>IF(OR($B376="", $D376="", $E376="", $F376="", $G376="", $H376=""),"",ROUND(($D376*Lists!$AN$20)+($E376*Lists!$AN$21)+($F376*Lists!$AN$22)+($G376*Lists!$AN$23)+($H376*Lists!$AN$24),2))</f>
        <v/>
      </c>
      <c r="J376" s="62"/>
      <c r="K376" s="65"/>
      <c r="L376" s="62"/>
    </row>
    <row r="377" spans="1:12" ht="15.75" customHeight="1" x14ac:dyDescent="0.2">
      <c r="A377" s="63" t="str">
        <f t="shared" si="6"/>
        <v/>
      </c>
      <c r="B377" s="63"/>
      <c r="C377" s="62" t="str">
        <f>IF($B377="","",IFERROR(VLOOKUP($B377,'Application Portfolio'!$A$2:$B$1000,2,FALSE()),""))</f>
        <v/>
      </c>
      <c r="D377" s="66"/>
      <c r="E377" s="66"/>
      <c r="F377" s="66"/>
      <c r="G377" s="66"/>
      <c r="H377" s="66"/>
      <c r="I377" s="64" t="str">
        <f>IF(OR($B377="", $D377="", $E377="", $F377="", $G377="", $H377=""),"",ROUND(($D377*Lists!$AN$20)+($E377*Lists!$AN$21)+($F377*Lists!$AN$22)+($G377*Lists!$AN$23)+($H377*Lists!$AN$24),2))</f>
        <v/>
      </c>
      <c r="J377" s="62"/>
      <c r="K377" s="65"/>
      <c r="L377" s="62"/>
    </row>
    <row r="378" spans="1:12" ht="15.75" customHeight="1" x14ac:dyDescent="0.2">
      <c r="A378" s="63" t="str">
        <f t="shared" si="6"/>
        <v/>
      </c>
      <c r="B378" s="63"/>
      <c r="C378" s="62" t="str">
        <f>IF($B378="","",IFERROR(VLOOKUP($B378,'Application Portfolio'!$A$2:$B$1000,2,FALSE()),""))</f>
        <v/>
      </c>
      <c r="D378" s="66"/>
      <c r="E378" s="66"/>
      <c r="F378" s="66"/>
      <c r="G378" s="66"/>
      <c r="H378" s="66"/>
      <c r="I378" s="64" t="str">
        <f>IF(OR($B378="", $D378="", $E378="", $F378="", $G378="", $H378=""),"",ROUND(($D378*Lists!$AN$20)+($E378*Lists!$AN$21)+($F378*Lists!$AN$22)+($G378*Lists!$AN$23)+($H378*Lists!$AN$24),2))</f>
        <v/>
      </c>
      <c r="J378" s="62"/>
      <c r="K378" s="65"/>
      <c r="L378" s="62"/>
    </row>
    <row r="379" spans="1:12" ht="15.75" customHeight="1" x14ac:dyDescent="0.2">
      <c r="A379" s="63" t="str">
        <f t="shared" si="6"/>
        <v/>
      </c>
      <c r="B379" s="63"/>
      <c r="C379" s="62" t="str">
        <f>IF($B379="","",IFERROR(VLOOKUP($B379,'Application Portfolio'!$A$2:$B$1000,2,FALSE()),""))</f>
        <v/>
      </c>
      <c r="D379" s="66"/>
      <c r="E379" s="66"/>
      <c r="F379" s="66"/>
      <c r="G379" s="66"/>
      <c r="H379" s="66"/>
      <c r="I379" s="64" t="str">
        <f>IF(OR($B379="", $D379="", $E379="", $F379="", $G379="", $H379=""),"",ROUND(($D379*Lists!$AN$20)+($E379*Lists!$AN$21)+($F379*Lists!$AN$22)+($G379*Lists!$AN$23)+($H379*Lists!$AN$24),2))</f>
        <v/>
      </c>
      <c r="J379" s="62"/>
      <c r="K379" s="65"/>
      <c r="L379" s="62"/>
    </row>
    <row r="380" spans="1:12" ht="15.75" customHeight="1" x14ac:dyDescent="0.2">
      <c r="A380" s="63" t="str">
        <f t="shared" si="6"/>
        <v/>
      </c>
      <c r="B380" s="63"/>
      <c r="C380" s="62" t="str">
        <f>IF($B380="","",IFERROR(VLOOKUP($B380,'Application Portfolio'!$A$2:$B$1000,2,FALSE()),""))</f>
        <v/>
      </c>
      <c r="D380" s="66"/>
      <c r="E380" s="66"/>
      <c r="F380" s="66"/>
      <c r="G380" s="66"/>
      <c r="H380" s="66"/>
      <c r="I380" s="64" t="str">
        <f>IF(OR($B380="", $D380="", $E380="", $F380="", $G380="", $H380=""),"",ROUND(($D380*Lists!$AN$20)+($E380*Lists!$AN$21)+($F380*Lists!$AN$22)+($G380*Lists!$AN$23)+($H380*Lists!$AN$24),2))</f>
        <v/>
      </c>
      <c r="J380" s="62"/>
      <c r="K380" s="65"/>
      <c r="L380" s="62"/>
    </row>
    <row r="381" spans="1:12" ht="15.75" customHeight="1" x14ac:dyDescent="0.2">
      <c r="A381" s="63" t="str">
        <f t="shared" si="6"/>
        <v/>
      </c>
      <c r="B381" s="63"/>
      <c r="C381" s="62" t="str">
        <f>IF($B381="","",IFERROR(VLOOKUP($B381,'Application Portfolio'!$A$2:$B$1000,2,FALSE()),""))</f>
        <v/>
      </c>
      <c r="D381" s="66"/>
      <c r="E381" s="66"/>
      <c r="F381" s="66"/>
      <c r="G381" s="66"/>
      <c r="H381" s="66"/>
      <c r="I381" s="64" t="str">
        <f>IF(OR($B381="", $D381="", $E381="", $F381="", $G381="", $H381=""),"",ROUND(($D381*Lists!$AN$20)+($E381*Lists!$AN$21)+($F381*Lists!$AN$22)+($G381*Lists!$AN$23)+($H381*Lists!$AN$24),2))</f>
        <v/>
      </c>
      <c r="J381" s="62"/>
      <c r="K381" s="65"/>
      <c r="L381" s="62"/>
    </row>
    <row r="382" spans="1:12" ht="15.75" customHeight="1" x14ac:dyDescent="0.2">
      <c r="A382" s="63" t="str">
        <f t="shared" si="6"/>
        <v/>
      </c>
      <c r="B382" s="63"/>
      <c r="C382" s="62" t="str">
        <f>IF($B382="","",IFERROR(VLOOKUP($B382,'Application Portfolio'!$A$2:$B$1000,2,FALSE()),""))</f>
        <v/>
      </c>
      <c r="D382" s="66"/>
      <c r="E382" s="66"/>
      <c r="F382" s="66"/>
      <c r="G382" s="66"/>
      <c r="H382" s="66"/>
      <c r="I382" s="64" t="str">
        <f>IF(OR($B382="", $D382="", $E382="", $F382="", $G382="", $H382=""),"",ROUND(($D382*Lists!$AN$20)+($E382*Lists!$AN$21)+($F382*Lists!$AN$22)+($G382*Lists!$AN$23)+($H382*Lists!$AN$24),2))</f>
        <v/>
      </c>
      <c r="J382" s="62"/>
      <c r="K382" s="65"/>
      <c r="L382" s="62"/>
    </row>
    <row r="383" spans="1:12" ht="15.75" customHeight="1" x14ac:dyDescent="0.2">
      <c r="A383" s="63" t="str">
        <f t="shared" si="6"/>
        <v/>
      </c>
      <c r="B383" s="63"/>
      <c r="C383" s="62" t="str">
        <f>IF($B383="","",IFERROR(VLOOKUP($B383,'Application Portfolio'!$A$2:$B$1000,2,FALSE()),""))</f>
        <v/>
      </c>
      <c r="D383" s="66"/>
      <c r="E383" s="66"/>
      <c r="F383" s="66"/>
      <c r="G383" s="66"/>
      <c r="H383" s="66"/>
      <c r="I383" s="64" t="str">
        <f>IF(OR($B383="", $D383="", $E383="", $F383="", $G383="", $H383=""),"",ROUND(($D383*Lists!$AN$20)+($E383*Lists!$AN$21)+($F383*Lists!$AN$22)+($G383*Lists!$AN$23)+($H383*Lists!$AN$24),2))</f>
        <v/>
      </c>
      <c r="J383" s="62"/>
      <c r="K383" s="65"/>
      <c r="L383" s="62"/>
    </row>
    <row r="384" spans="1:12" ht="15.75" customHeight="1" x14ac:dyDescent="0.2">
      <c r="A384" s="63" t="str">
        <f t="shared" si="6"/>
        <v/>
      </c>
      <c r="B384" s="63"/>
      <c r="C384" s="62" t="str">
        <f>IF($B384="","",IFERROR(VLOOKUP($B384,'Application Portfolio'!$A$2:$B$1000,2,FALSE()),""))</f>
        <v/>
      </c>
      <c r="D384" s="66"/>
      <c r="E384" s="66"/>
      <c r="F384" s="66"/>
      <c r="G384" s="66"/>
      <c r="H384" s="66"/>
      <c r="I384" s="64" t="str">
        <f>IF(OR($B384="", $D384="", $E384="", $F384="", $G384="", $H384=""),"",ROUND(($D384*Lists!$AN$20)+($E384*Lists!$AN$21)+($F384*Lists!$AN$22)+($G384*Lists!$AN$23)+($H384*Lists!$AN$24),2))</f>
        <v/>
      </c>
      <c r="J384" s="62"/>
      <c r="K384" s="65"/>
      <c r="L384" s="62"/>
    </row>
    <row r="385" spans="1:12" ht="15.75" customHeight="1" x14ac:dyDescent="0.2">
      <c r="A385" s="63" t="str">
        <f t="shared" si="6"/>
        <v/>
      </c>
      <c r="B385" s="63"/>
      <c r="C385" s="62" t="str">
        <f>IF($B385="","",IFERROR(VLOOKUP($B385,'Application Portfolio'!$A$2:$B$1000,2,FALSE()),""))</f>
        <v/>
      </c>
      <c r="D385" s="66"/>
      <c r="E385" s="66"/>
      <c r="F385" s="66"/>
      <c r="G385" s="66"/>
      <c r="H385" s="66"/>
      <c r="I385" s="64" t="str">
        <f>IF(OR($B385="", $D385="", $E385="", $F385="", $G385="", $H385=""),"",ROUND(($D385*Lists!$AN$20)+($E385*Lists!$AN$21)+($F385*Lists!$AN$22)+($G385*Lists!$AN$23)+($H385*Lists!$AN$24),2))</f>
        <v/>
      </c>
      <c r="J385" s="62"/>
      <c r="K385" s="65"/>
      <c r="L385" s="62"/>
    </row>
    <row r="386" spans="1:12" ht="15.75" customHeight="1" x14ac:dyDescent="0.2">
      <c r="A386" s="63" t="str">
        <f t="shared" si="6"/>
        <v/>
      </c>
      <c r="B386" s="63"/>
      <c r="C386" s="62" t="str">
        <f>IF($B386="","",IFERROR(VLOOKUP($B386,'Application Portfolio'!$A$2:$B$1000,2,FALSE()),""))</f>
        <v/>
      </c>
      <c r="D386" s="66"/>
      <c r="E386" s="66"/>
      <c r="F386" s="66"/>
      <c r="G386" s="66"/>
      <c r="H386" s="66"/>
      <c r="I386" s="64" t="str">
        <f>IF(OR($B386="", $D386="", $E386="", $F386="", $G386="", $H386=""),"",ROUND(($D386*Lists!$AN$20)+($E386*Lists!$AN$21)+($F386*Lists!$AN$22)+($G386*Lists!$AN$23)+($H386*Lists!$AN$24),2))</f>
        <v/>
      </c>
      <c r="J386" s="62"/>
      <c r="K386" s="65"/>
      <c r="L386" s="62"/>
    </row>
    <row r="387" spans="1:12" ht="15.75" customHeight="1" x14ac:dyDescent="0.2">
      <c r="A387" s="63" t="str">
        <f t="shared" si="6"/>
        <v/>
      </c>
      <c r="B387" s="63"/>
      <c r="C387" s="62" t="str">
        <f>IF($B387="","",IFERROR(VLOOKUP($B387,'Application Portfolio'!$A$2:$B$1000,2,FALSE()),""))</f>
        <v/>
      </c>
      <c r="D387" s="66"/>
      <c r="E387" s="66"/>
      <c r="F387" s="66"/>
      <c r="G387" s="66"/>
      <c r="H387" s="66"/>
      <c r="I387" s="64" t="str">
        <f>IF(OR($B387="", $D387="", $E387="", $F387="", $G387="", $H387=""),"",ROUND(($D387*Lists!$AN$20)+($E387*Lists!$AN$21)+($F387*Lists!$AN$22)+($G387*Lists!$AN$23)+($H387*Lists!$AN$24),2))</f>
        <v/>
      </c>
      <c r="J387" s="62"/>
      <c r="K387" s="65"/>
      <c r="L387" s="62"/>
    </row>
    <row r="388" spans="1:12" ht="15.75" customHeight="1" x14ac:dyDescent="0.2">
      <c r="A388" s="63" t="str">
        <f t="shared" si="6"/>
        <v/>
      </c>
      <c r="B388" s="63"/>
      <c r="C388" s="62" t="str">
        <f>IF($B388="","",IFERROR(VLOOKUP($B388,'Application Portfolio'!$A$2:$B$1000,2,FALSE()),""))</f>
        <v/>
      </c>
      <c r="D388" s="66"/>
      <c r="E388" s="66"/>
      <c r="F388" s="66"/>
      <c r="G388" s="66"/>
      <c r="H388" s="66"/>
      <c r="I388" s="64" t="str">
        <f>IF(OR($B388="", $D388="", $E388="", $F388="", $G388="", $H388=""),"",ROUND(($D388*Lists!$AN$20)+($E388*Lists!$AN$21)+($F388*Lists!$AN$22)+($G388*Lists!$AN$23)+($H388*Lists!$AN$24),2))</f>
        <v/>
      </c>
      <c r="J388" s="62"/>
      <c r="K388" s="65"/>
      <c r="L388" s="62"/>
    </row>
    <row r="389" spans="1:12" ht="15.75" customHeight="1" x14ac:dyDescent="0.2">
      <c r="A389" s="63" t="str">
        <f t="shared" si="6"/>
        <v/>
      </c>
      <c r="B389" s="63"/>
      <c r="C389" s="62" t="str">
        <f>IF($B389="","",IFERROR(VLOOKUP($B389,'Application Portfolio'!$A$2:$B$1000,2,FALSE()),""))</f>
        <v/>
      </c>
      <c r="D389" s="66"/>
      <c r="E389" s="66"/>
      <c r="F389" s="66"/>
      <c r="G389" s="66"/>
      <c r="H389" s="66"/>
      <c r="I389" s="64" t="str">
        <f>IF(OR($B389="", $D389="", $E389="", $F389="", $G389="", $H389=""),"",ROUND(($D389*Lists!$AN$20)+($E389*Lists!$AN$21)+($F389*Lists!$AN$22)+($G389*Lists!$AN$23)+($H389*Lists!$AN$24),2))</f>
        <v/>
      </c>
      <c r="J389" s="62"/>
      <c r="K389" s="65"/>
      <c r="L389" s="62"/>
    </row>
    <row r="390" spans="1:12" ht="15.75" customHeight="1" x14ac:dyDescent="0.2">
      <c r="A390" s="63" t="str">
        <f t="shared" si="6"/>
        <v/>
      </c>
      <c r="B390" s="63"/>
      <c r="C390" s="62" t="str">
        <f>IF($B390="","",IFERROR(VLOOKUP($B390,'Application Portfolio'!$A$2:$B$1000,2,FALSE()),""))</f>
        <v/>
      </c>
      <c r="D390" s="66"/>
      <c r="E390" s="66"/>
      <c r="F390" s="66"/>
      <c r="G390" s="66"/>
      <c r="H390" s="66"/>
      <c r="I390" s="64" t="str">
        <f>IF(OR($B390="", $D390="", $E390="", $F390="", $G390="", $H390=""),"",ROUND(($D390*Lists!$AN$20)+($E390*Lists!$AN$21)+($F390*Lists!$AN$22)+($G390*Lists!$AN$23)+($H390*Lists!$AN$24),2))</f>
        <v/>
      </c>
      <c r="J390" s="62"/>
      <c r="K390" s="65"/>
      <c r="L390" s="62"/>
    </row>
    <row r="391" spans="1:12" ht="15.75" customHeight="1" x14ac:dyDescent="0.2">
      <c r="A391" s="63" t="str">
        <f t="shared" si="6"/>
        <v/>
      </c>
      <c r="B391" s="63"/>
      <c r="C391" s="62" t="str">
        <f>IF($B391="","",IFERROR(VLOOKUP($B391,'Application Portfolio'!$A$2:$B$1000,2,FALSE()),""))</f>
        <v/>
      </c>
      <c r="D391" s="66"/>
      <c r="E391" s="66"/>
      <c r="F391" s="66"/>
      <c r="G391" s="66"/>
      <c r="H391" s="66"/>
      <c r="I391" s="64" t="str">
        <f>IF(OR($B391="", $D391="", $E391="", $F391="", $G391="", $H391=""),"",ROUND(($D391*Lists!$AN$20)+($E391*Lists!$AN$21)+($F391*Lists!$AN$22)+($G391*Lists!$AN$23)+($H391*Lists!$AN$24),2))</f>
        <v/>
      </c>
      <c r="J391" s="62"/>
      <c r="K391" s="65"/>
      <c r="L391" s="62"/>
    </row>
    <row r="392" spans="1:12" ht="15.75" customHeight="1" x14ac:dyDescent="0.2">
      <c r="A392" s="63" t="str">
        <f t="shared" si="6"/>
        <v/>
      </c>
      <c r="B392" s="63"/>
      <c r="C392" s="62" t="str">
        <f>IF($B392="","",IFERROR(VLOOKUP($B392,'Application Portfolio'!$A$2:$B$1000,2,FALSE()),""))</f>
        <v/>
      </c>
      <c r="D392" s="66"/>
      <c r="E392" s="66"/>
      <c r="F392" s="66"/>
      <c r="G392" s="66"/>
      <c r="H392" s="66"/>
      <c r="I392" s="64" t="str">
        <f>IF(OR($B392="", $D392="", $E392="", $F392="", $G392="", $H392=""),"",ROUND(($D392*Lists!$AN$20)+($E392*Lists!$AN$21)+($F392*Lists!$AN$22)+($G392*Lists!$AN$23)+($H392*Lists!$AN$24),2))</f>
        <v/>
      </c>
      <c r="J392" s="62"/>
      <c r="K392" s="65"/>
      <c r="L392" s="62"/>
    </row>
    <row r="393" spans="1:12" ht="15.75" customHeight="1" x14ac:dyDescent="0.2">
      <c r="A393" s="63" t="str">
        <f t="shared" si="6"/>
        <v/>
      </c>
      <c r="B393" s="63"/>
      <c r="C393" s="62" t="str">
        <f>IF($B393="","",IFERROR(VLOOKUP($B393,'Application Portfolio'!$A$2:$B$1000,2,FALSE()),""))</f>
        <v/>
      </c>
      <c r="D393" s="66"/>
      <c r="E393" s="66"/>
      <c r="F393" s="66"/>
      <c r="G393" s="66"/>
      <c r="H393" s="66"/>
      <c r="I393" s="64" t="str">
        <f>IF(OR($B393="", $D393="", $E393="", $F393="", $G393="", $H393=""),"",ROUND(($D393*Lists!$AN$20)+($E393*Lists!$AN$21)+($F393*Lists!$AN$22)+($G393*Lists!$AN$23)+($H393*Lists!$AN$24),2))</f>
        <v/>
      </c>
      <c r="J393" s="62"/>
      <c r="K393" s="65"/>
      <c r="L393" s="62"/>
    </row>
    <row r="394" spans="1:12" ht="15.75" customHeight="1" x14ac:dyDescent="0.2">
      <c r="A394" s="63" t="str">
        <f t="shared" si="6"/>
        <v/>
      </c>
      <c r="B394" s="63"/>
      <c r="C394" s="62" t="str">
        <f>IF($B394="","",IFERROR(VLOOKUP($B394,'Application Portfolio'!$A$2:$B$1000,2,FALSE()),""))</f>
        <v/>
      </c>
      <c r="D394" s="66"/>
      <c r="E394" s="66"/>
      <c r="F394" s="66"/>
      <c r="G394" s="66"/>
      <c r="H394" s="66"/>
      <c r="I394" s="64" t="str">
        <f>IF(OR($B394="", $D394="", $E394="", $F394="", $G394="", $H394=""),"",ROUND(($D394*Lists!$AN$20)+($E394*Lists!$AN$21)+($F394*Lists!$AN$22)+($G394*Lists!$AN$23)+($H394*Lists!$AN$24),2))</f>
        <v/>
      </c>
      <c r="J394" s="62"/>
      <c r="K394" s="65"/>
      <c r="L394" s="62"/>
    </row>
    <row r="395" spans="1:12" ht="15.75" customHeight="1" x14ac:dyDescent="0.2">
      <c r="A395" s="63" t="str">
        <f t="shared" si="6"/>
        <v/>
      </c>
      <c r="B395" s="63"/>
      <c r="C395" s="62" t="str">
        <f>IF($B395="","",IFERROR(VLOOKUP($B395,'Application Portfolio'!$A$2:$B$1000,2,FALSE()),""))</f>
        <v/>
      </c>
      <c r="D395" s="66"/>
      <c r="E395" s="66"/>
      <c r="F395" s="66"/>
      <c r="G395" s="66"/>
      <c r="H395" s="66"/>
      <c r="I395" s="64" t="str">
        <f>IF(OR($B395="", $D395="", $E395="", $F395="", $G395="", $H395=""),"",ROUND(($D395*Lists!$AN$20)+($E395*Lists!$AN$21)+($F395*Lists!$AN$22)+($G395*Lists!$AN$23)+($H395*Lists!$AN$24),2))</f>
        <v/>
      </c>
      <c r="J395" s="62"/>
      <c r="K395" s="65"/>
      <c r="L395" s="62"/>
    </row>
    <row r="396" spans="1:12" ht="15.75" customHeight="1" x14ac:dyDescent="0.2">
      <c r="A396" s="63" t="str">
        <f t="shared" si="6"/>
        <v/>
      </c>
      <c r="B396" s="63"/>
      <c r="C396" s="62" t="str">
        <f>IF($B396="","",IFERROR(VLOOKUP($B396,'Application Portfolio'!$A$2:$B$1000,2,FALSE()),""))</f>
        <v/>
      </c>
      <c r="D396" s="66"/>
      <c r="E396" s="66"/>
      <c r="F396" s="66"/>
      <c r="G396" s="66"/>
      <c r="H396" s="66"/>
      <c r="I396" s="64" t="str">
        <f>IF(OR($B396="", $D396="", $E396="", $F396="", $G396="", $H396=""),"",ROUND(($D396*Lists!$AN$20)+($E396*Lists!$AN$21)+($F396*Lists!$AN$22)+($G396*Lists!$AN$23)+($H396*Lists!$AN$24),2))</f>
        <v/>
      </c>
      <c r="J396" s="62"/>
      <c r="K396" s="65"/>
      <c r="L396" s="62"/>
    </row>
    <row r="397" spans="1:12" ht="15.75" customHeight="1" x14ac:dyDescent="0.2">
      <c r="A397" s="63" t="str">
        <f t="shared" si="6"/>
        <v/>
      </c>
      <c r="B397" s="63"/>
      <c r="C397" s="62" t="str">
        <f>IF($B397="","",IFERROR(VLOOKUP($B397,'Application Portfolio'!$A$2:$B$1000,2,FALSE()),""))</f>
        <v/>
      </c>
      <c r="D397" s="66"/>
      <c r="E397" s="66"/>
      <c r="F397" s="66"/>
      <c r="G397" s="66"/>
      <c r="H397" s="66"/>
      <c r="I397" s="64" t="str">
        <f>IF(OR($B397="", $D397="", $E397="", $F397="", $G397="", $H397=""),"",ROUND(($D397*Lists!$AN$20)+($E397*Lists!$AN$21)+($F397*Lists!$AN$22)+($G397*Lists!$AN$23)+($H397*Lists!$AN$24),2))</f>
        <v/>
      </c>
      <c r="J397" s="62"/>
      <c r="K397" s="65"/>
      <c r="L397" s="62"/>
    </row>
    <row r="398" spans="1:12" ht="15.75" customHeight="1" x14ac:dyDescent="0.2">
      <c r="A398" s="63" t="str">
        <f t="shared" si="6"/>
        <v/>
      </c>
      <c r="B398" s="63"/>
      <c r="C398" s="62" t="str">
        <f>IF($B398="","",IFERROR(VLOOKUP($B398,'Application Portfolio'!$A$2:$B$1000,2,FALSE()),""))</f>
        <v/>
      </c>
      <c r="D398" s="66"/>
      <c r="E398" s="66"/>
      <c r="F398" s="66"/>
      <c r="G398" s="66"/>
      <c r="H398" s="66"/>
      <c r="I398" s="64" t="str">
        <f>IF(OR($B398="", $D398="", $E398="", $F398="", $G398="", $H398=""),"",ROUND(($D398*Lists!$AN$20)+($E398*Lists!$AN$21)+($F398*Lists!$AN$22)+($G398*Lists!$AN$23)+($H398*Lists!$AN$24),2))</f>
        <v/>
      </c>
      <c r="J398" s="62"/>
      <c r="K398" s="65"/>
      <c r="L398" s="62"/>
    </row>
    <row r="399" spans="1:12" ht="15.75" customHeight="1" x14ac:dyDescent="0.2">
      <c r="A399" s="63" t="str">
        <f t="shared" si="6"/>
        <v/>
      </c>
      <c r="B399" s="63"/>
      <c r="C399" s="62" t="str">
        <f>IF($B399="","",IFERROR(VLOOKUP($B399,'Application Portfolio'!$A$2:$B$1000,2,FALSE()),""))</f>
        <v/>
      </c>
      <c r="D399" s="66"/>
      <c r="E399" s="66"/>
      <c r="F399" s="66"/>
      <c r="G399" s="66"/>
      <c r="H399" s="66"/>
      <c r="I399" s="64" t="str">
        <f>IF(OR($B399="", $D399="", $E399="", $F399="", $G399="", $H399=""),"",ROUND(($D399*Lists!$AN$20)+($E399*Lists!$AN$21)+($F399*Lists!$AN$22)+($G399*Lists!$AN$23)+($H399*Lists!$AN$24),2))</f>
        <v/>
      </c>
      <c r="J399" s="62"/>
      <c r="K399" s="65"/>
      <c r="L399" s="62"/>
    </row>
    <row r="400" spans="1:12" ht="15.75" customHeight="1" x14ac:dyDescent="0.2">
      <c r="A400" s="63" t="str">
        <f t="shared" si="6"/>
        <v/>
      </c>
      <c r="B400" s="63"/>
      <c r="C400" s="62" t="str">
        <f>IF($B400="","",IFERROR(VLOOKUP($B400,'Application Portfolio'!$A$2:$B$1000,2,FALSE()),""))</f>
        <v/>
      </c>
      <c r="D400" s="66"/>
      <c r="E400" s="66"/>
      <c r="F400" s="66"/>
      <c r="G400" s="66"/>
      <c r="H400" s="66"/>
      <c r="I400" s="64" t="str">
        <f>IF(OR($B400="", $D400="", $E400="", $F400="", $G400="", $H400=""),"",ROUND(($D400*Lists!$AN$20)+($E400*Lists!$AN$21)+($F400*Lists!$AN$22)+($G400*Lists!$AN$23)+($H400*Lists!$AN$24),2))</f>
        <v/>
      </c>
      <c r="J400" s="62"/>
      <c r="K400" s="65"/>
      <c r="L400" s="62"/>
    </row>
    <row r="401" spans="1:12" ht="15.75" customHeight="1" x14ac:dyDescent="0.2">
      <c r="A401" s="63" t="str">
        <f t="shared" si="6"/>
        <v/>
      </c>
      <c r="B401" s="63"/>
      <c r="C401" s="62" t="str">
        <f>IF($B401="","",IFERROR(VLOOKUP($B401,'Application Portfolio'!$A$2:$B$1000,2,FALSE()),""))</f>
        <v/>
      </c>
      <c r="D401" s="66"/>
      <c r="E401" s="66"/>
      <c r="F401" s="66"/>
      <c r="G401" s="66"/>
      <c r="H401" s="66"/>
      <c r="I401" s="64" t="str">
        <f>IF(OR($B401="", $D401="", $E401="", $F401="", $G401="", $H401=""),"",ROUND(($D401*Lists!$AN$20)+($E401*Lists!$AN$21)+($F401*Lists!$AN$22)+($G401*Lists!$AN$23)+($H401*Lists!$AN$24),2))</f>
        <v/>
      </c>
      <c r="J401" s="62"/>
      <c r="K401" s="65"/>
      <c r="L401" s="62"/>
    </row>
    <row r="402" spans="1:12" ht="15.75" customHeight="1" x14ac:dyDescent="0.2">
      <c r="A402" s="63" t="str">
        <f t="shared" si="6"/>
        <v/>
      </c>
      <c r="B402" s="63"/>
      <c r="C402" s="62" t="str">
        <f>IF($B402="","",IFERROR(VLOOKUP($B402,'Application Portfolio'!$A$2:$B$1000,2,FALSE()),""))</f>
        <v/>
      </c>
      <c r="D402" s="66"/>
      <c r="E402" s="66"/>
      <c r="F402" s="66"/>
      <c r="G402" s="66"/>
      <c r="H402" s="66"/>
      <c r="I402" s="64" t="str">
        <f>IF(OR($B402="", $D402="", $E402="", $F402="", $G402="", $H402=""),"",ROUND(($D402*Lists!$AN$20)+($E402*Lists!$AN$21)+($F402*Lists!$AN$22)+($G402*Lists!$AN$23)+($H402*Lists!$AN$24),2))</f>
        <v/>
      </c>
      <c r="J402" s="62"/>
      <c r="K402" s="65"/>
      <c r="L402" s="62"/>
    </row>
    <row r="403" spans="1:12" ht="15.75" customHeight="1" x14ac:dyDescent="0.2">
      <c r="A403" s="63" t="str">
        <f t="shared" si="6"/>
        <v/>
      </c>
      <c r="B403" s="63"/>
      <c r="C403" s="62" t="str">
        <f>IF($B403="","",IFERROR(VLOOKUP($B403,'Application Portfolio'!$A$2:$B$1000,2,FALSE()),""))</f>
        <v/>
      </c>
      <c r="D403" s="66"/>
      <c r="E403" s="66"/>
      <c r="F403" s="66"/>
      <c r="G403" s="66"/>
      <c r="H403" s="66"/>
      <c r="I403" s="64" t="str">
        <f>IF(OR($B403="", $D403="", $E403="", $F403="", $G403="", $H403=""),"",ROUND(($D403*Lists!$AN$20)+($E403*Lists!$AN$21)+($F403*Lists!$AN$22)+($G403*Lists!$AN$23)+($H403*Lists!$AN$24),2))</f>
        <v/>
      </c>
      <c r="J403" s="62"/>
      <c r="K403" s="65"/>
      <c r="L403" s="62"/>
    </row>
    <row r="404" spans="1:12" ht="15.75" customHeight="1" x14ac:dyDescent="0.2">
      <c r="A404" s="63" t="str">
        <f t="shared" si="6"/>
        <v/>
      </c>
      <c r="B404" s="63"/>
      <c r="C404" s="62" t="str">
        <f>IF($B404="","",IFERROR(VLOOKUP($B404,'Application Portfolio'!$A$2:$B$1000,2,FALSE()),""))</f>
        <v/>
      </c>
      <c r="D404" s="66"/>
      <c r="E404" s="66"/>
      <c r="F404" s="66"/>
      <c r="G404" s="66"/>
      <c r="H404" s="66"/>
      <c r="I404" s="64" t="str">
        <f>IF(OR($B404="", $D404="", $E404="", $F404="", $G404="", $H404=""),"",ROUND(($D404*Lists!$AN$20)+($E404*Lists!$AN$21)+($F404*Lists!$AN$22)+($G404*Lists!$AN$23)+($H404*Lists!$AN$24),2))</f>
        <v/>
      </c>
      <c r="J404" s="62"/>
      <c r="K404" s="65"/>
      <c r="L404" s="62"/>
    </row>
    <row r="405" spans="1:12" ht="15.75" customHeight="1" x14ac:dyDescent="0.2">
      <c r="A405" s="63" t="str">
        <f t="shared" si="6"/>
        <v/>
      </c>
      <c r="B405" s="63"/>
      <c r="C405" s="62" t="str">
        <f>IF($B405="","",IFERROR(VLOOKUP($B405,'Application Portfolio'!$A$2:$B$1000,2,FALSE()),""))</f>
        <v/>
      </c>
      <c r="D405" s="66"/>
      <c r="E405" s="66"/>
      <c r="F405" s="66"/>
      <c r="G405" s="66"/>
      <c r="H405" s="66"/>
      <c r="I405" s="64" t="str">
        <f>IF(OR($B405="", $D405="", $E405="", $F405="", $G405="", $H405=""),"",ROUND(($D405*Lists!$AN$20)+($E405*Lists!$AN$21)+($F405*Lists!$AN$22)+($G405*Lists!$AN$23)+($H405*Lists!$AN$24),2))</f>
        <v/>
      </c>
      <c r="J405" s="62"/>
      <c r="K405" s="65"/>
      <c r="L405" s="62"/>
    </row>
    <row r="406" spans="1:12" ht="15.75" customHeight="1" x14ac:dyDescent="0.2">
      <c r="A406" s="63" t="str">
        <f t="shared" si="6"/>
        <v/>
      </c>
      <c r="B406" s="63"/>
      <c r="C406" s="62" t="str">
        <f>IF($B406="","",IFERROR(VLOOKUP($B406,'Application Portfolio'!$A$2:$B$1000,2,FALSE()),""))</f>
        <v/>
      </c>
      <c r="D406" s="66"/>
      <c r="E406" s="66"/>
      <c r="F406" s="66"/>
      <c r="G406" s="66"/>
      <c r="H406" s="66"/>
      <c r="I406" s="64" t="str">
        <f>IF(OR($B406="", $D406="", $E406="", $F406="", $G406="", $H406=""),"",ROUND(($D406*Lists!$AN$20)+($E406*Lists!$AN$21)+($F406*Lists!$AN$22)+($G406*Lists!$AN$23)+($H406*Lists!$AN$24),2))</f>
        <v/>
      </c>
      <c r="J406" s="62"/>
      <c r="K406" s="65"/>
      <c r="L406" s="62"/>
    </row>
    <row r="407" spans="1:12" ht="15.75" customHeight="1" x14ac:dyDescent="0.2">
      <c r="A407" s="63" t="str">
        <f t="shared" si="6"/>
        <v/>
      </c>
      <c r="B407" s="63"/>
      <c r="C407" s="62" t="str">
        <f>IF($B407="","",IFERROR(VLOOKUP($B407,'Application Portfolio'!$A$2:$B$1000,2,FALSE()),""))</f>
        <v/>
      </c>
      <c r="D407" s="66"/>
      <c r="E407" s="66"/>
      <c r="F407" s="66"/>
      <c r="G407" s="66"/>
      <c r="H407" s="66"/>
      <c r="I407" s="64" t="str">
        <f>IF(OR($B407="", $D407="", $E407="", $F407="", $G407="", $H407=""),"",ROUND(($D407*Lists!$AN$20)+($E407*Lists!$AN$21)+($F407*Lists!$AN$22)+($G407*Lists!$AN$23)+($H407*Lists!$AN$24),2))</f>
        <v/>
      </c>
      <c r="J407" s="62"/>
      <c r="K407" s="65"/>
      <c r="L407" s="62"/>
    </row>
    <row r="408" spans="1:12" ht="15.75" customHeight="1" x14ac:dyDescent="0.2">
      <c r="A408" s="63" t="str">
        <f t="shared" si="6"/>
        <v/>
      </c>
      <c r="B408" s="63"/>
      <c r="C408" s="62" t="str">
        <f>IF($B408="","",IFERROR(VLOOKUP($B408,'Application Portfolio'!$A$2:$B$1000,2,FALSE()),""))</f>
        <v/>
      </c>
      <c r="D408" s="66"/>
      <c r="E408" s="66"/>
      <c r="F408" s="66"/>
      <c r="G408" s="66"/>
      <c r="H408" s="66"/>
      <c r="I408" s="64" t="str">
        <f>IF(OR($B408="", $D408="", $E408="", $F408="", $G408="", $H408=""),"",ROUND(($D408*Lists!$AN$20)+($E408*Lists!$AN$21)+($F408*Lists!$AN$22)+($G408*Lists!$AN$23)+($H408*Lists!$AN$24),2))</f>
        <v/>
      </c>
      <c r="J408" s="62"/>
      <c r="K408" s="65"/>
      <c r="L408" s="62"/>
    </row>
    <row r="409" spans="1:12" ht="15.75" customHeight="1" x14ac:dyDescent="0.2">
      <c r="A409" s="63" t="str">
        <f t="shared" si="6"/>
        <v/>
      </c>
      <c r="B409" s="63"/>
      <c r="C409" s="62" t="str">
        <f>IF($B409="","",IFERROR(VLOOKUP($B409,'Application Portfolio'!$A$2:$B$1000,2,FALSE()),""))</f>
        <v/>
      </c>
      <c r="D409" s="66"/>
      <c r="E409" s="66"/>
      <c r="F409" s="66"/>
      <c r="G409" s="66"/>
      <c r="H409" s="66"/>
      <c r="I409" s="64" t="str">
        <f>IF(OR($B409="", $D409="", $E409="", $F409="", $G409="", $H409=""),"",ROUND(($D409*Lists!$AN$20)+($E409*Lists!$AN$21)+($F409*Lists!$AN$22)+($G409*Lists!$AN$23)+($H409*Lists!$AN$24),2))</f>
        <v/>
      </c>
      <c r="J409" s="62"/>
      <c r="K409" s="65"/>
      <c r="L409" s="62"/>
    </row>
    <row r="410" spans="1:12" ht="15.75" customHeight="1" x14ac:dyDescent="0.2">
      <c r="A410" s="63" t="str">
        <f t="shared" si="6"/>
        <v/>
      </c>
      <c r="B410" s="63"/>
      <c r="C410" s="62" t="str">
        <f>IF($B410="","",IFERROR(VLOOKUP($B410,'Application Portfolio'!$A$2:$B$1000,2,FALSE()),""))</f>
        <v/>
      </c>
      <c r="D410" s="66"/>
      <c r="E410" s="66"/>
      <c r="F410" s="66"/>
      <c r="G410" s="66"/>
      <c r="H410" s="66"/>
      <c r="I410" s="64" t="str">
        <f>IF(OR($B410="", $D410="", $E410="", $F410="", $G410="", $H410=""),"",ROUND(($D410*Lists!$AN$20)+($E410*Lists!$AN$21)+($F410*Lists!$AN$22)+($G410*Lists!$AN$23)+($H410*Lists!$AN$24),2))</f>
        <v/>
      </c>
      <c r="J410" s="62"/>
      <c r="K410" s="65"/>
      <c r="L410" s="62"/>
    </row>
    <row r="411" spans="1:12" ht="15.75" customHeight="1" x14ac:dyDescent="0.2">
      <c r="A411" s="63" t="str">
        <f t="shared" si="6"/>
        <v/>
      </c>
      <c r="B411" s="63"/>
      <c r="C411" s="62" t="str">
        <f>IF($B411="","",IFERROR(VLOOKUP($B411,'Application Portfolio'!$A$2:$B$1000,2,FALSE()),""))</f>
        <v/>
      </c>
      <c r="D411" s="66"/>
      <c r="E411" s="66"/>
      <c r="F411" s="66"/>
      <c r="G411" s="66"/>
      <c r="H411" s="66"/>
      <c r="I411" s="64" t="str">
        <f>IF(OR($B411="", $D411="", $E411="", $F411="", $G411="", $H411=""),"",ROUND(($D411*Lists!$AN$20)+($E411*Lists!$AN$21)+($F411*Lists!$AN$22)+($G411*Lists!$AN$23)+($H411*Lists!$AN$24),2))</f>
        <v/>
      </c>
      <c r="J411" s="62"/>
      <c r="K411" s="65"/>
      <c r="L411" s="62"/>
    </row>
    <row r="412" spans="1:12" ht="15.75" customHeight="1" x14ac:dyDescent="0.2">
      <c r="A412" s="63" t="str">
        <f t="shared" si="6"/>
        <v/>
      </c>
      <c r="B412" s="63"/>
      <c r="C412" s="62" t="str">
        <f>IF($B412="","",IFERROR(VLOOKUP($B412,'Application Portfolio'!$A$2:$B$1000,2,FALSE()),""))</f>
        <v/>
      </c>
      <c r="D412" s="66"/>
      <c r="E412" s="66"/>
      <c r="F412" s="66"/>
      <c r="G412" s="66"/>
      <c r="H412" s="66"/>
      <c r="I412" s="64" t="str">
        <f>IF(OR($B412="", $D412="", $E412="", $F412="", $G412="", $H412=""),"",ROUND(($D412*Lists!$AN$20)+($E412*Lists!$AN$21)+($F412*Lists!$AN$22)+($G412*Lists!$AN$23)+($H412*Lists!$AN$24),2))</f>
        <v/>
      </c>
      <c r="J412" s="62"/>
      <c r="K412" s="65"/>
      <c r="L412" s="62"/>
    </row>
    <row r="413" spans="1:12" ht="15.75" customHeight="1" x14ac:dyDescent="0.2">
      <c r="A413" s="63" t="str">
        <f t="shared" si="6"/>
        <v/>
      </c>
      <c r="B413" s="63"/>
      <c r="C413" s="62" t="str">
        <f>IF($B413="","",IFERROR(VLOOKUP($B413,'Application Portfolio'!$A$2:$B$1000,2,FALSE()),""))</f>
        <v/>
      </c>
      <c r="D413" s="66"/>
      <c r="E413" s="66"/>
      <c r="F413" s="66"/>
      <c r="G413" s="66"/>
      <c r="H413" s="66"/>
      <c r="I413" s="64" t="str">
        <f>IF(OR($B413="", $D413="", $E413="", $F413="", $G413="", $H413=""),"",ROUND(($D413*Lists!$AN$20)+($E413*Lists!$AN$21)+($F413*Lists!$AN$22)+($G413*Lists!$AN$23)+($H413*Lists!$AN$24),2))</f>
        <v/>
      </c>
      <c r="J413" s="62"/>
      <c r="K413" s="65"/>
      <c r="L413" s="62"/>
    </row>
    <row r="414" spans="1:12" ht="15.75" customHeight="1" x14ac:dyDescent="0.2">
      <c r="A414" s="63" t="str">
        <f t="shared" si="6"/>
        <v/>
      </c>
      <c r="B414" s="63"/>
      <c r="C414" s="62" t="str">
        <f>IF($B414="","",IFERROR(VLOOKUP($B414,'Application Portfolio'!$A$2:$B$1000,2,FALSE()),""))</f>
        <v/>
      </c>
      <c r="D414" s="66"/>
      <c r="E414" s="66"/>
      <c r="F414" s="66"/>
      <c r="G414" s="66"/>
      <c r="H414" s="66"/>
      <c r="I414" s="64" t="str">
        <f>IF(OR($B414="", $D414="", $E414="", $F414="", $G414="", $H414=""),"",ROUND(($D414*Lists!$AN$20)+($E414*Lists!$AN$21)+($F414*Lists!$AN$22)+($G414*Lists!$AN$23)+($H414*Lists!$AN$24),2))</f>
        <v/>
      </c>
      <c r="J414" s="62"/>
      <c r="K414" s="65"/>
      <c r="L414" s="62"/>
    </row>
    <row r="415" spans="1:12" ht="15.75" customHeight="1" x14ac:dyDescent="0.2">
      <c r="A415" s="63" t="str">
        <f t="shared" si="6"/>
        <v/>
      </c>
      <c r="B415" s="63"/>
      <c r="C415" s="62" t="str">
        <f>IF($B415="","",IFERROR(VLOOKUP($B415,'Application Portfolio'!$A$2:$B$1000,2,FALSE()),""))</f>
        <v/>
      </c>
      <c r="D415" s="66"/>
      <c r="E415" s="66"/>
      <c r="F415" s="66"/>
      <c r="G415" s="66"/>
      <c r="H415" s="66"/>
      <c r="I415" s="64" t="str">
        <f>IF(OR($B415="", $D415="", $E415="", $F415="", $G415="", $H415=""),"",ROUND(($D415*Lists!$AN$20)+($E415*Lists!$AN$21)+($F415*Lists!$AN$22)+($G415*Lists!$AN$23)+($H415*Lists!$AN$24),2))</f>
        <v/>
      </c>
      <c r="J415" s="62"/>
      <c r="K415" s="65"/>
      <c r="L415" s="62"/>
    </row>
    <row r="416" spans="1:12" ht="15.75" customHeight="1" x14ac:dyDescent="0.2">
      <c r="A416" s="63" t="str">
        <f t="shared" ref="A416:A479" si="7">IF($B416="","", "R-" &amp; RIGHT("0000"&amp;ROW()-1,4))</f>
        <v/>
      </c>
      <c r="B416" s="63"/>
      <c r="C416" s="62" t="str">
        <f>IF($B416="","",IFERROR(VLOOKUP($B416,'Application Portfolio'!$A$2:$B$1000,2,FALSE()),""))</f>
        <v/>
      </c>
      <c r="D416" s="66"/>
      <c r="E416" s="66"/>
      <c r="F416" s="66"/>
      <c r="G416" s="66"/>
      <c r="H416" s="66"/>
      <c r="I416" s="64" t="str">
        <f>IF(OR($B416="", $D416="", $E416="", $F416="", $G416="", $H416=""),"",ROUND(($D416*Lists!$AN$20)+($E416*Lists!$AN$21)+($F416*Lists!$AN$22)+($G416*Lists!$AN$23)+($H416*Lists!$AN$24),2))</f>
        <v/>
      </c>
      <c r="J416" s="62"/>
      <c r="K416" s="65"/>
      <c r="L416" s="62"/>
    </row>
    <row r="417" spans="1:12" ht="15.75" customHeight="1" x14ac:dyDescent="0.2">
      <c r="A417" s="63" t="str">
        <f t="shared" si="7"/>
        <v/>
      </c>
      <c r="B417" s="63"/>
      <c r="C417" s="62" t="str">
        <f>IF($B417="","",IFERROR(VLOOKUP($B417,'Application Portfolio'!$A$2:$B$1000,2,FALSE()),""))</f>
        <v/>
      </c>
      <c r="D417" s="66"/>
      <c r="E417" s="66"/>
      <c r="F417" s="66"/>
      <c r="G417" s="66"/>
      <c r="H417" s="66"/>
      <c r="I417" s="64" t="str">
        <f>IF(OR($B417="", $D417="", $E417="", $F417="", $G417="", $H417=""),"",ROUND(($D417*Lists!$AN$20)+($E417*Lists!$AN$21)+($F417*Lists!$AN$22)+($G417*Lists!$AN$23)+($H417*Lists!$AN$24),2))</f>
        <v/>
      </c>
      <c r="J417" s="62"/>
      <c r="K417" s="65"/>
      <c r="L417" s="62"/>
    </row>
    <row r="418" spans="1:12" ht="15.75" customHeight="1" x14ac:dyDescent="0.2">
      <c r="A418" s="63" t="str">
        <f t="shared" si="7"/>
        <v/>
      </c>
      <c r="B418" s="63"/>
      <c r="C418" s="62" t="str">
        <f>IF($B418="","",IFERROR(VLOOKUP($B418,'Application Portfolio'!$A$2:$B$1000,2,FALSE()),""))</f>
        <v/>
      </c>
      <c r="D418" s="66"/>
      <c r="E418" s="66"/>
      <c r="F418" s="66"/>
      <c r="G418" s="66"/>
      <c r="H418" s="66"/>
      <c r="I418" s="64" t="str">
        <f>IF(OR($B418="", $D418="", $E418="", $F418="", $G418="", $H418=""),"",ROUND(($D418*Lists!$AN$20)+($E418*Lists!$AN$21)+($F418*Lists!$AN$22)+($G418*Lists!$AN$23)+($H418*Lists!$AN$24),2))</f>
        <v/>
      </c>
      <c r="J418" s="62"/>
      <c r="K418" s="65"/>
      <c r="L418" s="62"/>
    </row>
    <row r="419" spans="1:12" ht="15.75" customHeight="1" x14ac:dyDescent="0.2">
      <c r="A419" s="63" t="str">
        <f t="shared" si="7"/>
        <v/>
      </c>
      <c r="B419" s="63"/>
      <c r="C419" s="62" t="str">
        <f>IF($B419="","",IFERROR(VLOOKUP($B419,'Application Portfolio'!$A$2:$B$1000,2,FALSE()),""))</f>
        <v/>
      </c>
      <c r="D419" s="66"/>
      <c r="E419" s="66"/>
      <c r="F419" s="66"/>
      <c r="G419" s="66"/>
      <c r="H419" s="66"/>
      <c r="I419" s="64" t="str">
        <f>IF(OR($B419="", $D419="", $E419="", $F419="", $G419="", $H419=""),"",ROUND(($D419*Lists!$AN$20)+($E419*Lists!$AN$21)+($F419*Lists!$AN$22)+($G419*Lists!$AN$23)+($H419*Lists!$AN$24),2))</f>
        <v/>
      </c>
      <c r="J419" s="62"/>
      <c r="K419" s="65"/>
      <c r="L419" s="62"/>
    </row>
    <row r="420" spans="1:12" ht="15.75" customHeight="1" x14ac:dyDescent="0.2">
      <c r="A420" s="63" t="str">
        <f t="shared" si="7"/>
        <v/>
      </c>
      <c r="B420" s="63"/>
      <c r="C420" s="62" t="str">
        <f>IF($B420="","",IFERROR(VLOOKUP($B420,'Application Portfolio'!$A$2:$B$1000,2,FALSE()),""))</f>
        <v/>
      </c>
      <c r="D420" s="66"/>
      <c r="E420" s="66"/>
      <c r="F420" s="66"/>
      <c r="G420" s="66"/>
      <c r="H420" s="66"/>
      <c r="I420" s="64" t="str">
        <f>IF(OR($B420="", $D420="", $E420="", $F420="", $G420="", $H420=""),"",ROUND(($D420*Lists!$AN$20)+($E420*Lists!$AN$21)+($F420*Lists!$AN$22)+($G420*Lists!$AN$23)+($H420*Lists!$AN$24),2))</f>
        <v/>
      </c>
      <c r="J420" s="62"/>
      <c r="K420" s="65"/>
      <c r="L420" s="62"/>
    </row>
    <row r="421" spans="1:12" ht="15.75" customHeight="1" x14ac:dyDescent="0.2">
      <c r="A421" s="63" t="str">
        <f t="shared" si="7"/>
        <v/>
      </c>
      <c r="B421" s="63"/>
      <c r="C421" s="62" t="str">
        <f>IF($B421="","",IFERROR(VLOOKUP($B421,'Application Portfolio'!$A$2:$B$1000,2,FALSE()),""))</f>
        <v/>
      </c>
      <c r="D421" s="66"/>
      <c r="E421" s="66"/>
      <c r="F421" s="66"/>
      <c r="G421" s="66"/>
      <c r="H421" s="66"/>
      <c r="I421" s="64" t="str">
        <f>IF(OR($B421="", $D421="", $E421="", $F421="", $G421="", $H421=""),"",ROUND(($D421*Lists!$AN$20)+($E421*Lists!$AN$21)+($F421*Lists!$AN$22)+($G421*Lists!$AN$23)+($H421*Lists!$AN$24),2))</f>
        <v/>
      </c>
      <c r="J421" s="62"/>
      <c r="K421" s="65"/>
      <c r="L421" s="62"/>
    </row>
    <row r="422" spans="1:12" ht="15.75" customHeight="1" x14ac:dyDescent="0.2">
      <c r="A422" s="63" t="str">
        <f t="shared" si="7"/>
        <v/>
      </c>
      <c r="B422" s="63"/>
      <c r="C422" s="62" t="str">
        <f>IF($B422="","",IFERROR(VLOOKUP($B422,'Application Portfolio'!$A$2:$B$1000,2,FALSE()),""))</f>
        <v/>
      </c>
      <c r="D422" s="66"/>
      <c r="E422" s="66"/>
      <c r="F422" s="66"/>
      <c r="G422" s="66"/>
      <c r="H422" s="66"/>
      <c r="I422" s="64" t="str">
        <f>IF(OR($B422="", $D422="", $E422="", $F422="", $G422="", $H422=""),"",ROUND(($D422*Lists!$AN$20)+($E422*Lists!$AN$21)+($F422*Lists!$AN$22)+($G422*Lists!$AN$23)+($H422*Lists!$AN$24),2))</f>
        <v/>
      </c>
      <c r="J422" s="62"/>
      <c r="K422" s="65"/>
      <c r="L422" s="62"/>
    </row>
    <row r="423" spans="1:12" ht="15.75" customHeight="1" x14ac:dyDescent="0.2">
      <c r="A423" s="63" t="str">
        <f t="shared" si="7"/>
        <v/>
      </c>
      <c r="B423" s="63"/>
      <c r="C423" s="62" t="str">
        <f>IF($B423="","",IFERROR(VLOOKUP($B423,'Application Portfolio'!$A$2:$B$1000,2,FALSE()),""))</f>
        <v/>
      </c>
      <c r="D423" s="66"/>
      <c r="E423" s="66"/>
      <c r="F423" s="66"/>
      <c r="G423" s="66"/>
      <c r="H423" s="66"/>
      <c r="I423" s="64" t="str">
        <f>IF(OR($B423="", $D423="", $E423="", $F423="", $G423="", $H423=""),"",ROUND(($D423*Lists!$AN$20)+($E423*Lists!$AN$21)+($F423*Lists!$AN$22)+($G423*Lists!$AN$23)+($H423*Lists!$AN$24),2))</f>
        <v/>
      </c>
      <c r="J423" s="62"/>
      <c r="K423" s="65"/>
      <c r="L423" s="62"/>
    </row>
    <row r="424" spans="1:12" ht="15.75" customHeight="1" x14ac:dyDescent="0.2">
      <c r="A424" s="63" t="str">
        <f t="shared" si="7"/>
        <v/>
      </c>
      <c r="B424" s="63"/>
      <c r="C424" s="62" t="str">
        <f>IF($B424="","",IFERROR(VLOOKUP($B424,'Application Portfolio'!$A$2:$B$1000,2,FALSE()),""))</f>
        <v/>
      </c>
      <c r="D424" s="66"/>
      <c r="E424" s="66"/>
      <c r="F424" s="66"/>
      <c r="G424" s="66"/>
      <c r="H424" s="66"/>
      <c r="I424" s="64" t="str">
        <f>IF(OR($B424="", $D424="", $E424="", $F424="", $G424="", $H424=""),"",ROUND(($D424*Lists!$AN$20)+($E424*Lists!$AN$21)+($F424*Lists!$AN$22)+($G424*Lists!$AN$23)+($H424*Lists!$AN$24),2))</f>
        <v/>
      </c>
      <c r="J424" s="62"/>
      <c r="K424" s="65"/>
      <c r="L424" s="62"/>
    </row>
    <row r="425" spans="1:12" ht="15.75" customHeight="1" x14ac:dyDescent="0.2">
      <c r="A425" s="63" t="str">
        <f t="shared" si="7"/>
        <v/>
      </c>
      <c r="B425" s="63"/>
      <c r="C425" s="62" t="str">
        <f>IF($B425="","",IFERROR(VLOOKUP($B425,'Application Portfolio'!$A$2:$B$1000,2,FALSE()),""))</f>
        <v/>
      </c>
      <c r="D425" s="66"/>
      <c r="E425" s="66"/>
      <c r="F425" s="66"/>
      <c r="G425" s="66"/>
      <c r="H425" s="66"/>
      <c r="I425" s="64" t="str">
        <f>IF(OR($B425="", $D425="", $E425="", $F425="", $G425="", $H425=""),"",ROUND(($D425*Lists!$AN$20)+($E425*Lists!$AN$21)+($F425*Lists!$AN$22)+($G425*Lists!$AN$23)+($H425*Lists!$AN$24),2))</f>
        <v/>
      </c>
      <c r="J425" s="62"/>
      <c r="K425" s="65"/>
      <c r="L425" s="62"/>
    </row>
    <row r="426" spans="1:12" ht="15.75" customHeight="1" x14ac:dyDescent="0.2">
      <c r="A426" s="63" t="str">
        <f t="shared" si="7"/>
        <v/>
      </c>
      <c r="B426" s="63"/>
      <c r="C426" s="62" t="str">
        <f>IF($B426="","",IFERROR(VLOOKUP($B426,'Application Portfolio'!$A$2:$B$1000,2,FALSE()),""))</f>
        <v/>
      </c>
      <c r="D426" s="66"/>
      <c r="E426" s="66"/>
      <c r="F426" s="66"/>
      <c r="G426" s="66"/>
      <c r="H426" s="66"/>
      <c r="I426" s="64" t="str">
        <f>IF(OR($B426="", $D426="", $E426="", $F426="", $G426="", $H426=""),"",ROUND(($D426*Lists!$AN$20)+($E426*Lists!$AN$21)+($F426*Lists!$AN$22)+($G426*Lists!$AN$23)+($H426*Lists!$AN$24),2))</f>
        <v/>
      </c>
      <c r="J426" s="62"/>
      <c r="K426" s="65"/>
      <c r="L426" s="62"/>
    </row>
    <row r="427" spans="1:12" ht="15.75" customHeight="1" x14ac:dyDescent="0.2">
      <c r="A427" s="63" t="str">
        <f t="shared" si="7"/>
        <v/>
      </c>
      <c r="B427" s="63"/>
      <c r="C427" s="62" t="str">
        <f>IF($B427="","",IFERROR(VLOOKUP($B427,'Application Portfolio'!$A$2:$B$1000,2,FALSE()),""))</f>
        <v/>
      </c>
      <c r="D427" s="66"/>
      <c r="E427" s="66"/>
      <c r="F427" s="66"/>
      <c r="G427" s="66"/>
      <c r="H427" s="66"/>
      <c r="I427" s="64" t="str">
        <f>IF(OR($B427="", $D427="", $E427="", $F427="", $G427="", $H427=""),"",ROUND(($D427*Lists!$AN$20)+($E427*Lists!$AN$21)+($F427*Lists!$AN$22)+($G427*Lists!$AN$23)+($H427*Lists!$AN$24),2))</f>
        <v/>
      </c>
      <c r="J427" s="62"/>
      <c r="K427" s="65"/>
      <c r="L427" s="62"/>
    </row>
    <row r="428" spans="1:12" ht="15.75" customHeight="1" x14ac:dyDescent="0.2">
      <c r="A428" s="63" t="str">
        <f t="shared" si="7"/>
        <v/>
      </c>
      <c r="B428" s="63"/>
      <c r="C428" s="62" t="str">
        <f>IF($B428="","",IFERROR(VLOOKUP($B428,'Application Portfolio'!$A$2:$B$1000,2,FALSE()),""))</f>
        <v/>
      </c>
      <c r="D428" s="66"/>
      <c r="E428" s="66"/>
      <c r="F428" s="66"/>
      <c r="G428" s="66"/>
      <c r="H428" s="66"/>
      <c r="I428" s="64" t="str">
        <f>IF(OR($B428="", $D428="", $E428="", $F428="", $G428="", $H428=""),"",ROUND(($D428*Lists!$AN$20)+($E428*Lists!$AN$21)+($F428*Lists!$AN$22)+($G428*Lists!$AN$23)+($H428*Lists!$AN$24),2))</f>
        <v/>
      </c>
      <c r="J428" s="62"/>
      <c r="K428" s="65"/>
      <c r="L428" s="62"/>
    </row>
    <row r="429" spans="1:12" ht="15.75" customHeight="1" x14ac:dyDescent="0.2">
      <c r="A429" s="63" t="str">
        <f t="shared" si="7"/>
        <v/>
      </c>
      <c r="B429" s="63"/>
      <c r="C429" s="62" t="str">
        <f>IF($B429="","",IFERROR(VLOOKUP($B429,'Application Portfolio'!$A$2:$B$1000,2,FALSE()),""))</f>
        <v/>
      </c>
      <c r="D429" s="66"/>
      <c r="E429" s="66"/>
      <c r="F429" s="66"/>
      <c r="G429" s="66"/>
      <c r="H429" s="66"/>
      <c r="I429" s="64" t="str">
        <f>IF(OR($B429="", $D429="", $E429="", $F429="", $G429="", $H429=""),"",ROUND(($D429*Lists!$AN$20)+($E429*Lists!$AN$21)+($F429*Lists!$AN$22)+($G429*Lists!$AN$23)+($H429*Lists!$AN$24),2))</f>
        <v/>
      </c>
      <c r="J429" s="62"/>
      <c r="K429" s="65"/>
      <c r="L429" s="62"/>
    </row>
    <row r="430" spans="1:12" ht="15.75" customHeight="1" x14ac:dyDescent="0.2">
      <c r="A430" s="63" t="str">
        <f t="shared" si="7"/>
        <v/>
      </c>
      <c r="B430" s="63"/>
      <c r="C430" s="62" t="str">
        <f>IF($B430="","",IFERROR(VLOOKUP($B430,'Application Portfolio'!$A$2:$B$1000,2,FALSE()),""))</f>
        <v/>
      </c>
      <c r="D430" s="66"/>
      <c r="E430" s="66"/>
      <c r="F430" s="66"/>
      <c r="G430" s="66"/>
      <c r="H430" s="66"/>
      <c r="I430" s="64" t="str">
        <f>IF(OR($B430="", $D430="", $E430="", $F430="", $G430="", $H430=""),"",ROUND(($D430*Lists!$AN$20)+($E430*Lists!$AN$21)+($F430*Lists!$AN$22)+($G430*Lists!$AN$23)+($H430*Lists!$AN$24),2))</f>
        <v/>
      </c>
      <c r="J430" s="62"/>
      <c r="K430" s="65"/>
      <c r="L430" s="62"/>
    </row>
    <row r="431" spans="1:12" ht="15.75" customHeight="1" x14ac:dyDescent="0.2">
      <c r="A431" s="63" t="str">
        <f t="shared" si="7"/>
        <v/>
      </c>
      <c r="B431" s="63"/>
      <c r="C431" s="62" t="str">
        <f>IF($B431="","",IFERROR(VLOOKUP($B431,'Application Portfolio'!$A$2:$B$1000,2,FALSE()),""))</f>
        <v/>
      </c>
      <c r="D431" s="66"/>
      <c r="E431" s="66"/>
      <c r="F431" s="66"/>
      <c r="G431" s="66"/>
      <c r="H431" s="66"/>
      <c r="I431" s="64" t="str">
        <f>IF(OR($B431="", $D431="", $E431="", $F431="", $G431="", $H431=""),"",ROUND(($D431*Lists!$AN$20)+($E431*Lists!$AN$21)+($F431*Lists!$AN$22)+($G431*Lists!$AN$23)+($H431*Lists!$AN$24),2))</f>
        <v/>
      </c>
      <c r="J431" s="62"/>
      <c r="K431" s="65"/>
      <c r="L431" s="62"/>
    </row>
    <row r="432" spans="1:12" ht="15.75" customHeight="1" x14ac:dyDescent="0.2">
      <c r="A432" s="63" t="str">
        <f t="shared" si="7"/>
        <v/>
      </c>
      <c r="B432" s="63"/>
      <c r="C432" s="62" t="str">
        <f>IF($B432="","",IFERROR(VLOOKUP($B432,'Application Portfolio'!$A$2:$B$1000,2,FALSE()),""))</f>
        <v/>
      </c>
      <c r="D432" s="66"/>
      <c r="E432" s="66"/>
      <c r="F432" s="66"/>
      <c r="G432" s="66"/>
      <c r="H432" s="66"/>
      <c r="I432" s="64" t="str">
        <f>IF(OR($B432="", $D432="", $E432="", $F432="", $G432="", $H432=""),"",ROUND(($D432*Lists!$AN$20)+($E432*Lists!$AN$21)+($F432*Lists!$AN$22)+($G432*Lists!$AN$23)+($H432*Lists!$AN$24),2))</f>
        <v/>
      </c>
      <c r="J432" s="62"/>
      <c r="K432" s="65"/>
      <c r="L432" s="62"/>
    </row>
    <row r="433" spans="1:12" ht="15.75" customHeight="1" x14ac:dyDescent="0.2">
      <c r="A433" s="63" t="str">
        <f t="shared" si="7"/>
        <v/>
      </c>
      <c r="B433" s="63"/>
      <c r="C433" s="62" t="str">
        <f>IF($B433="","",IFERROR(VLOOKUP($B433,'Application Portfolio'!$A$2:$B$1000,2,FALSE()),""))</f>
        <v/>
      </c>
      <c r="D433" s="66"/>
      <c r="E433" s="66"/>
      <c r="F433" s="66"/>
      <c r="G433" s="66"/>
      <c r="H433" s="66"/>
      <c r="I433" s="64" t="str">
        <f>IF(OR($B433="", $D433="", $E433="", $F433="", $G433="", $H433=""),"",ROUND(($D433*Lists!$AN$20)+($E433*Lists!$AN$21)+($F433*Lists!$AN$22)+($G433*Lists!$AN$23)+($H433*Lists!$AN$24),2))</f>
        <v/>
      </c>
      <c r="J433" s="62"/>
      <c r="K433" s="65"/>
      <c r="L433" s="62"/>
    </row>
    <row r="434" spans="1:12" ht="15.75" customHeight="1" x14ac:dyDescent="0.2">
      <c r="A434" s="63" t="str">
        <f t="shared" si="7"/>
        <v/>
      </c>
      <c r="B434" s="63"/>
      <c r="C434" s="62" t="str">
        <f>IF($B434="","",IFERROR(VLOOKUP($B434,'Application Portfolio'!$A$2:$B$1000,2,FALSE()),""))</f>
        <v/>
      </c>
      <c r="D434" s="66"/>
      <c r="E434" s="66"/>
      <c r="F434" s="66"/>
      <c r="G434" s="66"/>
      <c r="H434" s="66"/>
      <c r="I434" s="64" t="str">
        <f>IF(OR($B434="", $D434="", $E434="", $F434="", $G434="", $H434=""),"",ROUND(($D434*Lists!$AN$20)+($E434*Lists!$AN$21)+($F434*Lists!$AN$22)+($G434*Lists!$AN$23)+($H434*Lists!$AN$24),2))</f>
        <v/>
      </c>
      <c r="J434" s="62"/>
      <c r="K434" s="65"/>
      <c r="L434" s="62"/>
    </row>
    <row r="435" spans="1:12" ht="15.75" customHeight="1" x14ac:dyDescent="0.2">
      <c r="A435" s="63" t="str">
        <f t="shared" si="7"/>
        <v/>
      </c>
      <c r="B435" s="63"/>
      <c r="C435" s="62" t="str">
        <f>IF($B435="","",IFERROR(VLOOKUP($B435,'Application Portfolio'!$A$2:$B$1000,2,FALSE()),""))</f>
        <v/>
      </c>
      <c r="D435" s="66"/>
      <c r="E435" s="66"/>
      <c r="F435" s="66"/>
      <c r="G435" s="66"/>
      <c r="H435" s="66"/>
      <c r="I435" s="64" t="str">
        <f>IF(OR($B435="", $D435="", $E435="", $F435="", $G435="", $H435=""),"",ROUND(($D435*Lists!$AN$20)+($E435*Lists!$AN$21)+($F435*Lists!$AN$22)+($G435*Lists!$AN$23)+($H435*Lists!$AN$24),2))</f>
        <v/>
      </c>
      <c r="J435" s="62"/>
      <c r="K435" s="65"/>
      <c r="L435" s="62"/>
    </row>
    <row r="436" spans="1:12" ht="15.75" customHeight="1" x14ac:dyDescent="0.2">
      <c r="A436" s="63" t="str">
        <f t="shared" si="7"/>
        <v/>
      </c>
      <c r="B436" s="63"/>
      <c r="C436" s="62" t="str">
        <f>IF($B436="","",IFERROR(VLOOKUP($B436,'Application Portfolio'!$A$2:$B$1000,2,FALSE()),""))</f>
        <v/>
      </c>
      <c r="D436" s="66"/>
      <c r="E436" s="66"/>
      <c r="F436" s="66"/>
      <c r="G436" s="66"/>
      <c r="H436" s="66"/>
      <c r="I436" s="64" t="str">
        <f>IF(OR($B436="", $D436="", $E436="", $F436="", $G436="", $H436=""),"",ROUND(($D436*Lists!$AN$20)+($E436*Lists!$AN$21)+($F436*Lists!$AN$22)+($G436*Lists!$AN$23)+($H436*Lists!$AN$24),2))</f>
        <v/>
      </c>
      <c r="J436" s="62"/>
      <c r="K436" s="65"/>
      <c r="L436" s="62"/>
    </row>
    <row r="437" spans="1:12" ht="15.75" customHeight="1" x14ac:dyDescent="0.2">
      <c r="A437" s="63" t="str">
        <f t="shared" si="7"/>
        <v/>
      </c>
      <c r="B437" s="63"/>
      <c r="C437" s="62" t="str">
        <f>IF($B437="","",IFERROR(VLOOKUP($B437,'Application Portfolio'!$A$2:$B$1000,2,FALSE()),""))</f>
        <v/>
      </c>
      <c r="D437" s="66"/>
      <c r="E437" s="66"/>
      <c r="F437" s="66"/>
      <c r="G437" s="66"/>
      <c r="H437" s="66"/>
      <c r="I437" s="64" t="str">
        <f>IF(OR($B437="", $D437="", $E437="", $F437="", $G437="", $H437=""),"",ROUND(($D437*Lists!$AN$20)+($E437*Lists!$AN$21)+($F437*Lists!$AN$22)+($G437*Lists!$AN$23)+($H437*Lists!$AN$24),2))</f>
        <v/>
      </c>
      <c r="J437" s="62"/>
      <c r="K437" s="65"/>
      <c r="L437" s="62"/>
    </row>
    <row r="438" spans="1:12" ht="15.75" customHeight="1" x14ac:dyDescent="0.2">
      <c r="A438" s="63" t="str">
        <f t="shared" si="7"/>
        <v/>
      </c>
      <c r="B438" s="63"/>
      <c r="C438" s="62" t="str">
        <f>IF($B438="","",IFERROR(VLOOKUP($B438,'Application Portfolio'!$A$2:$B$1000,2,FALSE()),""))</f>
        <v/>
      </c>
      <c r="D438" s="66"/>
      <c r="E438" s="66"/>
      <c r="F438" s="66"/>
      <c r="G438" s="66"/>
      <c r="H438" s="66"/>
      <c r="I438" s="64" t="str">
        <f>IF(OR($B438="", $D438="", $E438="", $F438="", $G438="", $H438=""),"",ROUND(($D438*Lists!$AN$20)+($E438*Lists!$AN$21)+($F438*Lists!$AN$22)+($G438*Lists!$AN$23)+($H438*Lists!$AN$24),2))</f>
        <v/>
      </c>
      <c r="J438" s="62"/>
      <c r="K438" s="65"/>
      <c r="L438" s="62"/>
    </row>
    <row r="439" spans="1:12" ht="15.75" customHeight="1" x14ac:dyDescent="0.2">
      <c r="A439" s="63" t="str">
        <f t="shared" si="7"/>
        <v/>
      </c>
      <c r="B439" s="63"/>
      <c r="C439" s="62" t="str">
        <f>IF($B439="","",IFERROR(VLOOKUP($B439,'Application Portfolio'!$A$2:$B$1000,2,FALSE()),""))</f>
        <v/>
      </c>
      <c r="D439" s="66"/>
      <c r="E439" s="66"/>
      <c r="F439" s="66"/>
      <c r="G439" s="66"/>
      <c r="H439" s="66"/>
      <c r="I439" s="64" t="str">
        <f>IF(OR($B439="", $D439="", $E439="", $F439="", $G439="", $H439=""),"",ROUND(($D439*Lists!$AN$20)+($E439*Lists!$AN$21)+($F439*Lists!$AN$22)+($G439*Lists!$AN$23)+($H439*Lists!$AN$24),2))</f>
        <v/>
      </c>
      <c r="J439" s="62"/>
      <c r="K439" s="65"/>
      <c r="L439" s="62"/>
    </row>
    <row r="440" spans="1:12" ht="15.75" customHeight="1" x14ac:dyDescent="0.2">
      <c r="A440" s="63" t="str">
        <f t="shared" si="7"/>
        <v/>
      </c>
      <c r="B440" s="63"/>
      <c r="C440" s="62" t="str">
        <f>IF($B440="","",IFERROR(VLOOKUP($B440,'Application Portfolio'!$A$2:$B$1000,2,FALSE()),""))</f>
        <v/>
      </c>
      <c r="D440" s="66"/>
      <c r="E440" s="66"/>
      <c r="F440" s="66"/>
      <c r="G440" s="66"/>
      <c r="H440" s="66"/>
      <c r="I440" s="64" t="str">
        <f>IF(OR($B440="", $D440="", $E440="", $F440="", $G440="", $H440=""),"",ROUND(($D440*Lists!$AN$20)+($E440*Lists!$AN$21)+($F440*Lists!$AN$22)+($G440*Lists!$AN$23)+($H440*Lists!$AN$24),2))</f>
        <v/>
      </c>
      <c r="J440" s="62"/>
      <c r="K440" s="65"/>
      <c r="L440" s="62"/>
    </row>
    <row r="441" spans="1:12" ht="15.75" customHeight="1" x14ac:dyDescent="0.2">
      <c r="A441" s="63" t="str">
        <f t="shared" si="7"/>
        <v/>
      </c>
      <c r="B441" s="63"/>
      <c r="C441" s="62" t="str">
        <f>IF($B441="","",IFERROR(VLOOKUP($B441,'Application Portfolio'!$A$2:$B$1000,2,FALSE()),""))</f>
        <v/>
      </c>
      <c r="D441" s="66"/>
      <c r="E441" s="66"/>
      <c r="F441" s="66"/>
      <c r="G441" s="66"/>
      <c r="H441" s="66"/>
      <c r="I441" s="64" t="str">
        <f>IF(OR($B441="", $D441="", $E441="", $F441="", $G441="", $H441=""),"",ROUND(($D441*Lists!$AN$20)+($E441*Lists!$AN$21)+($F441*Lists!$AN$22)+($G441*Lists!$AN$23)+($H441*Lists!$AN$24),2))</f>
        <v/>
      </c>
      <c r="J441" s="62"/>
      <c r="K441" s="65"/>
      <c r="L441" s="62"/>
    </row>
    <row r="442" spans="1:12" ht="15.75" customHeight="1" x14ac:dyDescent="0.2">
      <c r="A442" s="63" t="str">
        <f t="shared" si="7"/>
        <v/>
      </c>
      <c r="B442" s="63"/>
      <c r="C442" s="62" t="str">
        <f>IF($B442="","",IFERROR(VLOOKUP($B442,'Application Portfolio'!$A$2:$B$1000,2,FALSE()),""))</f>
        <v/>
      </c>
      <c r="D442" s="66"/>
      <c r="E442" s="66"/>
      <c r="F442" s="66"/>
      <c r="G442" s="66"/>
      <c r="H442" s="66"/>
      <c r="I442" s="64" t="str">
        <f>IF(OR($B442="", $D442="", $E442="", $F442="", $G442="", $H442=""),"",ROUND(($D442*Lists!$AN$20)+($E442*Lists!$AN$21)+($F442*Lists!$AN$22)+($G442*Lists!$AN$23)+($H442*Lists!$AN$24),2))</f>
        <v/>
      </c>
      <c r="J442" s="62"/>
      <c r="K442" s="65"/>
      <c r="L442" s="62"/>
    </row>
    <row r="443" spans="1:12" ht="15.75" customHeight="1" x14ac:dyDescent="0.2">
      <c r="A443" s="63" t="str">
        <f t="shared" si="7"/>
        <v/>
      </c>
      <c r="B443" s="63"/>
      <c r="C443" s="62" t="str">
        <f>IF($B443="","",IFERROR(VLOOKUP($B443,'Application Portfolio'!$A$2:$B$1000,2,FALSE()),""))</f>
        <v/>
      </c>
      <c r="D443" s="66"/>
      <c r="E443" s="66"/>
      <c r="F443" s="66"/>
      <c r="G443" s="66"/>
      <c r="H443" s="66"/>
      <c r="I443" s="64" t="str">
        <f>IF(OR($B443="", $D443="", $E443="", $F443="", $G443="", $H443=""),"",ROUND(($D443*Lists!$AN$20)+($E443*Lists!$AN$21)+($F443*Lists!$AN$22)+($G443*Lists!$AN$23)+($H443*Lists!$AN$24),2))</f>
        <v/>
      </c>
      <c r="J443" s="62"/>
      <c r="K443" s="65"/>
      <c r="L443" s="62"/>
    </row>
    <row r="444" spans="1:12" ht="15.75" customHeight="1" x14ac:dyDescent="0.2">
      <c r="A444" s="63" t="str">
        <f t="shared" si="7"/>
        <v/>
      </c>
      <c r="B444" s="63"/>
      <c r="C444" s="62" t="str">
        <f>IF($B444="","",IFERROR(VLOOKUP($B444,'Application Portfolio'!$A$2:$B$1000,2,FALSE()),""))</f>
        <v/>
      </c>
      <c r="D444" s="66"/>
      <c r="E444" s="66"/>
      <c r="F444" s="66"/>
      <c r="G444" s="66"/>
      <c r="H444" s="66"/>
      <c r="I444" s="64" t="str">
        <f>IF(OR($B444="", $D444="", $E444="", $F444="", $G444="", $H444=""),"",ROUND(($D444*Lists!$AN$20)+($E444*Lists!$AN$21)+($F444*Lists!$AN$22)+($G444*Lists!$AN$23)+($H444*Lists!$AN$24),2))</f>
        <v/>
      </c>
      <c r="J444" s="62"/>
      <c r="K444" s="65"/>
      <c r="L444" s="62"/>
    </row>
    <row r="445" spans="1:12" ht="15.75" customHeight="1" x14ac:dyDescent="0.2">
      <c r="A445" s="63" t="str">
        <f t="shared" si="7"/>
        <v/>
      </c>
      <c r="B445" s="63"/>
      <c r="C445" s="62" t="str">
        <f>IF($B445="","",IFERROR(VLOOKUP($B445,'Application Portfolio'!$A$2:$B$1000,2,FALSE()),""))</f>
        <v/>
      </c>
      <c r="D445" s="66"/>
      <c r="E445" s="66"/>
      <c r="F445" s="66"/>
      <c r="G445" s="66"/>
      <c r="H445" s="66"/>
      <c r="I445" s="64" t="str">
        <f>IF(OR($B445="", $D445="", $E445="", $F445="", $G445="", $H445=""),"",ROUND(($D445*Lists!$AN$20)+($E445*Lists!$AN$21)+($F445*Lists!$AN$22)+($G445*Lists!$AN$23)+($H445*Lists!$AN$24),2))</f>
        <v/>
      </c>
      <c r="J445" s="62"/>
      <c r="K445" s="65"/>
      <c r="L445" s="62"/>
    </row>
    <row r="446" spans="1:12" ht="15.75" customHeight="1" x14ac:dyDescent="0.2">
      <c r="A446" s="63" t="str">
        <f t="shared" si="7"/>
        <v/>
      </c>
      <c r="B446" s="63"/>
      <c r="C446" s="62" t="str">
        <f>IF($B446="","",IFERROR(VLOOKUP($B446,'Application Portfolio'!$A$2:$B$1000,2,FALSE()),""))</f>
        <v/>
      </c>
      <c r="D446" s="66"/>
      <c r="E446" s="66"/>
      <c r="F446" s="66"/>
      <c r="G446" s="66"/>
      <c r="H446" s="66"/>
      <c r="I446" s="64" t="str">
        <f>IF(OR($B446="", $D446="", $E446="", $F446="", $G446="", $H446=""),"",ROUND(($D446*Lists!$AN$20)+($E446*Lists!$AN$21)+($F446*Lists!$AN$22)+($G446*Lists!$AN$23)+($H446*Lists!$AN$24),2))</f>
        <v/>
      </c>
      <c r="J446" s="62"/>
      <c r="K446" s="65"/>
      <c r="L446" s="62"/>
    </row>
    <row r="447" spans="1:12" ht="15.75" customHeight="1" x14ac:dyDescent="0.2">
      <c r="A447" s="63" t="str">
        <f t="shared" si="7"/>
        <v/>
      </c>
      <c r="B447" s="63"/>
      <c r="C447" s="62" t="str">
        <f>IF($B447="","",IFERROR(VLOOKUP($B447,'Application Portfolio'!$A$2:$B$1000,2,FALSE()),""))</f>
        <v/>
      </c>
      <c r="D447" s="66"/>
      <c r="E447" s="66"/>
      <c r="F447" s="66"/>
      <c r="G447" s="66"/>
      <c r="H447" s="66"/>
      <c r="I447" s="64" t="str">
        <f>IF(OR($B447="", $D447="", $E447="", $F447="", $G447="", $H447=""),"",ROUND(($D447*Lists!$AN$20)+($E447*Lists!$AN$21)+($F447*Lists!$AN$22)+($G447*Lists!$AN$23)+($H447*Lists!$AN$24),2))</f>
        <v/>
      </c>
      <c r="J447" s="62"/>
      <c r="K447" s="65"/>
      <c r="L447" s="62"/>
    </row>
    <row r="448" spans="1:12" ht="15.75" customHeight="1" x14ac:dyDescent="0.2">
      <c r="A448" s="63" t="str">
        <f t="shared" si="7"/>
        <v/>
      </c>
      <c r="B448" s="63"/>
      <c r="C448" s="62" t="str">
        <f>IF($B448="","",IFERROR(VLOOKUP($B448,'Application Portfolio'!$A$2:$B$1000,2,FALSE()),""))</f>
        <v/>
      </c>
      <c r="D448" s="66"/>
      <c r="E448" s="66"/>
      <c r="F448" s="66"/>
      <c r="G448" s="66"/>
      <c r="H448" s="66"/>
      <c r="I448" s="64" t="str">
        <f>IF(OR($B448="", $D448="", $E448="", $F448="", $G448="", $H448=""),"",ROUND(($D448*Lists!$AN$20)+($E448*Lists!$AN$21)+($F448*Lists!$AN$22)+($G448*Lists!$AN$23)+($H448*Lists!$AN$24),2))</f>
        <v/>
      </c>
      <c r="J448" s="62"/>
      <c r="K448" s="65"/>
      <c r="L448" s="62"/>
    </row>
    <row r="449" spans="1:12" ht="15.75" customHeight="1" x14ac:dyDescent="0.2">
      <c r="A449" s="63" t="str">
        <f t="shared" si="7"/>
        <v/>
      </c>
      <c r="B449" s="63"/>
      <c r="C449" s="62" t="str">
        <f>IF($B449="","",IFERROR(VLOOKUP($B449,'Application Portfolio'!$A$2:$B$1000,2,FALSE()),""))</f>
        <v/>
      </c>
      <c r="D449" s="66"/>
      <c r="E449" s="66"/>
      <c r="F449" s="66"/>
      <c r="G449" s="66"/>
      <c r="H449" s="66"/>
      <c r="I449" s="64" t="str">
        <f>IF(OR($B449="", $D449="", $E449="", $F449="", $G449="", $H449=""),"",ROUND(($D449*Lists!$AN$20)+($E449*Lists!$AN$21)+($F449*Lists!$AN$22)+($G449*Lists!$AN$23)+($H449*Lists!$AN$24),2))</f>
        <v/>
      </c>
      <c r="J449" s="62"/>
      <c r="K449" s="65"/>
      <c r="L449" s="62"/>
    </row>
    <row r="450" spans="1:12" ht="15.75" customHeight="1" x14ac:dyDescent="0.2">
      <c r="A450" s="63" t="str">
        <f t="shared" si="7"/>
        <v/>
      </c>
      <c r="B450" s="63"/>
      <c r="C450" s="62" t="str">
        <f>IF($B450="","",IFERROR(VLOOKUP($B450,'Application Portfolio'!$A$2:$B$1000,2,FALSE()),""))</f>
        <v/>
      </c>
      <c r="D450" s="66"/>
      <c r="E450" s="66"/>
      <c r="F450" s="66"/>
      <c r="G450" s="66"/>
      <c r="H450" s="66"/>
      <c r="I450" s="64" t="str">
        <f>IF(OR($B450="", $D450="", $E450="", $F450="", $G450="", $H450=""),"",ROUND(($D450*Lists!$AN$20)+($E450*Lists!$AN$21)+($F450*Lists!$AN$22)+($G450*Lists!$AN$23)+($H450*Lists!$AN$24),2))</f>
        <v/>
      </c>
      <c r="J450" s="62"/>
      <c r="K450" s="65"/>
      <c r="L450" s="62"/>
    </row>
    <row r="451" spans="1:12" ht="15.75" customHeight="1" x14ac:dyDescent="0.2">
      <c r="A451" s="63" t="str">
        <f t="shared" si="7"/>
        <v/>
      </c>
      <c r="B451" s="63"/>
      <c r="C451" s="62" t="str">
        <f>IF($B451="","",IFERROR(VLOOKUP($B451,'Application Portfolio'!$A$2:$B$1000,2,FALSE()),""))</f>
        <v/>
      </c>
      <c r="D451" s="66"/>
      <c r="E451" s="66"/>
      <c r="F451" s="66"/>
      <c r="G451" s="66"/>
      <c r="H451" s="66"/>
      <c r="I451" s="64" t="str">
        <f>IF(OR($B451="", $D451="", $E451="", $F451="", $G451="", $H451=""),"",ROUND(($D451*Lists!$AN$20)+($E451*Lists!$AN$21)+($F451*Lists!$AN$22)+($G451*Lists!$AN$23)+($H451*Lists!$AN$24),2))</f>
        <v/>
      </c>
      <c r="J451" s="62"/>
      <c r="K451" s="65"/>
      <c r="L451" s="62"/>
    </row>
    <row r="452" spans="1:12" ht="15.75" customHeight="1" x14ac:dyDescent="0.2">
      <c r="A452" s="63" t="str">
        <f t="shared" si="7"/>
        <v/>
      </c>
      <c r="B452" s="63"/>
      <c r="C452" s="62" t="str">
        <f>IF($B452="","",IFERROR(VLOOKUP($B452,'Application Portfolio'!$A$2:$B$1000,2,FALSE()),""))</f>
        <v/>
      </c>
      <c r="D452" s="66"/>
      <c r="E452" s="66"/>
      <c r="F452" s="66"/>
      <c r="G452" s="66"/>
      <c r="H452" s="66"/>
      <c r="I452" s="64" t="str">
        <f>IF(OR($B452="", $D452="", $E452="", $F452="", $G452="", $H452=""),"",ROUND(($D452*Lists!$AN$20)+($E452*Lists!$AN$21)+($F452*Lists!$AN$22)+($G452*Lists!$AN$23)+($H452*Lists!$AN$24),2))</f>
        <v/>
      </c>
      <c r="J452" s="62"/>
      <c r="K452" s="65"/>
      <c r="L452" s="62"/>
    </row>
    <row r="453" spans="1:12" ht="15.75" customHeight="1" x14ac:dyDescent="0.2">
      <c r="A453" s="63" t="str">
        <f t="shared" si="7"/>
        <v/>
      </c>
      <c r="B453" s="63"/>
      <c r="C453" s="62" t="str">
        <f>IF($B453="","",IFERROR(VLOOKUP($B453,'Application Portfolio'!$A$2:$B$1000,2,FALSE()),""))</f>
        <v/>
      </c>
      <c r="D453" s="66"/>
      <c r="E453" s="66"/>
      <c r="F453" s="66"/>
      <c r="G453" s="66"/>
      <c r="H453" s="66"/>
      <c r="I453" s="64" t="str">
        <f>IF(OR($B453="", $D453="", $E453="", $F453="", $G453="", $H453=""),"",ROUND(($D453*Lists!$AN$20)+($E453*Lists!$AN$21)+($F453*Lists!$AN$22)+($G453*Lists!$AN$23)+($H453*Lists!$AN$24),2))</f>
        <v/>
      </c>
      <c r="J453" s="62"/>
      <c r="K453" s="65"/>
      <c r="L453" s="62"/>
    </row>
    <row r="454" spans="1:12" ht="15.75" customHeight="1" x14ac:dyDescent="0.2">
      <c r="A454" s="63" t="str">
        <f t="shared" si="7"/>
        <v/>
      </c>
      <c r="B454" s="63"/>
      <c r="C454" s="62" t="str">
        <f>IF($B454="","",IFERROR(VLOOKUP($B454,'Application Portfolio'!$A$2:$B$1000,2,FALSE()),""))</f>
        <v/>
      </c>
      <c r="D454" s="66"/>
      <c r="E454" s="66"/>
      <c r="F454" s="66"/>
      <c r="G454" s="66"/>
      <c r="H454" s="66"/>
      <c r="I454" s="64" t="str">
        <f>IF(OR($B454="", $D454="", $E454="", $F454="", $G454="", $H454=""),"",ROUND(($D454*Lists!$AN$20)+($E454*Lists!$AN$21)+($F454*Lists!$AN$22)+($G454*Lists!$AN$23)+($H454*Lists!$AN$24),2))</f>
        <v/>
      </c>
      <c r="J454" s="62"/>
      <c r="K454" s="65"/>
      <c r="L454" s="62"/>
    </row>
    <row r="455" spans="1:12" ht="15.75" customHeight="1" x14ac:dyDescent="0.2">
      <c r="A455" s="63" t="str">
        <f t="shared" si="7"/>
        <v/>
      </c>
      <c r="B455" s="63"/>
      <c r="C455" s="62" t="str">
        <f>IF($B455="","",IFERROR(VLOOKUP($B455,'Application Portfolio'!$A$2:$B$1000,2,FALSE()),""))</f>
        <v/>
      </c>
      <c r="D455" s="66"/>
      <c r="E455" s="66"/>
      <c r="F455" s="66"/>
      <c r="G455" s="66"/>
      <c r="H455" s="66"/>
      <c r="I455" s="64" t="str">
        <f>IF(OR($B455="", $D455="", $E455="", $F455="", $G455="", $H455=""),"",ROUND(($D455*Lists!$AN$20)+($E455*Lists!$AN$21)+($F455*Lists!$AN$22)+($G455*Lists!$AN$23)+($H455*Lists!$AN$24),2))</f>
        <v/>
      </c>
      <c r="J455" s="62"/>
      <c r="K455" s="65"/>
      <c r="L455" s="62"/>
    </row>
    <row r="456" spans="1:12" ht="15.75" customHeight="1" x14ac:dyDescent="0.2">
      <c r="A456" s="63" t="str">
        <f t="shared" si="7"/>
        <v/>
      </c>
      <c r="B456" s="63"/>
      <c r="C456" s="62" t="str">
        <f>IF($B456="","",IFERROR(VLOOKUP($B456,'Application Portfolio'!$A$2:$B$1000,2,FALSE()),""))</f>
        <v/>
      </c>
      <c r="D456" s="66"/>
      <c r="E456" s="66"/>
      <c r="F456" s="66"/>
      <c r="G456" s="66"/>
      <c r="H456" s="66"/>
      <c r="I456" s="64" t="str">
        <f>IF(OR($B456="", $D456="", $E456="", $F456="", $G456="", $H456=""),"",ROUND(($D456*Lists!$AN$20)+($E456*Lists!$AN$21)+($F456*Lists!$AN$22)+($G456*Lists!$AN$23)+($H456*Lists!$AN$24),2))</f>
        <v/>
      </c>
      <c r="J456" s="62"/>
      <c r="K456" s="65"/>
      <c r="L456" s="62"/>
    </row>
    <row r="457" spans="1:12" ht="15.75" customHeight="1" x14ac:dyDescent="0.2">
      <c r="A457" s="63" t="str">
        <f t="shared" si="7"/>
        <v/>
      </c>
      <c r="B457" s="63"/>
      <c r="C457" s="62" t="str">
        <f>IF($B457="","",IFERROR(VLOOKUP($B457,'Application Portfolio'!$A$2:$B$1000,2,FALSE()),""))</f>
        <v/>
      </c>
      <c r="D457" s="66"/>
      <c r="E457" s="66"/>
      <c r="F457" s="66"/>
      <c r="G457" s="66"/>
      <c r="H457" s="66"/>
      <c r="I457" s="64" t="str">
        <f>IF(OR($B457="", $D457="", $E457="", $F457="", $G457="", $H457=""),"",ROUND(($D457*Lists!$AN$20)+($E457*Lists!$AN$21)+($F457*Lists!$AN$22)+($G457*Lists!$AN$23)+($H457*Lists!$AN$24),2))</f>
        <v/>
      </c>
      <c r="J457" s="62"/>
      <c r="K457" s="65"/>
      <c r="L457" s="62"/>
    </row>
    <row r="458" spans="1:12" ht="15.75" customHeight="1" x14ac:dyDescent="0.2">
      <c r="A458" s="63" t="str">
        <f t="shared" si="7"/>
        <v/>
      </c>
      <c r="B458" s="63"/>
      <c r="C458" s="62" t="str">
        <f>IF($B458="","",IFERROR(VLOOKUP($B458,'Application Portfolio'!$A$2:$B$1000,2,FALSE()),""))</f>
        <v/>
      </c>
      <c r="D458" s="66"/>
      <c r="E458" s="66"/>
      <c r="F458" s="66"/>
      <c r="G458" s="66"/>
      <c r="H458" s="66"/>
      <c r="I458" s="64" t="str">
        <f>IF(OR($B458="", $D458="", $E458="", $F458="", $G458="", $H458=""),"",ROUND(($D458*Lists!$AN$20)+($E458*Lists!$AN$21)+($F458*Lists!$AN$22)+($G458*Lists!$AN$23)+($H458*Lists!$AN$24),2))</f>
        <v/>
      </c>
      <c r="J458" s="62"/>
      <c r="K458" s="65"/>
      <c r="L458" s="62"/>
    </row>
    <row r="459" spans="1:12" ht="15.75" customHeight="1" x14ac:dyDescent="0.2">
      <c r="A459" s="63" t="str">
        <f t="shared" si="7"/>
        <v/>
      </c>
      <c r="B459" s="63"/>
      <c r="C459" s="62" t="str">
        <f>IF($B459="","",IFERROR(VLOOKUP($B459,'Application Portfolio'!$A$2:$B$1000,2,FALSE()),""))</f>
        <v/>
      </c>
      <c r="D459" s="66"/>
      <c r="E459" s="66"/>
      <c r="F459" s="66"/>
      <c r="G459" s="66"/>
      <c r="H459" s="66"/>
      <c r="I459" s="64" t="str">
        <f>IF(OR($B459="", $D459="", $E459="", $F459="", $G459="", $H459=""),"",ROUND(($D459*Lists!$AN$20)+($E459*Lists!$AN$21)+($F459*Lists!$AN$22)+($G459*Lists!$AN$23)+($H459*Lists!$AN$24),2))</f>
        <v/>
      </c>
      <c r="J459" s="62"/>
      <c r="K459" s="65"/>
      <c r="L459" s="62"/>
    </row>
    <row r="460" spans="1:12" ht="15.75" customHeight="1" x14ac:dyDescent="0.2">
      <c r="A460" s="63" t="str">
        <f t="shared" si="7"/>
        <v/>
      </c>
      <c r="B460" s="63"/>
      <c r="C460" s="62" t="str">
        <f>IF($B460="","",IFERROR(VLOOKUP($B460,'Application Portfolio'!$A$2:$B$1000,2,FALSE()),""))</f>
        <v/>
      </c>
      <c r="D460" s="66"/>
      <c r="E460" s="66"/>
      <c r="F460" s="66"/>
      <c r="G460" s="66"/>
      <c r="H460" s="66"/>
      <c r="I460" s="64" t="str">
        <f>IF(OR($B460="", $D460="", $E460="", $F460="", $G460="", $H460=""),"",ROUND(($D460*Lists!$AN$20)+($E460*Lists!$AN$21)+($F460*Lists!$AN$22)+($G460*Lists!$AN$23)+($H460*Lists!$AN$24),2))</f>
        <v/>
      </c>
      <c r="J460" s="62"/>
      <c r="K460" s="65"/>
      <c r="L460" s="62"/>
    </row>
    <row r="461" spans="1:12" ht="15.75" customHeight="1" x14ac:dyDescent="0.2">
      <c r="A461" s="63" t="str">
        <f t="shared" si="7"/>
        <v/>
      </c>
      <c r="B461" s="63"/>
      <c r="C461" s="62" t="str">
        <f>IF($B461="","",IFERROR(VLOOKUP($B461,'Application Portfolio'!$A$2:$B$1000,2,FALSE()),""))</f>
        <v/>
      </c>
      <c r="D461" s="66"/>
      <c r="E461" s="66"/>
      <c r="F461" s="66"/>
      <c r="G461" s="66"/>
      <c r="H461" s="66"/>
      <c r="I461" s="64" t="str">
        <f>IF(OR($B461="", $D461="", $E461="", $F461="", $G461="", $H461=""),"",ROUND(($D461*Lists!$AN$20)+($E461*Lists!$AN$21)+($F461*Lists!$AN$22)+($G461*Lists!$AN$23)+($H461*Lists!$AN$24),2))</f>
        <v/>
      </c>
      <c r="J461" s="62"/>
      <c r="K461" s="65"/>
      <c r="L461" s="62"/>
    </row>
    <row r="462" spans="1:12" ht="15.75" customHeight="1" x14ac:dyDescent="0.2">
      <c r="A462" s="63" t="str">
        <f t="shared" si="7"/>
        <v/>
      </c>
      <c r="B462" s="63"/>
      <c r="C462" s="62" t="str">
        <f>IF($B462="","",IFERROR(VLOOKUP($B462,'Application Portfolio'!$A$2:$B$1000,2,FALSE()),""))</f>
        <v/>
      </c>
      <c r="D462" s="66"/>
      <c r="E462" s="66"/>
      <c r="F462" s="66"/>
      <c r="G462" s="66"/>
      <c r="H462" s="66"/>
      <c r="I462" s="64" t="str">
        <f>IF(OR($B462="", $D462="", $E462="", $F462="", $G462="", $H462=""),"",ROUND(($D462*Lists!$AN$20)+($E462*Lists!$AN$21)+($F462*Lists!$AN$22)+($G462*Lists!$AN$23)+($H462*Lists!$AN$24),2))</f>
        <v/>
      </c>
      <c r="J462" s="62"/>
      <c r="K462" s="65"/>
      <c r="L462" s="62"/>
    </row>
    <row r="463" spans="1:12" ht="15.75" customHeight="1" x14ac:dyDescent="0.2">
      <c r="A463" s="63" t="str">
        <f t="shared" si="7"/>
        <v/>
      </c>
      <c r="B463" s="63"/>
      <c r="C463" s="62" t="str">
        <f>IF($B463="","",IFERROR(VLOOKUP($B463,'Application Portfolio'!$A$2:$B$1000,2,FALSE()),""))</f>
        <v/>
      </c>
      <c r="D463" s="66"/>
      <c r="E463" s="66"/>
      <c r="F463" s="66"/>
      <c r="G463" s="66"/>
      <c r="H463" s="66"/>
      <c r="I463" s="64" t="str">
        <f>IF(OR($B463="", $D463="", $E463="", $F463="", $G463="", $H463=""),"",ROUND(($D463*Lists!$AN$20)+($E463*Lists!$AN$21)+($F463*Lists!$AN$22)+($G463*Lists!$AN$23)+($H463*Lists!$AN$24),2))</f>
        <v/>
      </c>
      <c r="J463" s="62"/>
      <c r="K463" s="65"/>
      <c r="L463" s="62"/>
    </row>
    <row r="464" spans="1:12" ht="15.75" customHeight="1" x14ac:dyDescent="0.2">
      <c r="A464" s="63" t="str">
        <f t="shared" si="7"/>
        <v/>
      </c>
      <c r="B464" s="63"/>
      <c r="C464" s="62" t="str">
        <f>IF($B464="","",IFERROR(VLOOKUP($B464,'Application Portfolio'!$A$2:$B$1000,2,FALSE()),""))</f>
        <v/>
      </c>
      <c r="D464" s="66"/>
      <c r="E464" s="66"/>
      <c r="F464" s="66"/>
      <c r="G464" s="66"/>
      <c r="H464" s="66"/>
      <c r="I464" s="64" t="str">
        <f>IF(OR($B464="", $D464="", $E464="", $F464="", $G464="", $H464=""),"",ROUND(($D464*Lists!$AN$20)+($E464*Lists!$AN$21)+($F464*Lists!$AN$22)+($G464*Lists!$AN$23)+($H464*Lists!$AN$24),2))</f>
        <v/>
      </c>
      <c r="J464" s="62"/>
      <c r="K464" s="65"/>
      <c r="L464" s="62"/>
    </row>
    <row r="465" spans="1:12" ht="15.75" customHeight="1" x14ac:dyDescent="0.2">
      <c r="A465" s="63" t="str">
        <f t="shared" si="7"/>
        <v/>
      </c>
      <c r="B465" s="63"/>
      <c r="C465" s="62" t="str">
        <f>IF($B465="","",IFERROR(VLOOKUP($B465,'Application Portfolio'!$A$2:$B$1000,2,FALSE()),""))</f>
        <v/>
      </c>
      <c r="D465" s="66"/>
      <c r="E465" s="66"/>
      <c r="F465" s="66"/>
      <c r="G465" s="66"/>
      <c r="H465" s="66"/>
      <c r="I465" s="64" t="str">
        <f>IF(OR($B465="", $D465="", $E465="", $F465="", $G465="", $H465=""),"",ROUND(($D465*Lists!$AN$20)+($E465*Lists!$AN$21)+($F465*Lists!$AN$22)+($G465*Lists!$AN$23)+($H465*Lists!$AN$24),2))</f>
        <v/>
      </c>
      <c r="J465" s="62"/>
      <c r="K465" s="65"/>
      <c r="L465" s="62"/>
    </row>
    <row r="466" spans="1:12" ht="15.75" customHeight="1" x14ac:dyDescent="0.2">
      <c r="A466" s="63" t="str">
        <f t="shared" si="7"/>
        <v/>
      </c>
      <c r="B466" s="63"/>
      <c r="C466" s="62" t="str">
        <f>IF($B466="","",IFERROR(VLOOKUP($B466,'Application Portfolio'!$A$2:$B$1000,2,FALSE()),""))</f>
        <v/>
      </c>
      <c r="D466" s="66"/>
      <c r="E466" s="66"/>
      <c r="F466" s="66"/>
      <c r="G466" s="66"/>
      <c r="H466" s="66"/>
      <c r="I466" s="64" t="str">
        <f>IF(OR($B466="", $D466="", $E466="", $F466="", $G466="", $H466=""),"",ROUND(($D466*Lists!$AN$20)+($E466*Lists!$AN$21)+($F466*Lists!$AN$22)+($G466*Lists!$AN$23)+($H466*Lists!$AN$24),2))</f>
        <v/>
      </c>
      <c r="J466" s="62"/>
      <c r="K466" s="65"/>
      <c r="L466" s="62"/>
    </row>
    <row r="467" spans="1:12" ht="15.75" customHeight="1" x14ac:dyDescent="0.2">
      <c r="A467" s="63" t="str">
        <f t="shared" si="7"/>
        <v/>
      </c>
      <c r="B467" s="63"/>
      <c r="C467" s="62" t="str">
        <f>IF($B467="","",IFERROR(VLOOKUP($B467,'Application Portfolio'!$A$2:$B$1000,2,FALSE()),""))</f>
        <v/>
      </c>
      <c r="D467" s="66"/>
      <c r="E467" s="66"/>
      <c r="F467" s="66"/>
      <c r="G467" s="66"/>
      <c r="H467" s="66"/>
      <c r="I467" s="64" t="str">
        <f>IF(OR($B467="", $D467="", $E467="", $F467="", $G467="", $H467=""),"",ROUND(($D467*Lists!$AN$20)+($E467*Lists!$AN$21)+($F467*Lists!$AN$22)+($G467*Lists!$AN$23)+($H467*Lists!$AN$24),2))</f>
        <v/>
      </c>
      <c r="J467" s="62"/>
      <c r="K467" s="65"/>
      <c r="L467" s="62"/>
    </row>
    <row r="468" spans="1:12" ht="15.75" customHeight="1" x14ac:dyDescent="0.2">
      <c r="A468" s="63" t="str">
        <f t="shared" si="7"/>
        <v/>
      </c>
      <c r="B468" s="63"/>
      <c r="C468" s="62" t="str">
        <f>IF($B468="","",IFERROR(VLOOKUP($B468,'Application Portfolio'!$A$2:$B$1000,2,FALSE()),""))</f>
        <v/>
      </c>
      <c r="D468" s="66"/>
      <c r="E468" s="66"/>
      <c r="F468" s="66"/>
      <c r="G468" s="66"/>
      <c r="H468" s="66"/>
      <c r="I468" s="64" t="str">
        <f>IF(OR($B468="", $D468="", $E468="", $F468="", $G468="", $H468=""),"",ROUND(($D468*Lists!$AN$20)+($E468*Lists!$AN$21)+($F468*Lists!$AN$22)+($G468*Lists!$AN$23)+($H468*Lists!$AN$24),2))</f>
        <v/>
      </c>
      <c r="J468" s="62"/>
      <c r="K468" s="65"/>
      <c r="L468" s="62"/>
    </row>
    <row r="469" spans="1:12" ht="15.75" customHeight="1" x14ac:dyDescent="0.2">
      <c r="A469" s="63" t="str">
        <f t="shared" si="7"/>
        <v/>
      </c>
      <c r="B469" s="63"/>
      <c r="C469" s="62" t="str">
        <f>IF($B469="","",IFERROR(VLOOKUP($B469,'Application Portfolio'!$A$2:$B$1000,2,FALSE()),""))</f>
        <v/>
      </c>
      <c r="D469" s="66"/>
      <c r="E469" s="66"/>
      <c r="F469" s="66"/>
      <c r="G469" s="66"/>
      <c r="H469" s="66"/>
      <c r="I469" s="64" t="str">
        <f>IF(OR($B469="", $D469="", $E469="", $F469="", $G469="", $H469=""),"",ROUND(($D469*Lists!$AN$20)+($E469*Lists!$AN$21)+($F469*Lists!$AN$22)+($G469*Lists!$AN$23)+($H469*Lists!$AN$24),2))</f>
        <v/>
      </c>
      <c r="J469" s="62"/>
      <c r="K469" s="65"/>
      <c r="L469" s="62"/>
    </row>
    <row r="470" spans="1:12" ht="15.75" customHeight="1" x14ac:dyDescent="0.2">
      <c r="A470" s="63" t="str">
        <f t="shared" si="7"/>
        <v/>
      </c>
      <c r="B470" s="63"/>
      <c r="C470" s="62" t="str">
        <f>IF($B470="","",IFERROR(VLOOKUP($B470,'Application Portfolio'!$A$2:$B$1000,2,FALSE()),""))</f>
        <v/>
      </c>
      <c r="D470" s="66"/>
      <c r="E470" s="66"/>
      <c r="F470" s="66"/>
      <c r="G470" s="66"/>
      <c r="H470" s="66"/>
      <c r="I470" s="64" t="str">
        <f>IF(OR($B470="", $D470="", $E470="", $F470="", $G470="", $H470=""),"",ROUND(($D470*Lists!$AN$20)+($E470*Lists!$AN$21)+($F470*Lists!$AN$22)+($G470*Lists!$AN$23)+($H470*Lists!$AN$24),2))</f>
        <v/>
      </c>
      <c r="J470" s="62"/>
      <c r="K470" s="65"/>
      <c r="L470" s="62"/>
    </row>
    <row r="471" spans="1:12" ht="15.75" customHeight="1" x14ac:dyDescent="0.2">
      <c r="A471" s="63" t="str">
        <f t="shared" si="7"/>
        <v/>
      </c>
      <c r="B471" s="63"/>
      <c r="C471" s="62" t="str">
        <f>IF($B471="","",IFERROR(VLOOKUP($B471,'Application Portfolio'!$A$2:$B$1000,2,FALSE()),""))</f>
        <v/>
      </c>
      <c r="D471" s="66"/>
      <c r="E471" s="66"/>
      <c r="F471" s="66"/>
      <c r="G471" s="66"/>
      <c r="H471" s="66"/>
      <c r="I471" s="64" t="str">
        <f>IF(OR($B471="", $D471="", $E471="", $F471="", $G471="", $H471=""),"",ROUND(($D471*Lists!$AN$20)+($E471*Lists!$AN$21)+($F471*Lists!$AN$22)+($G471*Lists!$AN$23)+($H471*Lists!$AN$24),2))</f>
        <v/>
      </c>
      <c r="J471" s="62"/>
      <c r="K471" s="65"/>
      <c r="L471" s="62"/>
    </row>
    <row r="472" spans="1:12" ht="15.75" customHeight="1" x14ac:dyDescent="0.2">
      <c r="A472" s="63" t="str">
        <f t="shared" si="7"/>
        <v/>
      </c>
      <c r="B472" s="63"/>
      <c r="C472" s="62" t="str">
        <f>IF($B472="","",IFERROR(VLOOKUP($B472,'Application Portfolio'!$A$2:$B$1000,2,FALSE()),""))</f>
        <v/>
      </c>
      <c r="D472" s="66"/>
      <c r="E472" s="66"/>
      <c r="F472" s="66"/>
      <c r="G472" s="66"/>
      <c r="H472" s="66"/>
      <c r="I472" s="64" t="str">
        <f>IF(OR($B472="", $D472="", $E472="", $F472="", $G472="", $H472=""),"",ROUND(($D472*Lists!$AN$20)+($E472*Lists!$AN$21)+($F472*Lists!$AN$22)+($G472*Lists!$AN$23)+($H472*Lists!$AN$24),2))</f>
        <v/>
      </c>
      <c r="J472" s="62"/>
      <c r="K472" s="65"/>
      <c r="L472" s="62"/>
    </row>
    <row r="473" spans="1:12" ht="15.75" customHeight="1" x14ac:dyDescent="0.2">
      <c r="A473" s="63" t="str">
        <f t="shared" si="7"/>
        <v/>
      </c>
      <c r="B473" s="63"/>
      <c r="C473" s="62" t="str">
        <f>IF($B473="","",IFERROR(VLOOKUP($B473,'Application Portfolio'!$A$2:$B$1000,2,FALSE()),""))</f>
        <v/>
      </c>
      <c r="D473" s="66"/>
      <c r="E473" s="66"/>
      <c r="F473" s="66"/>
      <c r="G473" s="66"/>
      <c r="H473" s="66"/>
      <c r="I473" s="64" t="str">
        <f>IF(OR($B473="", $D473="", $E473="", $F473="", $G473="", $H473=""),"",ROUND(($D473*Lists!$AN$20)+($E473*Lists!$AN$21)+($F473*Lists!$AN$22)+($G473*Lists!$AN$23)+($H473*Lists!$AN$24),2))</f>
        <v/>
      </c>
      <c r="J473" s="62"/>
      <c r="K473" s="65"/>
      <c r="L473" s="62"/>
    </row>
    <row r="474" spans="1:12" ht="15.75" customHeight="1" x14ac:dyDescent="0.2">
      <c r="A474" s="63" t="str">
        <f t="shared" si="7"/>
        <v/>
      </c>
      <c r="B474" s="63"/>
      <c r="C474" s="62" t="str">
        <f>IF($B474="","",IFERROR(VLOOKUP($B474,'Application Portfolio'!$A$2:$B$1000,2,FALSE()),""))</f>
        <v/>
      </c>
      <c r="D474" s="66"/>
      <c r="E474" s="66"/>
      <c r="F474" s="66"/>
      <c r="G474" s="66"/>
      <c r="H474" s="66"/>
      <c r="I474" s="64" t="str">
        <f>IF(OR($B474="", $D474="", $E474="", $F474="", $G474="", $H474=""),"",ROUND(($D474*Lists!$AN$20)+($E474*Lists!$AN$21)+($F474*Lists!$AN$22)+($G474*Lists!$AN$23)+($H474*Lists!$AN$24),2))</f>
        <v/>
      </c>
      <c r="J474" s="62"/>
      <c r="K474" s="65"/>
      <c r="L474" s="62"/>
    </row>
    <row r="475" spans="1:12" ht="15.75" customHeight="1" x14ac:dyDescent="0.2">
      <c r="A475" s="63" t="str">
        <f t="shared" si="7"/>
        <v/>
      </c>
      <c r="B475" s="63"/>
      <c r="C475" s="62" t="str">
        <f>IF($B475="","",IFERROR(VLOOKUP($B475,'Application Portfolio'!$A$2:$B$1000,2,FALSE()),""))</f>
        <v/>
      </c>
      <c r="D475" s="66"/>
      <c r="E475" s="66"/>
      <c r="F475" s="66"/>
      <c r="G475" s="66"/>
      <c r="H475" s="66"/>
      <c r="I475" s="64" t="str">
        <f>IF(OR($B475="", $D475="", $E475="", $F475="", $G475="", $H475=""),"",ROUND(($D475*Lists!$AN$20)+($E475*Lists!$AN$21)+($F475*Lists!$AN$22)+($G475*Lists!$AN$23)+($H475*Lists!$AN$24),2))</f>
        <v/>
      </c>
      <c r="J475" s="62"/>
      <c r="K475" s="65"/>
      <c r="L475" s="62"/>
    </row>
    <row r="476" spans="1:12" ht="15.75" customHeight="1" x14ac:dyDescent="0.2">
      <c r="A476" s="63" t="str">
        <f t="shared" si="7"/>
        <v/>
      </c>
      <c r="B476" s="63"/>
      <c r="C476" s="62" t="str">
        <f>IF($B476="","",IFERROR(VLOOKUP($B476,'Application Portfolio'!$A$2:$B$1000,2,FALSE()),""))</f>
        <v/>
      </c>
      <c r="D476" s="66"/>
      <c r="E476" s="66"/>
      <c r="F476" s="66"/>
      <c r="G476" s="66"/>
      <c r="H476" s="66"/>
      <c r="I476" s="64" t="str">
        <f>IF(OR($B476="", $D476="", $E476="", $F476="", $G476="", $H476=""),"",ROUND(($D476*Lists!$AN$20)+($E476*Lists!$AN$21)+($F476*Lists!$AN$22)+($G476*Lists!$AN$23)+($H476*Lists!$AN$24),2))</f>
        <v/>
      </c>
      <c r="J476" s="62"/>
      <c r="K476" s="65"/>
      <c r="L476" s="62"/>
    </row>
    <row r="477" spans="1:12" ht="15.75" customHeight="1" x14ac:dyDescent="0.2">
      <c r="A477" s="63" t="str">
        <f t="shared" si="7"/>
        <v/>
      </c>
      <c r="B477" s="63"/>
      <c r="C477" s="62" t="str">
        <f>IF($B477="","",IFERROR(VLOOKUP($B477,'Application Portfolio'!$A$2:$B$1000,2,FALSE()),""))</f>
        <v/>
      </c>
      <c r="D477" s="66"/>
      <c r="E477" s="66"/>
      <c r="F477" s="66"/>
      <c r="G477" s="66"/>
      <c r="H477" s="66"/>
      <c r="I477" s="64" t="str">
        <f>IF(OR($B477="", $D477="", $E477="", $F477="", $G477="", $H477=""),"",ROUND(($D477*Lists!$AN$20)+($E477*Lists!$AN$21)+($F477*Lists!$AN$22)+($G477*Lists!$AN$23)+($H477*Lists!$AN$24),2))</f>
        <v/>
      </c>
      <c r="J477" s="62"/>
      <c r="K477" s="65"/>
      <c r="L477" s="62"/>
    </row>
    <row r="478" spans="1:12" ht="15.75" customHeight="1" x14ac:dyDescent="0.2">
      <c r="A478" s="63" t="str">
        <f t="shared" si="7"/>
        <v/>
      </c>
      <c r="B478" s="63"/>
      <c r="C478" s="62" t="str">
        <f>IF($B478="","",IFERROR(VLOOKUP($B478,'Application Portfolio'!$A$2:$B$1000,2,FALSE()),""))</f>
        <v/>
      </c>
      <c r="D478" s="66"/>
      <c r="E478" s="66"/>
      <c r="F478" s="66"/>
      <c r="G478" s="66"/>
      <c r="H478" s="66"/>
      <c r="I478" s="64" t="str">
        <f>IF(OR($B478="", $D478="", $E478="", $F478="", $G478="", $H478=""),"",ROUND(($D478*Lists!$AN$20)+($E478*Lists!$AN$21)+($F478*Lists!$AN$22)+($G478*Lists!$AN$23)+($H478*Lists!$AN$24),2))</f>
        <v/>
      </c>
      <c r="J478" s="62"/>
      <c r="K478" s="65"/>
      <c r="L478" s="62"/>
    </row>
    <row r="479" spans="1:12" ht="15.75" customHeight="1" x14ac:dyDescent="0.2">
      <c r="A479" s="63" t="str">
        <f t="shared" si="7"/>
        <v/>
      </c>
      <c r="B479" s="63"/>
      <c r="C479" s="62" t="str">
        <f>IF($B479="","",IFERROR(VLOOKUP($B479,'Application Portfolio'!$A$2:$B$1000,2,FALSE()),""))</f>
        <v/>
      </c>
      <c r="D479" s="66"/>
      <c r="E479" s="66"/>
      <c r="F479" s="66"/>
      <c r="G479" s="66"/>
      <c r="H479" s="66"/>
      <c r="I479" s="64" t="str">
        <f>IF(OR($B479="", $D479="", $E479="", $F479="", $G479="", $H479=""),"",ROUND(($D479*Lists!$AN$20)+($E479*Lists!$AN$21)+($F479*Lists!$AN$22)+($G479*Lists!$AN$23)+($H479*Lists!$AN$24),2))</f>
        <v/>
      </c>
      <c r="J479" s="62"/>
      <c r="K479" s="65"/>
      <c r="L479" s="62"/>
    </row>
    <row r="480" spans="1:12" ht="15.75" customHeight="1" x14ac:dyDescent="0.2">
      <c r="A480" s="63" t="str">
        <f t="shared" ref="A480:A543" si="8">IF($B480="","", "R-" &amp; RIGHT("0000"&amp;ROW()-1,4))</f>
        <v/>
      </c>
      <c r="B480" s="63"/>
      <c r="C480" s="62" t="str">
        <f>IF($B480="","",IFERROR(VLOOKUP($B480,'Application Portfolio'!$A$2:$B$1000,2,FALSE()),""))</f>
        <v/>
      </c>
      <c r="D480" s="66"/>
      <c r="E480" s="66"/>
      <c r="F480" s="66"/>
      <c r="G480" s="66"/>
      <c r="H480" s="66"/>
      <c r="I480" s="64" t="str">
        <f>IF(OR($B480="", $D480="", $E480="", $F480="", $G480="", $H480=""),"",ROUND(($D480*Lists!$AN$20)+($E480*Lists!$AN$21)+($F480*Lists!$AN$22)+($G480*Lists!$AN$23)+($H480*Lists!$AN$24),2))</f>
        <v/>
      </c>
      <c r="J480" s="62"/>
      <c r="K480" s="65"/>
      <c r="L480" s="62"/>
    </row>
    <row r="481" spans="1:12" ht="15.75" customHeight="1" x14ac:dyDescent="0.2">
      <c r="A481" s="63" t="str">
        <f t="shared" si="8"/>
        <v/>
      </c>
      <c r="B481" s="63"/>
      <c r="C481" s="62" t="str">
        <f>IF($B481="","",IFERROR(VLOOKUP($B481,'Application Portfolio'!$A$2:$B$1000,2,FALSE()),""))</f>
        <v/>
      </c>
      <c r="D481" s="66"/>
      <c r="E481" s="66"/>
      <c r="F481" s="66"/>
      <c r="G481" s="66"/>
      <c r="H481" s="66"/>
      <c r="I481" s="64" t="str">
        <f>IF(OR($B481="", $D481="", $E481="", $F481="", $G481="", $H481=""),"",ROUND(($D481*Lists!$AN$20)+($E481*Lists!$AN$21)+($F481*Lists!$AN$22)+($G481*Lists!$AN$23)+($H481*Lists!$AN$24),2))</f>
        <v/>
      </c>
      <c r="J481" s="62"/>
      <c r="K481" s="65"/>
      <c r="L481" s="62"/>
    </row>
    <row r="482" spans="1:12" ht="15.75" customHeight="1" x14ac:dyDescent="0.2">
      <c r="A482" s="63" t="str">
        <f t="shared" si="8"/>
        <v/>
      </c>
      <c r="B482" s="63"/>
      <c r="C482" s="62" t="str">
        <f>IF($B482="","",IFERROR(VLOOKUP($B482,'Application Portfolio'!$A$2:$B$1000,2,FALSE()),""))</f>
        <v/>
      </c>
      <c r="D482" s="66"/>
      <c r="E482" s="66"/>
      <c r="F482" s="66"/>
      <c r="G482" s="66"/>
      <c r="H482" s="66"/>
      <c r="I482" s="64" t="str">
        <f>IF(OR($B482="", $D482="", $E482="", $F482="", $G482="", $H482=""),"",ROUND(($D482*Lists!$AN$20)+($E482*Lists!$AN$21)+($F482*Lists!$AN$22)+($G482*Lists!$AN$23)+($H482*Lists!$AN$24),2))</f>
        <v/>
      </c>
      <c r="J482" s="62"/>
      <c r="K482" s="65"/>
      <c r="L482" s="62"/>
    </row>
    <row r="483" spans="1:12" ht="15.75" customHeight="1" x14ac:dyDescent="0.2">
      <c r="A483" s="63" t="str">
        <f t="shared" si="8"/>
        <v/>
      </c>
      <c r="B483" s="63"/>
      <c r="C483" s="62" t="str">
        <f>IF($B483="","",IFERROR(VLOOKUP($B483,'Application Portfolio'!$A$2:$B$1000,2,FALSE()),""))</f>
        <v/>
      </c>
      <c r="D483" s="66"/>
      <c r="E483" s="66"/>
      <c r="F483" s="66"/>
      <c r="G483" s="66"/>
      <c r="H483" s="66"/>
      <c r="I483" s="64" t="str">
        <f>IF(OR($B483="", $D483="", $E483="", $F483="", $G483="", $H483=""),"",ROUND(($D483*Lists!$AN$20)+($E483*Lists!$AN$21)+($F483*Lists!$AN$22)+($G483*Lists!$AN$23)+($H483*Lists!$AN$24),2))</f>
        <v/>
      </c>
      <c r="J483" s="62"/>
      <c r="K483" s="65"/>
      <c r="L483" s="62"/>
    </row>
    <row r="484" spans="1:12" ht="15.75" customHeight="1" x14ac:dyDescent="0.2">
      <c r="A484" s="63" t="str">
        <f t="shared" si="8"/>
        <v/>
      </c>
      <c r="B484" s="63"/>
      <c r="C484" s="62" t="str">
        <f>IF($B484="","",IFERROR(VLOOKUP($B484,'Application Portfolio'!$A$2:$B$1000,2,FALSE()),""))</f>
        <v/>
      </c>
      <c r="D484" s="66"/>
      <c r="E484" s="66"/>
      <c r="F484" s="66"/>
      <c r="G484" s="66"/>
      <c r="H484" s="66"/>
      <c r="I484" s="64" t="str">
        <f>IF(OR($B484="", $D484="", $E484="", $F484="", $G484="", $H484=""),"",ROUND(($D484*Lists!$AN$20)+($E484*Lists!$AN$21)+($F484*Lists!$AN$22)+($G484*Lists!$AN$23)+($H484*Lists!$AN$24),2))</f>
        <v/>
      </c>
      <c r="J484" s="62"/>
      <c r="K484" s="65"/>
      <c r="L484" s="62"/>
    </row>
    <row r="485" spans="1:12" ht="15.75" customHeight="1" x14ac:dyDescent="0.2">
      <c r="A485" s="63" t="str">
        <f t="shared" si="8"/>
        <v/>
      </c>
      <c r="B485" s="63"/>
      <c r="C485" s="62" t="str">
        <f>IF($B485="","",IFERROR(VLOOKUP($B485,'Application Portfolio'!$A$2:$B$1000,2,FALSE()),""))</f>
        <v/>
      </c>
      <c r="D485" s="66"/>
      <c r="E485" s="66"/>
      <c r="F485" s="66"/>
      <c r="G485" s="66"/>
      <c r="H485" s="66"/>
      <c r="I485" s="64" t="str">
        <f>IF(OR($B485="", $D485="", $E485="", $F485="", $G485="", $H485=""),"",ROUND(($D485*Lists!$AN$20)+($E485*Lists!$AN$21)+($F485*Lists!$AN$22)+($G485*Lists!$AN$23)+($H485*Lists!$AN$24),2))</f>
        <v/>
      </c>
      <c r="J485" s="62"/>
      <c r="K485" s="65"/>
      <c r="L485" s="62"/>
    </row>
    <row r="486" spans="1:12" ht="15.75" customHeight="1" x14ac:dyDescent="0.2">
      <c r="A486" s="63" t="str">
        <f t="shared" si="8"/>
        <v/>
      </c>
      <c r="B486" s="63"/>
      <c r="C486" s="62" t="str">
        <f>IF($B486="","",IFERROR(VLOOKUP($B486,'Application Portfolio'!$A$2:$B$1000,2,FALSE()),""))</f>
        <v/>
      </c>
      <c r="D486" s="66"/>
      <c r="E486" s="66"/>
      <c r="F486" s="66"/>
      <c r="G486" s="66"/>
      <c r="H486" s="66"/>
      <c r="I486" s="64" t="str">
        <f>IF(OR($B486="", $D486="", $E486="", $F486="", $G486="", $H486=""),"",ROUND(($D486*Lists!$AN$20)+($E486*Lists!$AN$21)+($F486*Lists!$AN$22)+($G486*Lists!$AN$23)+($H486*Lists!$AN$24),2))</f>
        <v/>
      </c>
      <c r="J486" s="62"/>
      <c r="K486" s="65"/>
      <c r="L486" s="62"/>
    </row>
    <row r="487" spans="1:12" ht="15.75" customHeight="1" x14ac:dyDescent="0.2">
      <c r="A487" s="63" t="str">
        <f t="shared" si="8"/>
        <v/>
      </c>
      <c r="B487" s="63"/>
      <c r="C487" s="62" t="str">
        <f>IF($B487="","",IFERROR(VLOOKUP($B487,'Application Portfolio'!$A$2:$B$1000,2,FALSE()),""))</f>
        <v/>
      </c>
      <c r="D487" s="66"/>
      <c r="E487" s="66"/>
      <c r="F487" s="66"/>
      <c r="G487" s="66"/>
      <c r="H487" s="66"/>
      <c r="I487" s="64" t="str">
        <f>IF(OR($B487="", $D487="", $E487="", $F487="", $G487="", $H487=""),"",ROUND(($D487*Lists!$AN$20)+($E487*Lists!$AN$21)+($F487*Lists!$AN$22)+($G487*Lists!$AN$23)+($H487*Lists!$AN$24),2))</f>
        <v/>
      </c>
      <c r="J487" s="62"/>
      <c r="K487" s="65"/>
      <c r="L487" s="62"/>
    </row>
    <row r="488" spans="1:12" ht="15.75" customHeight="1" x14ac:dyDescent="0.2">
      <c r="A488" s="63" t="str">
        <f t="shared" si="8"/>
        <v/>
      </c>
      <c r="B488" s="63"/>
      <c r="C488" s="62" t="str">
        <f>IF($B488="","",IFERROR(VLOOKUP($B488,'Application Portfolio'!$A$2:$B$1000,2,FALSE()),""))</f>
        <v/>
      </c>
      <c r="D488" s="66"/>
      <c r="E488" s="66"/>
      <c r="F488" s="66"/>
      <c r="G488" s="66"/>
      <c r="H488" s="66"/>
      <c r="I488" s="64" t="str">
        <f>IF(OR($B488="", $D488="", $E488="", $F488="", $G488="", $H488=""),"",ROUND(($D488*Lists!$AN$20)+($E488*Lists!$AN$21)+($F488*Lists!$AN$22)+($G488*Lists!$AN$23)+($H488*Lists!$AN$24),2))</f>
        <v/>
      </c>
      <c r="J488" s="62"/>
      <c r="K488" s="65"/>
      <c r="L488" s="62"/>
    </row>
    <row r="489" spans="1:12" ht="15.75" customHeight="1" x14ac:dyDescent="0.2">
      <c r="A489" s="63" t="str">
        <f t="shared" si="8"/>
        <v/>
      </c>
      <c r="B489" s="63"/>
      <c r="C489" s="62" t="str">
        <f>IF($B489="","",IFERROR(VLOOKUP($B489,'Application Portfolio'!$A$2:$B$1000,2,FALSE()),""))</f>
        <v/>
      </c>
      <c r="D489" s="66"/>
      <c r="E489" s="66"/>
      <c r="F489" s="66"/>
      <c r="G489" s="66"/>
      <c r="H489" s="66"/>
      <c r="I489" s="64" t="str">
        <f>IF(OR($B489="", $D489="", $E489="", $F489="", $G489="", $H489=""),"",ROUND(($D489*Lists!$AN$20)+($E489*Lists!$AN$21)+($F489*Lists!$AN$22)+($G489*Lists!$AN$23)+($H489*Lists!$AN$24),2))</f>
        <v/>
      </c>
      <c r="J489" s="62"/>
      <c r="K489" s="65"/>
      <c r="L489" s="62"/>
    </row>
    <row r="490" spans="1:12" ht="15.75" customHeight="1" x14ac:dyDescent="0.2">
      <c r="A490" s="63" t="str">
        <f t="shared" si="8"/>
        <v/>
      </c>
      <c r="B490" s="63"/>
      <c r="C490" s="62" t="str">
        <f>IF($B490="","",IFERROR(VLOOKUP($B490,'Application Portfolio'!$A$2:$B$1000,2,FALSE()),""))</f>
        <v/>
      </c>
      <c r="D490" s="66"/>
      <c r="E490" s="66"/>
      <c r="F490" s="66"/>
      <c r="G490" s="66"/>
      <c r="H490" s="66"/>
      <c r="I490" s="64" t="str">
        <f>IF(OR($B490="", $D490="", $E490="", $F490="", $G490="", $H490=""),"",ROUND(($D490*Lists!$AN$20)+($E490*Lists!$AN$21)+($F490*Lists!$AN$22)+($G490*Lists!$AN$23)+($H490*Lists!$AN$24),2))</f>
        <v/>
      </c>
      <c r="J490" s="62"/>
      <c r="K490" s="65"/>
      <c r="L490" s="62"/>
    </row>
    <row r="491" spans="1:12" ht="15.75" customHeight="1" x14ac:dyDescent="0.2">
      <c r="A491" s="63" t="str">
        <f t="shared" si="8"/>
        <v/>
      </c>
      <c r="B491" s="63"/>
      <c r="C491" s="62" t="str">
        <f>IF($B491="","",IFERROR(VLOOKUP($B491,'Application Portfolio'!$A$2:$B$1000,2,FALSE()),""))</f>
        <v/>
      </c>
      <c r="D491" s="66"/>
      <c r="E491" s="66"/>
      <c r="F491" s="66"/>
      <c r="G491" s="66"/>
      <c r="H491" s="66"/>
      <c r="I491" s="64" t="str">
        <f>IF(OR($B491="", $D491="", $E491="", $F491="", $G491="", $H491=""),"",ROUND(($D491*Lists!$AN$20)+($E491*Lists!$AN$21)+($F491*Lists!$AN$22)+($G491*Lists!$AN$23)+($H491*Lists!$AN$24),2))</f>
        <v/>
      </c>
      <c r="J491" s="62"/>
      <c r="K491" s="65"/>
      <c r="L491" s="62"/>
    </row>
    <row r="492" spans="1:12" ht="15.75" customHeight="1" x14ac:dyDescent="0.2">
      <c r="A492" s="63" t="str">
        <f t="shared" si="8"/>
        <v/>
      </c>
      <c r="B492" s="63"/>
      <c r="C492" s="62" t="str">
        <f>IF($B492="","",IFERROR(VLOOKUP($B492,'Application Portfolio'!$A$2:$B$1000,2,FALSE()),""))</f>
        <v/>
      </c>
      <c r="D492" s="66"/>
      <c r="E492" s="66"/>
      <c r="F492" s="66"/>
      <c r="G492" s="66"/>
      <c r="H492" s="66"/>
      <c r="I492" s="64" t="str">
        <f>IF(OR($B492="", $D492="", $E492="", $F492="", $G492="", $H492=""),"",ROUND(($D492*Lists!$AN$20)+($E492*Lists!$AN$21)+($F492*Lists!$AN$22)+($G492*Lists!$AN$23)+($H492*Lists!$AN$24),2))</f>
        <v/>
      </c>
      <c r="J492" s="62"/>
      <c r="K492" s="65"/>
      <c r="L492" s="62"/>
    </row>
    <row r="493" spans="1:12" ht="15.75" customHeight="1" x14ac:dyDescent="0.2">
      <c r="A493" s="63" t="str">
        <f t="shared" si="8"/>
        <v/>
      </c>
      <c r="B493" s="63"/>
      <c r="C493" s="62" t="str">
        <f>IF($B493="","",IFERROR(VLOOKUP($B493,'Application Portfolio'!$A$2:$B$1000,2,FALSE()),""))</f>
        <v/>
      </c>
      <c r="D493" s="66"/>
      <c r="E493" s="66"/>
      <c r="F493" s="66"/>
      <c r="G493" s="66"/>
      <c r="H493" s="66"/>
      <c r="I493" s="64" t="str">
        <f>IF(OR($B493="", $D493="", $E493="", $F493="", $G493="", $H493=""),"",ROUND(($D493*Lists!$AN$20)+($E493*Lists!$AN$21)+($F493*Lists!$AN$22)+($G493*Lists!$AN$23)+($H493*Lists!$AN$24),2))</f>
        <v/>
      </c>
      <c r="J493" s="62"/>
      <c r="K493" s="65"/>
      <c r="L493" s="62"/>
    </row>
    <row r="494" spans="1:12" ht="15.75" customHeight="1" x14ac:dyDescent="0.2">
      <c r="A494" s="63" t="str">
        <f t="shared" si="8"/>
        <v/>
      </c>
      <c r="B494" s="63"/>
      <c r="C494" s="62" t="str">
        <f>IF($B494="","",IFERROR(VLOOKUP($B494,'Application Portfolio'!$A$2:$B$1000,2,FALSE()),""))</f>
        <v/>
      </c>
      <c r="D494" s="66"/>
      <c r="E494" s="66"/>
      <c r="F494" s="66"/>
      <c r="G494" s="66"/>
      <c r="H494" s="66"/>
      <c r="I494" s="64" t="str">
        <f>IF(OR($B494="", $D494="", $E494="", $F494="", $G494="", $H494=""),"",ROUND(($D494*Lists!$AN$20)+($E494*Lists!$AN$21)+($F494*Lists!$AN$22)+($G494*Lists!$AN$23)+($H494*Lists!$AN$24),2))</f>
        <v/>
      </c>
      <c r="J494" s="62"/>
      <c r="K494" s="65"/>
      <c r="L494" s="62"/>
    </row>
    <row r="495" spans="1:12" ht="15.75" customHeight="1" x14ac:dyDescent="0.2">
      <c r="A495" s="63" t="str">
        <f t="shared" si="8"/>
        <v/>
      </c>
      <c r="B495" s="63"/>
      <c r="C495" s="62" t="str">
        <f>IF($B495="","",IFERROR(VLOOKUP($B495,'Application Portfolio'!$A$2:$B$1000,2,FALSE()),""))</f>
        <v/>
      </c>
      <c r="D495" s="66"/>
      <c r="E495" s="66"/>
      <c r="F495" s="66"/>
      <c r="G495" s="66"/>
      <c r="H495" s="66"/>
      <c r="I495" s="64" t="str">
        <f>IF(OR($B495="", $D495="", $E495="", $F495="", $G495="", $H495=""),"",ROUND(($D495*Lists!$AN$20)+($E495*Lists!$AN$21)+($F495*Lists!$AN$22)+($G495*Lists!$AN$23)+($H495*Lists!$AN$24),2))</f>
        <v/>
      </c>
      <c r="J495" s="62"/>
      <c r="K495" s="65"/>
      <c r="L495" s="62"/>
    </row>
    <row r="496" spans="1:12" ht="15.75" customHeight="1" x14ac:dyDescent="0.2">
      <c r="A496" s="63" t="str">
        <f t="shared" si="8"/>
        <v/>
      </c>
      <c r="B496" s="63"/>
      <c r="C496" s="62" t="str">
        <f>IF($B496="","",IFERROR(VLOOKUP($B496,'Application Portfolio'!$A$2:$B$1000,2,FALSE()),""))</f>
        <v/>
      </c>
      <c r="D496" s="66"/>
      <c r="E496" s="66"/>
      <c r="F496" s="66"/>
      <c r="G496" s="66"/>
      <c r="H496" s="66"/>
      <c r="I496" s="64" t="str">
        <f>IF(OR($B496="", $D496="", $E496="", $F496="", $G496="", $H496=""),"",ROUND(($D496*Lists!$AN$20)+($E496*Lists!$AN$21)+($F496*Lists!$AN$22)+($G496*Lists!$AN$23)+($H496*Lists!$AN$24),2))</f>
        <v/>
      </c>
      <c r="J496" s="62"/>
      <c r="K496" s="65"/>
      <c r="L496" s="62"/>
    </row>
    <row r="497" spans="1:12" ht="15.75" customHeight="1" x14ac:dyDescent="0.2">
      <c r="A497" s="63" t="str">
        <f t="shared" si="8"/>
        <v/>
      </c>
      <c r="B497" s="63"/>
      <c r="C497" s="62" t="str">
        <f>IF($B497="","",IFERROR(VLOOKUP($B497,'Application Portfolio'!$A$2:$B$1000,2,FALSE()),""))</f>
        <v/>
      </c>
      <c r="D497" s="66"/>
      <c r="E497" s="66"/>
      <c r="F497" s="66"/>
      <c r="G497" s="66"/>
      <c r="H497" s="66"/>
      <c r="I497" s="64" t="str">
        <f>IF(OR($B497="", $D497="", $E497="", $F497="", $G497="", $H497=""),"",ROUND(($D497*Lists!$AN$20)+($E497*Lists!$AN$21)+($F497*Lists!$AN$22)+($G497*Lists!$AN$23)+($H497*Lists!$AN$24),2))</f>
        <v/>
      </c>
      <c r="J497" s="62"/>
      <c r="K497" s="65"/>
      <c r="L497" s="62"/>
    </row>
    <row r="498" spans="1:12" ht="15.75" customHeight="1" x14ac:dyDescent="0.2">
      <c r="A498" s="63" t="str">
        <f t="shared" si="8"/>
        <v/>
      </c>
      <c r="B498" s="63"/>
      <c r="C498" s="62" t="str">
        <f>IF($B498="","",IFERROR(VLOOKUP($B498,'Application Portfolio'!$A$2:$B$1000,2,FALSE()),""))</f>
        <v/>
      </c>
      <c r="D498" s="66"/>
      <c r="E498" s="66"/>
      <c r="F498" s="66"/>
      <c r="G498" s="66"/>
      <c r="H498" s="66"/>
      <c r="I498" s="64" t="str">
        <f>IF(OR($B498="", $D498="", $E498="", $F498="", $G498="", $H498=""),"",ROUND(($D498*Lists!$AN$20)+($E498*Lists!$AN$21)+($F498*Lists!$AN$22)+($G498*Lists!$AN$23)+($H498*Lists!$AN$24),2))</f>
        <v/>
      </c>
      <c r="J498" s="62"/>
      <c r="K498" s="65"/>
      <c r="L498" s="62"/>
    </row>
    <row r="499" spans="1:12" ht="15.75" customHeight="1" x14ac:dyDescent="0.2">
      <c r="A499" s="63" t="str">
        <f t="shared" si="8"/>
        <v/>
      </c>
      <c r="B499" s="63"/>
      <c r="C499" s="62" t="str">
        <f>IF($B499="","",IFERROR(VLOOKUP($B499,'Application Portfolio'!$A$2:$B$1000,2,FALSE()),""))</f>
        <v/>
      </c>
      <c r="D499" s="66"/>
      <c r="E499" s="66"/>
      <c r="F499" s="66"/>
      <c r="G499" s="66"/>
      <c r="H499" s="66"/>
      <c r="I499" s="64" t="str">
        <f>IF(OR($B499="", $D499="", $E499="", $F499="", $G499="", $H499=""),"",ROUND(($D499*Lists!$AN$20)+($E499*Lists!$AN$21)+($F499*Lists!$AN$22)+($G499*Lists!$AN$23)+($H499*Lists!$AN$24),2))</f>
        <v/>
      </c>
      <c r="J499" s="62"/>
      <c r="K499" s="65"/>
      <c r="L499" s="62"/>
    </row>
    <row r="500" spans="1:12" ht="15.75" customHeight="1" x14ac:dyDescent="0.2">
      <c r="A500" s="63" t="str">
        <f t="shared" si="8"/>
        <v/>
      </c>
      <c r="B500" s="63"/>
      <c r="C500" s="62" t="str">
        <f>IF($B500="","",IFERROR(VLOOKUP($B500,'Application Portfolio'!$A$2:$B$1000,2,FALSE()),""))</f>
        <v/>
      </c>
      <c r="D500" s="66"/>
      <c r="E500" s="66"/>
      <c r="F500" s="66"/>
      <c r="G500" s="66"/>
      <c r="H500" s="66"/>
      <c r="I500" s="64" t="str">
        <f>IF(OR($B500="", $D500="", $E500="", $F500="", $G500="", $H500=""),"",ROUND(($D500*Lists!$AN$20)+($E500*Lists!$AN$21)+($F500*Lists!$AN$22)+($G500*Lists!$AN$23)+($H500*Lists!$AN$24),2))</f>
        <v/>
      </c>
      <c r="J500" s="62"/>
      <c r="K500" s="65"/>
      <c r="L500" s="62"/>
    </row>
    <row r="501" spans="1:12" ht="15.75" customHeight="1" x14ac:dyDescent="0.2">
      <c r="A501" s="63" t="str">
        <f t="shared" si="8"/>
        <v/>
      </c>
      <c r="B501" s="63"/>
      <c r="C501" s="62" t="str">
        <f>IF($B501="","",IFERROR(VLOOKUP($B501,'Application Portfolio'!$A$2:$B$1000,2,FALSE()),""))</f>
        <v/>
      </c>
      <c r="D501" s="66"/>
      <c r="E501" s="66"/>
      <c r="F501" s="66"/>
      <c r="G501" s="66"/>
      <c r="H501" s="66"/>
      <c r="I501" s="64" t="str">
        <f>IF(OR($B501="", $D501="", $E501="", $F501="", $G501="", $H501=""),"",ROUND(($D501*Lists!$AN$20)+($E501*Lists!$AN$21)+($F501*Lists!$AN$22)+($G501*Lists!$AN$23)+($H501*Lists!$AN$24),2))</f>
        <v/>
      </c>
      <c r="J501" s="62"/>
      <c r="K501" s="65"/>
      <c r="L501" s="62"/>
    </row>
    <row r="502" spans="1:12" ht="15.75" customHeight="1" x14ac:dyDescent="0.2">
      <c r="A502" s="63" t="str">
        <f t="shared" si="8"/>
        <v/>
      </c>
      <c r="B502" s="63"/>
      <c r="C502" s="62" t="str">
        <f>IF($B502="","",IFERROR(VLOOKUP($B502,'Application Portfolio'!$A$2:$B$1000,2,FALSE()),""))</f>
        <v/>
      </c>
      <c r="D502" s="66"/>
      <c r="E502" s="66"/>
      <c r="F502" s="66"/>
      <c r="G502" s="66"/>
      <c r="H502" s="66"/>
      <c r="I502" s="64" t="str">
        <f>IF(OR($B502="", $D502="", $E502="", $F502="", $G502="", $H502=""),"",ROUND(($D502*Lists!$AN$20)+($E502*Lists!$AN$21)+($F502*Lists!$AN$22)+($G502*Lists!$AN$23)+($H502*Lists!$AN$24),2))</f>
        <v/>
      </c>
      <c r="J502" s="62"/>
      <c r="K502" s="65"/>
      <c r="L502" s="62"/>
    </row>
    <row r="503" spans="1:12" ht="15.75" customHeight="1" x14ac:dyDescent="0.2">
      <c r="A503" s="63" t="str">
        <f t="shared" si="8"/>
        <v/>
      </c>
      <c r="B503" s="63"/>
      <c r="C503" s="62" t="str">
        <f>IF($B503="","",IFERROR(VLOOKUP($B503,'Application Portfolio'!$A$2:$B$1000,2,FALSE()),""))</f>
        <v/>
      </c>
      <c r="D503" s="66"/>
      <c r="E503" s="66"/>
      <c r="F503" s="66"/>
      <c r="G503" s="66"/>
      <c r="H503" s="66"/>
      <c r="I503" s="64" t="str">
        <f>IF(OR($B503="", $D503="", $E503="", $F503="", $G503="", $H503=""),"",ROUND(($D503*Lists!$AN$20)+($E503*Lists!$AN$21)+($F503*Lists!$AN$22)+($G503*Lists!$AN$23)+($H503*Lists!$AN$24),2))</f>
        <v/>
      </c>
      <c r="J503" s="62"/>
      <c r="K503" s="65"/>
      <c r="L503" s="62"/>
    </row>
    <row r="504" spans="1:12" ht="15.75" customHeight="1" x14ac:dyDescent="0.2">
      <c r="A504" s="63" t="str">
        <f t="shared" si="8"/>
        <v/>
      </c>
      <c r="B504" s="63"/>
      <c r="C504" s="62" t="str">
        <f>IF($B504="","",IFERROR(VLOOKUP($B504,'Application Portfolio'!$A$2:$B$1000,2,FALSE()),""))</f>
        <v/>
      </c>
      <c r="D504" s="66"/>
      <c r="E504" s="66"/>
      <c r="F504" s="66"/>
      <c r="G504" s="66"/>
      <c r="H504" s="66"/>
      <c r="I504" s="64" t="str">
        <f>IF(OR($B504="", $D504="", $E504="", $F504="", $G504="", $H504=""),"",ROUND(($D504*Lists!$AN$20)+($E504*Lists!$AN$21)+($F504*Lists!$AN$22)+($G504*Lists!$AN$23)+($H504*Lists!$AN$24),2))</f>
        <v/>
      </c>
      <c r="J504" s="62"/>
      <c r="K504" s="65"/>
      <c r="L504" s="62"/>
    </row>
    <row r="505" spans="1:12" ht="15.75" customHeight="1" x14ac:dyDescent="0.2">
      <c r="A505" s="63" t="str">
        <f t="shared" si="8"/>
        <v/>
      </c>
      <c r="B505" s="63"/>
      <c r="C505" s="62" t="str">
        <f>IF($B505="","",IFERROR(VLOOKUP($B505,'Application Portfolio'!$A$2:$B$1000,2,FALSE()),""))</f>
        <v/>
      </c>
      <c r="D505" s="66"/>
      <c r="E505" s="66"/>
      <c r="F505" s="66"/>
      <c r="G505" s="66"/>
      <c r="H505" s="66"/>
      <c r="I505" s="64" t="str">
        <f>IF(OR($B505="", $D505="", $E505="", $F505="", $G505="", $H505=""),"",ROUND(($D505*Lists!$AN$20)+($E505*Lists!$AN$21)+($F505*Lists!$AN$22)+($G505*Lists!$AN$23)+($H505*Lists!$AN$24),2))</f>
        <v/>
      </c>
      <c r="J505" s="62"/>
      <c r="K505" s="65"/>
      <c r="L505" s="62"/>
    </row>
    <row r="506" spans="1:12" ht="15.75" customHeight="1" x14ac:dyDescent="0.2">
      <c r="A506" s="63" t="str">
        <f t="shared" si="8"/>
        <v/>
      </c>
      <c r="B506" s="63"/>
      <c r="C506" s="62" t="str">
        <f>IF($B506="","",IFERROR(VLOOKUP($B506,'Application Portfolio'!$A$2:$B$1000,2,FALSE()),""))</f>
        <v/>
      </c>
      <c r="D506" s="66"/>
      <c r="E506" s="66"/>
      <c r="F506" s="66"/>
      <c r="G506" s="66"/>
      <c r="H506" s="66"/>
      <c r="I506" s="64" t="str">
        <f>IF(OR($B506="", $D506="", $E506="", $F506="", $G506="", $H506=""),"",ROUND(($D506*Lists!$AN$20)+($E506*Lists!$AN$21)+($F506*Lists!$AN$22)+($G506*Lists!$AN$23)+($H506*Lists!$AN$24),2))</f>
        <v/>
      </c>
      <c r="J506" s="62"/>
      <c r="K506" s="65"/>
      <c r="L506" s="62"/>
    </row>
    <row r="507" spans="1:12" ht="15.75" customHeight="1" x14ac:dyDescent="0.2">
      <c r="A507" s="63" t="str">
        <f t="shared" si="8"/>
        <v/>
      </c>
      <c r="B507" s="63"/>
      <c r="C507" s="62" t="str">
        <f>IF($B507="","",IFERROR(VLOOKUP($B507,'Application Portfolio'!$A$2:$B$1000,2,FALSE()),""))</f>
        <v/>
      </c>
      <c r="D507" s="66"/>
      <c r="E507" s="66"/>
      <c r="F507" s="66"/>
      <c r="G507" s="66"/>
      <c r="H507" s="66"/>
      <c r="I507" s="64" t="str">
        <f>IF(OR($B507="", $D507="", $E507="", $F507="", $G507="", $H507=""),"",ROUND(($D507*Lists!$AN$20)+($E507*Lists!$AN$21)+($F507*Lists!$AN$22)+($G507*Lists!$AN$23)+($H507*Lists!$AN$24),2))</f>
        <v/>
      </c>
      <c r="J507" s="62"/>
      <c r="K507" s="65"/>
      <c r="L507" s="62"/>
    </row>
    <row r="508" spans="1:12" ht="15.75" customHeight="1" x14ac:dyDescent="0.2">
      <c r="A508" s="63" t="str">
        <f t="shared" si="8"/>
        <v/>
      </c>
      <c r="B508" s="63"/>
      <c r="C508" s="62" t="str">
        <f>IF($B508="","",IFERROR(VLOOKUP($B508,'Application Portfolio'!$A$2:$B$1000,2,FALSE()),""))</f>
        <v/>
      </c>
      <c r="D508" s="66"/>
      <c r="E508" s="66"/>
      <c r="F508" s="66"/>
      <c r="G508" s="66"/>
      <c r="H508" s="66"/>
      <c r="I508" s="64" t="str">
        <f>IF(OR($B508="", $D508="", $E508="", $F508="", $G508="", $H508=""),"",ROUND(($D508*Lists!$AN$20)+($E508*Lists!$AN$21)+($F508*Lists!$AN$22)+($G508*Lists!$AN$23)+($H508*Lists!$AN$24),2))</f>
        <v/>
      </c>
      <c r="J508" s="62"/>
      <c r="K508" s="65"/>
      <c r="L508" s="62"/>
    </row>
    <row r="509" spans="1:12" ht="15.75" customHeight="1" x14ac:dyDescent="0.2">
      <c r="A509" s="63" t="str">
        <f t="shared" si="8"/>
        <v/>
      </c>
      <c r="B509" s="63"/>
      <c r="C509" s="62" t="str">
        <f>IF($B509="","",IFERROR(VLOOKUP($B509,'Application Portfolio'!$A$2:$B$1000,2,FALSE()),""))</f>
        <v/>
      </c>
      <c r="D509" s="66"/>
      <c r="E509" s="66"/>
      <c r="F509" s="66"/>
      <c r="G509" s="66"/>
      <c r="H509" s="66"/>
      <c r="I509" s="64" t="str">
        <f>IF(OR($B509="", $D509="", $E509="", $F509="", $G509="", $H509=""),"",ROUND(($D509*Lists!$AN$20)+($E509*Lists!$AN$21)+($F509*Lists!$AN$22)+($G509*Lists!$AN$23)+($H509*Lists!$AN$24),2))</f>
        <v/>
      </c>
      <c r="J509" s="62"/>
      <c r="K509" s="65"/>
      <c r="L509" s="62"/>
    </row>
    <row r="510" spans="1:12" ht="15.75" customHeight="1" x14ac:dyDescent="0.2">
      <c r="A510" s="63" t="str">
        <f t="shared" si="8"/>
        <v/>
      </c>
      <c r="B510" s="63"/>
      <c r="C510" s="62" t="str">
        <f>IF($B510="","",IFERROR(VLOOKUP($B510,'Application Portfolio'!$A$2:$B$1000,2,FALSE()),""))</f>
        <v/>
      </c>
      <c r="D510" s="66"/>
      <c r="E510" s="66"/>
      <c r="F510" s="66"/>
      <c r="G510" s="66"/>
      <c r="H510" s="66"/>
      <c r="I510" s="64" t="str">
        <f>IF(OR($B510="", $D510="", $E510="", $F510="", $G510="", $H510=""),"",ROUND(($D510*Lists!$AN$20)+($E510*Lists!$AN$21)+($F510*Lists!$AN$22)+($G510*Lists!$AN$23)+($H510*Lists!$AN$24),2))</f>
        <v/>
      </c>
      <c r="J510" s="62"/>
      <c r="K510" s="65"/>
      <c r="L510" s="62"/>
    </row>
    <row r="511" spans="1:12" ht="15.75" customHeight="1" x14ac:dyDescent="0.2">
      <c r="A511" s="63" t="str">
        <f t="shared" si="8"/>
        <v/>
      </c>
      <c r="B511" s="63"/>
      <c r="C511" s="62" t="str">
        <f>IF($B511="","",IFERROR(VLOOKUP($B511,'Application Portfolio'!$A$2:$B$1000,2,FALSE()),""))</f>
        <v/>
      </c>
      <c r="D511" s="66"/>
      <c r="E511" s="66"/>
      <c r="F511" s="66"/>
      <c r="G511" s="66"/>
      <c r="H511" s="66"/>
      <c r="I511" s="64" t="str">
        <f>IF(OR($B511="", $D511="", $E511="", $F511="", $G511="", $H511=""),"",ROUND(($D511*Lists!$AN$20)+($E511*Lists!$AN$21)+($F511*Lists!$AN$22)+($G511*Lists!$AN$23)+($H511*Lists!$AN$24),2))</f>
        <v/>
      </c>
      <c r="J511" s="62"/>
      <c r="K511" s="65"/>
      <c r="L511" s="62"/>
    </row>
    <row r="512" spans="1:12" ht="15.75" customHeight="1" x14ac:dyDescent="0.2">
      <c r="A512" s="63" t="str">
        <f t="shared" si="8"/>
        <v/>
      </c>
      <c r="B512" s="63"/>
      <c r="C512" s="62" t="str">
        <f>IF($B512="","",IFERROR(VLOOKUP($B512,'Application Portfolio'!$A$2:$B$1000,2,FALSE()),""))</f>
        <v/>
      </c>
      <c r="D512" s="66"/>
      <c r="E512" s="66"/>
      <c r="F512" s="66"/>
      <c r="G512" s="66"/>
      <c r="H512" s="66"/>
      <c r="I512" s="64" t="str">
        <f>IF(OR($B512="", $D512="", $E512="", $F512="", $G512="", $H512=""),"",ROUND(($D512*Lists!$AN$20)+($E512*Lists!$AN$21)+($F512*Lists!$AN$22)+($G512*Lists!$AN$23)+($H512*Lists!$AN$24),2))</f>
        <v/>
      </c>
      <c r="J512" s="62"/>
      <c r="K512" s="65"/>
      <c r="L512" s="62"/>
    </row>
    <row r="513" spans="1:12" ht="15.75" customHeight="1" x14ac:dyDescent="0.2">
      <c r="A513" s="63" t="str">
        <f t="shared" si="8"/>
        <v/>
      </c>
      <c r="B513" s="63"/>
      <c r="C513" s="62" t="str">
        <f>IF($B513="","",IFERROR(VLOOKUP($B513,'Application Portfolio'!$A$2:$B$1000,2,FALSE()),""))</f>
        <v/>
      </c>
      <c r="D513" s="66"/>
      <c r="E513" s="66"/>
      <c r="F513" s="66"/>
      <c r="G513" s="66"/>
      <c r="H513" s="66"/>
      <c r="I513" s="64" t="str">
        <f>IF(OR($B513="", $D513="", $E513="", $F513="", $G513="", $H513=""),"",ROUND(($D513*Lists!$AN$20)+($E513*Lists!$AN$21)+($F513*Lists!$AN$22)+($G513*Lists!$AN$23)+($H513*Lists!$AN$24),2))</f>
        <v/>
      </c>
      <c r="J513" s="62"/>
      <c r="K513" s="65"/>
      <c r="L513" s="62"/>
    </row>
    <row r="514" spans="1:12" ht="15.75" customHeight="1" x14ac:dyDescent="0.2">
      <c r="A514" s="63" t="str">
        <f t="shared" si="8"/>
        <v/>
      </c>
      <c r="B514" s="63"/>
      <c r="C514" s="62" t="str">
        <f>IF($B514="","",IFERROR(VLOOKUP($B514,'Application Portfolio'!$A$2:$B$1000,2,FALSE()),""))</f>
        <v/>
      </c>
      <c r="D514" s="66"/>
      <c r="E514" s="66"/>
      <c r="F514" s="66"/>
      <c r="G514" s="66"/>
      <c r="H514" s="66"/>
      <c r="I514" s="64" t="str">
        <f>IF(OR($B514="", $D514="", $E514="", $F514="", $G514="", $H514=""),"",ROUND(($D514*Lists!$AN$20)+($E514*Lists!$AN$21)+($F514*Lists!$AN$22)+($G514*Lists!$AN$23)+($H514*Lists!$AN$24),2))</f>
        <v/>
      </c>
      <c r="J514" s="62"/>
      <c r="K514" s="65"/>
      <c r="L514" s="62"/>
    </row>
    <row r="515" spans="1:12" ht="15.75" customHeight="1" x14ac:dyDescent="0.2">
      <c r="A515" s="63" t="str">
        <f t="shared" si="8"/>
        <v/>
      </c>
      <c r="B515" s="63"/>
      <c r="C515" s="62" t="str">
        <f>IF($B515="","",IFERROR(VLOOKUP($B515,'Application Portfolio'!$A$2:$B$1000,2,FALSE()),""))</f>
        <v/>
      </c>
      <c r="D515" s="66"/>
      <c r="E515" s="66"/>
      <c r="F515" s="66"/>
      <c r="G515" s="66"/>
      <c r="H515" s="66"/>
      <c r="I515" s="64" t="str">
        <f>IF(OR($B515="", $D515="", $E515="", $F515="", $G515="", $H515=""),"",ROUND(($D515*Lists!$AN$20)+($E515*Lists!$AN$21)+($F515*Lists!$AN$22)+($G515*Lists!$AN$23)+($H515*Lists!$AN$24),2))</f>
        <v/>
      </c>
      <c r="J515" s="62"/>
      <c r="K515" s="65"/>
      <c r="L515" s="62"/>
    </row>
    <row r="516" spans="1:12" ht="15.75" customHeight="1" x14ac:dyDescent="0.2">
      <c r="A516" s="63" t="str">
        <f t="shared" si="8"/>
        <v/>
      </c>
      <c r="B516" s="63"/>
      <c r="C516" s="62" t="str">
        <f>IF($B516="","",IFERROR(VLOOKUP($B516,'Application Portfolio'!$A$2:$B$1000,2,FALSE()),""))</f>
        <v/>
      </c>
      <c r="D516" s="66"/>
      <c r="E516" s="66"/>
      <c r="F516" s="66"/>
      <c r="G516" s="66"/>
      <c r="H516" s="66"/>
      <c r="I516" s="64" t="str">
        <f>IF(OR($B516="", $D516="", $E516="", $F516="", $G516="", $H516=""),"",ROUND(($D516*Lists!$AN$20)+($E516*Lists!$AN$21)+($F516*Lists!$AN$22)+($G516*Lists!$AN$23)+($H516*Lists!$AN$24),2))</f>
        <v/>
      </c>
      <c r="J516" s="62"/>
      <c r="K516" s="65"/>
      <c r="L516" s="62"/>
    </row>
    <row r="517" spans="1:12" ht="15.75" customHeight="1" x14ac:dyDescent="0.2">
      <c r="A517" s="63" t="str">
        <f t="shared" si="8"/>
        <v/>
      </c>
      <c r="B517" s="63"/>
      <c r="C517" s="62" t="str">
        <f>IF($B517="","",IFERROR(VLOOKUP($B517,'Application Portfolio'!$A$2:$B$1000,2,FALSE()),""))</f>
        <v/>
      </c>
      <c r="D517" s="66"/>
      <c r="E517" s="66"/>
      <c r="F517" s="66"/>
      <c r="G517" s="66"/>
      <c r="H517" s="66"/>
      <c r="I517" s="64" t="str">
        <f>IF(OR($B517="", $D517="", $E517="", $F517="", $G517="", $H517=""),"",ROUND(($D517*Lists!$AN$20)+($E517*Lists!$AN$21)+($F517*Lists!$AN$22)+($G517*Lists!$AN$23)+($H517*Lists!$AN$24),2))</f>
        <v/>
      </c>
      <c r="J517" s="62"/>
      <c r="K517" s="65"/>
      <c r="L517" s="62"/>
    </row>
    <row r="518" spans="1:12" ht="15.75" customHeight="1" x14ac:dyDescent="0.2">
      <c r="A518" s="63" t="str">
        <f t="shared" si="8"/>
        <v/>
      </c>
      <c r="B518" s="63"/>
      <c r="C518" s="62" t="str">
        <f>IF($B518="","",IFERROR(VLOOKUP($B518,'Application Portfolio'!$A$2:$B$1000,2,FALSE()),""))</f>
        <v/>
      </c>
      <c r="D518" s="66"/>
      <c r="E518" s="66"/>
      <c r="F518" s="66"/>
      <c r="G518" s="66"/>
      <c r="H518" s="66"/>
      <c r="I518" s="64" t="str">
        <f>IF(OR($B518="", $D518="", $E518="", $F518="", $G518="", $H518=""),"",ROUND(($D518*Lists!$AN$20)+($E518*Lists!$AN$21)+($F518*Lists!$AN$22)+($G518*Lists!$AN$23)+($H518*Lists!$AN$24),2))</f>
        <v/>
      </c>
      <c r="J518" s="62"/>
      <c r="K518" s="65"/>
      <c r="L518" s="62"/>
    </row>
    <row r="519" spans="1:12" ht="15.75" customHeight="1" x14ac:dyDescent="0.2">
      <c r="A519" s="63" t="str">
        <f t="shared" si="8"/>
        <v/>
      </c>
      <c r="B519" s="63"/>
      <c r="C519" s="62" t="str">
        <f>IF($B519="","",IFERROR(VLOOKUP($B519,'Application Portfolio'!$A$2:$B$1000,2,FALSE()),""))</f>
        <v/>
      </c>
      <c r="D519" s="66"/>
      <c r="E519" s="66"/>
      <c r="F519" s="66"/>
      <c r="G519" s="66"/>
      <c r="H519" s="66"/>
      <c r="I519" s="64" t="str">
        <f>IF(OR($B519="", $D519="", $E519="", $F519="", $G519="", $H519=""),"",ROUND(($D519*Lists!$AN$20)+($E519*Lists!$AN$21)+($F519*Lists!$AN$22)+($G519*Lists!$AN$23)+($H519*Lists!$AN$24),2))</f>
        <v/>
      </c>
      <c r="J519" s="62"/>
      <c r="K519" s="65"/>
      <c r="L519" s="62"/>
    </row>
    <row r="520" spans="1:12" ht="15.75" customHeight="1" x14ac:dyDescent="0.2">
      <c r="A520" s="63" t="str">
        <f t="shared" si="8"/>
        <v/>
      </c>
      <c r="B520" s="63"/>
      <c r="C520" s="62" t="str">
        <f>IF($B520="","",IFERROR(VLOOKUP($B520,'Application Portfolio'!$A$2:$B$1000,2,FALSE()),""))</f>
        <v/>
      </c>
      <c r="D520" s="66"/>
      <c r="E520" s="66"/>
      <c r="F520" s="66"/>
      <c r="G520" s="66"/>
      <c r="H520" s="66"/>
      <c r="I520" s="64" t="str">
        <f>IF(OR($B520="", $D520="", $E520="", $F520="", $G520="", $H520=""),"",ROUND(($D520*Lists!$AN$20)+($E520*Lists!$AN$21)+($F520*Lists!$AN$22)+($G520*Lists!$AN$23)+($H520*Lists!$AN$24),2))</f>
        <v/>
      </c>
      <c r="J520" s="62"/>
      <c r="K520" s="65"/>
      <c r="L520" s="62"/>
    </row>
    <row r="521" spans="1:12" ht="15.75" customHeight="1" x14ac:dyDescent="0.2">
      <c r="A521" s="63" t="str">
        <f t="shared" si="8"/>
        <v/>
      </c>
      <c r="B521" s="63"/>
      <c r="C521" s="62" t="str">
        <f>IF($B521="","",IFERROR(VLOOKUP($B521,'Application Portfolio'!$A$2:$B$1000,2,FALSE()),""))</f>
        <v/>
      </c>
      <c r="D521" s="66"/>
      <c r="E521" s="66"/>
      <c r="F521" s="66"/>
      <c r="G521" s="66"/>
      <c r="H521" s="66"/>
      <c r="I521" s="64" t="str">
        <f>IF(OR($B521="", $D521="", $E521="", $F521="", $G521="", $H521=""),"",ROUND(($D521*Lists!$AN$20)+($E521*Lists!$AN$21)+($F521*Lists!$AN$22)+($G521*Lists!$AN$23)+($H521*Lists!$AN$24),2))</f>
        <v/>
      </c>
      <c r="J521" s="62"/>
      <c r="K521" s="65"/>
      <c r="L521" s="62"/>
    </row>
    <row r="522" spans="1:12" ht="15.75" customHeight="1" x14ac:dyDescent="0.2">
      <c r="A522" s="63" t="str">
        <f t="shared" si="8"/>
        <v/>
      </c>
      <c r="B522" s="63"/>
      <c r="C522" s="62" t="str">
        <f>IF($B522="","",IFERROR(VLOOKUP($B522,'Application Portfolio'!$A$2:$B$1000,2,FALSE()),""))</f>
        <v/>
      </c>
      <c r="D522" s="66"/>
      <c r="E522" s="66"/>
      <c r="F522" s="66"/>
      <c r="G522" s="66"/>
      <c r="H522" s="66"/>
      <c r="I522" s="64" t="str">
        <f>IF(OR($B522="", $D522="", $E522="", $F522="", $G522="", $H522=""),"",ROUND(($D522*Lists!$AN$20)+($E522*Lists!$AN$21)+($F522*Lists!$AN$22)+($G522*Lists!$AN$23)+($H522*Lists!$AN$24),2))</f>
        <v/>
      </c>
      <c r="J522" s="62"/>
      <c r="K522" s="65"/>
      <c r="L522" s="62"/>
    </row>
    <row r="523" spans="1:12" ht="15.75" customHeight="1" x14ac:dyDescent="0.2">
      <c r="A523" s="63" t="str">
        <f t="shared" si="8"/>
        <v/>
      </c>
      <c r="B523" s="63"/>
      <c r="C523" s="62" t="str">
        <f>IF($B523="","",IFERROR(VLOOKUP($B523,'Application Portfolio'!$A$2:$B$1000,2,FALSE()),""))</f>
        <v/>
      </c>
      <c r="D523" s="66"/>
      <c r="E523" s="66"/>
      <c r="F523" s="66"/>
      <c r="G523" s="66"/>
      <c r="H523" s="66"/>
      <c r="I523" s="64" t="str">
        <f>IF(OR($B523="", $D523="", $E523="", $F523="", $G523="", $H523=""),"",ROUND(($D523*Lists!$AN$20)+($E523*Lists!$AN$21)+($F523*Lists!$AN$22)+($G523*Lists!$AN$23)+($H523*Lists!$AN$24),2))</f>
        <v/>
      </c>
      <c r="J523" s="62"/>
      <c r="K523" s="65"/>
      <c r="L523" s="62"/>
    </row>
    <row r="524" spans="1:12" ht="15.75" customHeight="1" x14ac:dyDescent="0.2">
      <c r="A524" s="63" t="str">
        <f t="shared" si="8"/>
        <v/>
      </c>
      <c r="B524" s="63"/>
      <c r="C524" s="62" t="str">
        <f>IF($B524="","",IFERROR(VLOOKUP($B524,'Application Portfolio'!$A$2:$B$1000,2,FALSE()),""))</f>
        <v/>
      </c>
      <c r="D524" s="66"/>
      <c r="E524" s="66"/>
      <c r="F524" s="66"/>
      <c r="G524" s="66"/>
      <c r="H524" s="66"/>
      <c r="I524" s="64" t="str">
        <f>IF(OR($B524="", $D524="", $E524="", $F524="", $G524="", $H524=""),"",ROUND(($D524*Lists!$AN$20)+($E524*Lists!$AN$21)+($F524*Lists!$AN$22)+($G524*Lists!$AN$23)+($H524*Lists!$AN$24),2))</f>
        <v/>
      </c>
      <c r="J524" s="62"/>
      <c r="K524" s="65"/>
      <c r="L524" s="62"/>
    </row>
    <row r="525" spans="1:12" ht="15.75" customHeight="1" x14ac:dyDescent="0.2">
      <c r="A525" s="63" t="str">
        <f t="shared" si="8"/>
        <v/>
      </c>
      <c r="B525" s="63"/>
      <c r="C525" s="62" t="str">
        <f>IF($B525="","",IFERROR(VLOOKUP($B525,'Application Portfolio'!$A$2:$B$1000,2,FALSE()),""))</f>
        <v/>
      </c>
      <c r="D525" s="66"/>
      <c r="E525" s="66"/>
      <c r="F525" s="66"/>
      <c r="G525" s="66"/>
      <c r="H525" s="66"/>
      <c r="I525" s="64" t="str">
        <f>IF(OR($B525="", $D525="", $E525="", $F525="", $G525="", $H525=""),"",ROUND(($D525*Lists!$AN$20)+($E525*Lists!$AN$21)+($F525*Lists!$AN$22)+($G525*Lists!$AN$23)+($H525*Lists!$AN$24),2))</f>
        <v/>
      </c>
      <c r="J525" s="62"/>
      <c r="K525" s="65"/>
      <c r="L525" s="62"/>
    </row>
    <row r="526" spans="1:12" ht="15.75" customHeight="1" x14ac:dyDescent="0.2">
      <c r="A526" s="63" t="str">
        <f t="shared" si="8"/>
        <v/>
      </c>
      <c r="B526" s="63"/>
      <c r="C526" s="62" t="str">
        <f>IF($B526="","",IFERROR(VLOOKUP($B526,'Application Portfolio'!$A$2:$B$1000,2,FALSE()),""))</f>
        <v/>
      </c>
      <c r="D526" s="66"/>
      <c r="E526" s="66"/>
      <c r="F526" s="66"/>
      <c r="G526" s="66"/>
      <c r="H526" s="66"/>
      <c r="I526" s="64" t="str">
        <f>IF(OR($B526="", $D526="", $E526="", $F526="", $G526="", $H526=""),"",ROUND(($D526*Lists!$AN$20)+($E526*Lists!$AN$21)+($F526*Lists!$AN$22)+($G526*Lists!$AN$23)+($H526*Lists!$AN$24),2))</f>
        <v/>
      </c>
      <c r="J526" s="62"/>
      <c r="K526" s="65"/>
      <c r="L526" s="62"/>
    </row>
    <row r="527" spans="1:12" ht="15.75" customHeight="1" x14ac:dyDescent="0.2">
      <c r="A527" s="63" t="str">
        <f t="shared" si="8"/>
        <v/>
      </c>
      <c r="B527" s="63"/>
      <c r="C527" s="62" t="str">
        <f>IF($B527="","",IFERROR(VLOOKUP($B527,'Application Portfolio'!$A$2:$B$1000,2,FALSE()),""))</f>
        <v/>
      </c>
      <c r="D527" s="66"/>
      <c r="E527" s="66"/>
      <c r="F527" s="66"/>
      <c r="G527" s="66"/>
      <c r="H527" s="66"/>
      <c r="I527" s="64" t="str">
        <f>IF(OR($B527="", $D527="", $E527="", $F527="", $G527="", $H527=""),"",ROUND(($D527*Lists!$AN$20)+($E527*Lists!$AN$21)+($F527*Lists!$AN$22)+($G527*Lists!$AN$23)+($H527*Lists!$AN$24),2))</f>
        <v/>
      </c>
      <c r="J527" s="62"/>
      <c r="K527" s="65"/>
      <c r="L527" s="62"/>
    </row>
    <row r="528" spans="1:12" ht="15.75" customHeight="1" x14ac:dyDescent="0.2">
      <c r="A528" s="63" t="str">
        <f t="shared" si="8"/>
        <v/>
      </c>
      <c r="B528" s="63"/>
      <c r="C528" s="62" t="str">
        <f>IF($B528="","",IFERROR(VLOOKUP($B528,'Application Portfolio'!$A$2:$B$1000,2,FALSE()),""))</f>
        <v/>
      </c>
      <c r="D528" s="66"/>
      <c r="E528" s="66"/>
      <c r="F528" s="66"/>
      <c r="G528" s="66"/>
      <c r="H528" s="66"/>
      <c r="I528" s="64" t="str">
        <f>IF(OR($B528="", $D528="", $E528="", $F528="", $G528="", $H528=""),"",ROUND(($D528*Lists!$AN$20)+($E528*Lists!$AN$21)+($F528*Lists!$AN$22)+($G528*Lists!$AN$23)+($H528*Lists!$AN$24),2))</f>
        <v/>
      </c>
      <c r="J528" s="62"/>
      <c r="K528" s="65"/>
      <c r="L528" s="62"/>
    </row>
    <row r="529" spans="1:12" ht="15.75" customHeight="1" x14ac:dyDescent="0.2">
      <c r="A529" s="63" t="str">
        <f t="shared" si="8"/>
        <v/>
      </c>
      <c r="B529" s="63"/>
      <c r="C529" s="62" t="str">
        <f>IF($B529="","",IFERROR(VLOOKUP($B529,'Application Portfolio'!$A$2:$B$1000,2,FALSE()),""))</f>
        <v/>
      </c>
      <c r="D529" s="66"/>
      <c r="E529" s="66"/>
      <c r="F529" s="66"/>
      <c r="G529" s="66"/>
      <c r="H529" s="66"/>
      <c r="I529" s="64" t="str">
        <f>IF(OR($B529="", $D529="", $E529="", $F529="", $G529="", $H529=""),"",ROUND(($D529*Lists!$AN$20)+($E529*Lists!$AN$21)+($F529*Lists!$AN$22)+($G529*Lists!$AN$23)+($H529*Lists!$AN$24),2))</f>
        <v/>
      </c>
      <c r="J529" s="62"/>
      <c r="K529" s="65"/>
      <c r="L529" s="62"/>
    </row>
    <row r="530" spans="1:12" ht="15.75" customHeight="1" x14ac:dyDescent="0.2">
      <c r="A530" s="63" t="str">
        <f t="shared" si="8"/>
        <v/>
      </c>
      <c r="B530" s="63"/>
      <c r="C530" s="62" t="str">
        <f>IF($B530="","",IFERROR(VLOOKUP($B530,'Application Portfolio'!$A$2:$B$1000,2,FALSE()),""))</f>
        <v/>
      </c>
      <c r="D530" s="66"/>
      <c r="E530" s="66"/>
      <c r="F530" s="66"/>
      <c r="G530" s="66"/>
      <c r="H530" s="66"/>
      <c r="I530" s="64" t="str">
        <f>IF(OR($B530="", $D530="", $E530="", $F530="", $G530="", $H530=""),"",ROUND(($D530*Lists!$AN$20)+($E530*Lists!$AN$21)+($F530*Lists!$AN$22)+($G530*Lists!$AN$23)+($H530*Lists!$AN$24),2))</f>
        <v/>
      </c>
      <c r="J530" s="62"/>
      <c r="K530" s="65"/>
      <c r="L530" s="62"/>
    </row>
    <row r="531" spans="1:12" ht="15.75" customHeight="1" x14ac:dyDescent="0.2">
      <c r="A531" s="63" t="str">
        <f t="shared" si="8"/>
        <v/>
      </c>
      <c r="B531" s="63"/>
      <c r="C531" s="62" t="str">
        <f>IF($B531="","",IFERROR(VLOOKUP($B531,'Application Portfolio'!$A$2:$B$1000,2,FALSE()),""))</f>
        <v/>
      </c>
      <c r="D531" s="66"/>
      <c r="E531" s="66"/>
      <c r="F531" s="66"/>
      <c r="G531" s="66"/>
      <c r="H531" s="66"/>
      <c r="I531" s="64" t="str">
        <f>IF(OR($B531="", $D531="", $E531="", $F531="", $G531="", $H531=""),"",ROUND(($D531*Lists!$AN$20)+($E531*Lists!$AN$21)+($F531*Lists!$AN$22)+($G531*Lists!$AN$23)+($H531*Lists!$AN$24),2))</f>
        <v/>
      </c>
      <c r="J531" s="62"/>
      <c r="K531" s="65"/>
      <c r="L531" s="62"/>
    </row>
    <row r="532" spans="1:12" ht="15.75" customHeight="1" x14ac:dyDescent="0.2">
      <c r="A532" s="63" t="str">
        <f t="shared" si="8"/>
        <v/>
      </c>
      <c r="B532" s="63"/>
      <c r="C532" s="62" t="str">
        <f>IF($B532="","",IFERROR(VLOOKUP($B532,'Application Portfolio'!$A$2:$B$1000,2,FALSE()),""))</f>
        <v/>
      </c>
      <c r="D532" s="66"/>
      <c r="E532" s="66"/>
      <c r="F532" s="66"/>
      <c r="G532" s="66"/>
      <c r="H532" s="66"/>
      <c r="I532" s="64" t="str">
        <f>IF(OR($B532="", $D532="", $E532="", $F532="", $G532="", $H532=""),"",ROUND(($D532*Lists!$AN$20)+($E532*Lists!$AN$21)+($F532*Lists!$AN$22)+($G532*Lists!$AN$23)+($H532*Lists!$AN$24),2))</f>
        <v/>
      </c>
      <c r="J532" s="62"/>
      <c r="K532" s="65"/>
      <c r="L532" s="62"/>
    </row>
    <row r="533" spans="1:12" ht="15.75" customHeight="1" x14ac:dyDescent="0.2">
      <c r="A533" s="63" t="str">
        <f t="shared" si="8"/>
        <v/>
      </c>
      <c r="B533" s="63"/>
      <c r="C533" s="62" t="str">
        <f>IF($B533="","",IFERROR(VLOOKUP($B533,'Application Portfolio'!$A$2:$B$1000,2,FALSE()),""))</f>
        <v/>
      </c>
      <c r="D533" s="66"/>
      <c r="E533" s="66"/>
      <c r="F533" s="66"/>
      <c r="G533" s="66"/>
      <c r="H533" s="66"/>
      <c r="I533" s="64" t="str">
        <f>IF(OR($B533="", $D533="", $E533="", $F533="", $G533="", $H533=""),"",ROUND(($D533*Lists!$AN$20)+($E533*Lists!$AN$21)+($F533*Lists!$AN$22)+($G533*Lists!$AN$23)+($H533*Lists!$AN$24),2))</f>
        <v/>
      </c>
      <c r="J533" s="62"/>
      <c r="K533" s="65"/>
      <c r="L533" s="62"/>
    </row>
    <row r="534" spans="1:12" ht="15.75" customHeight="1" x14ac:dyDescent="0.2">
      <c r="A534" s="63" t="str">
        <f t="shared" si="8"/>
        <v/>
      </c>
      <c r="B534" s="63"/>
      <c r="C534" s="62" t="str">
        <f>IF($B534="","",IFERROR(VLOOKUP($B534,'Application Portfolio'!$A$2:$B$1000,2,FALSE()),""))</f>
        <v/>
      </c>
      <c r="D534" s="66"/>
      <c r="E534" s="66"/>
      <c r="F534" s="66"/>
      <c r="G534" s="66"/>
      <c r="H534" s="66"/>
      <c r="I534" s="64" t="str">
        <f>IF(OR($B534="", $D534="", $E534="", $F534="", $G534="", $H534=""),"",ROUND(($D534*Lists!$AN$20)+($E534*Lists!$AN$21)+($F534*Lists!$AN$22)+($G534*Lists!$AN$23)+($H534*Lists!$AN$24),2))</f>
        <v/>
      </c>
      <c r="J534" s="62"/>
      <c r="K534" s="65"/>
      <c r="L534" s="62"/>
    </row>
    <row r="535" spans="1:12" ht="15.75" customHeight="1" x14ac:dyDescent="0.2">
      <c r="A535" s="63" t="str">
        <f t="shared" si="8"/>
        <v/>
      </c>
      <c r="B535" s="63"/>
      <c r="C535" s="62" t="str">
        <f>IF($B535="","",IFERROR(VLOOKUP($B535,'Application Portfolio'!$A$2:$B$1000,2,FALSE()),""))</f>
        <v/>
      </c>
      <c r="D535" s="66"/>
      <c r="E535" s="66"/>
      <c r="F535" s="66"/>
      <c r="G535" s="66"/>
      <c r="H535" s="66"/>
      <c r="I535" s="64" t="str">
        <f>IF(OR($B535="", $D535="", $E535="", $F535="", $G535="", $H535=""),"",ROUND(($D535*Lists!$AN$20)+($E535*Lists!$AN$21)+($F535*Lists!$AN$22)+($G535*Lists!$AN$23)+($H535*Lists!$AN$24),2))</f>
        <v/>
      </c>
      <c r="J535" s="62"/>
      <c r="K535" s="65"/>
      <c r="L535" s="62"/>
    </row>
    <row r="536" spans="1:12" ht="15.75" customHeight="1" x14ac:dyDescent="0.2">
      <c r="A536" s="63" t="str">
        <f t="shared" si="8"/>
        <v/>
      </c>
      <c r="B536" s="63"/>
      <c r="C536" s="62" t="str">
        <f>IF($B536="","",IFERROR(VLOOKUP($B536,'Application Portfolio'!$A$2:$B$1000,2,FALSE()),""))</f>
        <v/>
      </c>
      <c r="D536" s="66"/>
      <c r="E536" s="66"/>
      <c r="F536" s="66"/>
      <c r="G536" s="66"/>
      <c r="H536" s="66"/>
      <c r="I536" s="64" t="str">
        <f>IF(OR($B536="", $D536="", $E536="", $F536="", $G536="", $H536=""),"",ROUND(($D536*Lists!$AN$20)+($E536*Lists!$AN$21)+($F536*Lists!$AN$22)+($G536*Lists!$AN$23)+($H536*Lists!$AN$24),2))</f>
        <v/>
      </c>
      <c r="J536" s="62"/>
      <c r="K536" s="65"/>
      <c r="L536" s="62"/>
    </row>
    <row r="537" spans="1:12" ht="15.75" customHeight="1" x14ac:dyDescent="0.2">
      <c r="A537" s="63" t="str">
        <f t="shared" si="8"/>
        <v/>
      </c>
      <c r="B537" s="63"/>
      <c r="C537" s="62" t="str">
        <f>IF($B537="","",IFERROR(VLOOKUP($B537,'Application Portfolio'!$A$2:$B$1000,2,FALSE()),""))</f>
        <v/>
      </c>
      <c r="D537" s="66"/>
      <c r="E537" s="66"/>
      <c r="F537" s="66"/>
      <c r="G537" s="66"/>
      <c r="H537" s="66"/>
      <c r="I537" s="64" t="str">
        <f>IF(OR($B537="", $D537="", $E537="", $F537="", $G537="", $H537=""),"",ROUND(($D537*Lists!$AN$20)+($E537*Lists!$AN$21)+($F537*Lists!$AN$22)+($G537*Lists!$AN$23)+($H537*Lists!$AN$24),2))</f>
        <v/>
      </c>
      <c r="J537" s="62"/>
      <c r="K537" s="65"/>
      <c r="L537" s="62"/>
    </row>
    <row r="538" spans="1:12" ht="15.75" customHeight="1" x14ac:dyDescent="0.2">
      <c r="A538" s="63" t="str">
        <f t="shared" si="8"/>
        <v/>
      </c>
      <c r="B538" s="63"/>
      <c r="C538" s="62" t="str">
        <f>IF($B538="","",IFERROR(VLOOKUP($B538,'Application Portfolio'!$A$2:$B$1000,2,FALSE()),""))</f>
        <v/>
      </c>
      <c r="D538" s="66"/>
      <c r="E538" s="66"/>
      <c r="F538" s="66"/>
      <c r="G538" s="66"/>
      <c r="H538" s="66"/>
      <c r="I538" s="64" t="str">
        <f>IF(OR($B538="", $D538="", $E538="", $F538="", $G538="", $H538=""),"",ROUND(($D538*Lists!$AN$20)+($E538*Lists!$AN$21)+($F538*Lists!$AN$22)+($G538*Lists!$AN$23)+($H538*Lists!$AN$24),2))</f>
        <v/>
      </c>
      <c r="J538" s="62"/>
      <c r="K538" s="65"/>
      <c r="L538" s="62"/>
    </row>
    <row r="539" spans="1:12" ht="15.75" customHeight="1" x14ac:dyDescent="0.2">
      <c r="A539" s="63" t="str">
        <f t="shared" si="8"/>
        <v/>
      </c>
      <c r="B539" s="63"/>
      <c r="C539" s="62" t="str">
        <f>IF($B539="","",IFERROR(VLOOKUP($B539,'Application Portfolio'!$A$2:$B$1000,2,FALSE()),""))</f>
        <v/>
      </c>
      <c r="D539" s="66"/>
      <c r="E539" s="66"/>
      <c r="F539" s="66"/>
      <c r="G539" s="66"/>
      <c r="H539" s="66"/>
      <c r="I539" s="64" t="str">
        <f>IF(OR($B539="", $D539="", $E539="", $F539="", $G539="", $H539=""),"",ROUND(($D539*Lists!$AN$20)+($E539*Lists!$AN$21)+($F539*Lists!$AN$22)+($G539*Lists!$AN$23)+($H539*Lists!$AN$24),2))</f>
        <v/>
      </c>
      <c r="J539" s="62"/>
      <c r="K539" s="65"/>
      <c r="L539" s="62"/>
    </row>
    <row r="540" spans="1:12" ht="15.75" customHeight="1" x14ac:dyDescent="0.2">
      <c r="A540" s="63" t="str">
        <f t="shared" si="8"/>
        <v/>
      </c>
      <c r="B540" s="63"/>
      <c r="C540" s="62" t="str">
        <f>IF($B540="","",IFERROR(VLOOKUP($B540,'Application Portfolio'!$A$2:$B$1000,2,FALSE()),""))</f>
        <v/>
      </c>
      <c r="D540" s="66"/>
      <c r="E540" s="66"/>
      <c r="F540" s="66"/>
      <c r="G540" s="66"/>
      <c r="H540" s="66"/>
      <c r="I540" s="64" t="str">
        <f>IF(OR($B540="", $D540="", $E540="", $F540="", $G540="", $H540=""),"",ROUND(($D540*Lists!$AN$20)+($E540*Lists!$AN$21)+($F540*Lists!$AN$22)+($G540*Lists!$AN$23)+($H540*Lists!$AN$24),2))</f>
        <v/>
      </c>
      <c r="J540" s="62"/>
      <c r="K540" s="65"/>
      <c r="L540" s="62"/>
    </row>
    <row r="541" spans="1:12" ht="15.75" customHeight="1" x14ac:dyDescent="0.2">
      <c r="A541" s="63" t="str">
        <f t="shared" si="8"/>
        <v/>
      </c>
      <c r="B541" s="63"/>
      <c r="C541" s="62" t="str">
        <f>IF($B541="","",IFERROR(VLOOKUP($B541,'Application Portfolio'!$A$2:$B$1000,2,FALSE()),""))</f>
        <v/>
      </c>
      <c r="D541" s="66"/>
      <c r="E541" s="66"/>
      <c r="F541" s="66"/>
      <c r="G541" s="66"/>
      <c r="H541" s="66"/>
      <c r="I541" s="64" t="str">
        <f>IF(OR($B541="", $D541="", $E541="", $F541="", $G541="", $H541=""),"",ROUND(($D541*Lists!$AN$20)+($E541*Lists!$AN$21)+($F541*Lists!$AN$22)+($G541*Lists!$AN$23)+($H541*Lists!$AN$24),2))</f>
        <v/>
      </c>
      <c r="J541" s="62"/>
      <c r="K541" s="65"/>
      <c r="L541" s="62"/>
    </row>
    <row r="542" spans="1:12" ht="15.75" customHeight="1" x14ac:dyDescent="0.2">
      <c r="A542" s="63" t="str">
        <f t="shared" si="8"/>
        <v/>
      </c>
      <c r="B542" s="63"/>
      <c r="C542" s="62" t="str">
        <f>IF($B542="","",IFERROR(VLOOKUP($B542,'Application Portfolio'!$A$2:$B$1000,2,FALSE()),""))</f>
        <v/>
      </c>
      <c r="D542" s="66"/>
      <c r="E542" s="66"/>
      <c r="F542" s="66"/>
      <c r="G542" s="66"/>
      <c r="H542" s="66"/>
      <c r="I542" s="64" t="str">
        <f>IF(OR($B542="", $D542="", $E542="", $F542="", $G542="", $H542=""),"",ROUND(($D542*Lists!$AN$20)+($E542*Lists!$AN$21)+($F542*Lists!$AN$22)+($G542*Lists!$AN$23)+($H542*Lists!$AN$24),2))</f>
        <v/>
      </c>
      <c r="J542" s="62"/>
      <c r="K542" s="65"/>
      <c r="L542" s="62"/>
    </row>
    <row r="543" spans="1:12" ht="15.75" customHeight="1" x14ac:dyDescent="0.2">
      <c r="A543" s="63" t="str">
        <f t="shared" si="8"/>
        <v/>
      </c>
      <c r="B543" s="63"/>
      <c r="C543" s="62" t="str">
        <f>IF($B543="","",IFERROR(VLOOKUP($B543,'Application Portfolio'!$A$2:$B$1000,2,FALSE()),""))</f>
        <v/>
      </c>
      <c r="D543" s="66"/>
      <c r="E543" s="66"/>
      <c r="F543" s="66"/>
      <c r="G543" s="66"/>
      <c r="H543" s="66"/>
      <c r="I543" s="64" t="str">
        <f>IF(OR($B543="", $D543="", $E543="", $F543="", $G543="", $H543=""),"",ROUND(($D543*Lists!$AN$20)+($E543*Lists!$AN$21)+($F543*Lists!$AN$22)+($G543*Lists!$AN$23)+($H543*Lists!$AN$24),2))</f>
        <v/>
      </c>
      <c r="J543" s="62"/>
      <c r="K543" s="65"/>
      <c r="L543" s="62"/>
    </row>
    <row r="544" spans="1:12" ht="15.75" customHeight="1" x14ac:dyDescent="0.2">
      <c r="A544" s="63" t="str">
        <f t="shared" ref="A544:A607" si="9">IF($B544="","", "R-" &amp; RIGHT("0000"&amp;ROW()-1,4))</f>
        <v/>
      </c>
      <c r="B544" s="63"/>
      <c r="C544" s="62" t="str">
        <f>IF($B544="","",IFERROR(VLOOKUP($B544,'Application Portfolio'!$A$2:$B$1000,2,FALSE()),""))</f>
        <v/>
      </c>
      <c r="D544" s="66"/>
      <c r="E544" s="66"/>
      <c r="F544" s="66"/>
      <c r="G544" s="66"/>
      <c r="H544" s="66"/>
      <c r="I544" s="64" t="str">
        <f>IF(OR($B544="", $D544="", $E544="", $F544="", $G544="", $H544=""),"",ROUND(($D544*Lists!$AN$20)+($E544*Lists!$AN$21)+($F544*Lists!$AN$22)+($G544*Lists!$AN$23)+($H544*Lists!$AN$24),2))</f>
        <v/>
      </c>
      <c r="J544" s="62"/>
      <c r="K544" s="65"/>
      <c r="L544" s="62"/>
    </row>
    <row r="545" spans="1:12" ht="15.75" customHeight="1" x14ac:dyDescent="0.2">
      <c r="A545" s="63" t="str">
        <f t="shared" si="9"/>
        <v/>
      </c>
      <c r="B545" s="63"/>
      <c r="C545" s="62" t="str">
        <f>IF($B545="","",IFERROR(VLOOKUP($B545,'Application Portfolio'!$A$2:$B$1000,2,FALSE()),""))</f>
        <v/>
      </c>
      <c r="D545" s="66"/>
      <c r="E545" s="66"/>
      <c r="F545" s="66"/>
      <c r="G545" s="66"/>
      <c r="H545" s="66"/>
      <c r="I545" s="64" t="str">
        <f>IF(OR($B545="", $D545="", $E545="", $F545="", $G545="", $H545=""),"",ROUND(($D545*Lists!$AN$20)+($E545*Lists!$AN$21)+($F545*Lists!$AN$22)+($G545*Lists!$AN$23)+($H545*Lists!$AN$24),2))</f>
        <v/>
      </c>
      <c r="J545" s="62"/>
      <c r="K545" s="65"/>
      <c r="L545" s="62"/>
    </row>
    <row r="546" spans="1:12" ht="15.75" customHeight="1" x14ac:dyDescent="0.2">
      <c r="A546" s="63" t="str">
        <f t="shared" si="9"/>
        <v/>
      </c>
      <c r="B546" s="63"/>
      <c r="C546" s="62" t="str">
        <f>IF($B546="","",IFERROR(VLOOKUP($B546,'Application Portfolio'!$A$2:$B$1000,2,FALSE()),""))</f>
        <v/>
      </c>
      <c r="D546" s="66"/>
      <c r="E546" s="66"/>
      <c r="F546" s="66"/>
      <c r="G546" s="66"/>
      <c r="H546" s="66"/>
      <c r="I546" s="64" t="str">
        <f>IF(OR($B546="", $D546="", $E546="", $F546="", $G546="", $H546=""),"",ROUND(($D546*Lists!$AN$20)+($E546*Lists!$AN$21)+($F546*Lists!$AN$22)+($G546*Lists!$AN$23)+($H546*Lists!$AN$24),2))</f>
        <v/>
      </c>
      <c r="J546" s="62"/>
      <c r="K546" s="65"/>
      <c r="L546" s="62"/>
    </row>
    <row r="547" spans="1:12" ht="15.75" customHeight="1" x14ac:dyDescent="0.2">
      <c r="A547" s="63" t="str">
        <f t="shared" si="9"/>
        <v/>
      </c>
      <c r="B547" s="63"/>
      <c r="C547" s="62" t="str">
        <f>IF($B547="","",IFERROR(VLOOKUP($B547,'Application Portfolio'!$A$2:$B$1000,2,FALSE()),""))</f>
        <v/>
      </c>
      <c r="D547" s="66"/>
      <c r="E547" s="66"/>
      <c r="F547" s="66"/>
      <c r="G547" s="66"/>
      <c r="H547" s="66"/>
      <c r="I547" s="64" t="str">
        <f>IF(OR($B547="", $D547="", $E547="", $F547="", $G547="", $H547=""),"",ROUND(($D547*Lists!$AN$20)+($E547*Lists!$AN$21)+($F547*Lists!$AN$22)+($G547*Lists!$AN$23)+($H547*Lists!$AN$24),2))</f>
        <v/>
      </c>
      <c r="J547" s="62"/>
      <c r="K547" s="65"/>
      <c r="L547" s="62"/>
    </row>
    <row r="548" spans="1:12" ht="15.75" customHeight="1" x14ac:dyDescent="0.2">
      <c r="A548" s="63" t="str">
        <f t="shared" si="9"/>
        <v/>
      </c>
      <c r="B548" s="63"/>
      <c r="C548" s="62" t="str">
        <f>IF($B548="","",IFERROR(VLOOKUP($B548,'Application Portfolio'!$A$2:$B$1000,2,FALSE()),""))</f>
        <v/>
      </c>
      <c r="D548" s="66"/>
      <c r="E548" s="66"/>
      <c r="F548" s="66"/>
      <c r="G548" s="66"/>
      <c r="H548" s="66"/>
      <c r="I548" s="64" t="str">
        <f>IF(OR($B548="", $D548="", $E548="", $F548="", $G548="", $H548=""),"",ROUND(($D548*Lists!$AN$20)+($E548*Lists!$AN$21)+($F548*Lists!$AN$22)+($G548*Lists!$AN$23)+($H548*Lists!$AN$24),2))</f>
        <v/>
      </c>
      <c r="J548" s="62"/>
      <c r="K548" s="65"/>
      <c r="L548" s="62"/>
    </row>
    <row r="549" spans="1:12" ht="15.75" customHeight="1" x14ac:dyDescent="0.2">
      <c r="A549" s="63" t="str">
        <f t="shared" si="9"/>
        <v/>
      </c>
      <c r="B549" s="63"/>
      <c r="C549" s="62" t="str">
        <f>IF($B549="","",IFERROR(VLOOKUP($B549,'Application Portfolio'!$A$2:$B$1000,2,FALSE()),""))</f>
        <v/>
      </c>
      <c r="D549" s="66"/>
      <c r="E549" s="66"/>
      <c r="F549" s="66"/>
      <c r="G549" s="66"/>
      <c r="H549" s="66"/>
      <c r="I549" s="64" t="str">
        <f>IF(OR($B549="", $D549="", $E549="", $F549="", $G549="", $H549=""),"",ROUND(($D549*Lists!$AN$20)+($E549*Lists!$AN$21)+($F549*Lists!$AN$22)+($G549*Lists!$AN$23)+($H549*Lists!$AN$24),2))</f>
        <v/>
      </c>
      <c r="J549" s="62"/>
      <c r="K549" s="65"/>
      <c r="L549" s="62"/>
    </row>
    <row r="550" spans="1:12" ht="15.75" customHeight="1" x14ac:dyDescent="0.2">
      <c r="A550" s="63" t="str">
        <f t="shared" si="9"/>
        <v/>
      </c>
      <c r="B550" s="63"/>
      <c r="C550" s="62" t="str">
        <f>IF($B550="","",IFERROR(VLOOKUP($B550,'Application Portfolio'!$A$2:$B$1000,2,FALSE()),""))</f>
        <v/>
      </c>
      <c r="D550" s="66"/>
      <c r="E550" s="66"/>
      <c r="F550" s="66"/>
      <c r="G550" s="66"/>
      <c r="H550" s="66"/>
      <c r="I550" s="64" t="str">
        <f>IF(OR($B550="", $D550="", $E550="", $F550="", $G550="", $H550=""),"",ROUND(($D550*Lists!$AN$20)+($E550*Lists!$AN$21)+($F550*Lists!$AN$22)+($G550*Lists!$AN$23)+($H550*Lists!$AN$24),2))</f>
        <v/>
      </c>
      <c r="J550" s="62"/>
      <c r="K550" s="65"/>
      <c r="L550" s="62"/>
    </row>
    <row r="551" spans="1:12" ht="15.75" customHeight="1" x14ac:dyDescent="0.2">
      <c r="A551" s="63" t="str">
        <f t="shared" si="9"/>
        <v/>
      </c>
      <c r="B551" s="63"/>
      <c r="C551" s="62" t="str">
        <f>IF($B551="","",IFERROR(VLOOKUP($B551,'Application Portfolio'!$A$2:$B$1000,2,FALSE()),""))</f>
        <v/>
      </c>
      <c r="D551" s="66"/>
      <c r="E551" s="66"/>
      <c r="F551" s="66"/>
      <c r="G551" s="66"/>
      <c r="H551" s="66"/>
      <c r="I551" s="64" t="str">
        <f>IF(OR($B551="", $D551="", $E551="", $F551="", $G551="", $H551=""),"",ROUND(($D551*Lists!$AN$20)+($E551*Lists!$AN$21)+($F551*Lists!$AN$22)+($G551*Lists!$AN$23)+($H551*Lists!$AN$24),2))</f>
        <v/>
      </c>
      <c r="J551" s="62"/>
      <c r="K551" s="65"/>
      <c r="L551" s="62"/>
    </row>
    <row r="552" spans="1:12" ht="15.75" customHeight="1" x14ac:dyDescent="0.2">
      <c r="A552" s="63" t="str">
        <f t="shared" si="9"/>
        <v/>
      </c>
      <c r="B552" s="63"/>
      <c r="C552" s="62" t="str">
        <f>IF($B552="","",IFERROR(VLOOKUP($B552,'Application Portfolio'!$A$2:$B$1000,2,FALSE()),""))</f>
        <v/>
      </c>
      <c r="D552" s="66"/>
      <c r="E552" s="66"/>
      <c r="F552" s="66"/>
      <c r="G552" s="66"/>
      <c r="H552" s="66"/>
      <c r="I552" s="64" t="str">
        <f>IF(OR($B552="", $D552="", $E552="", $F552="", $G552="", $H552=""),"",ROUND(($D552*Lists!$AN$20)+($E552*Lists!$AN$21)+($F552*Lists!$AN$22)+($G552*Lists!$AN$23)+($H552*Lists!$AN$24),2))</f>
        <v/>
      </c>
      <c r="J552" s="62"/>
      <c r="K552" s="65"/>
      <c r="L552" s="62"/>
    </row>
    <row r="553" spans="1:12" ht="15.75" customHeight="1" x14ac:dyDescent="0.2">
      <c r="A553" s="63" t="str">
        <f t="shared" si="9"/>
        <v/>
      </c>
      <c r="B553" s="63"/>
      <c r="C553" s="62" t="str">
        <f>IF($B553="","",IFERROR(VLOOKUP($B553,'Application Portfolio'!$A$2:$B$1000,2,FALSE()),""))</f>
        <v/>
      </c>
      <c r="D553" s="66"/>
      <c r="E553" s="66"/>
      <c r="F553" s="66"/>
      <c r="G553" s="66"/>
      <c r="H553" s="66"/>
      <c r="I553" s="64" t="str">
        <f>IF(OR($B553="", $D553="", $E553="", $F553="", $G553="", $H553=""),"",ROUND(($D553*Lists!$AN$20)+($E553*Lists!$AN$21)+($F553*Lists!$AN$22)+($G553*Lists!$AN$23)+($H553*Lists!$AN$24),2))</f>
        <v/>
      </c>
      <c r="J553" s="62"/>
      <c r="K553" s="65"/>
      <c r="L553" s="62"/>
    </row>
    <row r="554" spans="1:12" ht="15.75" customHeight="1" x14ac:dyDescent="0.2">
      <c r="A554" s="63" t="str">
        <f t="shared" si="9"/>
        <v/>
      </c>
      <c r="B554" s="63"/>
      <c r="C554" s="62" t="str">
        <f>IF($B554="","",IFERROR(VLOOKUP($B554,'Application Portfolio'!$A$2:$B$1000,2,FALSE()),""))</f>
        <v/>
      </c>
      <c r="D554" s="66"/>
      <c r="E554" s="66"/>
      <c r="F554" s="66"/>
      <c r="G554" s="66"/>
      <c r="H554" s="66"/>
      <c r="I554" s="64" t="str">
        <f>IF(OR($B554="", $D554="", $E554="", $F554="", $G554="", $H554=""),"",ROUND(($D554*Lists!$AN$20)+($E554*Lists!$AN$21)+($F554*Lists!$AN$22)+($G554*Lists!$AN$23)+($H554*Lists!$AN$24),2))</f>
        <v/>
      </c>
      <c r="J554" s="62"/>
      <c r="K554" s="65"/>
      <c r="L554" s="62"/>
    </row>
    <row r="555" spans="1:12" ht="15.75" customHeight="1" x14ac:dyDescent="0.2">
      <c r="A555" s="63" t="str">
        <f t="shared" si="9"/>
        <v/>
      </c>
      <c r="B555" s="63"/>
      <c r="C555" s="62" t="str">
        <f>IF($B555="","",IFERROR(VLOOKUP($B555,'Application Portfolio'!$A$2:$B$1000,2,FALSE()),""))</f>
        <v/>
      </c>
      <c r="D555" s="66"/>
      <c r="E555" s="66"/>
      <c r="F555" s="66"/>
      <c r="G555" s="66"/>
      <c r="H555" s="66"/>
      <c r="I555" s="64" t="str">
        <f>IF(OR($B555="", $D555="", $E555="", $F555="", $G555="", $H555=""),"",ROUND(($D555*Lists!$AN$20)+($E555*Lists!$AN$21)+($F555*Lists!$AN$22)+($G555*Lists!$AN$23)+($H555*Lists!$AN$24),2))</f>
        <v/>
      </c>
      <c r="J555" s="62"/>
      <c r="K555" s="65"/>
      <c r="L555" s="62"/>
    </row>
    <row r="556" spans="1:12" ht="15.75" customHeight="1" x14ac:dyDescent="0.2">
      <c r="A556" s="63" t="str">
        <f t="shared" si="9"/>
        <v/>
      </c>
      <c r="B556" s="63"/>
      <c r="C556" s="62" t="str">
        <f>IF($B556="","",IFERROR(VLOOKUP($B556,'Application Portfolio'!$A$2:$B$1000,2,FALSE()),""))</f>
        <v/>
      </c>
      <c r="D556" s="66"/>
      <c r="E556" s="66"/>
      <c r="F556" s="66"/>
      <c r="G556" s="66"/>
      <c r="H556" s="66"/>
      <c r="I556" s="64" t="str">
        <f>IF(OR($B556="", $D556="", $E556="", $F556="", $G556="", $H556=""),"",ROUND(($D556*Lists!$AN$20)+($E556*Lists!$AN$21)+($F556*Lists!$AN$22)+($G556*Lists!$AN$23)+($H556*Lists!$AN$24),2))</f>
        <v/>
      </c>
      <c r="J556" s="62"/>
      <c r="K556" s="65"/>
      <c r="L556" s="62"/>
    </row>
    <row r="557" spans="1:12" ht="15.75" customHeight="1" x14ac:dyDescent="0.2">
      <c r="A557" s="63" t="str">
        <f t="shared" si="9"/>
        <v/>
      </c>
      <c r="B557" s="63"/>
      <c r="C557" s="62" t="str">
        <f>IF($B557="","",IFERROR(VLOOKUP($B557,'Application Portfolio'!$A$2:$B$1000,2,FALSE()),""))</f>
        <v/>
      </c>
      <c r="D557" s="66"/>
      <c r="E557" s="66"/>
      <c r="F557" s="66"/>
      <c r="G557" s="66"/>
      <c r="H557" s="66"/>
      <c r="I557" s="64" t="str">
        <f>IF(OR($B557="", $D557="", $E557="", $F557="", $G557="", $H557=""),"",ROUND(($D557*Lists!$AN$20)+($E557*Lists!$AN$21)+($F557*Lists!$AN$22)+($G557*Lists!$AN$23)+($H557*Lists!$AN$24),2))</f>
        <v/>
      </c>
      <c r="J557" s="62"/>
      <c r="K557" s="65"/>
      <c r="L557" s="62"/>
    </row>
    <row r="558" spans="1:12" ht="15.75" customHeight="1" x14ac:dyDescent="0.2">
      <c r="A558" s="63" t="str">
        <f t="shared" si="9"/>
        <v/>
      </c>
      <c r="B558" s="63"/>
      <c r="C558" s="62" t="str">
        <f>IF($B558="","",IFERROR(VLOOKUP($B558,'Application Portfolio'!$A$2:$B$1000,2,FALSE()),""))</f>
        <v/>
      </c>
      <c r="D558" s="66"/>
      <c r="E558" s="66"/>
      <c r="F558" s="66"/>
      <c r="G558" s="66"/>
      <c r="H558" s="66"/>
      <c r="I558" s="64" t="str">
        <f>IF(OR($B558="", $D558="", $E558="", $F558="", $G558="", $H558=""),"",ROUND(($D558*Lists!$AN$20)+($E558*Lists!$AN$21)+($F558*Lists!$AN$22)+($G558*Lists!$AN$23)+($H558*Lists!$AN$24),2))</f>
        <v/>
      </c>
      <c r="J558" s="62"/>
      <c r="K558" s="65"/>
      <c r="L558" s="62"/>
    </row>
    <row r="559" spans="1:12" ht="15.75" customHeight="1" x14ac:dyDescent="0.2">
      <c r="A559" s="63" t="str">
        <f t="shared" si="9"/>
        <v/>
      </c>
      <c r="B559" s="63"/>
      <c r="C559" s="62" t="str">
        <f>IF($B559="","",IFERROR(VLOOKUP($B559,'Application Portfolio'!$A$2:$B$1000,2,FALSE()),""))</f>
        <v/>
      </c>
      <c r="D559" s="66"/>
      <c r="E559" s="66"/>
      <c r="F559" s="66"/>
      <c r="G559" s="66"/>
      <c r="H559" s="66"/>
      <c r="I559" s="64" t="str">
        <f>IF(OR($B559="", $D559="", $E559="", $F559="", $G559="", $H559=""),"",ROUND(($D559*Lists!$AN$20)+($E559*Lists!$AN$21)+($F559*Lists!$AN$22)+($G559*Lists!$AN$23)+($H559*Lists!$AN$24),2))</f>
        <v/>
      </c>
      <c r="J559" s="62"/>
      <c r="K559" s="65"/>
      <c r="L559" s="62"/>
    </row>
    <row r="560" spans="1:12" ht="15.75" customHeight="1" x14ac:dyDescent="0.2">
      <c r="A560" s="63" t="str">
        <f t="shared" si="9"/>
        <v/>
      </c>
      <c r="B560" s="63"/>
      <c r="C560" s="62" t="str">
        <f>IF($B560="","",IFERROR(VLOOKUP($B560,'Application Portfolio'!$A$2:$B$1000,2,FALSE()),""))</f>
        <v/>
      </c>
      <c r="D560" s="66"/>
      <c r="E560" s="66"/>
      <c r="F560" s="66"/>
      <c r="G560" s="66"/>
      <c r="H560" s="66"/>
      <c r="I560" s="64" t="str">
        <f>IF(OR($B560="", $D560="", $E560="", $F560="", $G560="", $H560=""),"",ROUND(($D560*Lists!$AN$20)+($E560*Lists!$AN$21)+($F560*Lists!$AN$22)+($G560*Lists!$AN$23)+($H560*Lists!$AN$24),2))</f>
        <v/>
      </c>
      <c r="J560" s="62"/>
      <c r="K560" s="65"/>
      <c r="L560" s="62"/>
    </row>
    <row r="561" spans="1:12" ht="15.75" customHeight="1" x14ac:dyDescent="0.2">
      <c r="A561" s="63" t="str">
        <f t="shared" si="9"/>
        <v/>
      </c>
      <c r="B561" s="63"/>
      <c r="C561" s="62" t="str">
        <f>IF($B561="","",IFERROR(VLOOKUP($B561,'Application Portfolio'!$A$2:$B$1000,2,FALSE()),""))</f>
        <v/>
      </c>
      <c r="D561" s="66"/>
      <c r="E561" s="66"/>
      <c r="F561" s="66"/>
      <c r="G561" s="66"/>
      <c r="H561" s="66"/>
      <c r="I561" s="64" t="str">
        <f>IF(OR($B561="", $D561="", $E561="", $F561="", $G561="", $H561=""),"",ROUND(($D561*Lists!$AN$20)+($E561*Lists!$AN$21)+($F561*Lists!$AN$22)+($G561*Lists!$AN$23)+($H561*Lists!$AN$24),2))</f>
        <v/>
      </c>
      <c r="J561" s="62"/>
      <c r="K561" s="65"/>
      <c r="L561" s="62"/>
    </row>
    <row r="562" spans="1:12" ht="15.75" customHeight="1" x14ac:dyDescent="0.2">
      <c r="A562" s="63" t="str">
        <f t="shared" si="9"/>
        <v/>
      </c>
      <c r="B562" s="63"/>
      <c r="C562" s="62" t="str">
        <f>IF($B562="","",IFERROR(VLOOKUP($B562,'Application Portfolio'!$A$2:$B$1000,2,FALSE()),""))</f>
        <v/>
      </c>
      <c r="D562" s="66"/>
      <c r="E562" s="66"/>
      <c r="F562" s="66"/>
      <c r="G562" s="66"/>
      <c r="H562" s="66"/>
      <c r="I562" s="64" t="str">
        <f>IF(OR($B562="", $D562="", $E562="", $F562="", $G562="", $H562=""),"",ROUND(($D562*Lists!$AN$20)+($E562*Lists!$AN$21)+($F562*Lists!$AN$22)+($G562*Lists!$AN$23)+($H562*Lists!$AN$24),2))</f>
        <v/>
      </c>
      <c r="J562" s="62"/>
      <c r="K562" s="65"/>
      <c r="L562" s="62"/>
    </row>
    <row r="563" spans="1:12" ht="15.75" customHeight="1" x14ac:dyDescent="0.2">
      <c r="A563" s="63" t="str">
        <f t="shared" si="9"/>
        <v/>
      </c>
      <c r="B563" s="63"/>
      <c r="C563" s="62" t="str">
        <f>IF($B563="","",IFERROR(VLOOKUP($B563,'Application Portfolio'!$A$2:$B$1000,2,FALSE()),""))</f>
        <v/>
      </c>
      <c r="D563" s="66"/>
      <c r="E563" s="66"/>
      <c r="F563" s="66"/>
      <c r="G563" s="66"/>
      <c r="H563" s="66"/>
      <c r="I563" s="64" t="str">
        <f>IF(OR($B563="", $D563="", $E563="", $F563="", $G563="", $H563=""),"",ROUND(($D563*Lists!$AN$20)+($E563*Lists!$AN$21)+($F563*Lists!$AN$22)+($G563*Lists!$AN$23)+($H563*Lists!$AN$24),2))</f>
        <v/>
      </c>
      <c r="J563" s="62"/>
      <c r="K563" s="65"/>
      <c r="L563" s="62"/>
    </row>
    <row r="564" spans="1:12" ht="15.75" customHeight="1" x14ac:dyDescent="0.2">
      <c r="A564" s="63" t="str">
        <f t="shared" si="9"/>
        <v/>
      </c>
      <c r="B564" s="63"/>
      <c r="C564" s="62" t="str">
        <f>IF($B564="","",IFERROR(VLOOKUP($B564,'Application Portfolio'!$A$2:$B$1000,2,FALSE()),""))</f>
        <v/>
      </c>
      <c r="D564" s="66"/>
      <c r="E564" s="66"/>
      <c r="F564" s="66"/>
      <c r="G564" s="66"/>
      <c r="H564" s="66"/>
      <c r="I564" s="64" t="str">
        <f>IF(OR($B564="", $D564="", $E564="", $F564="", $G564="", $H564=""),"",ROUND(($D564*Lists!$AN$20)+($E564*Lists!$AN$21)+($F564*Lists!$AN$22)+($G564*Lists!$AN$23)+($H564*Lists!$AN$24),2))</f>
        <v/>
      </c>
      <c r="J564" s="62"/>
      <c r="K564" s="65"/>
      <c r="L564" s="62"/>
    </row>
    <row r="565" spans="1:12" ht="15.75" customHeight="1" x14ac:dyDescent="0.2">
      <c r="A565" s="63" t="str">
        <f t="shared" si="9"/>
        <v/>
      </c>
      <c r="B565" s="63"/>
      <c r="C565" s="62" t="str">
        <f>IF($B565="","",IFERROR(VLOOKUP($B565,'Application Portfolio'!$A$2:$B$1000,2,FALSE()),""))</f>
        <v/>
      </c>
      <c r="D565" s="66"/>
      <c r="E565" s="66"/>
      <c r="F565" s="66"/>
      <c r="G565" s="66"/>
      <c r="H565" s="66"/>
      <c r="I565" s="64" t="str">
        <f>IF(OR($B565="", $D565="", $E565="", $F565="", $G565="", $H565=""),"",ROUND(($D565*Lists!$AN$20)+($E565*Lists!$AN$21)+($F565*Lists!$AN$22)+($G565*Lists!$AN$23)+($H565*Lists!$AN$24),2))</f>
        <v/>
      </c>
      <c r="J565" s="62"/>
      <c r="K565" s="65"/>
      <c r="L565" s="62"/>
    </row>
    <row r="566" spans="1:12" ht="15.75" customHeight="1" x14ac:dyDescent="0.2">
      <c r="A566" s="63" t="str">
        <f t="shared" si="9"/>
        <v/>
      </c>
      <c r="B566" s="63"/>
      <c r="C566" s="62" t="str">
        <f>IF($B566="","",IFERROR(VLOOKUP($B566,'Application Portfolio'!$A$2:$B$1000,2,FALSE()),""))</f>
        <v/>
      </c>
      <c r="D566" s="66"/>
      <c r="E566" s="66"/>
      <c r="F566" s="66"/>
      <c r="G566" s="66"/>
      <c r="H566" s="66"/>
      <c r="I566" s="64" t="str">
        <f>IF(OR($B566="", $D566="", $E566="", $F566="", $G566="", $H566=""),"",ROUND(($D566*Lists!$AN$20)+($E566*Lists!$AN$21)+($F566*Lists!$AN$22)+($G566*Lists!$AN$23)+($H566*Lists!$AN$24),2))</f>
        <v/>
      </c>
      <c r="J566" s="62"/>
      <c r="K566" s="65"/>
      <c r="L566" s="62"/>
    </row>
    <row r="567" spans="1:12" ht="15.75" customHeight="1" x14ac:dyDescent="0.2">
      <c r="A567" s="63" t="str">
        <f t="shared" si="9"/>
        <v/>
      </c>
      <c r="B567" s="63"/>
      <c r="C567" s="62" t="str">
        <f>IF($B567="","",IFERROR(VLOOKUP($B567,'Application Portfolio'!$A$2:$B$1000,2,FALSE()),""))</f>
        <v/>
      </c>
      <c r="D567" s="66"/>
      <c r="E567" s="66"/>
      <c r="F567" s="66"/>
      <c r="G567" s="66"/>
      <c r="H567" s="66"/>
      <c r="I567" s="64" t="str">
        <f>IF(OR($B567="", $D567="", $E567="", $F567="", $G567="", $H567=""),"",ROUND(($D567*Lists!$AN$20)+($E567*Lists!$AN$21)+($F567*Lists!$AN$22)+($G567*Lists!$AN$23)+($H567*Lists!$AN$24),2))</f>
        <v/>
      </c>
      <c r="J567" s="62"/>
      <c r="K567" s="65"/>
      <c r="L567" s="62"/>
    </row>
    <row r="568" spans="1:12" ht="15.75" customHeight="1" x14ac:dyDescent="0.2">
      <c r="A568" s="63" t="str">
        <f t="shared" si="9"/>
        <v/>
      </c>
      <c r="B568" s="63"/>
      <c r="C568" s="62" t="str">
        <f>IF($B568="","",IFERROR(VLOOKUP($B568,'Application Portfolio'!$A$2:$B$1000,2,FALSE()),""))</f>
        <v/>
      </c>
      <c r="D568" s="66"/>
      <c r="E568" s="66"/>
      <c r="F568" s="66"/>
      <c r="G568" s="66"/>
      <c r="H568" s="66"/>
      <c r="I568" s="64" t="str">
        <f>IF(OR($B568="", $D568="", $E568="", $F568="", $G568="", $H568=""),"",ROUND(($D568*Lists!$AN$20)+($E568*Lists!$AN$21)+($F568*Lists!$AN$22)+($G568*Lists!$AN$23)+($H568*Lists!$AN$24),2))</f>
        <v/>
      </c>
      <c r="J568" s="62"/>
      <c r="K568" s="65"/>
      <c r="L568" s="62"/>
    </row>
    <row r="569" spans="1:12" ht="15.75" customHeight="1" x14ac:dyDescent="0.2">
      <c r="A569" s="63" t="str">
        <f t="shared" si="9"/>
        <v/>
      </c>
      <c r="B569" s="63"/>
      <c r="C569" s="62" t="str">
        <f>IF($B569="","",IFERROR(VLOOKUP($B569,'Application Portfolio'!$A$2:$B$1000,2,FALSE()),""))</f>
        <v/>
      </c>
      <c r="D569" s="66"/>
      <c r="E569" s="66"/>
      <c r="F569" s="66"/>
      <c r="G569" s="66"/>
      <c r="H569" s="66"/>
      <c r="I569" s="64" t="str">
        <f>IF(OR($B569="", $D569="", $E569="", $F569="", $G569="", $H569=""),"",ROUND(($D569*Lists!$AN$20)+($E569*Lists!$AN$21)+($F569*Lists!$AN$22)+($G569*Lists!$AN$23)+($H569*Lists!$AN$24),2))</f>
        <v/>
      </c>
      <c r="J569" s="62"/>
      <c r="K569" s="65"/>
      <c r="L569" s="62"/>
    </row>
    <row r="570" spans="1:12" ht="15.75" customHeight="1" x14ac:dyDescent="0.2">
      <c r="A570" s="63" t="str">
        <f t="shared" si="9"/>
        <v/>
      </c>
      <c r="B570" s="63"/>
      <c r="C570" s="62" t="str">
        <f>IF($B570="","",IFERROR(VLOOKUP($B570,'Application Portfolio'!$A$2:$B$1000,2,FALSE()),""))</f>
        <v/>
      </c>
      <c r="D570" s="66"/>
      <c r="E570" s="66"/>
      <c r="F570" s="66"/>
      <c r="G570" s="66"/>
      <c r="H570" s="66"/>
      <c r="I570" s="64" t="str">
        <f>IF(OR($B570="", $D570="", $E570="", $F570="", $G570="", $H570=""),"",ROUND(($D570*Lists!$AN$20)+($E570*Lists!$AN$21)+($F570*Lists!$AN$22)+($G570*Lists!$AN$23)+($H570*Lists!$AN$24),2))</f>
        <v/>
      </c>
      <c r="J570" s="62"/>
      <c r="K570" s="65"/>
      <c r="L570" s="62"/>
    </row>
    <row r="571" spans="1:12" ht="15.75" customHeight="1" x14ac:dyDescent="0.2">
      <c r="A571" s="63" t="str">
        <f t="shared" si="9"/>
        <v/>
      </c>
      <c r="B571" s="63"/>
      <c r="C571" s="62" t="str">
        <f>IF($B571="","",IFERROR(VLOOKUP($B571,'Application Portfolio'!$A$2:$B$1000,2,FALSE()),""))</f>
        <v/>
      </c>
      <c r="D571" s="66"/>
      <c r="E571" s="66"/>
      <c r="F571" s="66"/>
      <c r="G571" s="66"/>
      <c r="H571" s="66"/>
      <c r="I571" s="64" t="str">
        <f>IF(OR($B571="", $D571="", $E571="", $F571="", $G571="", $H571=""),"",ROUND(($D571*Lists!$AN$20)+($E571*Lists!$AN$21)+($F571*Lists!$AN$22)+($G571*Lists!$AN$23)+($H571*Lists!$AN$24),2))</f>
        <v/>
      </c>
      <c r="J571" s="62"/>
      <c r="K571" s="65"/>
      <c r="L571" s="62"/>
    </row>
    <row r="572" spans="1:12" ht="15.75" customHeight="1" x14ac:dyDescent="0.2">
      <c r="A572" s="63" t="str">
        <f t="shared" si="9"/>
        <v/>
      </c>
      <c r="B572" s="63"/>
      <c r="C572" s="62" t="str">
        <f>IF($B572="","",IFERROR(VLOOKUP($B572,'Application Portfolio'!$A$2:$B$1000,2,FALSE()),""))</f>
        <v/>
      </c>
      <c r="D572" s="66"/>
      <c r="E572" s="66"/>
      <c r="F572" s="66"/>
      <c r="G572" s="66"/>
      <c r="H572" s="66"/>
      <c r="I572" s="64" t="str">
        <f>IF(OR($B572="", $D572="", $E572="", $F572="", $G572="", $H572=""),"",ROUND(($D572*Lists!$AN$20)+($E572*Lists!$AN$21)+($F572*Lists!$AN$22)+($G572*Lists!$AN$23)+($H572*Lists!$AN$24),2))</f>
        <v/>
      </c>
      <c r="J572" s="62"/>
      <c r="K572" s="65"/>
      <c r="L572" s="62"/>
    </row>
    <row r="573" spans="1:12" ht="15.75" customHeight="1" x14ac:dyDescent="0.2">
      <c r="A573" s="63" t="str">
        <f t="shared" si="9"/>
        <v/>
      </c>
      <c r="B573" s="63"/>
      <c r="C573" s="62" t="str">
        <f>IF($B573="","",IFERROR(VLOOKUP($B573,'Application Portfolio'!$A$2:$B$1000,2,FALSE()),""))</f>
        <v/>
      </c>
      <c r="D573" s="66"/>
      <c r="E573" s="66"/>
      <c r="F573" s="66"/>
      <c r="G573" s="66"/>
      <c r="H573" s="66"/>
      <c r="I573" s="64" t="str">
        <f>IF(OR($B573="", $D573="", $E573="", $F573="", $G573="", $H573=""),"",ROUND(($D573*Lists!$AN$20)+($E573*Lists!$AN$21)+($F573*Lists!$AN$22)+($G573*Lists!$AN$23)+($H573*Lists!$AN$24),2))</f>
        <v/>
      </c>
      <c r="J573" s="62"/>
      <c r="K573" s="65"/>
      <c r="L573" s="62"/>
    </row>
    <row r="574" spans="1:12" ht="15.75" customHeight="1" x14ac:dyDescent="0.2">
      <c r="A574" s="63" t="str">
        <f t="shared" si="9"/>
        <v/>
      </c>
      <c r="B574" s="63"/>
      <c r="C574" s="62" t="str">
        <f>IF($B574="","",IFERROR(VLOOKUP($B574,'Application Portfolio'!$A$2:$B$1000,2,FALSE()),""))</f>
        <v/>
      </c>
      <c r="D574" s="66"/>
      <c r="E574" s="66"/>
      <c r="F574" s="66"/>
      <c r="G574" s="66"/>
      <c r="H574" s="66"/>
      <c r="I574" s="64" t="str">
        <f>IF(OR($B574="", $D574="", $E574="", $F574="", $G574="", $H574=""),"",ROUND(($D574*Lists!$AN$20)+($E574*Lists!$AN$21)+($F574*Lists!$AN$22)+($G574*Lists!$AN$23)+($H574*Lists!$AN$24),2))</f>
        <v/>
      </c>
      <c r="J574" s="62"/>
      <c r="K574" s="65"/>
      <c r="L574" s="62"/>
    </row>
    <row r="575" spans="1:12" ht="15.75" customHeight="1" x14ac:dyDescent="0.2">
      <c r="A575" s="63" t="str">
        <f t="shared" si="9"/>
        <v/>
      </c>
      <c r="B575" s="63"/>
      <c r="C575" s="62" t="str">
        <f>IF($B575="","",IFERROR(VLOOKUP($B575,'Application Portfolio'!$A$2:$B$1000,2,FALSE()),""))</f>
        <v/>
      </c>
      <c r="D575" s="66"/>
      <c r="E575" s="66"/>
      <c r="F575" s="66"/>
      <c r="G575" s="66"/>
      <c r="H575" s="66"/>
      <c r="I575" s="64" t="str">
        <f>IF(OR($B575="", $D575="", $E575="", $F575="", $G575="", $H575=""),"",ROUND(($D575*Lists!$AN$20)+($E575*Lists!$AN$21)+($F575*Lists!$AN$22)+($G575*Lists!$AN$23)+($H575*Lists!$AN$24),2))</f>
        <v/>
      </c>
      <c r="J575" s="62"/>
      <c r="K575" s="65"/>
      <c r="L575" s="62"/>
    </row>
    <row r="576" spans="1:12" ht="15.75" customHeight="1" x14ac:dyDescent="0.2">
      <c r="A576" s="63" t="str">
        <f t="shared" si="9"/>
        <v/>
      </c>
      <c r="B576" s="63"/>
      <c r="C576" s="62" t="str">
        <f>IF($B576="","",IFERROR(VLOOKUP($B576,'Application Portfolio'!$A$2:$B$1000,2,FALSE()),""))</f>
        <v/>
      </c>
      <c r="D576" s="66"/>
      <c r="E576" s="66"/>
      <c r="F576" s="66"/>
      <c r="G576" s="66"/>
      <c r="H576" s="66"/>
      <c r="I576" s="64" t="str">
        <f>IF(OR($B576="", $D576="", $E576="", $F576="", $G576="", $H576=""),"",ROUND(($D576*Lists!$AN$20)+($E576*Lists!$AN$21)+($F576*Lists!$AN$22)+($G576*Lists!$AN$23)+($H576*Lists!$AN$24),2))</f>
        <v/>
      </c>
      <c r="J576" s="62"/>
      <c r="K576" s="65"/>
      <c r="L576" s="62"/>
    </row>
    <row r="577" spans="1:12" ht="15.75" customHeight="1" x14ac:dyDescent="0.2">
      <c r="A577" s="63" t="str">
        <f t="shared" si="9"/>
        <v/>
      </c>
      <c r="B577" s="63"/>
      <c r="C577" s="62" t="str">
        <f>IF($B577="","",IFERROR(VLOOKUP($B577,'Application Portfolio'!$A$2:$B$1000,2,FALSE()),""))</f>
        <v/>
      </c>
      <c r="D577" s="66"/>
      <c r="E577" s="66"/>
      <c r="F577" s="66"/>
      <c r="G577" s="66"/>
      <c r="H577" s="66"/>
      <c r="I577" s="64" t="str">
        <f>IF(OR($B577="", $D577="", $E577="", $F577="", $G577="", $H577=""),"",ROUND(($D577*Lists!$AN$20)+($E577*Lists!$AN$21)+($F577*Lists!$AN$22)+($G577*Lists!$AN$23)+($H577*Lists!$AN$24),2))</f>
        <v/>
      </c>
      <c r="J577" s="62"/>
      <c r="K577" s="65"/>
      <c r="L577" s="62"/>
    </row>
    <row r="578" spans="1:12" ht="15.75" customHeight="1" x14ac:dyDescent="0.2">
      <c r="A578" s="63" t="str">
        <f t="shared" si="9"/>
        <v/>
      </c>
      <c r="B578" s="63"/>
      <c r="C578" s="62" t="str">
        <f>IF($B578="","",IFERROR(VLOOKUP($B578,'Application Portfolio'!$A$2:$B$1000,2,FALSE()),""))</f>
        <v/>
      </c>
      <c r="D578" s="66"/>
      <c r="E578" s="66"/>
      <c r="F578" s="66"/>
      <c r="G578" s="66"/>
      <c r="H578" s="66"/>
      <c r="I578" s="64" t="str">
        <f>IF(OR($B578="", $D578="", $E578="", $F578="", $G578="", $H578=""),"",ROUND(($D578*Lists!$AN$20)+($E578*Lists!$AN$21)+($F578*Lists!$AN$22)+($G578*Lists!$AN$23)+($H578*Lists!$AN$24),2))</f>
        <v/>
      </c>
      <c r="J578" s="62"/>
      <c r="K578" s="65"/>
      <c r="L578" s="62"/>
    </row>
    <row r="579" spans="1:12" ht="15.75" customHeight="1" x14ac:dyDescent="0.2">
      <c r="A579" s="63" t="str">
        <f t="shared" si="9"/>
        <v/>
      </c>
      <c r="B579" s="63"/>
      <c r="C579" s="62" t="str">
        <f>IF($B579="","",IFERROR(VLOOKUP($B579,'Application Portfolio'!$A$2:$B$1000,2,FALSE()),""))</f>
        <v/>
      </c>
      <c r="D579" s="66"/>
      <c r="E579" s="66"/>
      <c r="F579" s="66"/>
      <c r="G579" s="66"/>
      <c r="H579" s="66"/>
      <c r="I579" s="64" t="str">
        <f>IF(OR($B579="", $D579="", $E579="", $F579="", $G579="", $H579=""),"",ROUND(($D579*Lists!$AN$20)+($E579*Lists!$AN$21)+($F579*Lists!$AN$22)+($G579*Lists!$AN$23)+($H579*Lists!$AN$24),2))</f>
        <v/>
      </c>
      <c r="J579" s="62"/>
      <c r="K579" s="65"/>
      <c r="L579" s="62"/>
    </row>
    <row r="580" spans="1:12" ht="15.75" customHeight="1" x14ac:dyDescent="0.2">
      <c r="A580" s="63" t="str">
        <f t="shared" si="9"/>
        <v/>
      </c>
      <c r="B580" s="63"/>
      <c r="C580" s="62" t="str">
        <f>IF($B580="","",IFERROR(VLOOKUP($B580,'Application Portfolio'!$A$2:$B$1000,2,FALSE()),""))</f>
        <v/>
      </c>
      <c r="D580" s="66"/>
      <c r="E580" s="66"/>
      <c r="F580" s="66"/>
      <c r="G580" s="66"/>
      <c r="H580" s="66"/>
      <c r="I580" s="64" t="str">
        <f>IF(OR($B580="", $D580="", $E580="", $F580="", $G580="", $H580=""),"",ROUND(($D580*Lists!$AN$20)+($E580*Lists!$AN$21)+($F580*Lists!$AN$22)+($G580*Lists!$AN$23)+($H580*Lists!$AN$24),2))</f>
        <v/>
      </c>
      <c r="J580" s="62"/>
      <c r="K580" s="65"/>
      <c r="L580" s="62"/>
    </row>
    <row r="581" spans="1:12" ht="15.75" customHeight="1" x14ac:dyDescent="0.2">
      <c r="A581" s="63" t="str">
        <f t="shared" si="9"/>
        <v/>
      </c>
      <c r="B581" s="63"/>
      <c r="C581" s="62" t="str">
        <f>IF($B581="","",IFERROR(VLOOKUP($B581,'Application Portfolio'!$A$2:$B$1000,2,FALSE()),""))</f>
        <v/>
      </c>
      <c r="D581" s="66"/>
      <c r="E581" s="66"/>
      <c r="F581" s="66"/>
      <c r="G581" s="66"/>
      <c r="H581" s="66"/>
      <c r="I581" s="64" t="str">
        <f>IF(OR($B581="", $D581="", $E581="", $F581="", $G581="", $H581=""),"",ROUND(($D581*Lists!$AN$20)+($E581*Lists!$AN$21)+($F581*Lists!$AN$22)+($G581*Lists!$AN$23)+($H581*Lists!$AN$24),2))</f>
        <v/>
      </c>
      <c r="J581" s="62"/>
      <c r="K581" s="65"/>
      <c r="L581" s="62"/>
    </row>
    <row r="582" spans="1:12" ht="15.75" customHeight="1" x14ac:dyDescent="0.2">
      <c r="A582" s="63" t="str">
        <f t="shared" si="9"/>
        <v/>
      </c>
      <c r="B582" s="63"/>
      <c r="C582" s="62" t="str">
        <f>IF($B582="","",IFERROR(VLOOKUP($B582,'Application Portfolio'!$A$2:$B$1000,2,FALSE()),""))</f>
        <v/>
      </c>
      <c r="D582" s="66"/>
      <c r="E582" s="66"/>
      <c r="F582" s="66"/>
      <c r="G582" s="66"/>
      <c r="H582" s="66"/>
      <c r="I582" s="64" t="str">
        <f>IF(OR($B582="", $D582="", $E582="", $F582="", $G582="", $H582=""),"",ROUND(($D582*Lists!$AN$20)+($E582*Lists!$AN$21)+($F582*Lists!$AN$22)+($G582*Lists!$AN$23)+($H582*Lists!$AN$24),2))</f>
        <v/>
      </c>
      <c r="J582" s="62"/>
      <c r="K582" s="65"/>
      <c r="L582" s="62"/>
    </row>
    <row r="583" spans="1:12" ht="15.75" customHeight="1" x14ac:dyDescent="0.2">
      <c r="A583" s="63" t="str">
        <f t="shared" si="9"/>
        <v/>
      </c>
      <c r="B583" s="63"/>
      <c r="C583" s="62" t="str">
        <f>IF($B583="","",IFERROR(VLOOKUP($B583,'Application Portfolio'!$A$2:$B$1000,2,FALSE()),""))</f>
        <v/>
      </c>
      <c r="D583" s="66"/>
      <c r="E583" s="66"/>
      <c r="F583" s="66"/>
      <c r="G583" s="66"/>
      <c r="H583" s="66"/>
      <c r="I583" s="64" t="str">
        <f>IF(OR($B583="", $D583="", $E583="", $F583="", $G583="", $H583=""),"",ROUND(($D583*Lists!$AN$20)+($E583*Lists!$AN$21)+($F583*Lists!$AN$22)+($G583*Lists!$AN$23)+($H583*Lists!$AN$24),2))</f>
        <v/>
      </c>
      <c r="J583" s="62"/>
      <c r="K583" s="65"/>
      <c r="L583" s="62"/>
    </row>
    <row r="584" spans="1:12" ht="15.75" customHeight="1" x14ac:dyDescent="0.2">
      <c r="A584" s="63" t="str">
        <f t="shared" si="9"/>
        <v/>
      </c>
      <c r="B584" s="63"/>
      <c r="C584" s="62" t="str">
        <f>IF($B584="","",IFERROR(VLOOKUP($B584,'Application Portfolio'!$A$2:$B$1000,2,FALSE()),""))</f>
        <v/>
      </c>
      <c r="D584" s="66"/>
      <c r="E584" s="66"/>
      <c r="F584" s="66"/>
      <c r="G584" s="66"/>
      <c r="H584" s="66"/>
      <c r="I584" s="64" t="str">
        <f>IF(OR($B584="", $D584="", $E584="", $F584="", $G584="", $H584=""),"",ROUND(($D584*Lists!$AN$20)+($E584*Lists!$AN$21)+($F584*Lists!$AN$22)+($G584*Lists!$AN$23)+($H584*Lists!$AN$24),2))</f>
        <v/>
      </c>
      <c r="J584" s="62"/>
      <c r="K584" s="65"/>
      <c r="L584" s="62"/>
    </row>
    <row r="585" spans="1:12" ht="15.75" customHeight="1" x14ac:dyDescent="0.2">
      <c r="A585" s="63" t="str">
        <f t="shared" si="9"/>
        <v/>
      </c>
      <c r="B585" s="63"/>
      <c r="C585" s="62" t="str">
        <f>IF($B585="","",IFERROR(VLOOKUP($B585,'Application Portfolio'!$A$2:$B$1000,2,FALSE()),""))</f>
        <v/>
      </c>
      <c r="D585" s="66"/>
      <c r="E585" s="66"/>
      <c r="F585" s="66"/>
      <c r="G585" s="66"/>
      <c r="H585" s="66"/>
      <c r="I585" s="64" t="str">
        <f>IF(OR($B585="", $D585="", $E585="", $F585="", $G585="", $H585=""),"",ROUND(($D585*Lists!$AN$20)+($E585*Lists!$AN$21)+($F585*Lists!$AN$22)+($G585*Lists!$AN$23)+($H585*Lists!$AN$24),2))</f>
        <v/>
      </c>
      <c r="J585" s="62"/>
      <c r="K585" s="65"/>
      <c r="L585" s="62"/>
    </row>
    <row r="586" spans="1:12" ht="15.75" customHeight="1" x14ac:dyDescent="0.2">
      <c r="A586" s="63" t="str">
        <f t="shared" si="9"/>
        <v/>
      </c>
      <c r="B586" s="63"/>
      <c r="C586" s="62" t="str">
        <f>IF($B586="","",IFERROR(VLOOKUP($B586,'Application Portfolio'!$A$2:$B$1000,2,FALSE()),""))</f>
        <v/>
      </c>
      <c r="D586" s="66"/>
      <c r="E586" s="66"/>
      <c r="F586" s="66"/>
      <c r="G586" s="66"/>
      <c r="H586" s="66"/>
      <c r="I586" s="64" t="str">
        <f>IF(OR($B586="", $D586="", $E586="", $F586="", $G586="", $H586=""),"",ROUND(($D586*Lists!$AN$20)+($E586*Lists!$AN$21)+($F586*Lists!$AN$22)+($G586*Lists!$AN$23)+($H586*Lists!$AN$24),2))</f>
        <v/>
      </c>
      <c r="J586" s="62"/>
      <c r="K586" s="65"/>
      <c r="L586" s="62"/>
    </row>
    <row r="587" spans="1:12" ht="15.75" customHeight="1" x14ac:dyDescent="0.2">
      <c r="A587" s="63" t="str">
        <f t="shared" si="9"/>
        <v/>
      </c>
      <c r="B587" s="63"/>
      <c r="C587" s="62" t="str">
        <f>IF($B587="","",IFERROR(VLOOKUP($B587,'Application Portfolio'!$A$2:$B$1000,2,FALSE()),""))</f>
        <v/>
      </c>
      <c r="D587" s="66"/>
      <c r="E587" s="66"/>
      <c r="F587" s="66"/>
      <c r="G587" s="66"/>
      <c r="H587" s="66"/>
      <c r="I587" s="64" t="str">
        <f>IF(OR($B587="", $D587="", $E587="", $F587="", $G587="", $H587=""),"",ROUND(($D587*Lists!$AN$20)+($E587*Lists!$AN$21)+($F587*Lists!$AN$22)+($G587*Lists!$AN$23)+($H587*Lists!$AN$24),2))</f>
        <v/>
      </c>
      <c r="J587" s="62"/>
      <c r="K587" s="65"/>
      <c r="L587" s="62"/>
    </row>
    <row r="588" spans="1:12" ht="15.75" customHeight="1" x14ac:dyDescent="0.2">
      <c r="A588" s="63" t="str">
        <f t="shared" si="9"/>
        <v/>
      </c>
      <c r="B588" s="63"/>
      <c r="C588" s="62" t="str">
        <f>IF($B588="","",IFERROR(VLOOKUP($B588,'Application Portfolio'!$A$2:$B$1000,2,FALSE()),""))</f>
        <v/>
      </c>
      <c r="D588" s="66"/>
      <c r="E588" s="66"/>
      <c r="F588" s="66"/>
      <c r="G588" s="66"/>
      <c r="H588" s="66"/>
      <c r="I588" s="64" t="str">
        <f>IF(OR($B588="", $D588="", $E588="", $F588="", $G588="", $H588=""),"",ROUND(($D588*Lists!$AN$20)+($E588*Lists!$AN$21)+($F588*Lists!$AN$22)+($G588*Lists!$AN$23)+($H588*Lists!$AN$24),2))</f>
        <v/>
      </c>
      <c r="J588" s="62"/>
      <c r="K588" s="65"/>
      <c r="L588" s="62"/>
    </row>
    <row r="589" spans="1:12" ht="15.75" customHeight="1" x14ac:dyDescent="0.2">
      <c r="A589" s="63" t="str">
        <f t="shared" si="9"/>
        <v/>
      </c>
      <c r="B589" s="63"/>
      <c r="C589" s="62" t="str">
        <f>IF($B589="","",IFERROR(VLOOKUP($B589,'Application Portfolio'!$A$2:$B$1000,2,FALSE()),""))</f>
        <v/>
      </c>
      <c r="D589" s="66"/>
      <c r="E589" s="66"/>
      <c r="F589" s="66"/>
      <c r="G589" s="66"/>
      <c r="H589" s="66"/>
      <c r="I589" s="64" t="str">
        <f>IF(OR($B589="", $D589="", $E589="", $F589="", $G589="", $H589=""),"",ROUND(($D589*Lists!$AN$20)+($E589*Lists!$AN$21)+($F589*Lists!$AN$22)+($G589*Lists!$AN$23)+($H589*Lists!$AN$24),2))</f>
        <v/>
      </c>
      <c r="J589" s="62"/>
      <c r="K589" s="65"/>
      <c r="L589" s="62"/>
    </row>
    <row r="590" spans="1:12" ht="15.75" customHeight="1" x14ac:dyDescent="0.2">
      <c r="A590" s="63" t="str">
        <f t="shared" si="9"/>
        <v/>
      </c>
      <c r="B590" s="63"/>
      <c r="C590" s="62" t="str">
        <f>IF($B590="","",IFERROR(VLOOKUP($B590,'Application Portfolio'!$A$2:$B$1000,2,FALSE()),""))</f>
        <v/>
      </c>
      <c r="D590" s="66"/>
      <c r="E590" s="66"/>
      <c r="F590" s="66"/>
      <c r="G590" s="66"/>
      <c r="H590" s="66"/>
      <c r="I590" s="64" t="str">
        <f>IF(OR($B590="", $D590="", $E590="", $F590="", $G590="", $H590=""),"",ROUND(($D590*Lists!$AN$20)+($E590*Lists!$AN$21)+($F590*Lists!$AN$22)+($G590*Lists!$AN$23)+($H590*Lists!$AN$24),2))</f>
        <v/>
      </c>
      <c r="J590" s="62"/>
      <c r="K590" s="65"/>
      <c r="L590" s="62"/>
    </row>
    <row r="591" spans="1:12" ht="15.75" customHeight="1" x14ac:dyDescent="0.2">
      <c r="A591" s="63" t="str">
        <f t="shared" si="9"/>
        <v/>
      </c>
      <c r="B591" s="63"/>
      <c r="C591" s="62" t="str">
        <f>IF($B591="","",IFERROR(VLOOKUP($B591,'Application Portfolio'!$A$2:$B$1000,2,FALSE()),""))</f>
        <v/>
      </c>
      <c r="D591" s="66"/>
      <c r="E591" s="66"/>
      <c r="F591" s="66"/>
      <c r="G591" s="66"/>
      <c r="H591" s="66"/>
      <c r="I591" s="64" t="str">
        <f>IF(OR($B591="", $D591="", $E591="", $F591="", $G591="", $H591=""),"",ROUND(($D591*Lists!$AN$20)+($E591*Lists!$AN$21)+($F591*Lists!$AN$22)+($G591*Lists!$AN$23)+($H591*Lists!$AN$24),2))</f>
        <v/>
      </c>
      <c r="J591" s="62"/>
      <c r="K591" s="65"/>
      <c r="L591" s="62"/>
    </row>
    <row r="592" spans="1:12" ht="15.75" customHeight="1" x14ac:dyDescent="0.2">
      <c r="A592" s="63" t="str">
        <f t="shared" si="9"/>
        <v/>
      </c>
      <c r="B592" s="63"/>
      <c r="C592" s="62" t="str">
        <f>IF($B592="","",IFERROR(VLOOKUP($B592,'Application Portfolio'!$A$2:$B$1000,2,FALSE()),""))</f>
        <v/>
      </c>
      <c r="D592" s="66"/>
      <c r="E592" s="66"/>
      <c r="F592" s="66"/>
      <c r="G592" s="66"/>
      <c r="H592" s="66"/>
      <c r="I592" s="64" t="str">
        <f>IF(OR($B592="", $D592="", $E592="", $F592="", $G592="", $H592=""),"",ROUND(($D592*Lists!$AN$20)+($E592*Lists!$AN$21)+($F592*Lists!$AN$22)+($G592*Lists!$AN$23)+($H592*Lists!$AN$24),2))</f>
        <v/>
      </c>
      <c r="J592" s="62"/>
      <c r="K592" s="65"/>
      <c r="L592" s="62"/>
    </row>
    <row r="593" spans="1:12" ht="15.75" customHeight="1" x14ac:dyDescent="0.2">
      <c r="A593" s="63" t="str">
        <f t="shared" si="9"/>
        <v/>
      </c>
      <c r="B593" s="63"/>
      <c r="C593" s="62" t="str">
        <f>IF($B593="","",IFERROR(VLOOKUP($B593,'Application Portfolio'!$A$2:$B$1000,2,FALSE()),""))</f>
        <v/>
      </c>
      <c r="D593" s="66"/>
      <c r="E593" s="66"/>
      <c r="F593" s="66"/>
      <c r="G593" s="66"/>
      <c r="H593" s="66"/>
      <c r="I593" s="64" t="str">
        <f>IF(OR($B593="", $D593="", $E593="", $F593="", $G593="", $H593=""),"",ROUND(($D593*Lists!$AN$20)+($E593*Lists!$AN$21)+($F593*Lists!$AN$22)+($G593*Lists!$AN$23)+($H593*Lists!$AN$24),2))</f>
        <v/>
      </c>
      <c r="J593" s="62"/>
      <c r="K593" s="65"/>
      <c r="L593" s="62"/>
    </row>
    <row r="594" spans="1:12" ht="15.75" customHeight="1" x14ac:dyDescent="0.2">
      <c r="A594" s="63" t="str">
        <f t="shared" si="9"/>
        <v/>
      </c>
      <c r="B594" s="63"/>
      <c r="C594" s="62" t="str">
        <f>IF($B594="","",IFERROR(VLOOKUP($B594,'Application Portfolio'!$A$2:$B$1000,2,FALSE()),""))</f>
        <v/>
      </c>
      <c r="D594" s="66"/>
      <c r="E594" s="66"/>
      <c r="F594" s="66"/>
      <c r="G594" s="66"/>
      <c r="H594" s="66"/>
      <c r="I594" s="64" t="str">
        <f>IF(OR($B594="", $D594="", $E594="", $F594="", $G594="", $H594=""),"",ROUND(($D594*Lists!$AN$20)+($E594*Lists!$AN$21)+($F594*Lists!$AN$22)+($G594*Lists!$AN$23)+($H594*Lists!$AN$24),2))</f>
        <v/>
      </c>
      <c r="J594" s="62"/>
      <c r="K594" s="65"/>
      <c r="L594" s="62"/>
    </row>
    <row r="595" spans="1:12" ht="15.75" customHeight="1" x14ac:dyDescent="0.2">
      <c r="A595" s="63" t="str">
        <f t="shared" si="9"/>
        <v/>
      </c>
      <c r="B595" s="63"/>
      <c r="C595" s="62" t="str">
        <f>IF($B595="","",IFERROR(VLOOKUP($B595,'Application Portfolio'!$A$2:$B$1000,2,FALSE()),""))</f>
        <v/>
      </c>
      <c r="D595" s="66"/>
      <c r="E595" s="66"/>
      <c r="F595" s="66"/>
      <c r="G595" s="66"/>
      <c r="H595" s="66"/>
      <c r="I595" s="64" t="str">
        <f>IF(OR($B595="", $D595="", $E595="", $F595="", $G595="", $H595=""),"",ROUND(($D595*Lists!$AN$20)+($E595*Lists!$AN$21)+($F595*Lists!$AN$22)+($G595*Lists!$AN$23)+($H595*Lists!$AN$24),2))</f>
        <v/>
      </c>
      <c r="J595" s="62"/>
      <c r="K595" s="65"/>
      <c r="L595" s="62"/>
    </row>
    <row r="596" spans="1:12" ht="15.75" customHeight="1" x14ac:dyDescent="0.2">
      <c r="A596" s="63" t="str">
        <f t="shared" si="9"/>
        <v/>
      </c>
      <c r="B596" s="63"/>
      <c r="C596" s="62" t="str">
        <f>IF($B596="","",IFERROR(VLOOKUP($B596,'Application Portfolio'!$A$2:$B$1000,2,FALSE()),""))</f>
        <v/>
      </c>
      <c r="D596" s="66"/>
      <c r="E596" s="66"/>
      <c r="F596" s="66"/>
      <c r="G596" s="66"/>
      <c r="H596" s="66"/>
      <c r="I596" s="64" t="str">
        <f>IF(OR($B596="", $D596="", $E596="", $F596="", $G596="", $H596=""),"",ROUND(($D596*Lists!$AN$20)+($E596*Lists!$AN$21)+($F596*Lists!$AN$22)+($G596*Lists!$AN$23)+($H596*Lists!$AN$24),2))</f>
        <v/>
      </c>
      <c r="J596" s="62"/>
      <c r="K596" s="65"/>
      <c r="L596" s="62"/>
    </row>
    <row r="597" spans="1:12" ht="15.75" customHeight="1" x14ac:dyDescent="0.2">
      <c r="A597" s="63" t="str">
        <f t="shared" si="9"/>
        <v/>
      </c>
      <c r="B597" s="63"/>
      <c r="C597" s="62" t="str">
        <f>IF($B597="","",IFERROR(VLOOKUP($B597,'Application Portfolio'!$A$2:$B$1000,2,FALSE()),""))</f>
        <v/>
      </c>
      <c r="D597" s="66"/>
      <c r="E597" s="66"/>
      <c r="F597" s="66"/>
      <c r="G597" s="66"/>
      <c r="H597" s="66"/>
      <c r="I597" s="64" t="str">
        <f>IF(OR($B597="", $D597="", $E597="", $F597="", $G597="", $H597=""),"",ROUND(($D597*Lists!$AN$20)+($E597*Lists!$AN$21)+($F597*Lists!$AN$22)+($G597*Lists!$AN$23)+($H597*Lists!$AN$24),2))</f>
        <v/>
      </c>
      <c r="J597" s="62"/>
      <c r="K597" s="65"/>
      <c r="L597" s="62"/>
    </row>
    <row r="598" spans="1:12" ht="15.75" customHeight="1" x14ac:dyDescent="0.2">
      <c r="A598" s="63" t="str">
        <f t="shared" si="9"/>
        <v/>
      </c>
      <c r="B598" s="63"/>
      <c r="C598" s="62" t="str">
        <f>IF($B598="","",IFERROR(VLOOKUP($B598,'Application Portfolio'!$A$2:$B$1000,2,FALSE()),""))</f>
        <v/>
      </c>
      <c r="D598" s="66"/>
      <c r="E598" s="66"/>
      <c r="F598" s="66"/>
      <c r="G598" s="66"/>
      <c r="H598" s="66"/>
      <c r="I598" s="64" t="str">
        <f>IF(OR($B598="", $D598="", $E598="", $F598="", $G598="", $H598=""),"",ROUND(($D598*Lists!$AN$20)+($E598*Lists!$AN$21)+($F598*Lists!$AN$22)+($G598*Lists!$AN$23)+($H598*Lists!$AN$24),2))</f>
        <v/>
      </c>
      <c r="J598" s="62"/>
      <c r="K598" s="65"/>
      <c r="L598" s="62"/>
    </row>
    <row r="599" spans="1:12" ht="15.75" customHeight="1" x14ac:dyDescent="0.2">
      <c r="A599" s="63" t="str">
        <f t="shared" si="9"/>
        <v/>
      </c>
      <c r="B599" s="63"/>
      <c r="C599" s="62" t="str">
        <f>IF($B599="","",IFERROR(VLOOKUP($B599,'Application Portfolio'!$A$2:$B$1000,2,FALSE()),""))</f>
        <v/>
      </c>
      <c r="D599" s="66"/>
      <c r="E599" s="66"/>
      <c r="F599" s="66"/>
      <c r="G599" s="66"/>
      <c r="H599" s="66"/>
      <c r="I599" s="64" t="str">
        <f>IF(OR($B599="", $D599="", $E599="", $F599="", $G599="", $H599=""),"",ROUND(($D599*Lists!$AN$20)+($E599*Lists!$AN$21)+($F599*Lists!$AN$22)+($G599*Lists!$AN$23)+($H599*Lists!$AN$24),2))</f>
        <v/>
      </c>
      <c r="J599" s="62"/>
      <c r="K599" s="65"/>
      <c r="L599" s="62"/>
    </row>
    <row r="600" spans="1:12" ht="15.75" customHeight="1" x14ac:dyDescent="0.2">
      <c r="A600" s="63" t="str">
        <f t="shared" si="9"/>
        <v/>
      </c>
      <c r="B600" s="63"/>
      <c r="C600" s="62" t="str">
        <f>IF($B600="","",IFERROR(VLOOKUP($B600,'Application Portfolio'!$A$2:$B$1000,2,FALSE()),""))</f>
        <v/>
      </c>
      <c r="D600" s="66"/>
      <c r="E600" s="66"/>
      <c r="F600" s="66"/>
      <c r="G600" s="66"/>
      <c r="H600" s="66"/>
      <c r="I600" s="64" t="str">
        <f>IF(OR($B600="", $D600="", $E600="", $F600="", $G600="", $H600=""),"",ROUND(($D600*Lists!$AN$20)+($E600*Lists!$AN$21)+($F600*Lists!$AN$22)+($G600*Lists!$AN$23)+($H600*Lists!$AN$24),2))</f>
        <v/>
      </c>
      <c r="J600" s="62"/>
      <c r="K600" s="65"/>
      <c r="L600" s="62"/>
    </row>
    <row r="601" spans="1:12" ht="15.75" customHeight="1" x14ac:dyDescent="0.2">
      <c r="A601" s="63" t="str">
        <f t="shared" si="9"/>
        <v/>
      </c>
      <c r="B601" s="63"/>
      <c r="C601" s="62" t="str">
        <f>IF($B601="","",IFERROR(VLOOKUP($B601,'Application Portfolio'!$A$2:$B$1000,2,FALSE()),""))</f>
        <v/>
      </c>
      <c r="D601" s="66"/>
      <c r="E601" s="66"/>
      <c r="F601" s="66"/>
      <c r="G601" s="66"/>
      <c r="H601" s="66"/>
      <c r="I601" s="64" t="str">
        <f>IF(OR($B601="", $D601="", $E601="", $F601="", $G601="", $H601=""),"",ROUND(($D601*Lists!$AN$20)+($E601*Lists!$AN$21)+($F601*Lists!$AN$22)+($G601*Lists!$AN$23)+($H601*Lists!$AN$24),2))</f>
        <v/>
      </c>
      <c r="J601" s="62"/>
      <c r="K601" s="65"/>
      <c r="L601" s="62"/>
    </row>
    <row r="602" spans="1:12" ht="15.75" customHeight="1" x14ac:dyDescent="0.2">
      <c r="A602" s="63" t="str">
        <f t="shared" si="9"/>
        <v/>
      </c>
      <c r="B602" s="63"/>
      <c r="C602" s="62" t="str">
        <f>IF($B602="","",IFERROR(VLOOKUP($B602,'Application Portfolio'!$A$2:$B$1000,2,FALSE()),""))</f>
        <v/>
      </c>
      <c r="D602" s="66"/>
      <c r="E602" s="66"/>
      <c r="F602" s="66"/>
      <c r="G602" s="66"/>
      <c r="H602" s="66"/>
      <c r="I602" s="64" t="str">
        <f>IF(OR($B602="", $D602="", $E602="", $F602="", $G602="", $H602=""),"",ROUND(($D602*Lists!$AN$20)+($E602*Lists!$AN$21)+($F602*Lists!$AN$22)+($G602*Lists!$AN$23)+($H602*Lists!$AN$24),2))</f>
        <v/>
      </c>
      <c r="J602" s="62"/>
      <c r="K602" s="65"/>
      <c r="L602" s="62"/>
    </row>
    <row r="603" spans="1:12" ht="15.75" customHeight="1" x14ac:dyDescent="0.2">
      <c r="A603" s="63" t="str">
        <f t="shared" si="9"/>
        <v/>
      </c>
      <c r="B603" s="63"/>
      <c r="C603" s="62" t="str">
        <f>IF($B603="","",IFERROR(VLOOKUP($B603,'Application Portfolio'!$A$2:$B$1000,2,FALSE()),""))</f>
        <v/>
      </c>
      <c r="D603" s="66"/>
      <c r="E603" s="66"/>
      <c r="F603" s="66"/>
      <c r="G603" s="66"/>
      <c r="H603" s="66"/>
      <c r="I603" s="64" t="str">
        <f>IF(OR($B603="", $D603="", $E603="", $F603="", $G603="", $H603=""),"",ROUND(($D603*Lists!$AN$20)+($E603*Lists!$AN$21)+($F603*Lists!$AN$22)+($G603*Lists!$AN$23)+($H603*Lists!$AN$24),2))</f>
        <v/>
      </c>
      <c r="J603" s="62"/>
      <c r="K603" s="65"/>
      <c r="L603" s="62"/>
    </row>
    <row r="604" spans="1:12" ht="15.75" customHeight="1" x14ac:dyDescent="0.2">
      <c r="A604" s="63" t="str">
        <f t="shared" si="9"/>
        <v/>
      </c>
      <c r="B604" s="63"/>
      <c r="C604" s="62" t="str">
        <f>IF($B604="","",IFERROR(VLOOKUP($B604,'Application Portfolio'!$A$2:$B$1000,2,FALSE()),""))</f>
        <v/>
      </c>
      <c r="D604" s="66"/>
      <c r="E604" s="66"/>
      <c r="F604" s="66"/>
      <c r="G604" s="66"/>
      <c r="H604" s="66"/>
      <c r="I604" s="64" t="str">
        <f>IF(OR($B604="", $D604="", $E604="", $F604="", $G604="", $H604=""),"",ROUND(($D604*Lists!$AN$20)+($E604*Lists!$AN$21)+($F604*Lists!$AN$22)+($G604*Lists!$AN$23)+($H604*Lists!$AN$24),2))</f>
        <v/>
      </c>
      <c r="J604" s="62"/>
      <c r="K604" s="65"/>
      <c r="L604" s="62"/>
    </row>
    <row r="605" spans="1:12" ht="15.75" customHeight="1" x14ac:dyDescent="0.2">
      <c r="A605" s="63" t="str">
        <f t="shared" si="9"/>
        <v/>
      </c>
      <c r="B605" s="63"/>
      <c r="C605" s="62" t="str">
        <f>IF($B605="","",IFERROR(VLOOKUP($B605,'Application Portfolio'!$A$2:$B$1000,2,FALSE()),""))</f>
        <v/>
      </c>
      <c r="D605" s="66"/>
      <c r="E605" s="66"/>
      <c r="F605" s="66"/>
      <c r="G605" s="66"/>
      <c r="H605" s="66"/>
      <c r="I605" s="64" t="str">
        <f>IF(OR($B605="", $D605="", $E605="", $F605="", $G605="", $H605=""),"",ROUND(($D605*Lists!$AN$20)+($E605*Lists!$AN$21)+($F605*Lists!$AN$22)+($G605*Lists!$AN$23)+($H605*Lists!$AN$24),2))</f>
        <v/>
      </c>
      <c r="J605" s="62"/>
      <c r="K605" s="65"/>
      <c r="L605" s="62"/>
    </row>
    <row r="606" spans="1:12" ht="15.75" customHeight="1" x14ac:dyDescent="0.2">
      <c r="A606" s="63" t="str">
        <f t="shared" si="9"/>
        <v/>
      </c>
      <c r="B606" s="63"/>
      <c r="C606" s="62" t="str">
        <f>IF($B606="","",IFERROR(VLOOKUP($B606,'Application Portfolio'!$A$2:$B$1000,2,FALSE()),""))</f>
        <v/>
      </c>
      <c r="D606" s="66"/>
      <c r="E606" s="66"/>
      <c r="F606" s="66"/>
      <c r="G606" s="66"/>
      <c r="H606" s="66"/>
      <c r="I606" s="64" t="str">
        <f>IF(OR($B606="", $D606="", $E606="", $F606="", $G606="", $H606=""),"",ROUND(($D606*Lists!$AN$20)+($E606*Lists!$AN$21)+($F606*Lists!$AN$22)+($G606*Lists!$AN$23)+($H606*Lists!$AN$24),2))</f>
        <v/>
      </c>
      <c r="J606" s="62"/>
      <c r="K606" s="65"/>
      <c r="L606" s="62"/>
    </row>
    <row r="607" spans="1:12" ht="15.75" customHeight="1" x14ac:dyDescent="0.2">
      <c r="A607" s="63" t="str">
        <f t="shared" si="9"/>
        <v/>
      </c>
      <c r="B607" s="63"/>
      <c r="C607" s="62" t="str">
        <f>IF($B607="","",IFERROR(VLOOKUP($B607,'Application Portfolio'!$A$2:$B$1000,2,FALSE()),""))</f>
        <v/>
      </c>
      <c r="D607" s="66"/>
      <c r="E607" s="66"/>
      <c r="F607" s="66"/>
      <c r="G607" s="66"/>
      <c r="H607" s="66"/>
      <c r="I607" s="64" t="str">
        <f>IF(OR($B607="", $D607="", $E607="", $F607="", $G607="", $H607=""),"",ROUND(($D607*Lists!$AN$20)+($E607*Lists!$AN$21)+($F607*Lists!$AN$22)+($G607*Lists!$AN$23)+($H607*Lists!$AN$24),2))</f>
        <v/>
      </c>
      <c r="J607" s="62"/>
      <c r="K607" s="65"/>
      <c r="L607" s="62"/>
    </row>
    <row r="608" spans="1:12" ht="15.75" customHeight="1" x14ac:dyDescent="0.2">
      <c r="A608" s="63" t="str">
        <f t="shared" ref="A608:A671" si="10">IF($B608="","", "R-" &amp; RIGHT("0000"&amp;ROW()-1,4))</f>
        <v/>
      </c>
      <c r="B608" s="63"/>
      <c r="C608" s="62" t="str">
        <f>IF($B608="","",IFERROR(VLOOKUP($B608,'Application Portfolio'!$A$2:$B$1000,2,FALSE()),""))</f>
        <v/>
      </c>
      <c r="D608" s="66"/>
      <c r="E608" s="66"/>
      <c r="F608" s="66"/>
      <c r="G608" s="66"/>
      <c r="H608" s="66"/>
      <c r="I608" s="64" t="str">
        <f>IF(OR($B608="", $D608="", $E608="", $F608="", $G608="", $H608=""),"",ROUND(($D608*Lists!$AN$20)+($E608*Lists!$AN$21)+($F608*Lists!$AN$22)+($G608*Lists!$AN$23)+($H608*Lists!$AN$24),2))</f>
        <v/>
      </c>
      <c r="J608" s="62"/>
      <c r="K608" s="65"/>
      <c r="L608" s="62"/>
    </row>
    <row r="609" spans="1:12" ht="15.75" customHeight="1" x14ac:dyDescent="0.2">
      <c r="A609" s="63" t="str">
        <f t="shared" si="10"/>
        <v/>
      </c>
      <c r="B609" s="63"/>
      <c r="C609" s="62" t="str">
        <f>IF($B609="","",IFERROR(VLOOKUP($B609,'Application Portfolio'!$A$2:$B$1000,2,FALSE()),""))</f>
        <v/>
      </c>
      <c r="D609" s="66"/>
      <c r="E609" s="66"/>
      <c r="F609" s="66"/>
      <c r="G609" s="66"/>
      <c r="H609" s="66"/>
      <c r="I609" s="64" t="str">
        <f>IF(OR($B609="", $D609="", $E609="", $F609="", $G609="", $H609=""),"",ROUND(($D609*Lists!$AN$20)+($E609*Lists!$AN$21)+($F609*Lists!$AN$22)+($G609*Lists!$AN$23)+($H609*Lists!$AN$24),2))</f>
        <v/>
      </c>
      <c r="J609" s="62"/>
      <c r="K609" s="65"/>
      <c r="L609" s="62"/>
    </row>
    <row r="610" spans="1:12" ht="15.75" customHeight="1" x14ac:dyDescent="0.2">
      <c r="A610" s="63" t="str">
        <f t="shared" si="10"/>
        <v/>
      </c>
      <c r="B610" s="63"/>
      <c r="C610" s="62" t="str">
        <f>IF($B610="","",IFERROR(VLOOKUP($B610,'Application Portfolio'!$A$2:$B$1000,2,FALSE()),""))</f>
        <v/>
      </c>
      <c r="D610" s="66"/>
      <c r="E610" s="66"/>
      <c r="F610" s="66"/>
      <c r="G610" s="66"/>
      <c r="H610" s="66"/>
      <c r="I610" s="64" t="str">
        <f>IF(OR($B610="", $D610="", $E610="", $F610="", $G610="", $H610=""),"",ROUND(($D610*Lists!$AN$20)+($E610*Lists!$AN$21)+($F610*Lists!$AN$22)+($G610*Lists!$AN$23)+($H610*Lists!$AN$24),2))</f>
        <v/>
      </c>
      <c r="J610" s="62"/>
      <c r="K610" s="65"/>
      <c r="L610" s="62"/>
    </row>
    <row r="611" spans="1:12" ht="15.75" customHeight="1" x14ac:dyDescent="0.2">
      <c r="A611" s="63" t="str">
        <f t="shared" si="10"/>
        <v/>
      </c>
      <c r="B611" s="63"/>
      <c r="C611" s="62" t="str">
        <f>IF($B611="","",IFERROR(VLOOKUP($B611,'Application Portfolio'!$A$2:$B$1000,2,FALSE()),""))</f>
        <v/>
      </c>
      <c r="D611" s="66"/>
      <c r="E611" s="66"/>
      <c r="F611" s="66"/>
      <c r="G611" s="66"/>
      <c r="H611" s="66"/>
      <c r="I611" s="64" t="str">
        <f>IF(OR($B611="", $D611="", $E611="", $F611="", $G611="", $H611=""),"",ROUND(($D611*Lists!$AN$20)+($E611*Lists!$AN$21)+($F611*Lists!$AN$22)+($G611*Lists!$AN$23)+($H611*Lists!$AN$24),2))</f>
        <v/>
      </c>
      <c r="J611" s="62"/>
      <c r="K611" s="65"/>
      <c r="L611" s="62"/>
    </row>
    <row r="612" spans="1:12" ht="15.75" customHeight="1" x14ac:dyDescent="0.2">
      <c r="A612" s="63" t="str">
        <f t="shared" si="10"/>
        <v/>
      </c>
      <c r="B612" s="63"/>
      <c r="C612" s="62" t="str">
        <f>IF($B612="","",IFERROR(VLOOKUP($B612,'Application Portfolio'!$A$2:$B$1000,2,FALSE()),""))</f>
        <v/>
      </c>
      <c r="D612" s="66"/>
      <c r="E612" s="66"/>
      <c r="F612" s="66"/>
      <c r="G612" s="66"/>
      <c r="H612" s="66"/>
      <c r="I612" s="64" t="str">
        <f>IF(OR($B612="", $D612="", $E612="", $F612="", $G612="", $H612=""),"",ROUND(($D612*Lists!$AN$20)+($E612*Lists!$AN$21)+($F612*Lists!$AN$22)+($G612*Lists!$AN$23)+($H612*Lists!$AN$24),2))</f>
        <v/>
      </c>
      <c r="J612" s="62"/>
      <c r="K612" s="65"/>
      <c r="L612" s="62"/>
    </row>
    <row r="613" spans="1:12" ht="15.75" customHeight="1" x14ac:dyDescent="0.2">
      <c r="A613" s="63" t="str">
        <f t="shared" si="10"/>
        <v/>
      </c>
      <c r="B613" s="63"/>
      <c r="C613" s="62" t="str">
        <f>IF($B613="","",IFERROR(VLOOKUP($B613,'Application Portfolio'!$A$2:$B$1000,2,FALSE()),""))</f>
        <v/>
      </c>
      <c r="D613" s="66"/>
      <c r="E613" s="66"/>
      <c r="F613" s="66"/>
      <c r="G613" s="66"/>
      <c r="H613" s="66"/>
      <c r="I613" s="64" t="str">
        <f>IF(OR($B613="", $D613="", $E613="", $F613="", $G613="", $H613=""),"",ROUND(($D613*Lists!$AN$20)+($E613*Lists!$AN$21)+($F613*Lists!$AN$22)+($G613*Lists!$AN$23)+($H613*Lists!$AN$24),2))</f>
        <v/>
      </c>
      <c r="J613" s="62"/>
      <c r="K613" s="65"/>
      <c r="L613" s="62"/>
    </row>
    <row r="614" spans="1:12" ht="15.75" customHeight="1" x14ac:dyDescent="0.2">
      <c r="A614" s="63" t="str">
        <f t="shared" si="10"/>
        <v/>
      </c>
      <c r="B614" s="63"/>
      <c r="C614" s="62" t="str">
        <f>IF($B614="","",IFERROR(VLOOKUP($B614,'Application Portfolio'!$A$2:$B$1000,2,FALSE()),""))</f>
        <v/>
      </c>
      <c r="D614" s="66"/>
      <c r="E614" s="66"/>
      <c r="F614" s="66"/>
      <c r="G614" s="66"/>
      <c r="H614" s="66"/>
      <c r="I614" s="64" t="str">
        <f>IF(OR($B614="", $D614="", $E614="", $F614="", $G614="", $H614=""),"",ROUND(($D614*Lists!$AN$20)+($E614*Lists!$AN$21)+($F614*Lists!$AN$22)+($G614*Lists!$AN$23)+($H614*Lists!$AN$24),2))</f>
        <v/>
      </c>
      <c r="J614" s="62"/>
      <c r="K614" s="65"/>
      <c r="L614" s="62"/>
    </row>
    <row r="615" spans="1:12" ht="15.75" customHeight="1" x14ac:dyDescent="0.2">
      <c r="A615" s="63" t="str">
        <f t="shared" si="10"/>
        <v/>
      </c>
      <c r="B615" s="63"/>
      <c r="C615" s="62" t="str">
        <f>IF($B615="","",IFERROR(VLOOKUP($B615,'Application Portfolio'!$A$2:$B$1000,2,FALSE()),""))</f>
        <v/>
      </c>
      <c r="D615" s="66"/>
      <c r="E615" s="66"/>
      <c r="F615" s="66"/>
      <c r="G615" s="66"/>
      <c r="H615" s="66"/>
      <c r="I615" s="64" t="str">
        <f>IF(OR($B615="", $D615="", $E615="", $F615="", $G615="", $H615=""),"",ROUND(($D615*Lists!$AN$20)+($E615*Lists!$AN$21)+($F615*Lists!$AN$22)+($G615*Lists!$AN$23)+($H615*Lists!$AN$24),2))</f>
        <v/>
      </c>
      <c r="J615" s="62"/>
      <c r="K615" s="65"/>
      <c r="L615" s="62"/>
    </row>
    <row r="616" spans="1:12" ht="15.75" customHeight="1" x14ac:dyDescent="0.2">
      <c r="A616" s="63" t="str">
        <f t="shared" si="10"/>
        <v/>
      </c>
      <c r="B616" s="63"/>
      <c r="C616" s="62" t="str">
        <f>IF($B616="","",IFERROR(VLOOKUP($B616,'Application Portfolio'!$A$2:$B$1000,2,FALSE()),""))</f>
        <v/>
      </c>
      <c r="D616" s="66"/>
      <c r="E616" s="66"/>
      <c r="F616" s="66"/>
      <c r="G616" s="66"/>
      <c r="H616" s="66"/>
      <c r="I616" s="64" t="str">
        <f>IF(OR($B616="", $D616="", $E616="", $F616="", $G616="", $H616=""),"",ROUND(($D616*Lists!$AN$20)+($E616*Lists!$AN$21)+($F616*Lists!$AN$22)+($G616*Lists!$AN$23)+($H616*Lists!$AN$24),2))</f>
        <v/>
      </c>
      <c r="J616" s="62"/>
      <c r="K616" s="65"/>
      <c r="L616" s="62"/>
    </row>
    <row r="617" spans="1:12" ht="15.75" customHeight="1" x14ac:dyDescent="0.2">
      <c r="A617" s="63" t="str">
        <f t="shared" si="10"/>
        <v/>
      </c>
      <c r="B617" s="63"/>
      <c r="C617" s="62" t="str">
        <f>IF($B617="","",IFERROR(VLOOKUP($B617,'Application Portfolio'!$A$2:$B$1000,2,FALSE()),""))</f>
        <v/>
      </c>
      <c r="D617" s="66"/>
      <c r="E617" s="66"/>
      <c r="F617" s="66"/>
      <c r="G617" s="66"/>
      <c r="H617" s="66"/>
      <c r="I617" s="64" t="str">
        <f>IF(OR($B617="", $D617="", $E617="", $F617="", $G617="", $H617=""),"",ROUND(($D617*Lists!$AN$20)+($E617*Lists!$AN$21)+($F617*Lists!$AN$22)+($G617*Lists!$AN$23)+($H617*Lists!$AN$24),2))</f>
        <v/>
      </c>
      <c r="J617" s="62"/>
      <c r="K617" s="65"/>
      <c r="L617" s="62"/>
    </row>
    <row r="618" spans="1:12" ht="15.75" customHeight="1" x14ac:dyDescent="0.2">
      <c r="A618" s="63" t="str">
        <f t="shared" si="10"/>
        <v/>
      </c>
      <c r="B618" s="63"/>
      <c r="C618" s="62" t="str">
        <f>IF($B618="","",IFERROR(VLOOKUP($B618,'Application Portfolio'!$A$2:$B$1000,2,FALSE()),""))</f>
        <v/>
      </c>
      <c r="D618" s="66"/>
      <c r="E618" s="66"/>
      <c r="F618" s="66"/>
      <c r="G618" s="66"/>
      <c r="H618" s="66"/>
      <c r="I618" s="64" t="str">
        <f>IF(OR($B618="", $D618="", $E618="", $F618="", $G618="", $H618=""),"",ROUND(($D618*Lists!$AN$20)+($E618*Lists!$AN$21)+($F618*Lists!$AN$22)+($G618*Lists!$AN$23)+($H618*Lists!$AN$24),2))</f>
        <v/>
      </c>
      <c r="J618" s="62"/>
      <c r="K618" s="65"/>
      <c r="L618" s="62"/>
    </row>
    <row r="619" spans="1:12" ht="15.75" customHeight="1" x14ac:dyDescent="0.2">
      <c r="A619" s="63" t="str">
        <f t="shared" si="10"/>
        <v/>
      </c>
      <c r="B619" s="63"/>
      <c r="C619" s="62" t="str">
        <f>IF($B619="","",IFERROR(VLOOKUP($B619,'Application Portfolio'!$A$2:$B$1000,2,FALSE()),""))</f>
        <v/>
      </c>
      <c r="D619" s="66"/>
      <c r="E619" s="66"/>
      <c r="F619" s="66"/>
      <c r="G619" s="66"/>
      <c r="H619" s="66"/>
      <c r="I619" s="64" t="str">
        <f>IF(OR($B619="", $D619="", $E619="", $F619="", $G619="", $H619=""),"",ROUND(($D619*Lists!$AN$20)+($E619*Lists!$AN$21)+($F619*Lists!$AN$22)+($G619*Lists!$AN$23)+($H619*Lists!$AN$24),2))</f>
        <v/>
      </c>
      <c r="J619" s="62"/>
      <c r="K619" s="65"/>
      <c r="L619" s="62"/>
    </row>
    <row r="620" spans="1:12" ht="15.75" customHeight="1" x14ac:dyDescent="0.2">
      <c r="A620" s="63" t="str">
        <f t="shared" si="10"/>
        <v/>
      </c>
      <c r="B620" s="63"/>
      <c r="C620" s="62" t="str">
        <f>IF($B620="","",IFERROR(VLOOKUP($B620,'Application Portfolio'!$A$2:$B$1000,2,FALSE()),""))</f>
        <v/>
      </c>
      <c r="D620" s="66"/>
      <c r="E620" s="66"/>
      <c r="F620" s="66"/>
      <c r="G620" s="66"/>
      <c r="H620" s="66"/>
      <c r="I620" s="64" t="str">
        <f>IF(OR($B620="", $D620="", $E620="", $F620="", $G620="", $H620=""),"",ROUND(($D620*Lists!$AN$20)+($E620*Lists!$AN$21)+($F620*Lists!$AN$22)+($G620*Lists!$AN$23)+($H620*Lists!$AN$24),2))</f>
        <v/>
      </c>
      <c r="J620" s="62"/>
      <c r="K620" s="65"/>
      <c r="L620" s="62"/>
    </row>
    <row r="621" spans="1:12" ht="15.75" customHeight="1" x14ac:dyDescent="0.2">
      <c r="A621" s="63" t="str">
        <f t="shared" si="10"/>
        <v/>
      </c>
      <c r="B621" s="63"/>
      <c r="C621" s="62" t="str">
        <f>IF($B621="","",IFERROR(VLOOKUP($B621,'Application Portfolio'!$A$2:$B$1000,2,FALSE()),""))</f>
        <v/>
      </c>
      <c r="D621" s="66"/>
      <c r="E621" s="66"/>
      <c r="F621" s="66"/>
      <c r="G621" s="66"/>
      <c r="H621" s="66"/>
      <c r="I621" s="64" t="str">
        <f>IF(OR($B621="", $D621="", $E621="", $F621="", $G621="", $H621=""),"",ROUND(($D621*Lists!$AN$20)+($E621*Lists!$AN$21)+($F621*Lists!$AN$22)+($G621*Lists!$AN$23)+($H621*Lists!$AN$24),2))</f>
        <v/>
      </c>
      <c r="J621" s="62"/>
      <c r="K621" s="65"/>
      <c r="L621" s="62"/>
    </row>
    <row r="622" spans="1:12" ht="15.75" customHeight="1" x14ac:dyDescent="0.2">
      <c r="A622" s="63" t="str">
        <f t="shared" si="10"/>
        <v/>
      </c>
      <c r="B622" s="63"/>
      <c r="C622" s="62" t="str">
        <f>IF($B622="","",IFERROR(VLOOKUP($B622,'Application Portfolio'!$A$2:$B$1000,2,FALSE()),""))</f>
        <v/>
      </c>
      <c r="D622" s="66"/>
      <c r="E622" s="66"/>
      <c r="F622" s="66"/>
      <c r="G622" s="66"/>
      <c r="H622" s="66"/>
      <c r="I622" s="64" t="str">
        <f>IF(OR($B622="", $D622="", $E622="", $F622="", $G622="", $H622=""),"",ROUND(($D622*Lists!$AN$20)+($E622*Lists!$AN$21)+($F622*Lists!$AN$22)+($G622*Lists!$AN$23)+($H622*Lists!$AN$24),2))</f>
        <v/>
      </c>
      <c r="J622" s="62"/>
      <c r="K622" s="65"/>
      <c r="L622" s="62"/>
    </row>
    <row r="623" spans="1:12" ht="15.75" customHeight="1" x14ac:dyDescent="0.2">
      <c r="A623" s="63" t="str">
        <f t="shared" si="10"/>
        <v/>
      </c>
      <c r="B623" s="63"/>
      <c r="C623" s="62" t="str">
        <f>IF($B623="","",IFERROR(VLOOKUP($B623,'Application Portfolio'!$A$2:$B$1000,2,FALSE()),""))</f>
        <v/>
      </c>
      <c r="D623" s="66"/>
      <c r="E623" s="66"/>
      <c r="F623" s="66"/>
      <c r="G623" s="66"/>
      <c r="H623" s="66"/>
      <c r="I623" s="64" t="str">
        <f>IF(OR($B623="", $D623="", $E623="", $F623="", $G623="", $H623=""),"",ROUND(($D623*Lists!$AN$20)+($E623*Lists!$AN$21)+($F623*Lists!$AN$22)+($G623*Lists!$AN$23)+($H623*Lists!$AN$24),2))</f>
        <v/>
      </c>
      <c r="J623" s="62"/>
      <c r="K623" s="65"/>
      <c r="L623" s="62"/>
    </row>
    <row r="624" spans="1:12" ht="15.75" customHeight="1" x14ac:dyDescent="0.2">
      <c r="A624" s="63" t="str">
        <f t="shared" si="10"/>
        <v/>
      </c>
      <c r="B624" s="63"/>
      <c r="C624" s="62" t="str">
        <f>IF($B624="","",IFERROR(VLOOKUP($B624,'Application Portfolio'!$A$2:$B$1000,2,FALSE()),""))</f>
        <v/>
      </c>
      <c r="D624" s="66"/>
      <c r="E624" s="66"/>
      <c r="F624" s="66"/>
      <c r="G624" s="66"/>
      <c r="H624" s="66"/>
      <c r="I624" s="64" t="str">
        <f>IF(OR($B624="", $D624="", $E624="", $F624="", $G624="", $H624=""),"",ROUND(($D624*Lists!$AN$20)+($E624*Lists!$AN$21)+($F624*Lists!$AN$22)+($G624*Lists!$AN$23)+($H624*Lists!$AN$24),2))</f>
        <v/>
      </c>
      <c r="J624" s="62"/>
      <c r="K624" s="65"/>
      <c r="L624" s="62"/>
    </row>
    <row r="625" spans="1:12" ht="15.75" customHeight="1" x14ac:dyDescent="0.2">
      <c r="A625" s="63" t="str">
        <f t="shared" si="10"/>
        <v/>
      </c>
      <c r="B625" s="63"/>
      <c r="C625" s="62" t="str">
        <f>IF($B625="","",IFERROR(VLOOKUP($B625,'Application Portfolio'!$A$2:$B$1000,2,FALSE()),""))</f>
        <v/>
      </c>
      <c r="D625" s="66"/>
      <c r="E625" s="66"/>
      <c r="F625" s="66"/>
      <c r="G625" s="66"/>
      <c r="H625" s="66"/>
      <c r="I625" s="64" t="str">
        <f>IF(OR($B625="", $D625="", $E625="", $F625="", $G625="", $H625=""),"",ROUND(($D625*Lists!$AN$20)+($E625*Lists!$AN$21)+($F625*Lists!$AN$22)+($G625*Lists!$AN$23)+($H625*Lists!$AN$24),2))</f>
        <v/>
      </c>
      <c r="J625" s="62"/>
      <c r="K625" s="65"/>
      <c r="L625" s="62"/>
    </row>
    <row r="626" spans="1:12" ht="15.75" customHeight="1" x14ac:dyDescent="0.2">
      <c r="A626" s="63" t="str">
        <f t="shared" si="10"/>
        <v/>
      </c>
      <c r="B626" s="63"/>
      <c r="C626" s="62" t="str">
        <f>IF($B626="","",IFERROR(VLOOKUP($B626,'Application Portfolio'!$A$2:$B$1000,2,FALSE()),""))</f>
        <v/>
      </c>
      <c r="D626" s="66"/>
      <c r="E626" s="66"/>
      <c r="F626" s="66"/>
      <c r="G626" s="66"/>
      <c r="H626" s="66"/>
      <c r="I626" s="64" t="str">
        <f>IF(OR($B626="", $D626="", $E626="", $F626="", $G626="", $H626=""),"",ROUND(($D626*Lists!$AN$20)+($E626*Lists!$AN$21)+($F626*Lists!$AN$22)+($G626*Lists!$AN$23)+($H626*Lists!$AN$24),2))</f>
        <v/>
      </c>
      <c r="J626" s="62"/>
      <c r="K626" s="65"/>
      <c r="L626" s="62"/>
    </row>
    <row r="627" spans="1:12" ht="15.75" customHeight="1" x14ac:dyDescent="0.2">
      <c r="A627" s="63" t="str">
        <f t="shared" si="10"/>
        <v/>
      </c>
      <c r="B627" s="63"/>
      <c r="C627" s="62" t="str">
        <f>IF($B627="","",IFERROR(VLOOKUP($B627,'Application Portfolio'!$A$2:$B$1000,2,FALSE()),""))</f>
        <v/>
      </c>
      <c r="D627" s="66"/>
      <c r="E627" s="66"/>
      <c r="F627" s="66"/>
      <c r="G627" s="66"/>
      <c r="H627" s="66"/>
      <c r="I627" s="64" t="str">
        <f>IF(OR($B627="", $D627="", $E627="", $F627="", $G627="", $H627=""),"",ROUND(($D627*Lists!$AN$20)+($E627*Lists!$AN$21)+($F627*Lists!$AN$22)+($G627*Lists!$AN$23)+($H627*Lists!$AN$24),2))</f>
        <v/>
      </c>
      <c r="J627" s="62"/>
      <c r="K627" s="65"/>
      <c r="L627" s="62"/>
    </row>
    <row r="628" spans="1:12" ht="15.75" customHeight="1" x14ac:dyDescent="0.2">
      <c r="A628" s="63" t="str">
        <f t="shared" si="10"/>
        <v/>
      </c>
      <c r="B628" s="63"/>
      <c r="C628" s="62" t="str">
        <f>IF($B628="","",IFERROR(VLOOKUP($B628,'Application Portfolio'!$A$2:$B$1000,2,FALSE()),""))</f>
        <v/>
      </c>
      <c r="D628" s="66"/>
      <c r="E628" s="66"/>
      <c r="F628" s="66"/>
      <c r="G628" s="66"/>
      <c r="H628" s="66"/>
      <c r="I628" s="64" t="str">
        <f>IF(OR($B628="", $D628="", $E628="", $F628="", $G628="", $H628=""),"",ROUND(($D628*Lists!$AN$20)+($E628*Lists!$AN$21)+($F628*Lists!$AN$22)+($G628*Lists!$AN$23)+($H628*Lists!$AN$24),2))</f>
        <v/>
      </c>
      <c r="J628" s="62"/>
      <c r="K628" s="65"/>
      <c r="L628" s="62"/>
    </row>
    <row r="629" spans="1:12" ht="15.75" customHeight="1" x14ac:dyDescent="0.2">
      <c r="A629" s="63" t="str">
        <f t="shared" si="10"/>
        <v/>
      </c>
      <c r="B629" s="63"/>
      <c r="C629" s="62" t="str">
        <f>IF($B629="","",IFERROR(VLOOKUP($B629,'Application Portfolio'!$A$2:$B$1000,2,FALSE()),""))</f>
        <v/>
      </c>
      <c r="D629" s="66"/>
      <c r="E629" s="66"/>
      <c r="F629" s="66"/>
      <c r="G629" s="66"/>
      <c r="H629" s="66"/>
      <c r="I629" s="64" t="str">
        <f>IF(OR($B629="", $D629="", $E629="", $F629="", $G629="", $H629=""),"",ROUND(($D629*Lists!$AN$20)+($E629*Lists!$AN$21)+($F629*Lists!$AN$22)+($G629*Lists!$AN$23)+($H629*Lists!$AN$24),2))</f>
        <v/>
      </c>
      <c r="J629" s="62"/>
      <c r="K629" s="65"/>
      <c r="L629" s="62"/>
    </row>
    <row r="630" spans="1:12" ht="15.75" customHeight="1" x14ac:dyDescent="0.2">
      <c r="A630" s="63" t="str">
        <f t="shared" si="10"/>
        <v/>
      </c>
      <c r="B630" s="63"/>
      <c r="C630" s="62" t="str">
        <f>IF($B630="","",IFERROR(VLOOKUP($B630,'Application Portfolio'!$A$2:$B$1000,2,FALSE()),""))</f>
        <v/>
      </c>
      <c r="D630" s="66"/>
      <c r="E630" s="66"/>
      <c r="F630" s="66"/>
      <c r="G630" s="66"/>
      <c r="H630" s="66"/>
      <c r="I630" s="64" t="str">
        <f>IF(OR($B630="", $D630="", $E630="", $F630="", $G630="", $H630=""),"",ROUND(($D630*Lists!$AN$20)+($E630*Lists!$AN$21)+($F630*Lists!$AN$22)+($G630*Lists!$AN$23)+($H630*Lists!$AN$24),2))</f>
        <v/>
      </c>
      <c r="J630" s="62"/>
      <c r="K630" s="65"/>
      <c r="L630" s="62"/>
    </row>
    <row r="631" spans="1:12" ht="15.75" customHeight="1" x14ac:dyDescent="0.2">
      <c r="A631" s="63" t="str">
        <f t="shared" si="10"/>
        <v/>
      </c>
      <c r="B631" s="63"/>
      <c r="C631" s="62" t="str">
        <f>IF($B631="","",IFERROR(VLOOKUP($B631,'Application Portfolio'!$A$2:$B$1000,2,FALSE()),""))</f>
        <v/>
      </c>
      <c r="D631" s="66"/>
      <c r="E631" s="66"/>
      <c r="F631" s="66"/>
      <c r="G631" s="66"/>
      <c r="H631" s="66"/>
      <c r="I631" s="64" t="str">
        <f>IF(OR($B631="", $D631="", $E631="", $F631="", $G631="", $H631=""),"",ROUND(($D631*Lists!$AN$20)+($E631*Lists!$AN$21)+($F631*Lists!$AN$22)+($G631*Lists!$AN$23)+($H631*Lists!$AN$24),2))</f>
        <v/>
      </c>
      <c r="J631" s="62"/>
      <c r="K631" s="65"/>
      <c r="L631" s="62"/>
    </row>
    <row r="632" spans="1:12" ht="15.75" customHeight="1" x14ac:dyDescent="0.2">
      <c r="A632" s="63" t="str">
        <f t="shared" si="10"/>
        <v/>
      </c>
      <c r="B632" s="63"/>
      <c r="C632" s="62" t="str">
        <f>IF($B632="","",IFERROR(VLOOKUP($B632,'Application Portfolio'!$A$2:$B$1000,2,FALSE()),""))</f>
        <v/>
      </c>
      <c r="D632" s="66"/>
      <c r="E632" s="66"/>
      <c r="F632" s="66"/>
      <c r="G632" s="66"/>
      <c r="H632" s="66"/>
      <c r="I632" s="64" t="str">
        <f>IF(OR($B632="", $D632="", $E632="", $F632="", $G632="", $H632=""),"",ROUND(($D632*Lists!$AN$20)+($E632*Lists!$AN$21)+($F632*Lists!$AN$22)+($G632*Lists!$AN$23)+($H632*Lists!$AN$24),2))</f>
        <v/>
      </c>
      <c r="J632" s="62"/>
      <c r="K632" s="65"/>
      <c r="L632" s="62"/>
    </row>
    <row r="633" spans="1:12" ht="15.75" customHeight="1" x14ac:dyDescent="0.2">
      <c r="A633" s="63" t="str">
        <f t="shared" si="10"/>
        <v/>
      </c>
      <c r="B633" s="63"/>
      <c r="C633" s="62" t="str">
        <f>IF($B633="","",IFERROR(VLOOKUP($B633,'Application Portfolio'!$A$2:$B$1000,2,FALSE()),""))</f>
        <v/>
      </c>
      <c r="D633" s="66"/>
      <c r="E633" s="66"/>
      <c r="F633" s="66"/>
      <c r="G633" s="66"/>
      <c r="H633" s="66"/>
      <c r="I633" s="64" t="str">
        <f>IF(OR($B633="", $D633="", $E633="", $F633="", $G633="", $H633=""),"",ROUND(($D633*Lists!$AN$20)+($E633*Lists!$AN$21)+($F633*Lists!$AN$22)+($G633*Lists!$AN$23)+($H633*Lists!$AN$24),2))</f>
        <v/>
      </c>
      <c r="J633" s="62"/>
      <c r="K633" s="65"/>
      <c r="L633" s="62"/>
    </row>
    <row r="634" spans="1:12" ht="15.75" customHeight="1" x14ac:dyDescent="0.2">
      <c r="A634" s="63" t="str">
        <f t="shared" si="10"/>
        <v/>
      </c>
      <c r="B634" s="63"/>
      <c r="C634" s="62" t="str">
        <f>IF($B634="","",IFERROR(VLOOKUP($B634,'Application Portfolio'!$A$2:$B$1000,2,FALSE()),""))</f>
        <v/>
      </c>
      <c r="D634" s="66"/>
      <c r="E634" s="66"/>
      <c r="F634" s="66"/>
      <c r="G634" s="66"/>
      <c r="H634" s="66"/>
      <c r="I634" s="64" t="str">
        <f>IF(OR($B634="", $D634="", $E634="", $F634="", $G634="", $H634=""),"",ROUND(($D634*Lists!$AN$20)+($E634*Lists!$AN$21)+($F634*Lists!$AN$22)+($G634*Lists!$AN$23)+($H634*Lists!$AN$24),2))</f>
        <v/>
      </c>
      <c r="J634" s="62"/>
      <c r="K634" s="65"/>
      <c r="L634" s="62"/>
    </row>
    <row r="635" spans="1:12" ht="15.75" customHeight="1" x14ac:dyDescent="0.2">
      <c r="A635" s="63" t="str">
        <f t="shared" si="10"/>
        <v/>
      </c>
      <c r="B635" s="63"/>
      <c r="C635" s="62" t="str">
        <f>IF($B635="","",IFERROR(VLOOKUP($B635,'Application Portfolio'!$A$2:$B$1000,2,FALSE()),""))</f>
        <v/>
      </c>
      <c r="D635" s="66"/>
      <c r="E635" s="66"/>
      <c r="F635" s="66"/>
      <c r="G635" s="66"/>
      <c r="H635" s="66"/>
      <c r="I635" s="64" t="str">
        <f>IF(OR($B635="", $D635="", $E635="", $F635="", $G635="", $H635=""),"",ROUND(($D635*Lists!$AN$20)+($E635*Lists!$AN$21)+($F635*Lists!$AN$22)+($G635*Lists!$AN$23)+($H635*Lists!$AN$24),2))</f>
        <v/>
      </c>
      <c r="J635" s="62"/>
      <c r="K635" s="65"/>
      <c r="L635" s="62"/>
    </row>
    <row r="636" spans="1:12" ht="15.75" customHeight="1" x14ac:dyDescent="0.2">
      <c r="A636" s="63" t="str">
        <f t="shared" si="10"/>
        <v/>
      </c>
      <c r="B636" s="63"/>
      <c r="C636" s="62" t="str">
        <f>IF($B636="","",IFERROR(VLOOKUP($B636,'Application Portfolio'!$A$2:$B$1000,2,FALSE()),""))</f>
        <v/>
      </c>
      <c r="D636" s="66"/>
      <c r="E636" s="66"/>
      <c r="F636" s="66"/>
      <c r="G636" s="66"/>
      <c r="H636" s="66"/>
      <c r="I636" s="64" t="str">
        <f>IF(OR($B636="", $D636="", $E636="", $F636="", $G636="", $H636=""),"",ROUND(($D636*Lists!$AN$20)+($E636*Lists!$AN$21)+($F636*Lists!$AN$22)+($G636*Lists!$AN$23)+($H636*Lists!$AN$24),2))</f>
        <v/>
      </c>
      <c r="J636" s="62"/>
      <c r="K636" s="65"/>
      <c r="L636" s="62"/>
    </row>
    <row r="637" spans="1:12" ht="15.75" customHeight="1" x14ac:dyDescent="0.2">
      <c r="A637" s="63" t="str">
        <f t="shared" si="10"/>
        <v/>
      </c>
      <c r="B637" s="63"/>
      <c r="C637" s="62" t="str">
        <f>IF($B637="","",IFERROR(VLOOKUP($B637,'Application Portfolio'!$A$2:$B$1000,2,FALSE()),""))</f>
        <v/>
      </c>
      <c r="D637" s="66"/>
      <c r="E637" s="66"/>
      <c r="F637" s="66"/>
      <c r="G637" s="66"/>
      <c r="H637" s="66"/>
      <c r="I637" s="64" t="str">
        <f>IF(OR($B637="", $D637="", $E637="", $F637="", $G637="", $H637=""),"",ROUND(($D637*Lists!$AN$20)+($E637*Lists!$AN$21)+($F637*Lists!$AN$22)+($G637*Lists!$AN$23)+($H637*Lists!$AN$24),2))</f>
        <v/>
      </c>
      <c r="J637" s="62"/>
      <c r="K637" s="65"/>
      <c r="L637" s="62"/>
    </row>
    <row r="638" spans="1:12" ht="15.75" customHeight="1" x14ac:dyDescent="0.2">
      <c r="A638" s="63" t="str">
        <f t="shared" si="10"/>
        <v/>
      </c>
      <c r="B638" s="63"/>
      <c r="C638" s="62" t="str">
        <f>IF($B638="","",IFERROR(VLOOKUP($B638,'Application Portfolio'!$A$2:$B$1000,2,FALSE()),""))</f>
        <v/>
      </c>
      <c r="D638" s="66"/>
      <c r="E638" s="66"/>
      <c r="F638" s="66"/>
      <c r="G638" s="66"/>
      <c r="H638" s="66"/>
      <c r="I638" s="64" t="str">
        <f>IF(OR($B638="", $D638="", $E638="", $F638="", $G638="", $H638=""),"",ROUND(($D638*Lists!$AN$20)+($E638*Lists!$AN$21)+($F638*Lists!$AN$22)+($G638*Lists!$AN$23)+($H638*Lists!$AN$24),2))</f>
        <v/>
      </c>
      <c r="J638" s="62"/>
      <c r="K638" s="65"/>
      <c r="L638" s="62"/>
    </row>
    <row r="639" spans="1:12" ht="15.75" customHeight="1" x14ac:dyDescent="0.2">
      <c r="A639" s="63" t="str">
        <f t="shared" si="10"/>
        <v/>
      </c>
      <c r="B639" s="63"/>
      <c r="C639" s="62" t="str">
        <f>IF($B639="","",IFERROR(VLOOKUP($B639,'Application Portfolio'!$A$2:$B$1000,2,FALSE()),""))</f>
        <v/>
      </c>
      <c r="D639" s="66"/>
      <c r="E639" s="66"/>
      <c r="F639" s="66"/>
      <c r="G639" s="66"/>
      <c r="H639" s="66"/>
      <c r="I639" s="64" t="str">
        <f>IF(OR($B639="", $D639="", $E639="", $F639="", $G639="", $H639=""),"",ROUND(($D639*Lists!$AN$20)+($E639*Lists!$AN$21)+($F639*Lists!$AN$22)+($G639*Lists!$AN$23)+($H639*Lists!$AN$24),2))</f>
        <v/>
      </c>
      <c r="J639" s="62"/>
      <c r="K639" s="65"/>
      <c r="L639" s="62"/>
    </row>
    <row r="640" spans="1:12" ht="15.75" customHeight="1" x14ac:dyDescent="0.2">
      <c r="A640" s="63" t="str">
        <f t="shared" si="10"/>
        <v/>
      </c>
      <c r="B640" s="63"/>
      <c r="C640" s="62" t="str">
        <f>IF($B640="","",IFERROR(VLOOKUP($B640,'Application Portfolio'!$A$2:$B$1000,2,FALSE()),""))</f>
        <v/>
      </c>
      <c r="D640" s="66"/>
      <c r="E640" s="66"/>
      <c r="F640" s="66"/>
      <c r="G640" s="66"/>
      <c r="H640" s="66"/>
      <c r="I640" s="64" t="str">
        <f>IF(OR($B640="", $D640="", $E640="", $F640="", $G640="", $H640=""),"",ROUND(($D640*Lists!$AN$20)+($E640*Lists!$AN$21)+($F640*Lists!$AN$22)+($G640*Lists!$AN$23)+($H640*Lists!$AN$24),2))</f>
        <v/>
      </c>
      <c r="J640" s="62"/>
      <c r="K640" s="65"/>
      <c r="L640" s="62"/>
    </row>
    <row r="641" spans="1:12" ht="15.75" customHeight="1" x14ac:dyDescent="0.2">
      <c r="A641" s="63" t="str">
        <f t="shared" si="10"/>
        <v/>
      </c>
      <c r="B641" s="63"/>
      <c r="C641" s="62" t="str">
        <f>IF($B641="","",IFERROR(VLOOKUP($B641,'Application Portfolio'!$A$2:$B$1000,2,FALSE()),""))</f>
        <v/>
      </c>
      <c r="D641" s="66"/>
      <c r="E641" s="66"/>
      <c r="F641" s="66"/>
      <c r="G641" s="66"/>
      <c r="H641" s="66"/>
      <c r="I641" s="64" t="str">
        <f>IF(OR($B641="", $D641="", $E641="", $F641="", $G641="", $H641=""),"",ROUND(($D641*Lists!$AN$20)+($E641*Lists!$AN$21)+($F641*Lists!$AN$22)+($G641*Lists!$AN$23)+($H641*Lists!$AN$24),2))</f>
        <v/>
      </c>
      <c r="J641" s="62"/>
      <c r="K641" s="65"/>
      <c r="L641" s="62"/>
    </row>
    <row r="642" spans="1:12" ht="15.75" customHeight="1" x14ac:dyDescent="0.2">
      <c r="A642" s="63" t="str">
        <f t="shared" si="10"/>
        <v/>
      </c>
      <c r="B642" s="63"/>
      <c r="C642" s="62" t="str">
        <f>IF($B642="","",IFERROR(VLOOKUP($B642,'Application Portfolio'!$A$2:$B$1000,2,FALSE()),""))</f>
        <v/>
      </c>
      <c r="D642" s="66"/>
      <c r="E642" s="66"/>
      <c r="F642" s="66"/>
      <c r="G642" s="66"/>
      <c r="H642" s="66"/>
      <c r="I642" s="64" t="str">
        <f>IF(OR($B642="", $D642="", $E642="", $F642="", $G642="", $H642=""),"",ROUND(($D642*Lists!$AN$20)+($E642*Lists!$AN$21)+($F642*Lists!$AN$22)+($G642*Lists!$AN$23)+($H642*Lists!$AN$24),2))</f>
        <v/>
      </c>
      <c r="J642" s="62"/>
      <c r="K642" s="65"/>
      <c r="L642" s="62"/>
    </row>
    <row r="643" spans="1:12" ht="15.75" customHeight="1" x14ac:dyDescent="0.2">
      <c r="A643" s="63" t="str">
        <f t="shared" si="10"/>
        <v/>
      </c>
      <c r="B643" s="63"/>
      <c r="C643" s="62" t="str">
        <f>IF($B643="","",IFERROR(VLOOKUP($B643,'Application Portfolio'!$A$2:$B$1000,2,FALSE()),""))</f>
        <v/>
      </c>
      <c r="D643" s="66"/>
      <c r="E643" s="66"/>
      <c r="F643" s="66"/>
      <c r="G643" s="66"/>
      <c r="H643" s="66"/>
      <c r="I643" s="64" t="str">
        <f>IF(OR($B643="", $D643="", $E643="", $F643="", $G643="", $H643=""),"",ROUND(($D643*Lists!$AN$20)+($E643*Lists!$AN$21)+($F643*Lists!$AN$22)+($G643*Lists!$AN$23)+($H643*Lists!$AN$24),2))</f>
        <v/>
      </c>
      <c r="J643" s="62"/>
      <c r="K643" s="65"/>
      <c r="L643" s="62"/>
    </row>
    <row r="644" spans="1:12" ht="15.75" customHeight="1" x14ac:dyDescent="0.2">
      <c r="A644" s="63" t="str">
        <f t="shared" si="10"/>
        <v/>
      </c>
      <c r="B644" s="63"/>
      <c r="C644" s="62" t="str">
        <f>IF($B644="","",IFERROR(VLOOKUP($B644,'Application Portfolio'!$A$2:$B$1000,2,FALSE()),""))</f>
        <v/>
      </c>
      <c r="D644" s="66"/>
      <c r="E644" s="66"/>
      <c r="F644" s="66"/>
      <c r="G644" s="66"/>
      <c r="H644" s="66"/>
      <c r="I644" s="64" t="str">
        <f>IF(OR($B644="", $D644="", $E644="", $F644="", $G644="", $H644=""),"",ROUND(($D644*Lists!$AN$20)+($E644*Lists!$AN$21)+($F644*Lists!$AN$22)+($G644*Lists!$AN$23)+($H644*Lists!$AN$24),2))</f>
        <v/>
      </c>
      <c r="J644" s="62"/>
      <c r="K644" s="65"/>
      <c r="L644" s="62"/>
    </row>
    <row r="645" spans="1:12" ht="15.75" customHeight="1" x14ac:dyDescent="0.2">
      <c r="A645" s="63" t="str">
        <f t="shared" si="10"/>
        <v/>
      </c>
      <c r="B645" s="63"/>
      <c r="C645" s="62" t="str">
        <f>IF($B645="","",IFERROR(VLOOKUP($B645,'Application Portfolio'!$A$2:$B$1000,2,FALSE()),""))</f>
        <v/>
      </c>
      <c r="D645" s="66"/>
      <c r="E645" s="66"/>
      <c r="F645" s="66"/>
      <c r="G645" s="66"/>
      <c r="H645" s="66"/>
      <c r="I645" s="64" t="str">
        <f>IF(OR($B645="", $D645="", $E645="", $F645="", $G645="", $H645=""),"",ROUND(($D645*Lists!$AN$20)+($E645*Lists!$AN$21)+($F645*Lists!$AN$22)+($G645*Lists!$AN$23)+($H645*Lists!$AN$24),2))</f>
        <v/>
      </c>
      <c r="J645" s="62"/>
      <c r="K645" s="65"/>
      <c r="L645" s="62"/>
    </row>
    <row r="646" spans="1:12" ht="15.75" customHeight="1" x14ac:dyDescent="0.2">
      <c r="A646" s="63" t="str">
        <f t="shared" si="10"/>
        <v/>
      </c>
      <c r="B646" s="63"/>
      <c r="C646" s="62" t="str">
        <f>IF($B646="","",IFERROR(VLOOKUP($B646,'Application Portfolio'!$A$2:$B$1000,2,FALSE()),""))</f>
        <v/>
      </c>
      <c r="D646" s="66"/>
      <c r="E646" s="66"/>
      <c r="F646" s="66"/>
      <c r="G646" s="66"/>
      <c r="H646" s="66"/>
      <c r="I646" s="64" t="str">
        <f>IF(OR($B646="", $D646="", $E646="", $F646="", $G646="", $H646=""),"",ROUND(($D646*Lists!$AN$20)+($E646*Lists!$AN$21)+($F646*Lists!$AN$22)+($G646*Lists!$AN$23)+($H646*Lists!$AN$24),2))</f>
        <v/>
      </c>
      <c r="J646" s="62"/>
      <c r="K646" s="65"/>
      <c r="L646" s="62"/>
    </row>
    <row r="647" spans="1:12" ht="15.75" customHeight="1" x14ac:dyDescent="0.2">
      <c r="A647" s="63" t="str">
        <f t="shared" si="10"/>
        <v/>
      </c>
      <c r="B647" s="63"/>
      <c r="C647" s="62" t="str">
        <f>IF($B647="","",IFERROR(VLOOKUP($B647,'Application Portfolio'!$A$2:$B$1000,2,FALSE()),""))</f>
        <v/>
      </c>
      <c r="D647" s="66"/>
      <c r="E647" s="66"/>
      <c r="F647" s="66"/>
      <c r="G647" s="66"/>
      <c r="H647" s="66"/>
      <c r="I647" s="64" t="str">
        <f>IF(OR($B647="", $D647="", $E647="", $F647="", $G647="", $H647=""),"",ROUND(($D647*Lists!$AN$20)+($E647*Lists!$AN$21)+($F647*Lists!$AN$22)+($G647*Lists!$AN$23)+($H647*Lists!$AN$24),2))</f>
        <v/>
      </c>
      <c r="J647" s="62"/>
      <c r="K647" s="65"/>
      <c r="L647" s="62"/>
    </row>
    <row r="648" spans="1:12" ht="15.75" customHeight="1" x14ac:dyDescent="0.2">
      <c r="A648" s="63" t="str">
        <f t="shared" si="10"/>
        <v/>
      </c>
      <c r="B648" s="63"/>
      <c r="C648" s="62" t="str">
        <f>IF($B648="","",IFERROR(VLOOKUP($B648,'Application Portfolio'!$A$2:$B$1000,2,FALSE()),""))</f>
        <v/>
      </c>
      <c r="D648" s="66"/>
      <c r="E648" s="66"/>
      <c r="F648" s="66"/>
      <c r="G648" s="66"/>
      <c r="H648" s="66"/>
      <c r="I648" s="64" t="str">
        <f>IF(OR($B648="", $D648="", $E648="", $F648="", $G648="", $H648=""),"",ROUND(($D648*Lists!$AN$20)+($E648*Lists!$AN$21)+($F648*Lists!$AN$22)+($G648*Lists!$AN$23)+($H648*Lists!$AN$24),2))</f>
        <v/>
      </c>
      <c r="J648" s="62"/>
      <c r="K648" s="65"/>
      <c r="L648" s="62"/>
    </row>
    <row r="649" spans="1:12" ht="15.75" customHeight="1" x14ac:dyDescent="0.2">
      <c r="A649" s="63" t="str">
        <f t="shared" si="10"/>
        <v/>
      </c>
      <c r="B649" s="63"/>
      <c r="C649" s="62" t="str">
        <f>IF($B649="","",IFERROR(VLOOKUP($B649,'Application Portfolio'!$A$2:$B$1000,2,FALSE()),""))</f>
        <v/>
      </c>
      <c r="D649" s="66"/>
      <c r="E649" s="66"/>
      <c r="F649" s="66"/>
      <c r="G649" s="66"/>
      <c r="H649" s="66"/>
      <c r="I649" s="64" t="str">
        <f>IF(OR($B649="", $D649="", $E649="", $F649="", $G649="", $H649=""),"",ROUND(($D649*Lists!$AN$20)+($E649*Lists!$AN$21)+($F649*Lists!$AN$22)+($G649*Lists!$AN$23)+($H649*Lists!$AN$24),2))</f>
        <v/>
      </c>
      <c r="J649" s="62"/>
      <c r="K649" s="65"/>
      <c r="L649" s="62"/>
    </row>
    <row r="650" spans="1:12" ht="15.75" customHeight="1" x14ac:dyDescent="0.2">
      <c r="A650" s="63" t="str">
        <f t="shared" si="10"/>
        <v/>
      </c>
      <c r="B650" s="63"/>
      <c r="C650" s="62" t="str">
        <f>IF($B650="","",IFERROR(VLOOKUP($B650,'Application Portfolio'!$A$2:$B$1000,2,FALSE()),""))</f>
        <v/>
      </c>
      <c r="D650" s="66"/>
      <c r="E650" s="66"/>
      <c r="F650" s="66"/>
      <c r="G650" s="66"/>
      <c r="H650" s="66"/>
      <c r="I650" s="64" t="str">
        <f>IF(OR($B650="", $D650="", $E650="", $F650="", $G650="", $H650=""),"",ROUND(($D650*Lists!$AN$20)+($E650*Lists!$AN$21)+($F650*Lists!$AN$22)+($G650*Lists!$AN$23)+($H650*Lists!$AN$24),2))</f>
        <v/>
      </c>
      <c r="J650" s="62"/>
      <c r="K650" s="65"/>
      <c r="L650" s="62"/>
    </row>
    <row r="651" spans="1:12" ht="15.75" customHeight="1" x14ac:dyDescent="0.2">
      <c r="A651" s="63" t="str">
        <f t="shared" si="10"/>
        <v/>
      </c>
      <c r="B651" s="63"/>
      <c r="C651" s="62" t="str">
        <f>IF($B651="","",IFERROR(VLOOKUP($B651,'Application Portfolio'!$A$2:$B$1000,2,FALSE()),""))</f>
        <v/>
      </c>
      <c r="D651" s="66"/>
      <c r="E651" s="66"/>
      <c r="F651" s="66"/>
      <c r="G651" s="66"/>
      <c r="H651" s="66"/>
      <c r="I651" s="64" t="str">
        <f>IF(OR($B651="", $D651="", $E651="", $F651="", $G651="", $H651=""),"",ROUND(($D651*Lists!$AN$20)+($E651*Lists!$AN$21)+($F651*Lists!$AN$22)+($G651*Lists!$AN$23)+($H651*Lists!$AN$24),2))</f>
        <v/>
      </c>
      <c r="J651" s="62"/>
      <c r="K651" s="65"/>
      <c r="L651" s="62"/>
    </row>
    <row r="652" spans="1:12" ht="15.75" customHeight="1" x14ac:dyDescent="0.2">
      <c r="A652" s="63" t="str">
        <f t="shared" si="10"/>
        <v/>
      </c>
      <c r="B652" s="63"/>
      <c r="C652" s="62" t="str">
        <f>IF($B652="","",IFERROR(VLOOKUP($B652,'Application Portfolio'!$A$2:$B$1000,2,FALSE()),""))</f>
        <v/>
      </c>
      <c r="D652" s="66"/>
      <c r="E652" s="66"/>
      <c r="F652" s="66"/>
      <c r="G652" s="66"/>
      <c r="H652" s="66"/>
      <c r="I652" s="64" t="str">
        <f>IF(OR($B652="", $D652="", $E652="", $F652="", $G652="", $H652=""),"",ROUND(($D652*Lists!$AN$20)+($E652*Lists!$AN$21)+($F652*Lists!$AN$22)+($G652*Lists!$AN$23)+($H652*Lists!$AN$24),2))</f>
        <v/>
      </c>
      <c r="J652" s="62"/>
      <c r="K652" s="65"/>
      <c r="L652" s="62"/>
    </row>
    <row r="653" spans="1:12" ht="15.75" customHeight="1" x14ac:dyDescent="0.2">
      <c r="A653" s="63" t="str">
        <f t="shared" si="10"/>
        <v/>
      </c>
      <c r="B653" s="63"/>
      <c r="C653" s="62" t="str">
        <f>IF($B653="","",IFERROR(VLOOKUP($B653,'Application Portfolio'!$A$2:$B$1000,2,FALSE()),""))</f>
        <v/>
      </c>
      <c r="D653" s="66"/>
      <c r="E653" s="66"/>
      <c r="F653" s="66"/>
      <c r="G653" s="66"/>
      <c r="H653" s="66"/>
      <c r="I653" s="64" t="str">
        <f>IF(OR($B653="", $D653="", $E653="", $F653="", $G653="", $H653=""),"",ROUND(($D653*Lists!$AN$20)+($E653*Lists!$AN$21)+($F653*Lists!$AN$22)+($G653*Lists!$AN$23)+($H653*Lists!$AN$24),2))</f>
        <v/>
      </c>
      <c r="J653" s="62"/>
      <c r="K653" s="65"/>
      <c r="L653" s="62"/>
    </row>
    <row r="654" spans="1:12" ht="15.75" customHeight="1" x14ac:dyDescent="0.2">
      <c r="A654" s="63" t="str">
        <f t="shared" si="10"/>
        <v/>
      </c>
      <c r="B654" s="63"/>
      <c r="C654" s="62" t="str">
        <f>IF($B654="","",IFERROR(VLOOKUP($B654,'Application Portfolio'!$A$2:$B$1000,2,FALSE()),""))</f>
        <v/>
      </c>
      <c r="D654" s="66"/>
      <c r="E654" s="66"/>
      <c r="F654" s="66"/>
      <c r="G654" s="66"/>
      <c r="H654" s="66"/>
      <c r="I654" s="64" t="str">
        <f>IF(OR($B654="", $D654="", $E654="", $F654="", $G654="", $H654=""),"",ROUND(($D654*Lists!$AN$20)+($E654*Lists!$AN$21)+($F654*Lists!$AN$22)+($G654*Lists!$AN$23)+($H654*Lists!$AN$24),2))</f>
        <v/>
      </c>
      <c r="J654" s="62"/>
      <c r="K654" s="65"/>
      <c r="L654" s="62"/>
    </row>
    <row r="655" spans="1:12" ht="15.75" customHeight="1" x14ac:dyDescent="0.2">
      <c r="A655" s="63" t="str">
        <f t="shared" si="10"/>
        <v/>
      </c>
      <c r="B655" s="63"/>
      <c r="C655" s="62" t="str">
        <f>IF($B655="","",IFERROR(VLOOKUP($B655,'Application Portfolio'!$A$2:$B$1000,2,FALSE()),""))</f>
        <v/>
      </c>
      <c r="D655" s="66"/>
      <c r="E655" s="66"/>
      <c r="F655" s="66"/>
      <c r="G655" s="66"/>
      <c r="H655" s="66"/>
      <c r="I655" s="64" t="str">
        <f>IF(OR($B655="", $D655="", $E655="", $F655="", $G655="", $H655=""),"",ROUND(($D655*Lists!$AN$20)+($E655*Lists!$AN$21)+($F655*Lists!$AN$22)+($G655*Lists!$AN$23)+($H655*Lists!$AN$24),2))</f>
        <v/>
      </c>
      <c r="J655" s="62"/>
      <c r="K655" s="65"/>
      <c r="L655" s="62"/>
    </row>
    <row r="656" spans="1:12" ht="15.75" customHeight="1" x14ac:dyDescent="0.2">
      <c r="A656" s="63" t="str">
        <f t="shared" si="10"/>
        <v/>
      </c>
      <c r="B656" s="63"/>
      <c r="C656" s="62" t="str">
        <f>IF($B656="","",IFERROR(VLOOKUP($B656,'Application Portfolio'!$A$2:$B$1000,2,FALSE()),""))</f>
        <v/>
      </c>
      <c r="D656" s="66"/>
      <c r="E656" s="66"/>
      <c r="F656" s="66"/>
      <c r="G656" s="66"/>
      <c r="H656" s="66"/>
      <c r="I656" s="64" t="str">
        <f>IF(OR($B656="", $D656="", $E656="", $F656="", $G656="", $H656=""),"",ROUND(($D656*Lists!$AN$20)+($E656*Lists!$AN$21)+($F656*Lists!$AN$22)+($G656*Lists!$AN$23)+($H656*Lists!$AN$24),2))</f>
        <v/>
      </c>
      <c r="J656" s="62"/>
      <c r="K656" s="65"/>
      <c r="L656" s="62"/>
    </row>
    <row r="657" spans="1:12" ht="15.75" customHeight="1" x14ac:dyDescent="0.2">
      <c r="A657" s="63" t="str">
        <f t="shared" si="10"/>
        <v/>
      </c>
      <c r="B657" s="63"/>
      <c r="C657" s="62" t="str">
        <f>IF($B657="","",IFERROR(VLOOKUP($B657,'Application Portfolio'!$A$2:$B$1000,2,FALSE()),""))</f>
        <v/>
      </c>
      <c r="D657" s="66"/>
      <c r="E657" s="66"/>
      <c r="F657" s="66"/>
      <c r="G657" s="66"/>
      <c r="H657" s="66"/>
      <c r="I657" s="64" t="str">
        <f>IF(OR($B657="", $D657="", $E657="", $F657="", $G657="", $H657=""),"",ROUND(($D657*Lists!$AN$20)+($E657*Lists!$AN$21)+($F657*Lists!$AN$22)+($G657*Lists!$AN$23)+($H657*Lists!$AN$24),2))</f>
        <v/>
      </c>
      <c r="J657" s="62"/>
      <c r="K657" s="65"/>
      <c r="L657" s="62"/>
    </row>
    <row r="658" spans="1:12" ht="15.75" customHeight="1" x14ac:dyDescent="0.2">
      <c r="A658" s="63" t="str">
        <f t="shared" si="10"/>
        <v/>
      </c>
      <c r="B658" s="63"/>
      <c r="C658" s="62" t="str">
        <f>IF($B658="","",IFERROR(VLOOKUP($B658,'Application Portfolio'!$A$2:$B$1000,2,FALSE()),""))</f>
        <v/>
      </c>
      <c r="D658" s="66"/>
      <c r="E658" s="66"/>
      <c r="F658" s="66"/>
      <c r="G658" s="66"/>
      <c r="H658" s="66"/>
      <c r="I658" s="64" t="str">
        <f>IF(OR($B658="", $D658="", $E658="", $F658="", $G658="", $H658=""),"",ROUND(($D658*Lists!$AN$20)+($E658*Lists!$AN$21)+($F658*Lists!$AN$22)+($G658*Lists!$AN$23)+($H658*Lists!$AN$24),2))</f>
        <v/>
      </c>
      <c r="J658" s="62"/>
      <c r="K658" s="65"/>
      <c r="L658" s="62"/>
    </row>
    <row r="659" spans="1:12" ht="15.75" customHeight="1" x14ac:dyDescent="0.2">
      <c r="A659" s="63" t="str">
        <f t="shared" si="10"/>
        <v/>
      </c>
      <c r="B659" s="63"/>
      <c r="C659" s="62" t="str">
        <f>IF($B659="","",IFERROR(VLOOKUP($B659,'Application Portfolio'!$A$2:$B$1000,2,FALSE()),""))</f>
        <v/>
      </c>
      <c r="D659" s="66"/>
      <c r="E659" s="66"/>
      <c r="F659" s="66"/>
      <c r="G659" s="66"/>
      <c r="H659" s="66"/>
      <c r="I659" s="64" t="str">
        <f>IF(OR($B659="", $D659="", $E659="", $F659="", $G659="", $H659=""),"",ROUND(($D659*Lists!$AN$20)+($E659*Lists!$AN$21)+($F659*Lists!$AN$22)+($G659*Lists!$AN$23)+($H659*Lists!$AN$24),2))</f>
        <v/>
      </c>
      <c r="J659" s="62"/>
      <c r="K659" s="65"/>
      <c r="L659" s="62"/>
    </row>
    <row r="660" spans="1:12" ht="15.75" customHeight="1" x14ac:dyDescent="0.2">
      <c r="A660" s="63" t="str">
        <f t="shared" si="10"/>
        <v/>
      </c>
      <c r="B660" s="63"/>
      <c r="C660" s="62" t="str">
        <f>IF($B660="","",IFERROR(VLOOKUP($B660,'Application Portfolio'!$A$2:$B$1000,2,FALSE()),""))</f>
        <v/>
      </c>
      <c r="D660" s="66"/>
      <c r="E660" s="66"/>
      <c r="F660" s="66"/>
      <c r="G660" s="66"/>
      <c r="H660" s="66"/>
      <c r="I660" s="64" t="str">
        <f>IF(OR($B660="", $D660="", $E660="", $F660="", $G660="", $H660=""),"",ROUND(($D660*Lists!$AN$20)+($E660*Lists!$AN$21)+($F660*Lists!$AN$22)+($G660*Lists!$AN$23)+($H660*Lists!$AN$24),2))</f>
        <v/>
      </c>
      <c r="J660" s="62"/>
      <c r="K660" s="65"/>
      <c r="L660" s="62"/>
    </row>
    <row r="661" spans="1:12" ht="15.75" customHeight="1" x14ac:dyDescent="0.2">
      <c r="A661" s="63" t="str">
        <f t="shared" si="10"/>
        <v/>
      </c>
      <c r="B661" s="63"/>
      <c r="C661" s="62" t="str">
        <f>IF($B661="","",IFERROR(VLOOKUP($B661,'Application Portfolio'!$A$2:$B$1000,2,FALSE()),""))</f>
        <v/>
      </c>
      <c r="D661" s="66"/>
      <c r="E661" s="66"/>
      <c r="F661" s="66"/>
      <c r="G661" s="66"/>
      <c r="H661" s="66"/>
      <c r="I661" s="64" t="str">
        <f>IF(OR($B661="", $D661="", $E661="", $F661="", $G661="", $H661=""),"",ROUND(($D661*Lists!$AN$20)+($E661*Lists!$AN$21)+($F661*Lists!$AN$22)+($G661*Lists!$AN$23)+($H661*Lists!$AN$24),2))</f>
        <v/>
      </c>
      <c r="J661" s="62"/>
      <c r="K661" s="65"/>
      <c r="L661" s="62"/>
    </row>
    <row r="662" spans="1:12" ht="15.75" customHeight="1" x14ac:dyDescent="0.2">
      <c r="A662" s="63" t="str">
        <f t="shared" si="10"/>
        <v/>
      </c>
      <c r="B662" s="63"/>
      <c r="C662" s="62" t="str">
        <f>IF($B662="","",IFERROR(VLOOKUP($B662,'Application Portfolio'!$A$2:$B$1000,2,FALSE()),""))</f>
        <v/>
      </c>
      <c r="D662" s="66"/>
      <c r="E662" s="66"/>
      <c r="F662" s="66"/>
      <c r="G662" s="66"/>
      <c r="H662" s="66"/>
      <c r="I662" s="64" t="str">
        <f>IF(OR($B662="", $D662="", $E662="", $F662="", $G662="", $H662=""),"",ROUND(($D662*Lists!$AN$20)+($E662*Lists!$AN$21)+($F662*Lists!$AN$22)+($G662*Lists!$AN$23)+($H662*Lists!$AN$24),2))</f>
        <v/>
      </c>
      <c r="J662" s="62"/>
      <c r="K662" s="65"/>
      <c r="L662" s="62"/>
    </row>
    <row r="663" spans="1:12" ht="15.75" customHeight="1" x14ac:dyDescent="0.2">
      <c r="A663" s="63" t="str">
        <f t="shared" si="10"/>
        <v/>
      </c>
      <c r="B663" s="63"/>
      <c r="C663" s="62" t="str">
        <f>IF($B663="","",IFERROR(VLOOKUP($B663,'Application Portfolio'!$A$2:$B$1000,2,FALSE()),""))</f>
        <v/>
      </c>
      <c r="D663" s="66"/>
      <c r="E663" s="66"/>
      <c r="F663" s="66"/>
      <c r="G663" s="66"/>
      <c r="H663" s="66"/>
      <c r="I663" s="64" t="str">
        <f>IF(OR($B663="", $D663="", $E663="", $F663="", $G663="", $H663=""),"",ROUND(($D663*Lists!$AN$20)+($E663*Lists!$AN$21)+($F663*Lists!$AN$22)+($G663*Lists!$AN$23)+($H663*Lists!$AN$24),2))</f>
        <v/>
      </c>
      <c r="J663" s="62"/>
      <c r="K663" s="65"/>
      <c r="L663" s="62"/>
    </row>
    <row r="664" spans="1:12" ht="15.75" customHeight="1" x14ac:dyDescent="0.2">
      <c r="A664" s="63" t="str">
        <f t="shared" si="10"/>
        <v/>
      </c>
      <c r="B664" s="63"/>
      <c r="C664" s="62" t="str">
        <f>IF($B664="","",IFERROR(VLOOKUP($B664,'Application Portfolio'!$A$2:$B$1000,2,FALSE()),""))</f>
        <v/>
      </c>
      <c r="D664" s="66"/>
      <c r="E664" s="66"/>
      <c r="F664" s="66"/>
      <c r="G664" s="66"/>
      <c r="H664" s="66"/>
      <c r="I664" s="64" t="str">
        <f>IF(OR($B664="", $D664="", $E664="", $F664="", $G664="", $H664=""),"",ROUND(($D664*Lists!$AN$20)+($E664*Lists!$AN$21)+($F664*Lists!$AN$22)+($G664*Lists!$AN$23)+($H664*Lists!$AN$24),2))</f>
        <v/>
      </c>
      <c r="J664" s="62"/>
      <c r="K664" s="65"/>
      <c r="L664" s="62"/>
    </row>
    <row r="665" spans="1:12" ht="15.75" customHeight="1" x14ac:dyDescent="0.2">
      <c r="A665" s="63" t="str">
        <f t="shared" si="10"/>
        <v/>
      </c>
      <c r="B665" s="63"/>
      <c r="C665" s="62" t="str">
        <f>IF($B665="","",IFERROR(VLOOKUP($B665,'Application Portfolio'!$A$2:$B$1000,2,FALSE()),""))</f>
        <v/>
      </c>
      <c r="D665" s="66"/>
      <c r="E665" s="66"/>
      <c r="F665" s="66"/>
      <c r="G665" s="66"/>
      <c r="H665" s="66"/>
      <c r="I665" s="64" t="str">
        <f>IF(OR($B665="", $D665="", $E665="", $F665="", $G665="", $H665=""),"",ROUND(($D665*Lists!$AN$20)+($E665*Lists!$AN$21)+($F665*Lists!$AN$22)+($G665*Lists!$AN$23)+($H665*Lists!$AN$24),2))</f>
        <v/>
      </c>
      <c r="J665" s="62"/>
      <c r="K665" s="65"/>
      <c r="L665" s="62"/>
    </row>
    <row r="666" spans="1:12" ht="15.75" customHeight="1" x14ac:dyDescent="0.2">
      <c r="A666" s="63" t="str">
        <f t="shared" si="10"/>
        <v/>
      </c>
      <c r="B666" s="63"/>
      <c r="C666" s="62" t="str">
        <f>IF($B666="","",IFERROR(VLOOKUP($B666,'Application Portfolio'!$A$2:$B$1000,2,FALSE()),""))</f>
        <v/>
      </c>
      <c r="D666" s="66"/>
      <c r="E666" s="66"/>
      <c r="F666" s="66"/>
      <c r="G666" s="66"/>
      <c r="H666" s="66"/>
      <c r="I666" s="64" t="str">
        <f>IF(OR($B666="", $D666="", $E666="", $F666="", $G666="", $H666=""),"",ROUND(($D666*Lists!$AN$20)+($E666*Lists!$AN$21)+($F666*Lists!$AN$22)+($G666*Lists!$AN$23)+($H666*Lists!$AN$24),2))</f>
        <v/>
      </c>
      <c r="J666" s="62"/>
      <c r="K666" s="65"/>
      <c r="L666" s="62"/>
    </row>
    <row r="667" spans="1:12" ht="15.75" customHeight="1" x14ac:dyDescent="0.2">
      <c r="A667" s="63" t="str">
        <f t="shared" si="10"/>
        <v/>
      </c>
      <c r="B667" s="63"/>
      <c r="C667" s="62" t="str">
        <f>IF($B667="","",IFERROR(VLOOKUP($B667,'Application Portfolio'!$A$2:$B$1000,2,FALSE()),""))</f>
        <v/>
      </c>
      <c r="D667" s="66"/>
      <c r="E667" s="66"/>
      <c r="F667" s="66"/>
      <c r="G667" s="66"/>
      <c r="H667" s="66"/>
      <c r="I667" s="64" t="str">
        <f>IF(OR($B667="", $D667="", $E667="", $F667="", $G667="", $H667=""),"",ROUND(($D667*Lists!$AN$20)+($E667*Lists!$AN$21)+($F667*Lists!$AN$22)+($G667*Lists!$AN$23)+($H667*Lists!$AN$24),2))</f>
        <v/>
      </c>
      <c r="J667" s="62"/>
      <c r="K667" s="65"/>
      <c r="L667" s="62"/>
    </row>
    <row r="668" spans="1:12" ht="15.75" customHeight="1" x14ac:dyDescent="0.2">
      <c r="A668" s="63" t="str">
        <f t="shared" si="10"/>
        <v/>
      </c>
      <c r="B668" s="63"/>
      <c r="C668" s="62" t="str">
        <f>IF($B668="","",IFERROR(VLOOKUP($B668,'Application Portfolio'!$A$2:$B$1000,2,FALSE()),""))</f>
        <v/>
      </c>
      <c r="D668" s="66"/>
      <c r="E668" s="66"/>
      <c r="F668" s="66"/>
      <c r="G668" s="66"/>
      <c r="H668" s="66"/>
      <c r="I668" s="64" t="str">
        <f>IF(OR($B668="", $D668="", $E668="", $F668="", $G668="", $H668=""),"",ROUND(($D668*Lists!$AN$20)+($E668*Lists!$AN$21)+($F668*Lists!$AN$22)+($G668*Lists!$AN$23)+($H668*Lists!$AN$24),2))</f>
        <v/>
      </c>
      <c r="J668" s="62"/>
      <c r="K668" s="65"/>
      <c r="L668" s="62"/>
    </row>
    <row r="669" spans="1:12" ht="15.75" customHeight="1" x14ac:dyDescent="0.2">
      <c r="A669" s="63" t="str">
        <f t="shared" si="10"/>
        <v/>
      </c>
      <c r="B669" s="63"/>
      <c r="C669" s="62" t="str">
        <f>IF($B669="","",IFERROR(VLOOKUP($B669,'Application Portfolio'!$A$2:$B$1000,2,FALSE()),""))</f>
        <v/>
      </c>
      <c r="D669" s="66"/>
      <c r="E669" s="66"/>
      <c r="F669" s="66"/>
      <c r="G669" s="66"/>
      <c r="H669" s="66"/>
      <c r="I669" s="64" t="str">
        <f>IF(OR($B669="", $D669="", $E669="", $F669="", $G669="", $H669=""),"",ROUND(($D669*Lists!$AN$20)+($E669*Lists!$AN$21)+($F669*Lists!$AN$22)+($G669*Lists!$AN$23)+($H669*Lists!$AN$24),2))</f>
        <v/>
      </c>
      <c r="J669" s="62"/>
      <c r="K669" s="65"/>
      <c r="L669" s="62"/>
    </row>
    <row r="670" spans="1:12" ht="15.75" customHeight="1" x14ac:dyDescent="0.2">
      <c r="A670" s="63" t="str">
        <f t="shared" si="10"/>
        <v/>
      </c>
      <c r="B670" s="63"/>
      <c r="C670" s="62" t="str">
        <f>IF($B670="","",IFERROR(VLOOKUP($B670,'Application Portfolio'!$A$2:$B$1000,2,FALSE()),""))</f>
        <v/>
      </c>
      <c r="D670" s="66"/>
      <c r="E670" s="66"/>
      <c r="F670" s="66"/>
      <c r="G670" s="66"/>
      <c r="H670" s="66"/>
      <c r="I670" s="64" t="str">
        <f>IF(OR($B670="", $D670="", $E670="", $F670="", $G670="", $H670=""),"",ROUND(($D670*Lists!$AN$20)+($E670*Lists!$AN$21)+($F670*Lists!$AN$22)+($G670*Lists!$AN$23)+($H670*Lists!$AN$24),2))</f>
        <v/>
      </c>
      <c r="J670" s="62"/>
      <c r="K670" s="65"/>
      <c r="L670" s="62"/>
    </row>
    <row r="671" spans="1:12" ht="15.75" customHeight="1" x14ac:dyDescent="0.2">
      <c r="A671" s="63" t="str">
        <f t="shared" si="10"/>
        <v/>
      </c>
      <c r="B671" s="63"/>
      <c r="C671" s="62" t="str">
        <f>IF($B671="","",IFERROR(VLOOKUP($B671,'Application Portfolio'!$A$2:$B$1000,2,FALSE()),""))</f>
        <v/>
      </c>
      <c r="D671" s="66"/>
      <c r="E671" s="66"/>
      <c r="F671" s="66"/>
      <c r="G671" s="66"/>
      <c r="H671" s="66"/>
      <c r="I671" s="64" t="str">
        <f>IF(OR($B671="", $D671="", $E671="", $F671="", $G671="", $H671=""),"",ROUND(($D671*Lists!$AN$20)+($E671*Lists!$AN$21)+($F671*Lists!$AN$22)+($G671*Lists!$AN$23)+($H671*Lists!$AN$24),2))</f>
        <v/>
      </c>
      <c r="J671" s="62"/>
      <c r="K671" s="65"/>
      <c r="L671" s="62"/>
    </row>
    <row r="672" spans="1:12" ht="15.75" customHeight="1" x14ac:dyDescent="0.2">
      <c r="A672" s="63" t="str">
        <f t="shared" ref="A672:A735" si="11">IF($B672="","", "R-" &amp; RIGHT("0000"&amp;ROW()-1,4))</f>
        <v/>
      </c>
      <c r="B672" s="63"/>
      <c r="C672" s="62" t="str">
        <f>IF($B672="","",IFERROR(VLOOKUP($B672,'Application Portfolio'!$A$2:$B$1000,2,FALSE()),""))</f>
        <v/>
      </c>
      <c r="D672" s="66"/>
      <c r="E672" s="66"/>
      <c r="F672" s="66"/>
      <c r="G672" s="66"/>
      <c r="H672" s="66"/>
      <c r="I672" s="64" t="str">
        <f>IF(OR($B672="", $D672="", $E672="", $F672="", $G672="", $H672=""),"",ROUND(($D672*Lists!$AN$20)+($E672*Lists!$AN$21)+($F672*Lists!$AN$22)+($G672*Lists!$AN$23)+($H672*Lists!$AN$24),2))</f>
        <v/>
      </c>
      <c r="J672" s="62"/>
      <c r="K672" s="65"/>
      <c r="L672" s="62"/>
    </row>
    <row r="673" spans="1:12" ht="15.75" customHeight="1" x14ac:dyDescent="0.2">
      <c r="A673" s="63" t="str">
        <f t="shared" si="11"/>
        <v/>
      </c>
      <c r="B673" s="63"/>
      <c r="C673" s="62" t="str">
        <f>IF($B673="","",IFERROR(VLOOKUP($B673,'Application Portfolio'!$A$2:$B$1000,2,FALSE()),""))</f>
        <v/>
      </c>
      <c r="D673" s="66"/>
      <c r="E673" s="66"/>
      <c r="F673" s="66"/>
      <c r="G673" s="66"/>
      <c r="H673" s="66"/>
      <c r="I673" s="64" t="str">
        <f>IF(OR($B673="", $D673="", $E673="", $F673="", $G673="", $H673=""),"",ROUND(($D673*Lists!$AN$20)+($E673*Lists!$AN$21)+($F673*Lists!$AN$22)+($G673*Lists!$AN$23)+($H673*Lists!$AN$24),2))</f>
        <v/>
      </c>
      <c r="J673" s="62"/>
      <c r="K673" s="65"/>
      <c r="L673" s="62"/>
    </row>
    <row r="674" spans="1:12" ht="15.75" customHeight="1" x14ac:dyDescent="0.2">
      <c r="A674" s="63" t="str">
        <f t="shared" si="11"/>
        <v/>
      </c>
      <c r="B674" s="63"/>
      <c r="C674" s="62" t="str">
        <f>IF($B674="","",IFERROR(VLOOKUP($B674,'Application Portfolio'!$A$2:$B$1000,2,FALSE()),""))</f>
        <v/>
      </c>
      <c r="D674" s="66"/>
      <c r="E674" s="66"/>
      <c r="F674" s="66"/>
      <c r="G674" s="66"/>
      <c r="H674" s="66"/>
      <c r="I674" s="64" t="str">
        <f>IF(OR($B674="", $D674="", $E674="", $F674="", $G674="", $H674=""),"",ROUND(($D674*Lists!$AN$20)+($E674*Lists!$AN$21)+($F674*Lists!$AN$22)+($G674*Lists!$AN$23)+($H674*Lists!$AN$24),2))</f>
        <v/>
      </c>
      <c r="J674" s="62"/>
      <c r="K674" s="65"/>
      <c r="L674" s="62"/>
    </row>
    <row r="675" spans="1:12" ht="15.75" customHeight="1" x14ac:dyDescent="0.2">
      <c r="A675" s="63" t="str">
        <f t="shared" si="11"/>
        <v/>
      </c>
      <c r="B675" s="63"/>
      <c r="C675" s="62" t="str">
        <f>IF($B675="","",IFERROR(VLOOKUP($B675,'Application Portfolio'!$A$2:$B$1000,2,FALSE()),""))</f>
        <v/>
      </c>
      <c r="D675" s="66"/>
      <c r="E675" s="66"/>
      <c r="F675" s="66"/>
      <c r="G675" s="66"/>
      <c r="H675" s="66"/>
      <c r="I675" s="64" t="str">
        <f>IF(OR($B675="", $D675="", $E675="", $F675="", $G675="", $H675=""),"",ROUND(($D675*Lists!$AN$20)+($E675*Lists!$AN$21)+($F675*Lists!$AN$22)+($G675*Lists!$AN$23)+($H675*Lists!$AN$24),2))</f>
        <v/>
      </c>
      <c r="J675" s="62"/>
      <c r="K675" s="65"/>
      <c r="L675" s="62"/>
    </row>
    <row r="676" spans="1:12" ht="15.75" customHeight="1" x14ac:dyDescent="0.2">
      <c r="A676" s="63" t="str">
        <f t="shared" si="11"/>
        <v/>
      </c>
      <c r="B676" s="63"/>
      <c r="C676" s="62" t="str">
        <f>IF($B676="","",IFERROR(VLOOKUP($B676,'Application Portfolio'!$A$2:$B$1000,2,FALSE()),""))</f>
        <v/>
      </c>
      <c r="D676" s="66"/>
      <c r="E676" s="66"/>
      <c r="F676" s="66"/>
      <c r="G676" s="66"/>
      <c r="H676" s="66"/>
      <c r="I676" s="64" t="str">
        <f>IF(OR($B676="", $D676="", $E676="", $F676="", $G676="", $H676=""),"",ROUND(($D676*Lists!$AN$20)+($E676*Lists!$AN$21)+($F676*Lists!$AN$22)+($G676*Lists!$AN$23)+($H676*Lists!$AN$24),2))</f>
        <v/>
      </c>
      <c r="J676" s="62"/>
      <c r="K676" s="65"/>
      <c r="L676" s="62"/>
    </row>
    <row r="677" spans="1:12" ht="15.75" customHeight="1" x14ac:dyDescent="0.2">
      <c r="A677" s="63" t="str">
        <f t="shared" si="11"/>
        <v/>
      </c>
      <c r="B677" s="63"/>
      <c r="C677" s="62" t="str">
        <f>IF($B677="","",IFERROR(VLOOKUP($B677,'Application Portfolio'!$A$2:$B$1000,2,FALSE()),""))</f>
        <v/>
      </c>
      <c r="D677" s="66"/>
      <c r="E677" s="66"/>
      <c r="F677" s="66"/>
      <c r="G677" s="66"/>
      <c r="H677" s="66"/>
      <c r="I677" s="64" t="str">
        <f>IF(OR($B677="", $D677="", $E677="", $F677="", $G677="", $H677=""),"",ROUND(($D677*Lists!$AN$20)+($E677*Lists!$AN$21)+($F677*Lists!$AN$22)+($G677*Lists!$AN$23)+($H677*Lists!$AN$24),2))</f>
        <v/>
      </c>
      <c r="J677" s="62"/>
      <c r="K677" s="65"/>
      <c r="L677" s="62"/>
    </row>
    <row r="678" spans="1:12" ht="15.75" customHeight="1" x14ac:dyDescent="0.2">
      <c r="A678" s="63" t="str">
        <f t="shared" si="11"/>
        <v/>
      </c>
      <c r="B678" s="63"/>
      <c r="C678" s="62" t="str">
        <f>IF($B678="","",IFERROR(VLOOKUP($B678,'Application Portfolio'!$A$2:$B$1000,2,FALSE()),""))</f>
        <v/>
      </c>
      <c r="D678" s="66"/>
      <c r="E678" s="66"/>
      <c r="F678" s="66"/>
      <c r="G678" s="66"/>
      <c r="H678" s="66"/>
      <c r="I678" s="64" t="str">
        <f>IF(OR($B678="", $D678="", $E678="", $F678="", $G678="", $H678=""),"",ROUND(($D678*Lists!$AN$20)+($E678*Lists!$AN$21)+($F678*Lists!$AN$22)+($G678*Lists!$AN$23)+($H678*Lists!$AN$24),2))</f>
        <v/>
      </c>
      <c r="J678" s="62"/>
      <c r="K678" s="65"/>
      <c r="L678" s="62"/>
    </row>
    <row r="679" spans="1:12" ht="15.75" customHeight="1" x14ac:dyDescent="0.2">
      <c r="A679" s="63" t="str">
        <f t="shared" si="11"/>
        <v/>
      </c>
      <c r="B679" s="63"/>
      <c r="C679" s="62" t="str">
        <f>IF($B679="","",IFERROR(VLOOKUP($B679,'Application Portfolio'!$A$2:$B$1000,2,FALSE()),""))</f>
        <v/>
      </c>
      <c r="D679" s="66"/>
      <c r="E679" s="66"/>
      <c r="F679" s="66"/>
      <c r="G679" s="66"/>
      <c r="H679" s="66"/>
      <c r="I679" s="64" t="str">
        <f>IF(OR($B679="", $D679="", $E679="", $F679="", $G679="", $H679=""),"",ROUND(($D679*Lists!$AN$20)+($E679*Lists!$AN$21)+($F679*Lists!$AN$22)+($G679*Lists!$AN$23)+($H679*Lists!$AN$24),2))</f>
        <v/>
      </c>
      <c r="J679" s="62"/>
      <c r="K679" s="65"/>
      <c r="L679" s="62"/>
    </row>
    <row r="680" spans="1:12" ht="15.75" customHeight="1" x14ac:dyDescent="0.2">
      <c r="A680" s="63" t="str">
        <f t="shared" si="11"/>
        <v/>
      </c>
      <c r="B680" s="63"/>
      <c r="C680" s="62" t="str">
        <f>IF($B680="","",IFERROR(VLOOKUP($B680,'Application Portfolio'!$A$2:$B$1000,2,FALSE()),""))</f>
        <v/>
      </c>
      <c r="D680" s="66"/>
      <c r="E680" s="66"/>
      <c r="F680" s="66"/>
      <c r="G680" s="66"/>
      <c r="H680" s="66"/>
      <c r="I680" s="64" t="str">
        <f>IF(OR($B680="", $D680="", $E680="", $F680="", $G680="", $H680=""),"",ROUND(($D680*Lists!$AN$20)+($E680*Lists!$AN$21)+($F680*Lists!$AN$22)+($G680*Lists!$AN$23)+($H680*Lists!$AN$24),2))</f>
        <v/>
      </c>
      <c r="J680" s="62"/>
      <c r="K680" s="65"/>
      <c r="L680" s="62"/>
    </row>
    <row r="681" spans="1:12" ht="15.75" customHeight="1" x14ac:dyDescent="0.2">
      <c r="A681" s="63" t="str">
        <f t="shared" si="11"/>
        <v/>
      </c>
      <c r="B681" s="63"/>
      <c r="C681" s="62" t="str">
        <f>IF($B681="","",IFERROR(VLOOKUP($B681,'Application Portfolio'!$A$2:$B$1000,2,FALSE()),""))</f>
        <v/>
      </c>
      <c r="D681" s="66"/>
      <c r="E681" s="66"/>
      <c r="F681" s="66"/>
      <c r="G681" s="66"/>
      <c r="H681" s="66"/>
      <c r="I681" s="64" t="str">
        <f>IF(OR($B681="", $D681="", $E681="", $F681="", $G681="", $H681=""),"",ROUND(($D681*Lists!$AN$20)+($E681*Lists!$AN$21)+($F681*Lists!$AN$22)+($G681*Lists!$AN$23)+($H681*Lists!$AN$24),2))</f>
        <v/>
      </c>
      <c r="J681" s="62"/>
      <c r="K681" s="65"/>
      <c r="L681" s="62"/>
    </row>
    <row r="682" spans="1:12" ht="15.75" customHeight="1" x14ac:dyDescent="0.2">
      <c r="A682" s="63" t="str">
        <f t="shared" si="11"/>
        <v/>
      </c>
      <c r="B682" s="63"/>
      <c r="C682" s="62" t="str">
        <f>IF($B682="","",IFERROR(VLOOKUP($B682,'Application Portfolio'!$A$2:$B$1000,2,FALSE()),""))</f>
        <v/>
      </c>
      <c r="D682" s="66"/>
      <c r="E682" s="66"/>
      <c r="F682" s="66"/>
      <c r="G682" s="66"/>
      <c r="H682" s="66"/>
      <c r="I682" s="64" t="str">
        <f>IF(OR($B682="", $D682="", $E682="", $F682="", $G682="", $H682=""),"",ROUND(($D682*Lists!$AN$20)+($E682*Lists!$AN$21)+($F682*Lists!$AN$22)+($G682*Lists!$AN$23)+($H682*Lists!$AN$24),2))</f>
        <v/>
      </c>
      <c r="J682" s="62"/>
      <c r="K682" s="65"/>
      <c r="L682" s="62"/>
    </row>
    <row r="683" spans="1:12" ht="15.75" customHeight="1" x14ac:dyDescent="0.2">
      <c r="A683" s="63" t="str">
        <f t="shared" si="11"/>
        <v/>
      </c>
      <c r="B683" s="63"/>
      <c r="C683" s="62" t="str">
        <f>IF($B683="","",IFERROR(VLOOKUP($B683,'Application Portfolio'!$A$2:$B$1000,2,FALSE()),""))</f>
        <v/>
      </c>
      <c r="D683" s="66"/>
      <c r="E683" s="66"/>
      <c r="F683" s="66"/>
      <c r="G683" s="66"/>
      <c r="H683" s="66"/>
      <c r="I683" s="64" t="str">
        <f>IF(OR($B683="", $D683="", $E683="", $F683="", $G683="", $H683=""),"",ROUND(($D683*Lists!$AN$20)+($E683*Lists!$AN$21)+($F683*Lists!$AN$22)+($G683*Lists!$AN$23)+($H683*Lists!$AN$24),2))</f>
        <v/>
      </c>
      <c r="J683" s="62"/>
      <c r="K683" s="65"/>
      <c r="L683" s="62"/>
    </row>
    <row r="684" spans="1:12" ht="15.75" customHeight="1" x14ac:dyDescent="0.2">
      <c r="A684" s="63" t="str">
        <f t="shared" si="11"/>
        <v/>
      </c>
      <c r="B684" s="63"/>
      <c r="C684" s="62" t="str">
        <f>IF($B684="","",IFERROR(VLOOKUP($B684,'Application Portfolio'!$A$2:$B$1000,2,FALSE()),""))</f>
        <v/>
      </c>
      <c r="D684" s="66"/>
      <c r="E684" s="66"/>
      <c r="F684" s="66"/>
      <c r="G684" s="66"/>
      <c r="H684" s="66"/>
      <c r="I684" s="64" t="str">
        <f>IF(OR($B684="", $D684="", $E684="", $F684="", $G684="", $H684=""),"",ROUND(($D684*Lists!$AN$20)+($E684*Lists!$AN$21)+($F684*Lists!$AN$22)+($G684*Lists!$AN$23)+($H684*Lists!$AN$24),2))</f>
        <v/>
      </c>
      <c r="J684" s="62"/>
      <c r="K684" s="65"/>
      <c r="L684" s="62"/>
    </row>
    <row r="685" spans="1:12" ht="15.75" customHeight="1" x14ac:dyDescent="0.2">
      <c r="A685" s="63" t="str">
        <f t="shared" si="11"/>
        <v/>
      </c>
      <c r="B685" s="63"/>
      <c r="C685" s="62" t="str">
        <f>IF($B685="","",IFERROR(VLOOKUP($B685,'Application Portfolio'!$A$2:$B$1000,2,FALSE()),""))</f>
        <v/>
      </c>
      <c r="D685" s="66"/>
      <c r="E685" s="66"/>
      <c r="F685" s="66"/>
      <c r="G685" s="66"/>
      <c r="H685" s="66"/>
      <c r="I685" s="64" t="str">
        <f>IF(OR($B685="", $D685="", $E685="", $F685="", $G685="", $H685=""),"",ROUND(($D685*Lists!$AN$20)+($E685*Lists!$AN$21)+($F685*Lists!$AN$22)+($G685*Lists!$AN$23)+($H685*Lists!$AN$24),2))</f>
        <v/>
      </c>
      <c r="J685" s="62"/>
      <c r="K685" s="65"/>
      <c r="L685" s="62"/>
    </row>
    <row r="686" spans="1:12" ht="15.75" customHeight="1" x14ac:dyDescent="0.2">
      <c r="A686" s="63" t="str">
        <f t="shared" si="11"/>
        <v/>
      </c>
      <c r="B686" s="63"/>
      <c r="C686" s="62" t="str">
        <f>IF($B686="","",IFERROR(VLOOKUP($B686,'Application Portfolio'!$A$2:$B$1000,2,FALSE()),""))</f>
        <v/>
      </c>
      <c r="D686" s="66"/>
      <c r="E686" s="66"/>
      <c r="F686" s="66"/>
      <c r="G686" s="66"/>
      <c r="H686" s="66"/>
      <c r="I686" s="64" t="str">
        <f>IF(OR($B686="", $D686="", $E686="", $F686="", $G686="", $H686=""),"",ROUND(($D686*Lists!$AN$20)+($E686*Lists!$AN$21)+($F686*Lists!$AN$22)+($G686*Lists!$AN$23)+($H686*Lists!$AN$24),2))</f>
        <v/>
      </c>
      <c r="J686" s="62"/>
      <c r="K686" s="65"/>
      <c r="L686" s="62"/>
    </row>
    <row r="687" spans="1:12" ht="15.75" customHeight="1" x14ac:dyDescent="0.2">
      <c r="A687" s="63" t="str">
        <f t="shared" si="11"/>
        <v/>
      </c>
      <c r="B687" s="63"/>
      <c r="C687" s="62" t="str">
        <f>IF($B687="","",IFERROR(VLOOKUP($B687,'Application Portfolio'!$A$2:$B$1000,2,FALSE()),""))</f>
        <v/>
      </c>
      <c r="D687" s="66"/>
      <c r="E687" s="66"/>
      <c r="F687" s="66"/>
      <c r="G687" s="66"/>
      <c r="H687" s="66"/>
      <c r="I687" s="64" t="str">
        <f>IF(OR($B687="", $D687="", $E687="", $F687="", $G687="", $H687=""),"",ROUND(($D687*Lists!$AN$20)+($E687*Lists!$AN$21)+($F687*Lists!$AN$22)+($G687*Lists!$AN$23)+($H687*Lists!$AN$24),2))</f>
        <v/>
      </c>
      <c r="J687" s="62"/>
      <c r="K687" s="65"/>
      <c r="L687" s="62"/>
    </row>
    <row r="688" spans="1:12" ht="15.75" customHeight="1" x14ac:dyDescent="0.2">
      <c r="A688" s="63" t="str">
        <f t="shared" si="11"/>
        <v/>
      </c>
      <c r="B688" s="63"/>
      <c r="C688" s="62" t="str">
        <f>IF($B688="","",IFERROR(VLOOKUP($B688,'Application Portfolio'!$A$2:$B$1000,2,FALSE()),""))</f>
        <v/>
      </c>
      <c r="D688" s="66"/>
      <c r="E688" s="66"/>
      <c r="F688" s="66"/>
      <c r="G688" s="66"/>
      <c r="H688" s="66"/>
      <c r="I688" s="64" t="str">
        <f>IF(OR($B688="", $D688="", $E688="", $F688="", $G688="", $H688=""),"",ROUND(($D688*Lists!$AN$20)+($E688*Lists!$AN$21)+($F688*Lists!$AN$22)+($G688*Lists!$AN$23)+($H688*Lists!$AN$24),2))</f>
        <v/>
      </c>
      <c r="J688" s="62"/>
      <c r="K688" s="65"/>
      <c r="L688" s="62"/>
    </row>
    <row r="689" spans="1:12" ht="15.75" customHeight="1" x14ac:dyDescent="0.2">
      <c r="A689" s="63" t="str">
        <f t="shared" si="11"/>
        <v/>
      </c>
      <c r="B689" s="63"/>
      <c r="C689" s="62" t="str">
        <f>IF($B689="","",IFERROR(VLOOKUP($B689,'Application Portfolio'!$A$2:$B$1000,2,FALSE()),""))</f>
        <v/>
      </c>
      <c r="D689" s="66"/>
      <c r="E689" s="66"/>
      <c r="F689" s="66"/>
      <c r="G689" s="66"/>
      <c r="H689" s="66"/>
      <c r="I689" s="64" t="str">
        <f>IF(OR($B689="", $D689="", $E689="", $F689="", $G689="", $H689=""),"",ROUND(($D689*Lists!$AN$20)+($E689*Lists!$AN$21)+($F689*Lists!$AN$22)+($G689*Lists!$AN$23)+($H689*Lists!$AN$24),2))</f>
        <v/>
      </c>
      <c r="J689" s="62"/>
      <c r="K689" s="65"/>
      <c r="L689" s="62"/>
    </row>
    <row r="690" spans="1:12" ht="15.75" customHeight="1" x14ac:dyDescent="0.2">
      <c r="A690" s="63" t="str">
        <f t="shared" si="11"/>
        <v/>
      </c>
      <c r="B690" s="63"/>
      <c r="C690" s="62" t="str">
        <f>IF($B690="","",IFERROR(VLOOKUP($B690,'Application Portfolio'!$A$2:$B$1000,2,FALSE()),""))</f>
        <v/>
      </c>
      <c r="D690" s="66"/>
      <c r="E690" s="66"/>
      <c r="F690" s="66"/>
      <c r="G690" s="66"/>
      <c r="H690" s="66"/>
      <c r="I690" s="64" t="str">
        <f>IF(OR($B690="", $D690="", $E690="", $F690="", $G690="", $H690=""),"",ROUND(($D690*Lists!$AN$20)+($E690*Lists!$AN$21)+($F690*Lists!$AN$22)+($G690*Lists!$AN$23)+($H690*Lists!$AN$24),2))</f>
        <v/>
      </c>
      <c r="J690" s="62"/>
      <c r="K690" s="65"/>
      <c r="L690" s="62"/>
    </row>
    <row r="691" spans="1:12" ht="15.75" customHeight="1" x14ac:dyDescent="0.2">
      <c r="A691" s="63" t="str">
        <f t="shared" si="11"/>
        <v/>
      </c>
      <c r="B691" s="63"/>
      <c r="C691" s="62" t="str">
        <f>IF($B691="","",IFERROR(VLOOKUP($B691,'Application Portfolio'!$A$2:$B$1000,2,FALSE()),""))</f>
        <v/>
      </c>
      <c r="D691" s="66"/>
      <c r="E691" s="66"/>
      <c r="F691" s="66"/>
      <c r="G691" s="66"/>
      <c r="H691" s="66"/>
      <c r="I691" s="64" t="str">
        <f>IF(OR($B691="", $D691="", $E691="", $F691="", $G691="", $H691=""),"",ROUND(($D691*Lists!$AN$20)+($E691*Lists!$AN$21)+($F691*Lists!$AN$22)+($G691*Lists!$AN$23)+($H691*Lists!$AN$24),2))</f>
        <v/>
      </c>
      <c r="J691" s="62"/>
      <c r="K691" s="65"/>
      <c r="L691" s="62"/>
    </row>
    <row r="692" spans="1:12" ht="15.75" customHeight="1" x14ac:dyDescent="0.2">
      <c r="A692" s="63" t="str">
        <f t="shared" si="11"/>
        <v/>
      </c>
      <c r="B692" s="63"/>
      <c r="C692" s="62" t="str">
        <f>IF($B692="","",IFERROR(VLOOKUP($B692,'Application Portfolio'!$A$2:$B$1000,2,FALSE()),""))</f>
        <v/>
      </c>
      <c r="D692" s="66"/>
      <c r="E692" s="66"/>
      <c r="F692" s="66"/>
      <c r="G692" s="66"/>
      <c r="H692" s="66"/>
      <c r="I692" s="64" t="str">
        <f>IF(OR($B692="", $D692="", $E692="", $F692="", $G692="", $H692=""),"",ROUND(($D692*Lists!$AN$20)+($E692*Lists!$AN$21)+($F692*Lists!$AN$22)+($G692*Lists!$AN$23)+($H692*Lists!$AN$24),2))</f>
        <v/>
      </c>
      <c r="J692" s="62"/>
      <c r="K692" s="65"/>
      <c r="L692" s="62"/>
    </row>
    <row r="693" spans="1:12" ht="15.75" customHeight="1" x14ac:dyDescent="0.2">
      <c r="A693" s="63" t="str">
        <f t="shared" si="11"/>
        <v/>
      </c>
      <c r="B693" s="63"/>
      <c r="C693" s="62" t="str">
        <f>IF($B693="","",IFERROR(VLOOKUP($B693,'Application Portfolio'!$A$2:$B$1000,2,FALSE()),""))</f>
        <v/>
      </c>
      <c r="D693" s="66"/>
      <c r="E693" s="66"/>
      <c r="F693" s="66"/>
      <c r="G693" s="66"/>
      <c r="H693" s="66"/>
      <c r="I693" s="64" t="str">
        <f>IF(OR($B693="", $D693="", $E693="", $F693="", $G693="", $H693=""),"",ROUND(($D693*Lists!$AN$20)+($E693*Lists!$AN$21)+($F693*Lists!$AN$22)+($G693*Lists!$AN$23)+($H693*Lists!$AN$24),2))</f>
        <v/>
      </c>
      <c r="J693" s="62"/>
      <c r="K693" s="65"/>
      <c r="L693" s="62"/>
    </row>
    <row r="694" spans="1:12" ht="15.75" customHeight="1" x14ac:dyDescent="0.2">
      <c r="A694" s="63" t="str">
        <f t="shared" si="11"/>
        <v/>
      </c>
      <c r="B694" s="63"/>
      <c r="C694" s="62" t="str">
        <f>IF($B694="","",IFERROR(VLOOKUP($B694,'Application Portfolio'!$A$2:$B$1000,2,FALSE()),""))</f>
        <v/>
      </c>
      <c r="D694" s="66"/>
      <c r="E694" s="66"/>
      <c r="F694" s="66"/>
      <c r="G694" s="66"/>
      <c r="H694" s="66"/>
      <c r="I694" s="64" t="str">
        <f>IF(OR($B694="", $D694="", $E694="", $F694="", $G694="", $H694=""),"",ROUND(($D694*Lists!$AN$20)+($E694*Lists!$AN$21)+($F694*Lists!$AN$22)+($G694*Lists!$AN$23)+($H694*Lists!$AN$24),2))</f>
        <v/>
      </c>
      <c r="J694" s="62"/>
      <c r="K694" s="65"/>
      <c r="L694" s="62"/>
    </row>
    <row r="695" spans="1:12" ht="15.75" customHeight="1" x14ac:dyDescent="0.2">
      <c r="A695" s="63" t="str">
        <f t="shared" si="11"/>
        <v/>
      </c>
      <c r="B695" s="63"/>
      <c r="C695" s="62" t="str">
        <f>IF($B695="","",IFERROR(VLOOKUP($B695,'Application Portfolio'!$A$2:$B$1000,2,FALSE()),""))</f>
        <v/>
      </c>
      <c r="D695" s="66"/>
      <c r="E695" s="66"/>
      <c r="F695" s="66"/>
      <c r="G695" s="66"/>
      <c r="H695" s="66"/>
      <c r="I695" s="64" t="str">
        <f>IF(OR($B695="", $D695="", $E695="", $F695="", $G695="", $H695=""),"",ROUND(($D695*Lists!$AN$20)+($E695*Lists!$AN$21)+($F695*Lists!$AN$22)+($G695*Lists!$AN$23)+($H695*Lists!$AN$24),2))</f>
        <v/>
      </c>
      <c r="J695" s="62"/>
      <c r="K695" s="65"/>
      <c r="L695" s="62"/>
    </row>
    <row r="696" spans="1:12" ht="15.75" customHeight="1" x14ac:dyDescent="0.2">
      <c r="A696" s="63" t="str">
        <f t="shared" si="11"/>
        <v/>
      </c>
      <c r="B696" s="63"/>
      <c r="C696" s="62" t="str">
        <f>IF($B696="","",IFERROR(VLOOKUP($B696,'Application Portfolio'!$A$2:$B$1000,2,FALSE()),""))</f>
        <v/>
      </c>
      <c r="D696" s="66"/>
      <c r="E696" s="66"/>
      <c r="F696" s="66"/>
      <c r="G696" s="66"/>
      <c r="H696" s="66"/>
      <c r="I696" s="64" t="str">
        <f>IF(OR($B696="", $D696="", $E696="", $F696="", $G696="", $H696=""),"",ROUND(($D696*Lists!$AN$20)+($E696*Lists!$AN$21)+($F696*Lists!$AN$22)+($G696*Lists!$AN$23)+($H696*Lists!$AN$24),2))</f>
        <v/>
      </c>
      <c r="J696" s="62"/>
      <c r="K696" s="65"/>
      <c r="L696" s="62"/>
    </row>
    <row r="697" spans="1:12" ht="15.75" customHeight="1" x14ac:dyDescent="0.2">
      <c r="A697" s="63" t="str">
        <f t="shared" si="11"/>
        <v/>
      </c>
      <c r="B697" s="63"/>
      <c r="C697" s="62" t="str">
        <f>IF($B697="","",IFERROR(VLOOKUP($B697,'Application Portfolio'!$A$2:$B$1000,2,FALSE()),""))</f>
        <v/>
      </c>
      <c r="D697" s="66"/>
      <c r="E697" s="66"/>
      <c r="F697" s="66"/>
      <c r="G697" s="66"/>
      <c r="H697" s="66"/>
      <c r="I697" s="64" t="str">
        <f>IF(OR($B697="", $D697="", $E697="", $F697="", $G697="", $H697=""),"",ROUND(($D697*Lists!$AN$20)+($E697*Lists!$AN$21)+($F697*Lists!$AN$22)+($G697*Lists!$AN$23)+($H697*Lists!$AN$24),2))</f>
        <v/>
      </c>
      <c r="J697" s="62"/>
      <c r="K697" s="65"/>
      <c r="L697" s="62"/>
    </row>
    <row r="698" spans="1:12" ht="15.75" customHeight="1" x14ac:dyDescent="0.2">
      <c r="A698" s="63" t="str">
        <f t="shared" si="11"/>
        <v/>
      </c>
      <c r="B698" s="63"/>
      <c r="C698" s="62" t="str">
        <f>IF($B698="","",IFERROR(VLOOKUP($B698,'Application Portfolio'!$A$2:$B$1000,2,FALSE()),""))</f>
        <v/>
      </c>
      <c r="D698" s="66"/>
      <c r="E698" s="66"/>
      <c r="F698" s="66"/>
      <c r="G698" s="66"/>
      <c r="H698" s="66"/>
      <c r="I698" s="64" t="str">
        <f>IF(OR($B698="", $D698="", $E698="", $F698="", $G698="", $H698=""),"",ROUND(($D698*Lists!$AN$20)+($E698*Lists!$AN$21)+($F698*Lists!$AN$22)+($G698*Lists!$AN$23)+($H698*Lists!$AN$24),2))</f>
        <v/>
      </c>
      <c r="J698" s="62"/>
      <c r="K698" s="65"/>
      <c r="L698" s="62"/>
    </row>
    <row r="699" spans="1:12" ht="15.75" customHeight="1" x14ac:dyDescent="0.2">
      <c r="A699" s="63" t="str">
        <f t="shared" si="11"/>
        <v/>
      </c>
      <c r="B699" s="63"/>
      <c r="C699" s="62" t="str">
        <f>IF($B699="","",IFERROR(VLOOKUP($B699,'Application Portfolio'!$A$2:$B$1000,2,FALSE()),""))</f>
        <v/>
      </c>
      <c r="D699" s="66"/>
      <c r="E699" s="66"/>
      <c r="F699" s="66"/>
      <c r="G699" s="66"/>
      <c r="H699" s="66"/>
      <c r="I699" s="64" t="str">
        <f>IF(OR($B699="", $D699="", $E699="", $F699="", $G699="", $H699=""),"",ROUND(($D699*Lists!$AN$20)+($E699*Lists!$AN$21)+($F699*Lists!$AN$22)+($G699*Lists!$AN$23)+($H699*Lists!$AN$24),2))</f>
        <v/>
      </c>
      <c r="J699" s="62"/>
      <c r="K699" s="65"/>
      <c r="L699" s="62"/>
    </row>
    <row r="700" spans="1:12" ht="15.75" customHeight="1" x14ac:dyDescent="0.2">
      <c r="A700" s="63" t="str">
        <f t="shared" si="11"/>
        <v/>
      </c>
      <c r="B700" s="63"/>
      <c r="C700" s="62" t="str">
        <f>IF($B700="","",IFERROR(VLOOKUP($B700,'Application Portfolio'!$A$2:$B$1000,2,FALSE()),""))</f>
        <v/>
      </c>
      <c r="D700" s="66"/>
      <c r="E700" s="66"/>
      <c r="F700" s="66"/>
      <c r="G700" s="66"/>
      <c r="H700" s="66"/>
      <c r="I700" s="64" t="str">
        <f>IF(OR($B700="", $D700="", $E700="", $F700="", $G700="", $H700=""),"",ROUND(($D700*Lists!$AN$20)+($E700*Lists!$AN$21)+($F700*Lists!$AN$22)+($G700*Lists!$AN$23)+($H700*Lists!$AN$24),2))</f>
        <v/>
      </c>
      <c r="J700" s="62"/>
      <c r="K700" s="65"/>
      <c r="L700" s="62"/>
    </row>
    <row r="701" spans="1:12" ht="15.75" customHeight="1" x14ac:dyDescent="0.2">
      <c r="A701" s="63" t="str">
        <f t="shared" si="11"/>
        <v/>
      </c>
      <c r="B701" s="63"/>
      <c r="C701" s="62" t="str">
        <f>IF($B701="","",IFERROR(VLOOKUP($B701,'Application Portfolio'!$A$2:$B$1000,2,FALSE()),""))</f>
        <v/>
      </c>
      <c r="D701" s="66"/>
      <c r="E701" s="66"/>
      <c r="F701" s="66"/>
      <c r="G701" s="66"/>
      <c r="H701" s="66"/>
      <c r="I701" s="64" t="str">
        <f>IF(OR($B701="", $D701="", $E701="", $F701="", $G701="", $H701=""),"",ROUND(($D701*Lists!$AN$20)+($E701*Lists!$AN$21)+($F701*Lists!$AN$22)+($G701*Lists!$AN$23)+($H701*Lists!$AN$24),2))</f>
        <v/>
      </c>
      <c r="J701" s="62"/>
      <c r="K701" s="65"/>
      <c r="L701" s="62"/>
    </row>
    <row r="702" spans="1:12" ht="15.75" customHeight="1" x14ac:dyDescent="0.2">
      <c r="A702" s="63" t="str">
        <f t="shared" si="11"/>
        <v/>
      </c>
      <c r="B702" s="63"/>
      <c r="C702" s="62" t="str">
        <f>IF($B702="","",IFERROR(VLOOKUP($B702,'Application Portfolio'!$A$2:$B$1000,2,FALSE()),""))</f>
        <v/>
      </c>
      <c r="D702" s="66"/>
      <c r="E702" s="66"/>
      <c r="F702" s="66"/>
      <c r="G702" s="66"/>
      <c r="H702" s="66"/>
      <c r="I702" s="64" t="str">
        <f>IF(OR($B702="", $D702="", $E702="", $F702="", $G702="", $H702=""),"",ROUND(($D702*Lists!$AN$20)+($E702*Lists!$AN$21)+($F702*Lists!$AN$22)+($G702*Lists!$AN$23)+($H702*Lists!$AN$24),2))</f>
        <v/>
      </c>
      <c r="J702" s="62"/>
      <c r="K702" s="65"/>
      <c r="L702" s="62"/>
    </row>
    <row r="703" spans="1:12" ht="15.75" customHeight="1" x14ac:dyDescent="0.2">
      <c r="A703" s="63" t="str">
        <f t="shared" si="11"/>
        <v/>
      </c>
      <c r="B703" s="63"/>
      <c r="C703" s="62" t="str">
        <f>IF($B703="","",IFERROR(VLOOKUP($B703,'Application Portfolio'!$A$2:$B$1000,2,FALSE()),""))</f>
        <v/>
      </c>
      <c r="D703" s="66"/>
      <c r="E703" s="66"/>
      <c r="F703" s="66"/>
      <c r="G703" s="66"/>
      <c r="H703" s="66"/>
      <c r="I703" s="64" t="str">
        <f>IF(OR($B703="", $D703="", $E703="", $F703="", $G703="", $H703=""),"",ROUND(($D703*Lists!$AN$20)+($E703*Lists!$AN$21)+($F703*Lists!$AN$22)+($G703*Lists!$AN$23)+($H703*Lists!$AN$24),2))</f>
        <v/>
      </c>
      <c r="J703" s="62"/>
      <c r="K703" s="65"/>
      <c r="L703" s="62"/>
    </row>
    <row r="704" spans="1:12" ht="15.75" customHeight="1" x14ac:dyDescent="0.2">
      <c r="A704" s="63" t="str">
        <f t="shared" si="11"/>
        <v/>
      </c>
      <c r="B704" s="63"/>
      <c r="C704" s="62" t="str">
        <f>IF($B704="","",IFERROR(VLOOKUP($B704,'Application Portfolio'!$A$2:$B$1000,2,FALSE()),""))</f>
        <v/>
      </c>
      <c r="D704" s="66"/>
      <c r="E704" s="66"/>
      <c r="F704" s="66"/>
      <c r="G704" s="66"/>
      <c r="H704" s="66"/>
      <c r="I704" s="64" t="str">
        <f>IF(OR($B704="", $D704="", $E704="", $F704="", $G704="", $H704=""),"",ROUND(($D704*Lists!$AN$20)+($E704*Lists!$AN$21)+($F704*Lists!$AN$22)+($G704*Lists!$AN$23)+($H704*Lists!$AN$24),2))</f>
        <v/>
      </c>
      <c r="J704" s="62"/>
      <c r="K704" s="65"/>
      <c r="L704" s="62"/>
    </row>
    <row r="705" spans="1:12" ht="15.75" customHeight="1" x14ac:dyDescent="0.2">
      <c r="A705" s="63" t="str">
        <f t="shared" si="11"/>
        <v/>
      </c>
      <c r="B705" s="63"/>
      <c r="C705" s="62" t="str">
        <f>IF($B705="","",IFERROR(VLOOKUP($B705,'Application Portfolio'!$A$2:$B$1000,2,FALSE()),""))</f>
        <v/>
      </c>
      <c r="D705" s="66"/>
      <c r="E705" s="66"/>
      <c r="F705" s="66"/>
      <c r="G705" s="66"/>
      <c r="H705" s="66"/>
      <c r="I705" s="64" t="str">
        <f>IF(OR($B705="", $D705="", $E705="", $F705="", $G705="", $H705=""),"",ROUND(($D705*Lists!$AN$20)+($E705*Lists!$AN$21)+($F705*Lists!$AN$22)+($G705*Lists!$AN$23)+($H705*Lists!$AN$24),2))</f>
        <v/>
      </c>
      <c r="J705" s="62"/>
      <c r="K705" s="65"/>
      <c r="L705" s="62"/>
    </row>
    <row r="706" spans="1:12" ht="15.75" customHeight="1" x14ac:dyDescent="0.2">
      <c r="A706" s="63" t="str">
        <f t="shared" si="11"/>
        <v/>
      </c>
      <c r="B706" s="63"/>
      <c r="C706" s="62" t="str">
        <f>IF($B706="","",IFERROR(VLOOKUP($B706,'Application Portfolio'!$A$2:$B$1000,2,FALSE()),""))</f>
        <v/>
      </c>
      <c r="D706" s="66"/>
      <c r="E706" s="66"/>
      <c r="F706" s="66"/>
      <c r="G706" s="66"/>
      <c r="H706" s="66"/>
      <c r="I706" s="64" t="str">
        <f>IF(OR($B706="", $D706="", $E706="", $F706="", $G706="", $H706=""),"",ROUND(($D706*Lists!$AN$20)+($E706*Lists!$AN$21)+($F706*Lists!$AN$22)+($G706*Lists!$AN$23)+($H706*Lists!$AN$24),2))</f>
        <v/>
      </c>
      <c r="J706" s="62"/>
      <c r="K706" s="65"/>
      <c r="L706" s="62"/>
    </row>
    <row r="707" spans="1:12" ht="15.75" customHeight="1" x14ac:dyDescent="0.2">
      <c r="A707" s="63" t="str">
        <f t="shared" si="11"/>
        <v/>
      </c>
      <c r="B707" s="63"/>
      <c r="C707" s="62" t="str">
        <f>IF($B707="","",IFERROR(VLOOKUP($B707,'Application Portfolio'!$A$2:$B$1000,2,FALSE()),""))</f>
        <v/>
      </c>
      <c r="D707" s="66"/>
      <c r="E707" s="66"/>
      <c r="F707" s="66"/>
      <c r="G707" s="66"/>
      <c r="H707" s="66"/>
      <c r="I707" s="64" t="str">
        <f>IF(OR($B707="", $D707="", $E707="", $F707="", $G707="", $H707=""),"",ROUND(($D707*Lists!$AN$20)+($E707*Lists!$AN$21)+($F707*Lists!$AN$22)+($G707*Lists!$AN$23)+($H707*Lists!$AN$24),2))</f>
        <v/>
      </c>
      <c r="J707" s="62"/>
      <c r="K707" s="65"/>
      <c r="L707" s="62"/>
    </row>
    <row r="708" spans="1:12" ht="15.75" customHeight="1" x14ac:dyDescent="0.2">
      <c r="A708" s="63" t="str">
        <f t="shared" si="11"/>
        <v/>
      </c>
      <c r="B708" s="63"/>
      <c r="C708" s="62" t="str">
        <f>IF($B708="","",IFERROR(VLOOKUP($B708,'Application Portfolio'!$A$2:$B$1000,2,FALSE()),""))</f>
        <v/>
      </c>
      <c r="D708" s="66"/>
      <c r="E708" s="66"/>
      <c r="F708" s="66"/>
      <c r="G708" s="66"/>
      <c r="H708" s="66"/>
      <c r="I708" s="64" t="str">
        <f>IF(OR($B708="", $D708="", $E708="", $F708="", $G708="", $H708=""),"",ROUND(($D708*Lists!$AN$20)+($E708*Lists!$AN$21)+($F708*Lists!$AN$22)+($G708*Lists!$AN$23)+($H708*Lists!$AN$24),2))</f>
        <v/>
      </c>
      <c r="J708" s="62"/>
      <c r="K708" s="65"/>
      <c r="L708" s="62"/>
    </row>
    <row r="709" spans="1:12" ht="15.75" customHeight="1" x14ac:dyDescent="0.2">
      <c r="A709" s="63" t="str">
        <f t="shared" si="11"/>
        <v/>
      </c>
      <c r="B709" s="63"/>
      <c r="C709" s="62" t="str">
        <f>IF($B709="","",IFERROR(VLOOKUP($B709,'Application Portfolio'!$A$2:$B$1000,2,FALSE()),""))</f>
        <v/>
      </c>
      <c r="D709" s="66"/>
      <c r="E709" s="66"/>
      <c r="F709" s="66"/>
      <c r="G709" s="66"/>
      <c r="H709" s="66"/>
      <c r="I709" s="64" t="str">
        <f>IF(OR($B709="", $D709="", $E709="", $F709="", $G709="", $H709=""),"",ROUND(($D709*Lists!$AN$20)+($E709*Lists!$AN$21)+($F709*Lists!$AN$22)+($G709*Lists!$AN$23)+($H709*Lists!$AN$24),2))</f>
        <v/>
      </c>
      <c r="J709" s="62"/>
      <c r="K709" s="65"/>
      <c r="L709" s="62"/>
    </row>
    <row r="710" spans="1:12" ht="15.75" customHeight="1" x14ac:dyDescent="0.2">
      <c r="A710" s="63" t="str">
        <f t="shared" si="11"/>
        <v/>
      </c>
      <c r="B710" s="63"/>
      <c r="C710" s="62" t="str">
        <f>IF($B710="","",IFERROR(VLOOKUP($B710,'Application Portfolio'!$A$2:$B$1000,2,FALSE()),""))</f>
        <v/>
      </c>
      <c r="D710" s="66"/>
      <c r="E710" s="66"/>
      <c r="F710" s="66"/>
      <c r="G710" s="66"/>
      <c r="H710" s="66"/>
      <c r="I710" s="64" t="str">
        <f>IF(OR($B710="", $D710="", $E710="", $F710="", $G710="", $H710=""),"",ROUND(($D710*Lists!$AN$20)+($E710*Lists!$AN$21)+($F710*Lists!$AN$22)+($G710*Lists!$AN$23)+($H710*Lists!$AN$24),2))</f>
        <v/>
      </c>
      <c r="J710" s="62"/>
      <c r="K710" s="65"/>
      <c r="L710" s="62"/>
    </row>
    <row r="711" spans="1:12" ht="15.75" customHeight="1" x14ac:dyDescent="0.2">
      <c r="A711" s="63" t="str">
        <f t="shared" si="11"/>
        <v/>
      </c>
      <c r="B711" s="63"/>
      <c r="C711" s="62" t="str">
        <f>IF($B711="","",IFERROR(VLOOKUP($B711,'Application Portfolio'!$A$2:$B$1000,2,FALSE()),""))</f>
        <v/>
      </c>
      <c r="D711" s="66"/>
      <c r="E711" s="66"/>
      <c r="F711" s="66"/>
      <c r="G711" s="66"/>
      <c r="H711" s="66"/>
      <c r="I711" s="64" t="str">
        <f>IF(OR($B711="", $D711="", $E711="", $F711="", $G711="", $H711=""),"",ROUND(($D711*Lists!$AN$20)+($E711*Lists!$AN$21)+($F711*Lists!$AN$22)+($G711*Lists!$AN$23)+($H711*Lists!$AN$24),2))</f>
        <v/>
      </c>
      <c r="J711" s="62"/>
      <c r="K711" s="65"/>
      <c r="L711" s="62"/>
    </row>
    <row r="712" spans="1:12" ht="15.75" customHeight="1" x14ac:dyDescent="0.2">
      <c r="A712" s="63" t="str">
        <f t="shared" si="11"/>
        <v/>
      </c>
      <c r="B712" s="63"/>
      <c r="C712" s="62" t="str">
        <f>IF($B712="","",IFERROR(VLOOKUP($B712,'Application Portfolio'!$A$2:$B$1000,2,FALSE()),""))</f>
        <v/>
      </c>
      <c r="D712" s="66"/>
      <c r="E712" s="66"/>
      <c r="F712" s="66"/>
      <c r="G712" s="66"/>
      <c r="H712" s="66"/>
      <c r="I712" s="64" t="str">
        <f>IF(OR($B712="", $D712="", $E712="", $F712="", $G712="", $H712=""),"",ROUND(($D712*Lists!$AN$20)+($E712*Lists!$AN$21)+($F712*Lists!$AN$22)+($G712*Lists!$AN$23)+($H712*Lists!$AN$24),2))</f>
        <v/>
      </c>
      <c r="J712" s="62"/>
      <c r="K712" s="65"/>
      <c r="L712" s="62"/>
    </row>
    <row r="713" spans="1:12" ht="15.75" customHeight="1" x14ac:dyDescent="0.2">
      <c r="A713" s="63" t="str">
        <f t="shared" si="11"/>
        <v/>
      </c>
      <c r="B713" s="63"/>
      <c r="C713" s="62" t="str">
        <f>IF($B713="","",IFERROR(VLOOKUP($B713,'Application Portfolio'!$A$2:$B$1000,2,FALSE()),""))</f>
        <v/>
      </c>
      <c r="D713" s="66"/>
      <c r="E713" s="66"/>
      <c r="F713" s="66"/>
      <c r="G713" s="66"/>
      <c r="H713" s="66"/>
      <c r="I713" s="64" t="str">
        <f>IF(OR($B713="", $D713="", $E713="", $F713="", $G713="", $H713=""),"",ROUND(($D713*Lists!$AN$20)+($E713*Lists!$AN$21)+($F713*Lists!$AN$22)+($G713*Lists!$AN$23)+($H713*Lists!$AN$24),2))</f>
        <v/>
      </c>
      <c r="J713" s="62"/>
      <c r="K713" s="65"/>
      <c r="L713" s="62"/>
    </row>
    <row r="714" spans="1:12" ht="15.75" customHeight="1" x14ac:dyDescent="0.2">
      <c r="A714" s="63" t="str">
        <f t="shared" si="11"/>
        <v/>
      </c>
      <c r="B714" s="63"/>
      <c r="C714" s="62" t="str">
        <f>IF($B714="","",IFERROR(VLOOKUP($B714,'Application Portfolio'!$A$2:$B$1000,2,FALSE()),""))</f>
        <v/>
      </c>
      <c r="D714" s="66"/>
      <c r="E714" s="66"/>
      <c r="F714" s="66"/>
      <c r="G714" s="66"/>
      <c r="H714" s="66"/>
      <c r="I714" s="64" t="str">
        <f>IF(OR($B714="", $D714="", $E714="", $F714="", $G714="", $H714=""),"",ROUND(($D714*Lists!$AN$20)+($E714*Lists!$AN$21)+($F714*Lists!$AN$22)+($G714*Lists!$AN$23)+($H714*Lists!$AN$24),2))</f>
        <v/>
      </c>
      <c r="J714" s="62"/>
      <c r="K714" s="65"/>
      <c r="L714" s="62"/>
    </row>
    <row r="715" spans="1:12" ht="15.75" customHeight="1" x14ac:dyDescent="0.2">
      <c r="A715" s="63" t="str">
        <f t="shared" si="11"/>
        <v/>
      </c>
      <c r="B715" s="63"/>
      <c r="C715" s="62" t="str">
        <f>IF($B715="","",IFERROR(VLOOKUP($B715,'Application Portfolio'!$A$2:$B$1000,2,FALSE()),""))</f>
        <v/>
      </c>
      <c r="D715" s="66"/>
      <c r="E715" s="66"/>
      <c r="F715" s="66"/>
      <c r="G715" s="66"/>
      <c r="H715" s="66"/>
      <c r="I715" s="64" t="str">
        <f>IF(OR($B715="", $D715="", $E715="", $F715="", $G715="", $H715=""),"",ROUND(($D715*Lists!$AN$20)+($E715*Lists!$AN$21)+($F715*Lists!$AN$22)+($G715*Lists!$AN$23)+($H715*Lists!$AN$24),2))</f>
        <v/>
      </c>
      <c r="J715" s="62"/>
      <c r="K715" s="65"/>
      <c r="L715" s="62"/>
    </row>
    <row r="716" spans="1:12" ht="15.75" customHeight="1" x14ac:dyDescent="0.2">
      <c r="A716" s="63" t="str">
        <f t="shared" si="11"/>
        <v/>
      </c>
      <c r="B716" s="63"/>
      <c r="C716" s="62" t="str">
        <f>IF($B716="","",IFERROR(VLOOKUP($B716,'Application Portfolio'!$A$2:$B$1000,2,FALSE()),""))</f>
        <v/>
      </c>
      <c r="D716" s="66"/>
      <c r="E716" s="66"/>
      <c r="F716" s="66"/>
      <c r="G716" s="66"/>
      <c r="H716" s="66"/>
      <c r="I716" s="64" t="str">
        <f>IF(OR($B716="", $D716="", $E716="", $F716="", $G716="", $H716=""),"",ROUND(($D716*Lists!$AN$20)+($E716*Lists!$AN$21)+($F716*Lists!$AN$22)+($G716*Lists!$AN$23)+($H716*Lists!$AN$24),2))</f>
        <v/>
      </c>
      <c r="J716" s="62"/>
      <c r="K716" s="65"/>
      <c r="L716" s="62"/>
    </row>
    <row r="717" spans="1:12" ht="15.75" customHeight="1" x14ac:dyDescent="0.2">
      <c r="A717" s="63" t="str">
        <f t="shared" si="11"/>
        <v/>
      </c>
      <c r="B717" s="63"/>
      <c r="C717" s="62" t="str">
        <f>IF($B717="","",IFERROR(VLOOKUP($B717,'Application Portfolio'!$A$2:$B$1000,2,FALSE()),""))</f>
        <v/>
      </c>
      <c r="D717" s="66"/>
      <c r="E717" s="66"/>
      <c r="F717" s="66"/>
      <c r="G717" s="66"/>
      <c r="H717" s="66"/>
      <c r="I717" s="64" t="str">
        <f>IF(OR($B717="", $D717="", $E717="", $F717="", $G717="", $H717=""),"",ROUND(($D717*Lists!$AN$20)+($E717*Lists!$AN$21)+($F717*Lists!$AN$22)+($G717*Lists!$AN$23)+($H717*Lists!$AN$24),2))</f>
        <v/>
      </c>
      <c r="J717" s="62"/>
      <c r="K717" s="65"/>
      <c r="L717" s="62"/>
    </row>
    <row r="718" spans="1:12" ht="15.75" customHeight="1" x14ac:dyDescent="0.2">
      <c r="A718" s="63" t="str">
        <f t="shared" si="11"/>
        <v/>
      </c>
      <c r="B718" s="63"/>
      <c r="C718" s="62" t="str">
        <f>IF($B718="","",IFERROR(VLOOKUP($B718,'Application Portfolio'!$A$2:$B$1000,2,FALSE()),""))</f>
        <v/>
      </c>
      <c r="D718" s="66"/>
      <c r="E718" s="66"/>
      <c r="F718" s="66"/>
      <c r="G718" s="66"/>
      <c r="H718" s="66"/>
      <c r="I718" s="64" t="str">
        <f>IF(OR($B718="", $D718="", $E718="", $F718="", $G718="", $H718=""),"",ROUND(($D718*Lists!$AN$20)+($E718*Lists!$AN$21)+($F718*Lists!$AN$22)+($G718*Lists!$AN$23)+($H718*Lists!$AN$24),2))</f>
        <v/>
      </c>
      <c r="J718" s="62"/>
      <c r="K718" s="65"/>
      <c r="L718" s="62"/>
    </row>
    <row r="719" spans="1:12" ht="15.75" customHeight="1" x14ac:dyDescent="0.2">
      <c r="A719" s="63" t="str">
        <f t="shared" si="11"/>
        <v/>
      </c>
      <c r="B719" s="63"/>
      <c r="C719" s="62" t="str">
        <f>IF($B719="","",IFERROR(VLOOKUP($B719,'Application Portfolio'!$A$2:$B$1000,2,FALSE()),""))</f>
        <v/>
      </c>
      <c r="D719" s="66"/>
      <c r="E719" s="66"/>
      <c r="F719" s="66"/>
      <c r="G719" s="66"/>
      <c r="H719" s="66"/>
      <c r="I719" s="64" t="str">
        <f>IF(OR($B719="", $D719="", $E719="", $F719="", $G719="", $H719=""),"",ROUND(($D719*Lists!$AN$20)+($E719*Lists!$AN$21)+($F719*Lists!$AN$22)+($G719*Lists!$AN$23)+($H719*Lists!$AN$24),2))</f>
        <v/>
      </c>
      <c r="J719" s="62"/>
      <c r="K719" s="65"/>
      <c r="L719" s="62"/>
    </row>
    <row r="720" spans="1:12" ht="15.75" customHeight="1" x14ac:dyDescent="0.2">
      <c r="A720" s="63" t="str">
        <f t="shared" si="11"/>
        <v/>
      </c>
      <c r="B720" s="63"/>
      <c r="C720" s="62" t="str">
        <f>IF($B720="","",IFERROR(VLOOKUP($B720,'Application Portfolio'!$A$2:$B$1000,2,FALSE()),""))</f>
        <v/>
      </c>
      <c r="D720" s="66"/>
      <c r="E720" s="66"/>
      <c r="F720" s="66"/>
      <c r="G720" s="66"/>
      <c r="H720" s="66"/>
      <c r="I720" s="64" t="str">
        <f>IF(OR($B720="", $D720="", $E720="", $F720="", $G720="", $H720=""),"",ROUND(($D720*Lists!$AN$20)+($E720*Lists!$AN$21)+($F720*Lists!$AN$22)+($G720*Lists!$AN$23)+($H720*Lists!$AN$24),2))</f>
        <v/>
      </c>
      <c r="J720" s="62"/>
      <c r="K720" s="65"/>
      <c r="L720" s="62"/>
    </row>
    <row r="721" spans="1:12" ht="15.75" customHeight="1" x14ac:dyDescent="0.2">
      <c r="A721" s="63" t="str">
        <f t="shared" si="11"/>
        <v/>
      </c>
      <c r="B721" s="63"/>
      <c r="C721" s="62" t="str">
        <f>IF($B721="","",IFERROR(VLOOKUP($B721,'Application Portfolio'!$A$2:$B$1000,2,FALSE()),""))</f>
        <v/>
      </c>
      <c r="D721" s="66"/>
      <c r="E721" s="66"/>
      <c r="F721" s="66"/>
      <c r="G721" s="66"/>
      <c r="H721" s="66"/>
      <c r="I721" s="64" t="str">
        <f>IF(OR($B721="", $D721="", $E721="", $F721="", $G721="", $H721=""),"",ROUND(($D721*Lists!$AN$20)+($E721*Lists!$AN$21)+($F721*Lists!$AN$22)+($G721*Lists!$AN$23)+($H721*Lists!$AN$24),2))</f>
        <v/>
      </c>
      <c r="J721" s="62"/>
      <c r="K721" s="65"/>
      <c r="L721" s="62"/>
    </row>
    <row r="722" spans="1:12" ht="15.75" customHeight="1" x14ac:dyDescent="0.2">
      <c r="A722" s="63" t="str">
        <f t="shared" si="11"/>
        <v/>
      </c>
      <c r="B722" s="63"/>
      <c r="C722" s="62" t="str">
        <f>IF($B722="","",IFERROR(VLOOKUP($B722,'Application Portfolio'!$A$2:$B$1000,2,FALSE()),""))</f>
        <v/>
      </c>
      <c r="D722" s="66"/>
      <c r="E722" s="66"/>
      <c r="F722" s="66"/>
      <c r="G722" s="66"/>
      <c r="H722" s="66"/>
      <c r="I722" s="64" t="str">
        <f>IF(OR($B722="", $D722="", $E722="", $F722="", $G722="", $H722=""),"",ROUND(($D722*Lists!$AN$20)+($E722*Lists!$AN$21)+($F722*Lists!$AN$22)+($G722*Lists!$AN$23)+($H722*Lists!$AN$24),2))</f>
        <v/>
      </c>
      <c r="J722" s="62"/>
      <c r="K722" s="65"/>
      <c r="L722" s="62"/>
    </row>
    <row r="723" spans="1:12" ht="15.75" customHeight="1" x14ac:dyDescent="0.2">
      <c r="A723" s="63" t="str">
        <f t="shared" si="11"/>
        <v/>
      </c>
      <c r="B723" s="63"/>
      <c r="C723" s="62" t="str">
        <f>IF($B723="","",IFERROR(VLOOKUP($B723,'Application Portfolio'!$A$2:$B$1000,2,FALSE()),""))</f>
        <v/>
      </c>
      <c r="D723" s="66"/>
      <c r="E723" s="66"/>
      <c r="F723" s="66"/>
      <c r="G723" s="66"/>
      <c r="H723" s="66"/>
      <c r="I723" s="64" t="str">
        <f>IF(OR($B723="", $D723="", $E723="", $F723="", $G723="", $H723=""),"",ROUND(($D723*Lists!$AN$20)+($E723*Lists!$AN$21)+($F723*Lists!$AN$22)+($G723*Lists!$AN$23)+($H723*Lists!$AN$24),2))</f>
        <v/>
      </c>
      <c r="J723" s="62"/>
      <c r="K723" s="65"/>
      <c r="L723" s="62"/>
    </row>
    <row r="724" spans="1:12" ht="15.75" customHeight="1" x14ac:dyDescent="0.2">
      <c r="A724" s="63" t="str">
        <f t="shared" si="11"/>
        <v/>
      </c>
      <c r="B724" s="63"/>
      <c r="C724" s="62" t="str">
        <f>IF($B724="","",IFERROR(VLOOKUP($B724,'Application Portfolio'!$A$2:$B$1000,2,FALSE()),""))</f>
        <v/>
      </c>
      <c r="D724" s="66"/>
      <c r="E724" s="66"/>
      <c r="F724" s="66"/>
      <c r="G724" s="66"/>
      <c r="H724" s="66"/>
      <c r="I724" s="64" t="str">
        <f>IF(OR($B724="", $D724="", $E724="", $F724="", $G724="", $H724=""),"",ROUND(($D724*Lists!$AN$20)+($E724*Lists!$AN$21)+($F724*Lists!$AN$22)+($G724*Lists!$AN$23)+($H724*Lists!$AN$24),2))</f>
        <v/>
      </c>
      <c r="J724" s="62"/>
      <c r="K724" s="65"/>
      <c r="L724" s="62"/>
    </row>
    <row r="725" spans="1:12" ht="15.75" customHeight="1" x14ac:dyDescent="0.2">
      <c r="A725" s="63" t="str">
        <f t="shared" si="11"/>
        <v/>
      </c>
      <c r="B725" s="63"/>
      <c r="C725" s="62" t="str">
        <f>IF($B725="","",IFERROR(VLOOKUP($B725,'Application Portfolio'!$A$2:$B$1000,2,FALSE()),""))</f>
        <v/>
      </c>
      <c r="D725" s="66"/>
      <c r="E725" s="66"/>
      <c r="F725" s="66"/>
      <c r="G725" s="66"/>
      <c r="H725" s="66"/>
      <c r="I725" s="64" t="str">
        <f>IF(OR($B725="", $D725="", $E725="", $F725="", $G725="", $H725=""),"",ROUND(($D725*Lists!$AN$20)+($E725*Lists!$AN$21)+($F725*Lists!$AN$22)+($G725*Lists!$AN$23)+($H725*Lists!$AN$24),2))</f>
        <v/>
      </c>
      <c r="J725" s="62"/>
      <c r="K725" s="65"/>
      <c r="L725" s="62"/>
    </row>
    <row r="726" spans="1:12" ht="15.75" customHeight="1" x14ac:dyDescent="0.2">
      <c r="A726" s="63" t="str">
        <f t="shared" si="11"/>
        <v/>
      </c>
      <c r="B726" s="63"/>
      <c r="C726" s="62" t="str">
        <f>IF($B726="","",IFERROR(VLOOKUP($B726,'Application Portfolio'!$A$2:$B$1000,2,FALSE()),""))</f>
        <v/>
      </c>
      <c r="D726" s="66"/>
      <c r="E726" s="66"/>
      <c r="F726" s="66"/>
      <c r="G726" s="66"/>
      <c r="H726" s="66"/>
      <c r="I726" s="64" t="str">
        <f>IF(OR($B726="", $D726="", $E726="", $F726="", $G726="", $H726=""),"",ROUND(($D726*Lists!$AN$20)+($E726*Lists!$AN$21)+($F726*Lists!$AN$22)+($G726*Lists!$AN$23)+($H726*Lists!$AN$24),2))</f>
        <v/>
      </c>
      <c r="J726" s="62"/>
      <c r="K726" s="65"/>
      <c r="L726" s="62"/>
    </row>
    <row r="727" spans="1:12" ht="15.75" customHeight="1" x14ac:dyDescent="0.2">
      <c r="A727" s="63" t="str">
        <f t="shared" si="11"/>
        <v/>
      </c>
      <c r="B727" s="63"/>
      <c r="C727" s="62" t="str">
        <f>IF($B727="","",IFERROR(VLOOKUP($B727,'Application Portfolio'!$A$2:$B$1000,2,FALSE()),""))</f>
        <v/>
      </c>
      <c r="D727" s="66"/>
      <c r="E727" s="66"/>
      <c r="F727" s="66"/>
      <c r="G727" s="66"/>
      <c r="H727" s="66"/>
      <c r="I727" s="64" t="str">
        <f>IF(OR($B727="", $D727="", $E727="", $F727="", $G727="", $H727=""),"",ROUND(($D727*Lists!$AN$20)+($E727*Lists!$AN$21)+($F727*Lists!$AN$22)+($G727*Lists!$AN$23)+($H727*Lists!$AN$24),2))</f>
        <v/>
      </c>
      <c r="J727" s="62"/>
      <c r="K727" s="65"/>
      <c r="L727" s="62"/>
    </row>
    <row r="728" spans="1:12" ht="15.75" customHeight="1" x14ac:dyDescent="0.2">
      <c r="A728" s="63" t="str">
        <f t="shared" si="11"/>
        <v/>
      </c>
      <c r="B728" s="63"/>
      <c r="C728" s="62" t="str">
        <f>IF($B728="","",IFERROR(VLOOKUP($B728,'Application Portfolio'!$A$2:$B$1000,2,FALSE()),""))</f>
        <v/>
      </c>
      <c r="D728" s="66"/>
      <c r="E728" s="66"/>
      <c r="F728" s="66"/>
      <c r="G728" s="66"/>
      <c r="H728" s="66"/>
      <c r="I728" s="64" t="str">
        <f>IF(OR($B728="", $D728="", $E728="", $F728="", $G728="", $H728=""),"",ROUND(($D728*Lists!$AN$20)+($E728*Lists!$AN$21)+($F728*Lists!$AN$22)+($G728*Lists!$AN$23)+($H728*Lists!$AN$24),2))</f>
        <v/>
      </c>
      <c r="J728" s="62"/>
      <c r="K728" s="65"/>
      <c r="L728" s="62"/>
    </row>
    <row r="729" spans="1:12" ht="15.75" customHeight="1" x14ac:dyDescent="0.2">
      <c r="A729" s="63" t="str">
        <f t="shared" si="11"/>
        <v/>
      </c>
      <c r="B729" s="63"/>
      <c r="C729" s="62" t="str">
        <f>IF($B729="","",IFERROR(VLOOKUP($B729,'Application Portfolio'!$A$2:$B$1000,2,FALSE()),""))</f>
        <v/>
      </c>
      <c r="D729" s="66"/>
      <c r="E729" s="66"/>
      <c r="F729" s="66"/>
      <c r="G729" s="66"/>
      <c r="H729" s="66"/>
      <c r="I729" s="64" t="str">
        <f>IF(OR($B729="", $D729="", $E729="", $F729="", $G729="", $H729=""),"",ROUND(($D729*Lists!$AN$20)+($E729*Lists!$AN$21)+($F729*Lists!$AN$22)+($G729*Lists!$AN$23)+($H729*Lists!$AN$24),2))</f>
        <v/>
      </c>
      <c r="J729" s="62"/>
      <c r="K729" s="65"/>
      <c r="L729" s="62"/>
    </row>
    <row r="730" spans="1:12" ht="15.75" customHeight="1" x14ac:dyDescent="0.2">
      <c r="A730" s="63" t="str">
        <f t="shared" si="11"/>
        <v/>
      </c>
      <c r="B730" s="63"/>
      <c r="C730" s="62" t="str">
        <f>IF($B730="","",IFERROR(VLOOKUP($B730,'Application Portfolio'!$A$2:$B$1000,2,FALSE()),""))</f>
        <v/>
      </c>
      <c r="D730" s="66"/>
      <c r="E730" s="66"/>
      <c r="F730" s="66"/>
      <c r="G730" s="66"/>
      <c r="H730" s="66"/>
      <c r="I730" s="64" t="str">
        <f>IF(OR($B730="", $D730="", $E730="", $F730="", $G730="", $H730=""),"",ROUND(($D730*Lists!$AN$20)+($E730*Lists!$AN$21)+($F730*Lists!$AN$22)+($G730*Lists!$AN$23)+($H730*Lists!$AN$24),2))</f>
        <v/>
      </c>
      <c r="J730" s="62"/>
      <c r="K730" s="65"/>
      <c r="L730" s="62"/>
    </row>
    <row r="731" spans="1:12" ht="15.75" customHeight="1" x14ac:dyDescent="0.2">
      <c r="A731" s="63" t="str">
        <f t="shared" si="11"/>
        <v/>
      </c>
      <c r="B731" s="63"/>
      <c r="C731" s="62" t="str">
        <f>IF($B731="","",IFERROR(VLOOKUP($B731,'Application Portfolio'!$A$2:$B$1000,2,FALSE()),""))</f>
        <v/>
      </c>
      <c r="D731" s="66"/>
      <c r="E731" s="66"/>
      <c r="F731" s="66"/>
      <c r="G731" s="66"/>
      <c r="H731" s="66"/>
      <c r="I731" s="64" t="str">
        <f>IF(OR($B731="", $D731="", $E731="", $F731="", $G731="", $H731=""),"",ROUND(($D731*Lists!$AN$20)+($E731*Lists!$AN$21)+($F731*Lists!$AN$22)+($G731*Lists!$AN$23)+($H731*Lists!$AN$24),2))</f>
        <v/>
      </c>
      <c r="J731" s="62"/>
      <c r="K731" s="65"/>
      <c r="L731" s="62"/>
    </row>
    <row r="732" spans="1:12" ht="15.75" customHeight="1" x14ac:dyDescent="0.2">
      <c r="A732" s="63" t="str">
        <f t="shared" si="11"/>
        <v/>
      </c>
      <c r="B732" s="63"/>
      <c r="C732" s="62" t="str">
        <f>IF($B732="","",IFERROR(VLOOKUP($B732,'Application Portfolio'!$A$2:$B$1000,2,FALSE()),""))</f>
        <v/>
      </c>
      <c r="D732" s="66"/>
      <c r="E732" s="66"/>
      <c r="F732" s="66"/>
      <c r="G732" s="66"/>
      <c r="H732" s="66"/>
      <c r="I732" s="64" t="str">
        <f>IF(OR($B732="", $D732="", $E732="", $F732="", $G732="", $H732=""),"",ROUND(($D732*Lists!$AN$20)+($E732*Lists!$AN$21)+($F732*Lists!$AN$22)+($G732*Lists!$AN$23)+($H732*Lists!$AN$24),2))</f>
        <v/>
      </c>
      <c r="J732" s="62"/>
      <c r="K732" s="65"/>
      <c r="L732" s="62"/>
    </row>
    <row r="733" spans="1:12" ht="15.75" customHeight="1" x14ac:dyDescent="0.2">
      <c r="A733" s="63" t="str">
        <f t="shared" si="11"/>
        <v/>
      </c>
      <c r="B733" s="63"/>
      <c r="C733" s="62" t="str">
        <f>IF($B733="","",IFERROR(VLOOKUP($B733,'Application Portfolio'!$A$2:$B$1000,2,FALSE()),""))</f>
        <v/>
      </c>
      <c r="D733" s="66"/>
      <c r="E733" s="66"/>
      <c r="F733" s="66"/>
      <c r="G733" s="66"/>
      <c r="H733" s="66"/>
      <c r="I733" s="64" t="str">
        <f>IF(OR($B733="", $D733="", $E733="", $F733="", $G733="", $H733=""),"",ROUND(($D733*Lists!$AN$20)+($E733*Lists!$AN$21)+($F733*Lists!$AN$22)+($G733*Lists!$AN$23)+($H733*Lists!$AN$24),2))</f>
        <v/>
      </c>
      <c r="J733" s="62"/>
      <c r="K733" s="65"/>
      <c r="L733" s="62"/>
    </row>
    <row r="734" spans="1:12" ht="15.75" customHeight="1" x14ac:dyDescent="0.2">
      <c r="A734" s="63" t="str">
        <f t="shared" si="11"/>
        <v/>
      </c>
      <c r="B734" s="63"/>
      <c r="C734" s="62" t="str">
        <f>IF($B734="","",IFERROR(VLOOKUP($B734,'Application Portfolio'!$A$2:$B$1000,2,FALSE()),""))</f>
        <v/>
      </c>
      <c r="D734" s="66"/>
      <c r="E734" s="66"/>
      <c r="F734" s="66"/>
      <c r="G734" s="66"/>
      <c r="H734" s="66"/>
      <c r="I734" s="64" t="str">
        <f>IF(OR($B734="", $D734="", $E734="", $F734="", $G734="", $H734=""),"",ROUND(($D734*Lists!$AN$20)+($E734*Lists!$AN$21)+($F734*Lists!$AN$22)+($G734*Lists!$AN$23)+($H734*Lists!$AN$24),2))</f>
        <v/>
      </c>
      <c r="J734" s="62"/>
      <c r="K734" s="65"/>
      <c r="L734" s="62"/>
    </row>
    <row r="735" spans="1:12" ht="15.75" customHeight="1" x14ac:dyDescent="0.2">
      <c r="A735" s="63" t="str">
        <f t="shared" si="11"/>
        <v/>
      </c>
      <c r="B735" s="63"/>
      <c r="C735" s="62" t="str">
        <f>IF($B735="","",IFERROR(VLOOKUP($B735,'Application Portfolio'!$A$2:$B$1000,2,FALSE()),""))</f>
        <v/>
      </c>
      <c r="D735" s="66"/>
      <c r="E735" s="66"/>
      <c r="F735" s="66"/>
      <c r="G735" s="66"/>
      <c r="H735" s="66"/>
      <c r="I735" s="64" t="str">
        <f>IF(OR($B735="", $D735="", $E735="", $F735="", $G735="", $H735=""),"",ROUND(($D735*Lists!$AN$20)+($E735*Lists!$AN$21)+($F735*Lists!$AN$22)+($G735*Lists!$AN$23)+($H735*Lists!$AN$24),2))</f>
        <v/>
      </c>
      <c r="J735" s="62"/>
      <c r="K735" s="65"/>
      <c r="L735" s="62"/>
    </row>
    <row r="736" spans="1:12" ht="15.75" customHeight="1" x14ac:dyDescent="0.2">
      <c r="A736" s="63" t="str">
        <f t="shared" ref="A736:A799" si="12">IF($B736="","", "R-" &amp; RIGHT("0000"&amp;ROW()-1,4))</f>
        <v/>
      </c>
      <c r="B736" s="63"/>
      <c r="C736" s="62" t="str">
        <f>IF($B736="","",IFERROR(VLOOKUP($B736,'Application Portfolio'!$A$2:$B$1000,2,FALSE()),""))</f>
        <v/>
      </c>
      <c r="D736" s="66"/>
      <c r="E736" s="66"/>
      <c r="F736" s="66"/>
      <c r="G736" s="66"/>
      <c r="H736" s="66"/>
      <c r="I736" s="64" t="str">
        <f>IF(OR($B736="", $D736="", $E736="", $F736="", $G736="", $H736=""),"",ROUND(($D736*Lists!$AN$20)+($E736*Lists!$AN$21)+($F736*Lists!$AN$22)+($G736*Lists!$AN$23)+($H736*Lists!$AN$24),2))</f>
        <v/>
      </c>
      <c r="J736" s="62"/>
      <c r="K736" s="65"/>
      <c r="L736" s="62"/>
    </row>
    <row r="737" spans="1:12" ht="15.75" customHeight="1" x14ac:dyDescent="0.2">
      <c r="A737" s="63" t="str">
        <f t="shared" si="12"/>
        <v/>
      </c>
      <c r="B737" s="63"/>
      <c r="C737" s="62" t="str">
        <f>IF($B737="","",IFERROR(VLOOKUP($B737,'Application Portfolio'!$A$2:$B$1000,2,FALSE()),""))</f>
        <v/>
      </c>
      <c r="D737" s="66"/>
      <c r="E737" s="66"/>
      <c r="F737" s="66"/>
      <c r="G737" s="66"/>
      <c r="H737" s="66"/>
      <c r="I737" s="64" t="str">
        <f>IF(OR($B737="", $D737="", $E737="", $F737="", $G737="", $H737=""),"",ROUND(($D737*Lists!$AN$20)+($E737*Lists!$AN$21)+($F737*Lists!$AN$22)+($G737*Lists!$AN$23)+($H737*Lists!$AN$24),2))</f>
        <v/>
      </c>
      <c r="J737" s="62"/>
      <c r="K737" s="65"/>
      <c r="L737" s="62"/>
    </row>
    <row r="738" spans="1:12" ht="15.75" customHeight="1" x14ac:dyDescent="0.2">
      <c r="A738" s="63" t="str">
        <f t="shared" si="12"/>
        <v/>
      </c>
      <c r="B738" s="63"/>
      <c r="C738" s="62" t="str">
        <f>IF($B738="","",IFERROR(VLOOKUP($B738,'Application Portfolio'!$A$2:$B$1000,2,FALSE()),""))</f>
        <v/>
      </c>
      <c r="D738" s="66"/>
      <c r="E738" s="66"/>
      <c r="F738" s="66"/>
      <c r="G738" s="66"/>
      <c r="H738" s="66"/>
      <c r="I738" s="64" t="str">
        <f>IF(OR($B738="", $D738="", $E738="", $F738="", $G738="", $H738=""),"",ROUND(($D738*Lists!$AN$20)+($E738*Lists!$AN$21)+($F738*Lists!$AN$22)+($G738*Lists!$AN$23)+($H738*Lists!$AN$24),2))</f>
        <v/>
      </c>
      <c r="J738" s="62"/>
      <c r="K738" s="65"/>
      <c r="L738" s="62"/>
    </row>
    <row r="739" spans="1:12" ht="15.75" customHeight="1" x14ac:dyDescent="0.2">
      <c r="A739" s="63" t="str">
        <f t="shared" si="12"/>
        <v/>
      </c>
      <c r="B739" s="63"/>
      <c r="C739" s="62" t="str">
        <f>IF($B739="","",IFERROR(VLOOKUP($B739,'Application Portfolio'!$A$2:$B$1000,2,FALSE()),""))</f>
        <v/>
      </c>
      <c r="D739" s="66"/>
      <c r="E739" s="66"/>
      <c r="F739" s="66"/>
      <c r="G739" s="66"/>
      <c r="H739" s="66"/>
      <c r="I739" s="64" t="str">
        <f>IF(OR($B739="", $D739="", $E739="", $F739="", $G739="", $H739=""),"",ROUND(($D739*Lists!$AN$20)+($E739*Lists!$AN$21)+($F739*Lists!$AN$22)+($G739*Lists!$AN$23)+($H739*Lists!$AN$24),2))</f>
        <v/>
      </c>
      <c r="J739" s="62"/>
      <c r="K739" s="65"/>
      <c r="L739" s="62"/>
    </row>
    <row r="740" spans="1:12" ht="15.75" customHeight="1" x14ac:dyDescent="0.2">
      <c r="A740" s="63" t="str">
        <f t="shared" si="12"/>
        <v/>
      </c>
      <c r="B740" s="63"/>
      <c r="C740" s="62" t="str">
        <f>IF($B740="","",IFERROR(VLOOKUP($B740,'Application Portfolio'!$A$2:$B$1000,2,FALSE()),""))</f>
        <v/>
      </c>
      <c r="D740" s="66"/>
      <c r="E740" s="66"/>
      <c r="F740" s="66"/>
      <c r="G740" s="66"/>
      <c r="H740" s="66"/>
      <c r="I740" s="64" t="str">
        <f>IF(OR($B740="", $D740="", $E740="", $F740="", $G740="", $H740=""),"",ROUND(($D740*Lists!$AN$20)+($E740*Lists!$AN$21)+($F740*Lists!$AN$22)+($G740*Lists!$AN$23)+($H740*Lists!$AN$24),2))</f>
        <v/>
      </c>
      <c r="J740" s="62"/>
      <c r="K740" s="65"/>
      <c r="L740" s="62"/>
    </row>
    <row r="741" spans="1:12" ht="15.75" customHeight="1" x14ac:dyDescent="0.2">
      <c r="A741" s="63" t="str">
        <f t="shared" si="12"/>
        <v/>
      </c>
      <c r="B741" s="63"/>
      <c r="C741" s="62" t="str">
        <f>IF($B741="","",IFERROR(VLOOKUP($B741,'Application Portfolio'!$A$2:$B$1000,2,FALSE()),""))</f>
        <v/>
      </c>
      <c r="D741" s="66"/>
      <c r="E741" s="66"/>
      <c r="F741" s="66"/>
      <c r="G741" s="66"/>
      <c r="H741" s="66"/>
      <c r="I741" s="64" t="str">
        <f>IF(OR($B741="", $D741="", $E741="", $F741="", $G741="", $H741=""),"",ROUND(($D741*Lists!$AN$20)+($E741*Lists!$AN$21)+($F741*Lists!$AN$22)+($G741*Lists!$AN$23)+($H741*Lists!$AN$24),2))</f>
        <v/>
      </c>
      <c r="J741" s="62"/>
      <c r="K741" s="65"/>
      <c r="L741" s="62"/>
    </row>
    <row r="742" spans="1:12" ht="15.75" customHeight="1" x14ac:dyDescent="0.2">
      <c r="A742" s="63" t="str">
        <f t="shared" si="12"/>
        <v/>
      </c>
      <c r="B742" s="63"/>
      <c r="C742" s="62" t="str">
        <f>IF($B742="","",IFERROR(VLOOKUP($B742,'Application Portfolio'!$A$2:$B$1000,2,FALSE()),""))</f>
        <v/>
      </c>
      <c r="D742" s="66"/>
      <c r="E742" s="66"/>
      <c r="F742" s="66"/>
      <c r="G742" s="66"/>
      <c r="H742" s="66"/>
      <c r="I742" s="64" t="str">
        <f>IF(OR($B742="", $D742="", $E742="", $F742="", $G742="", $H742=""),"",ROUND(($D742*Lists!$AN$20)+($E742*Lists!$AN$21)+($F742*Lists!$AN$22)+($G742*Lists!$AN$23)+($H742*Lists!$AN$24),2))</f>
        <v/>
      </c>
      <c r="J742" s="62"/>
      <c r="K742" s="65"/>
      <c r="L742" s="62"/>
    </row>
    <row r="743" spans="1:12" ht="15.75" customHeight="1" x14ac:dyDescent="0.2">
      <c r="A743" s="63" t="str">
        <f t="shared" si="12"/>
        <v/>
      </c>
      <c r="B743" s="63"/>
      <c r="C743" s="62" t="str">
        <f>IF($B743="","",IFERROR(VLOOKUP($B743,'Application Portfolio'!$A$2:$B$1000,2,FALSE()),""))</f>
        <v/>
      </c>
      <c r="D743" s="66"/>
      <c r="E743" s="66"/>
      <c r="F743" s="66"/>
      <c r="G743" s="66"/>
      <c r="H743" s="66"/>
      <c r="I743" s="64" t="str">
        <f>IF(OR($B743="", $D743="", $E743="", $F743="", $G743="", $H743=""),"",ROUND(($D743*Lists!$AN$20)+($E743*Lists!$AN$21)+($F743*Lists!$AN$22)+($G743*Lists!$AN$23)+($H743*Lists!$AN$24),2))</f>
        <v/>
      </c>
      <c r="J743" s="62"/>
      <c r="K743" s="65"/>
      <c r="L743" s="62"/>
    </row>
    <row r="744" spans="1:12" ht="15.75" customHeight="1" x14ac:dyDescent="0.2">
      <c r="A744" s="63" t="str">
        <f t="shared" si="12"/>
        <v/>
      </c>
      <c r="B744" s="63"/>
      <c r="C744" s="62" t="str">
        <f>IF($B744="","",IFERROR(VLOOKUP($B744,'Application Portfolio'!$A$2:$B$1000,2,FALSE()),""))</f>
        <v/>
      </c>
      <c r="D744" s="66"/>
      <c r="E744" s="66"/>
      <c r="F744" s="66"/>
      <c r="G744" s="66"/>
      <c r="H744" s="66"/>
      <c r="I744" s="64" t="str">
        <f>IF(OR($B744="", $D744="", $E744="", $F744="", $G744="", $H744=""),"",ROUND(($D744*Lists!$AN$20)+($E744*Lists!$AN$21)+($F744*Lists!$AN$22)+($G744*Lists!$AN$23)+($H744*Lists!$AN$24),2))</f>
        <v/>
      </c>
      <c r="J744" s="62"/>
      <c r="K744" s="65"/>
      <c r="L744" s="62"/>
    </row>
    <row r="745" spans="1:12" ht="15.75" customHeight="1" x14ac:dyDescent="0.2">
      <c r="A745" s="63" t="str">
        <f t="shared" si="12"/>
        <v/>
      </c>
      <c r="B745" s="63"/>
      <c r="C745" s="62" t="str">
        <f>IF($B745="","",IFERROR(VLOOKUP($B745,'Application Portfolio'!$A$2:$B$1000,2,FALSE()),""))</f>
        <v/>
      </c>
      <c r="D745" s="66"/>
      <c r="E745" s="66"/>
      <c r="F745" s="66"/>
      <c r="G745" s="66"/>
      <c r="H745" s="66"/>
      <c r="I745" s="64" t="str">
        <f>IF(OR($B745="", $D745="", $E745="", $F745="", $G745="", $H745=""),"",ROUND(($D745*Lists!$AN$20)+($E745*Lists!$AN$21)+($F745*Lists!$AN$22)+($G745*Lists!$AN$23)+($H745*Lists!$AN$24),2))</f>
        <v/>
      </c>
      <c r="J745" s="62"/>
      <c r="K745" s="65"/>
      <c r="L745" s="62"/>
    </row>
    <row r="746" spans="1:12" ht="15.75" customHeight="1" x14ac:dyDescent="0.2">
      <c r="A746" s="63" t="str">
        <f t="shared" si="12"/>
        <v/>
      </c>
      <c r="B746" s="63"/>
      <c r="C746" s="62" t="str">
        <f>IF($B746="","",IFERROR(VLOOKUP($B746,'Application Portfolio'!$A$2:$B$1000,2,FALSE()),""))</f>
        <v/>
      </c>
      <c r="D746" s="66"/>
      <c r="E746" s="66"/>
      <c r="F746" s="66"/>
      <c r="G746" s="66"/>
      <c r="H746" s="66"/>
      <c r="I746" s="64" t="str">
        <f>IF(OR($B746="", $D746="", $E746="", $F746="", $G746="", $H746=""),"",ROUND(($D746*Lists!$AN$20)+($E746*Lists!$AN$21)+($F746*Lists!$AN$22)+($G746*Lists!$AN$23)+($H746*Lists!$AN$24),2))</f>
        <v/>
      </c>
      <c r="J746" s="62"/>
      <c r="K746" s="65"/>
      <c r="L746" s="62"/>
    </row>
    <row r="747" spans="1:12" ht="15.75" customHeight="1" x14ac:dyDescent="0.2">
      <c r="A747" s="63" t="str">
        <f t="shared" si="12"/>
        <v/>
      </c>
      <c r="B747" s="63"/>
      <c r="C747" s="62" t="str">
        <f>IF($B747="","",IFERROR(VLOOKUP($B747,'Application Portfolio'!$A$2:$B$1000,2,FALSE()),""))</f>
        <v/>
      </c>
      <c r="D747" s="66"/>
      <c r="E747" s="66"/>
      <c r="F747" s="66"/>
      <c r="G747" s="66"/>
      <c r="H747" s="66"/>
      <c r="I747" s="64" t="str">
        <f>IF(OR($B747="", $D747="", $E747="", $F747="", $G747="", $H747=""),"",ROUND(($D747*Lists!$AN$20)+($E747*Lists!$AN$21)+($F747*Lists!$AN$22)+($G747*Lists!$AN$23)+($H747*Lists!$AN$24),2))</f>
        <v/>
      </c>
      <c r="J747" s="62"/>
      <c r="K747" s="65"/>
      <c r="L747" s="62"/>
    </row>
    <row r="748" spans="1:12" ht="15.75" customHeight="1" x14ac:dyDescent="0.2">
      <c r="A748" s="63" t="str">
        <f t="shared" si="12"/>
        <v/>
      </c>
      <c r="B748" s="63"/>
      <c r="C748" s="62" t="str">
        <f>IF($B748="","",IFERROR(VLOOKUP($B748,'Application Portfolio'!$A$2:$B$1000,2,FALSE()),""))</f>
        <v/>
      </c>
      <c r="D748" s="66"/>
      <c r="E748" s="66"/>
      <c r="F748" s="66"/>
      <c r="G748" s="66"/>
      <c r="H748" s="66"/>
      <c r="I748" s="64" t="str">
        <f>IF(OR($B748="", $D748="", $E748="", $F748="", $G748="", $H748=""),"",ROUND(($D748*Lists!$AN$20)+($E748*Lists!$AN$21)+($F748*Lists!$AN$22)+($G748*Lists!$AN$23)+($H748*Lists!$AN$24),2))</f>
        <v/>
      </c>
      <c r="J748" s="62"/>
      <c r="K748" s="65"/>
      <c r="L748" s="62"/>
    </row>
    <row r="749" spans="1:12" ht="15.75" customHeight="1" x14ac:dyDescent="0.2">
      <c r="A749" s="63" t="str">
        <f t="shared" si="12"/>
        <v/>
      </c>
      <c r="B749" s="63"/>
      <c r="C749" s="62" t="str">
        <f>IF($B749="","",IFERROR(VLOOKUP($B749,'Application Portfolio'!$A$2:$B$1000,2,FALSE()),""))</f>
        <v/>
      </c>
      <c r="D749" s="66"/>
      <c r="E749" s="66"/>
      <c r="F749" s="66"/>
      <c r="G749" s="66"/>
      <c r="H749" s="66"/>
      <c r="I749" s="64" t="str">
        <f>IF(OR($B749="", $D749="", $E749="", $F749="", $G749="", $H749=""),"",ROUND(($D749*Lists!$AN$20)+($E749*Lists!$AN$21)+($F749*Lists!$AN$22)+($G749*Lists!$AN$23)+($H749*Lists!$AN$24),2))</f>
        <v/>
      </c>
      <c r="J749" s="62"/>
      <c r="K749" s="65"/>
      <c r="L749" s="62"/>
    </row>
    <row r="750" spans="1:12" ht="15.75" customHeight="1" x14ac:dyDescent="0.2">
      <c r="A750" s="63" t="str">
        <f t="shared" si="12"/>
        <v/>
      </c>
      <c r="B750" s="63"/>
      <c r="C750" s="62" t="str">
        <f>IF($B750="","",IFERROR(VLOOKUP($B750,'Application Portfolio'!$A$2:$B$1000,2,FALSE()),""))</f>
        <v/>
      </c>
      <c r="D750" s="66"/>
      <c r="E750" s="66"/>
      <c r="F750" s="66"/>
      <c r="G750" s="66"/>
      <c r="H750" s="66"/>
      <c r="I750" s="64" t="str">
        <f>IF(OR($B750="", $D750="", $E750="", $F750="", $G750="", $H750=""),"",ROUND(($D750*Lists!$AN$20)+($E750*Lists!$AN$21)+($F750*Lists!$AN$22)+($G750*Lists!$AN$23)+($H750*Lists!$AN$24),2))</f>
        <v/>
      </c>
      <c r="J750" s="62"/>
      <c r="K750" s="65"/>
      <c r="L750" s="62"/>
    </row>
    <row r="751" spans="1:12" ht="15.75" customHeight="1" x14ac:dyDescent="0.2">
      <c r="A751" s="63" t="str">
        <f t="shared" si="12"/>
        <v/>
      </c>
      <c r="B751" s="63"/>
      <c r="C751" s="62" t="str">
        <f>IF($B751="","",IFERROR(VLOOKUP($B751,'Application Portfolio'!$A$2:$B$1000,2,FALSE()),""))</f>
        <v/>
      </c>
      <c r="D751" s="66"/>
      <c r="E751" s="66"/>
      <c r="F751" s="66"/>
      <c r="G751" s="66"/>
      <c r="H751" s="66"/>
      <c r="I751" s="64" t="str">
        <f>IF(OR($B751="", $D751="", $E751="", $F751="", $G751="", $H751=""),"",ROUND(($D751*Lists!$AN$20)+($E751*Lists!$AN$21)+($F751*Lists!$AN$22)+($G751*Lists!$AN$23)+($H751*Lists!$AN$24),2))</f>
        <v/>
      </c>
      <c r="J751" s="62"/>
      <c r="K751" s="65"/>
      <c r="L751" s="62"/>
    </row>
    <row r="752" spans="1:12" ht="15.75" customHeight="1" x14ac:dyDescent="0.2">
      <c r="A752" s="63" t="str">
        <f t="shared" si="12"/>
        <v/>
      </c>
      <c r="B752" s="63"/>
      <c r="C752" s="62" t="str">
        <f>IF($B752="","",IFERROR(VLOOKUP($B752,'Application Portfolio'!$A$2:$B$1000,2,FALSE()),""))</f>
        <v/>
      </c>
      <c r="D752" s="66"/>
      <c r="E752" s="66"/>
      <c r="F752" s="66"/>
      <c r="G752" s="66"/>
      <c r="H752" s="66"/>
      <c r="I752" s="64" t="str">
        <f>IF(OR($B752="", $D752="", $E752="", $F752="", $G752="", $H752=""),"",ROUND(($D752*Lists!$AN$20)+($E752*Lists!$AN$21)+($F752*Lists!$AN$22)+($G752*Lists!$AN$23)+($H752*Lists!$AN$24),2))</f>
        <v/>
      </c>
      <c r="J752" s="62"/>
      <c r="K752" s="65"/>
      <c r="L752" s="62"/>
    </row>
    <row r="753" spans="1:12" ht="15.75" customHeight="1" x14ac:dyDescent="0.2">
      <c r="A753" s="63" t="str">
        <f t="shared" si="12"/>
        <v/>
      </c>
      <c r="B753" s="63"/>
      <c r="C753" s="62" t="str">
        <f>IF($B753="","",IFERROR(VLOOKUP($B753,'Application Portfolio'!$A$2:$B$1000,2,FALSE()),""))</f>
        <v/>
      </c>
      <c r="D753" s="66"/>
      <c r="E753" s="66"/>
      <c r="F753" s="66"/>
      <c r="G753" s="66"/>
      <c r="H753" s="66"/>
      <c r="I753" s="64" t="str">
        <f>IF(OR($B753="", $D753="", $E753="", $F753="", $G753="", $H753=""),"",ROUND(($D753*Lists!$AN$20)+($E753*Lists!$AN$21)+($F753*Lists!$AN$22)+($G753*Lists!$AN$23)+($H753*Lists!$AN$24),2))</f>
        <v/>
      </c>
      <c r="J753" s="62"/>
      <c r="K753" s="65"/>
      <c r="L753" s="62"/>
    </row>
    <row r="754" spans="1:12" ht="15.75" customHeight="1" x14ac:dyDescent="0.2">
      <c r="A754" s="63" t="str">
        <f t="shared" si="12"/>
        <v/>
      </c>
      <c r="B754" s="63"/>
      <c r="C754" s="62" t="str">
        <f>IF($B754="","",IFERROR(VLOOKUP($B754,'Application Portfolio'!$A$2:$B$1000,2,FALSE()),""))</f>
        <v/>
      </c>
      <c r="D754" s="66"/>
      <c r="E754" s="66"/>
      <c r="F754" s="66"/>
      <c r="G754" s="66"/>
      <c r="H754" s="66"/>
      <c r="I754" s="64" t="str">
        <f>IF(OR($B754="", $D754="", $E754="", $F754="", $G754="", $H754=""),"",ROUND(($D754*Lists!$AN$20)+($E754*Lists!$AN$21)+($F754*Lists!$AN$22)+($G754*Lists!$AN$23)+($H754*Lists!$AN$24),2))</f>
        <v/>
      </c>
      <c r="J754" s="62"/>
      <c r="K754" s="65"/>
      <c r="L754" s="62"/>
    </row>
    <row r="755" spans="1:12" ht="15.75" customHeight="1" x14ac:dyDescent="0.2">
      <c r="A755" s="63" t="str">
        <f t="shared" si="12"/>
        <v/>
      </c>
      <c r="B755" s="63"/>
      <c r="C755" s="62" t="str">
        <f>IF($B755="","",IFERROR(VLOOKUP($B755,'Application Portfolio'!$A$2:$B$1000,2,FALSE()),""))</f>
        <v/>
      </c>
      <c r="D755" s="66"/>
      <c r="E755" s="66"/>
      <c r="F755" s="66"/>
      <c r="G755" s="66"/>
      <c r="H755" s="66"/>
      <c r="I755" s="64" t="str">
        <f>IF(OR($B755="", $D755="", $E755="", $F755="", $G755="", $H755=""),"",ROUND(($D755*Lists!$AN$20)+($E755*Lists!$AN$21)+($F755*Lists!$AN$22)+($G755*Lists!$AN$23)+($H755*Lists!$AN$24),2))</f>
        <v/>
      </c>
      <c r="J755" s="62"/>
      <c r="K755" s="65"/>
      <c r="L755" s="62"/>
    </row>
    <row r="756" spans="1:12" ht="15.75" customHeight="1" x14ac:dyDescent="0.2">
      <c r="A756" s="63" t="str">
        <f t="shared" si="12"/>
        <v/>
      </c>
      <c r="B756" s="63"/>
      <c r="C756" s="62" t="str">
        <f>IF($B756="","",IFERROR(VLOOKUP($B756,'Application Portfolio'!$A$2:$B$1000,2,FALSE()),""))</f>
        <v/>
      </c>
      <c r="D756" s="66"/>
      <c r="E756" s="66"/>
      <c r="F756" s="66"/>
      <c r="G756" s="66"/>
      <c r="H756" s="66"/>
      <c r="I756" s="64" t="str">
        <f>IF(OR($B756="", $D756="", $E756="", $F756="", $G756="", $H756=""),"",ROUND(($D756*Lists!$AN$20)+($E756*Lists!$AN$21)+($F756*Lists!$AN$22)+($G756*Lists!$AN$23)+($H756*Lists!$AN$24),2))</f>
        <v/>
      </c>
      <c r="J756" s="62"/>
      <c r="K756" s="65"/>
      <c r="L756" s="62"/>
    </row>
    <row r="757" spans="1:12" ht="15.75" customHeight="1" x14ac:dyDescent="0.2">
      <c r="A757" s="63" t="str">
        <f t="shared" si="12"/>
        <v/>
      </c>
      <c r="B757" s="63"/>
      <c r="C757" s="62" t="str">
        <f>IF($B757="","",IFERROR(VLOOKUP($B757,'Application Portfolio'!$A$2:$B$1000,2,FALSE()),""))</f>
        <v/>
      </c>
      <c r="D757" s="66"/>
      <c r="E757" s="66"/>
      <c r="F757" s="66"/>
      <c r="G757" s="66"/>
      <c r="H757" s="66"/>
      <c r="I757" s="64" t="str">
        <f>IF(OR($B757="", $D757="", $E757="", $F757="", $G757="", $H757=""),"",ROUND(($D757*Lists!$AN$20)+($E757*Lists!$AN$21)+($F757*Lists!$AN$22)+($G757*Lists!$AN$23)+($H757*Lists!$AN$24),2))</f>
        <v/>
      </c>
      <c r="J757" s="62"/>
      <c r="K757" s="65"/>
      <c r="L757" s="62"/>
    </row>
    <row r="758" spans="1:12" ht="15.75" customHeight="1" x14ac:dyDescent="0.2">
      <c r="A758" s="63" t="str">
        <f t="shared" si="12"/>
        <v/>
      </c>
      <c r="B758" s="63"/>
      <c r="C758" s="62" t="str">
        <f>IF($B758="","",IFERROR(VLOOKUP($B758,'Application Portfolio'!$A$2:$B$1000,2,FALSE()),""))</f>
        <v/>
      </c>
      <c r="D758" s="66"/>
      <c r="E758" s="66"/>
      <c r="F758" s="66"/>
      <c r="G758" s="66"/>
      <c r="H758" s="66"/>
      <c r="I758" s="64" t="str">
        <f>IF(OR($B758="", $D758="", $E758="", $F758="", $G758="", $H758=""),"",ROUND(($D758*Lists!$AN$20)+($E758*Lists!$AN$21)+($F758*Lists!$AN$22)+($G758*Lists!$AN$23)+($H758*Lists!$AN$24),2))</f>
        <v/>
      </c>
      <c r="J758" s="62"/>
      <c r="K758" s="65"/>
      <c r="L758" s="62"/>
    </row>
    <row r="759" spans="1:12" ht="15.75" customHeight="1" x14ac:dyDescent="0.2">
      <c r="A759" s="63" t="str">
        <f t="shared" si="12"/>
        <v/>
      </c>
      <c r="B759" s="63"/>
      <c r="C759" s="62" t="str">
        <f>IF($B759="","",IFERROR(VLOOKUP($B759,'Application Portfolio'!$A$2:$B$1000,2,FALSE()),""))</f>
        <v/>
      </c>
      <c r="D759" s="66"/>
      <c r="E759" s="66"/>
      <c r="F759" s="66"/>
      <c r="G759" s="66"/>
      <c r="H759" s="66"/>
      <c r="I759" s="64" t="str">
        <f>IF(OR($B759="", $D759="", $E759="", $F759="", $G759="", $H759=""),"",ROUND(($D759*Lists!$AN$20)+($E759*Lists!$AN$21)+($F759*Lists!$AN$22)+($G759*Lists!$AN$23)+($H759*Lists!$AN$24),2))</f>
        <v/>
      </c>
      <c r="J759" s="62"/>
      <c r="K759" s="65"/>
      <c r="L759" s="62"/>
    </row>
    <row r="760" spans="1:12" ht="15.75" customHeight="1" x14ac:dyDescent="0.2">
      <c r="A760" s="63" t="str">
        <f t="shared" si="12"/>
        <v/>
      </c>
      <c r="B760" s="63"/>
      <c r="C760" s="62" t="str">
        <f>IF($B760="","",IFERROR(VLOOKUP($B760,'Application Portfolio'!$A$2:$B$1000,2,FALSE()),""))</f>
        <v/>
      </c>
      <c r="D760" s="66"/>
      <c r="E760" s="66"/>
      <c r="F760" s="66"/>
      <c r="G760" s="66"/>
      <c r="H760" s="66"/>
      <c r="I760" s="64" t="str">
        <f>IF(OR($B760="", $D760="", $E760="", $F760="", $G760="", $H760=""),"",ROUND(($D760*Lists!$AN$20)+($E760*Lists!$AN$21)+($F760*Lists!$AN$22)+($G760*Lists!$AN$23)+($H760*Lists!$AN$24),2))</f>
        <v/>
      </c>
      <c r="J760" s="62"/>
      <c r="K760" s="65"/>
      <c r="L760" s="62"/>
    </row>
    <row r="761" spans="1:12" ht="15.75" customHeight="1" x14ac:dyDescent="0.2">
      <c r="A761" s="63" t="str">
        <f t="shared" si="12"/>
        <v/>
      </c>
      <c r="B761" s="63"/>
      <c r="C761" s="62" t="str">
        <f>IF($B761="","",IFERROR(VLOOKUP($B761,'Application Portfolio'!$A$2:$B$1000,2,FALSE()),""))</f>
        <v/>
      </c>
      <c r="D761" s="66"/>
      <c r="E761" s="66"/>
      <c r="F761" s="66"/>
      <c r="G761" s="66"/>
      <c r="H761" s="66"/>
      <c r="I761" s="64" t="str">
        <f>IF(OR($B761="", $D761="", $E761="", $F761="", $G761="", $H761=""),"",ROUND(($D761*Lists!$AN$20)+($E761*Lists!$AN$21)+($F761*Lists!$AN$22)+($G761*Lists!$AN$23)+($H761*Lists!$AN$24),2))</f>
        <v/>
      </c>
      <c r="J761" s="62"/>
      <c r="K761" s="65"/>
      <c r="L761" s="62"/>
    </row>
    <row r="762" spans="1:12" ht="15.75" customHeight="1" x14ac:dyDescent="0.2">
      <c r="A762" s="63" t="str">
        <f t="shared" si="12"/>
        <v/>
      </c>
      <c r="B762" s="63"/>
      <c r="C762" s="62" t="str">
        <f>IF($B762="","",IFERROR(VLOOKUP($B762,'Application Portfolio'!$A$2:$B$1000,2,FALSE()),""))</f>
        <v/>
      </c>
      <c r="D762" s="66"/>
      <c r="E762" s="66"/>
      <c r="F762" s="66"/>
      <c r="G762" s="66"/>
      <c r="H762" s="66"/>
      <c r="I762" s="64" t="str">
        <f>IF(OR($B762="", $D762="", $E762="", $F762="", $G762="", $H762=""),"",ROUND(($D762*Lists!$AN$20)+($E762*Lists!$AN$21)+($F762*Lists!$AN$22)+($G762*Lists!$AN$23)+($H762*Lists!$AN$24),2))</f>
        <v/>
      </c>
      <c r="J762" s="62"/>
      <c r="K762" s="65"/>
      <c r="L762" s="62"/>
    </row>
    <row r="763" spans="1:12" ht="15.75" customHeight="1" x14ac:dyDescent="0.2">
      <c r="A763" s="63" t="str">
        <f t="shared" si="12"/>
        <v/>
      </c>
      <c r="B763" s="63"/>
      <c r="C763" s="62" t="str">
        <f>IF($B763="","",IFERROR(VLOOKUP($B763,'Application Portfolio'!$A$2:$B$1000,2,FALSE()),""))</f>
        <v/>
      </c>
      <c r="D763" s="66"/>
      <c r="E763" s="66"/>
      <c r="F763" s="66"/>
      <c r="G763" s="66"/>
      <c r="H763" s="66"/>
      <c r="I763" s="64" t="str">
        <f>IF(OR($B763="", $D763="", $E763="", $F763="", $G763="", $H763=""),"",ROUND(($D763*Lists!$AN$20)+($E763*Lists!$AN$21)+($F763*Lists!$AN$22)+($G763*Lists!$AN$23)+($H763*Lists!$AN$24),2))</f>
        <v/>
      </c>
      <c r="J763" s="62"/>
      <c r="K763" s="65"/>
      <c r="L763" s="62"/>
    </row>
    <row r="764" spans="1:12" ht="15.75" customHeight="1" x14ac:dyDescent="0.2">
      <c r="A764" s="63" t="str">
        <f t="shared" si="12"/>
        <v/>
      </c>
      <c r="B764" s="63"/>
      <c r="C764" s="62" t="str">
        <f>IF($B764="","",IFERROR(VLOOKUP($B764,'Application Portfolio'!$A$2:$B$1000,2,FALSE()),""))</f>
        <v/>
      </c>
      <c r="D764" s="66"/>
      <c r="E764" s="66"/>
      <c r="F764" s="66"/>
      <c r="G764" s="66"/>
      <c r="H764" s="66"/>
      <c r="I764" s="64" t="str">
        <f>IF(OR($B764="", $D764="", $E764="", $F764="", $G764="", $H764=""),"",ROUND(($D764*Lists!$AN$20)+($E764*Lists!$AN$21)+($F764*Lists!$AN$22)+($G764*Lists!$AN$23)+($H764*Lists!$AN$24),2))</f>
        <v/>
      </c>
      <c r="J764" s="62"/>
      <c r="K764" s="65"/>
      <c r="L764" s="62"/>
    </row>
    <row r="765" spans="1:12" ht="15.75" customHeight="1" x14ac:dyDescent="0.2">
      <c r="A765" s="63" t="str">
        <f t="shared" si="12"/>
        <v/>
      </c>
      <c r="B765" s="63"/>
      <c r="C765" s="62" t="str">
        <f>IF($B765="","",IFERROR(VLOOKUP($B765,'Application Portfolio'!$A$2:$B$1000,2,FALSE()),""))</f>
        <v/>
      </c>
      <c r="D765" s="66"/>
      <c r="E765" s="66"/>
      <c r="F765" s="66"/>
      <c r="G765" s="66"/>
      <c r="H765" s="66"/>
      <c r="I765" s="64" t="str">
        <f>IF(OR($B765="", $D765="", $E765="", $F765="", $G765="", $H765=""),"",ROUND(($D765*Lists!$AN$20)+($E765*Lists!$AN$21)+($F765*Lists!$AN$22)+($G765*Lists!$AN$23)+($H765*Lists!$AN$24),2))</f>
        <v/>
      </c>
      <c r="J765" s="62"/>
      <c r="K765" s="65"/>
      <c r="L765" s="62"/>
    </row>
    <row r="766" spans="1:12" ht="15.75" customHeight="1" x14ac:dyDescent="0.2">
      <c r="A766" s="63" t="str">
        <f t="shared" si="12"/>
        <v/>
      </c>
      <c r="B766" s="63"/>
      <c r="C766" s="62" t="str">
        <f>IF($B766="","",IFERROR(VLOOKUP($B766,'Application Portfolio'!$A$2:$B$1000,2,FALSE()),""))</f>
        <v/>
      </c>
      <c r="D766" s="66"/>
      <c r="E766" s="66"/>
      <c r="F766" s="66"/>
      <c r="G766" s="66"/>
      <c r="H766" s="66"/>
      <c r="I766" s="64" t="str">
        <f>IF(OR($B766="", $D766="", $E766="", $F766="", $G766="", $H766=""),"",ROUND(($D766*Lists!$AN$20)+($E766*Lists!$AN$21)+($F766*Lists!$AN$22)+($G766*Lists!$AN$23)+($H766*Lists!$AN$24),2))</f>
        <v/>
      </c>
      <c r="J766" s="62"/>
      <c r="K766" s="65"/>
      <c r="L766" s="62"/>
    </row>
    <row r="767" spans="1:12" ht="15.75" customHeight="1" x14ac:dyDescent="0.2">
      <c r="A767" s="63" t="str">
        <f t="shared" si="12"/>
        <v/>
      </c>
      <c r="B767" s="63"/>
      <c r="C767" s="62" t="str">
        <f>IF($B767="","",IFERROR(VLOOKUP($B767,'Application Portfolio'!$A$2:$B$1000,2,FALSE()),""))</f>
        <v/>
      </c>
      <c r="D767" s="66"/>
      <c r="E767" s="66"/>
      <c r="F767" s="66"/>
      <c r="G767" s="66"/>
      <c r="H767" s="66"/>
      <c r="I767" s="64" t="str">
        <f>IF(OR($B767="", $D767="", $E767="", $F767="", $G767="", $H767=""),"",ROUND(($D767*Lists!$AN$20)+($E767*Lists!$AN$21)+($F767*Lists!$AN$22)+($G767*Lists!$AN$23)+($H767*Lists!$AN$24),2))</f>
        <v/>
      </c>
      <c r="J767" s="62"/>
      <c r="K767" s="65"/>
      <c r="L767" s="62"/>
    </row>
    <row r="768" spans="1:12" ht="15.75" customHeight="1" x14ac:dyDescent="0.2">
      <c r="A768" s="63" t="str">
        <f t="shared" si="12"/>
        <v/>
      </c>
      <c r="B768" s="63"/>
      <c r="C768" s="62" t="str">
        <f>IF($B768="","",IFERROR(VLOOKUP($B768,'Application Portfolio'!$A$2:$B$1000,2,FALSE()),""))</f>
        <v/>
      </c>
      <c r="D768" s="66"/>
      <c r="E768" s="66"/>
      <c r="F768" s="66"/>
      <c r="G768" s="66"/>
      <c r="H768" s="66"/>
      <c r="I768" s="64" t="str">
        <f>IF(OR($B768="", $D768="", $E768="", $F768="", $G768="", $H768=""),"",ROUND(($D768*Lists!$AN$20)+($E768*Lists!$AN$21)+($F768*Lists!$AN$22)+($G768*Lists!$AN$23)+($H768*Lists!$AN$24),2))</f>
        <v/>
      </c>
      <c r="J768" s="62"/>
      <c r="K768" s="65"/>
      <c r="L768" s="62"/>
    </row>
    <row r="769" spans="1:12" ht="15.75" customHeight="1" x14ac:dyDescent="0.2">
      <c r="A769" s="63" t="str">
        <f t="shared" si="12"/>
        <v/>
      </c>
      <c r="B769" s="63"/>
      <c r="C769" s="62" t="str">
        <f>IF($B769="","",IFERROR(VLOOKUP($B769,'Application Portfolio'!$A$2:$B$1000,2,FALSE()),""))</f>
        <v/>
      </c>
      <c r="D769" s="66"/>
      <c r="E769" s="66"/>
      <c r="F769" s="66"/>
      <c r="G769" s="66"/>
      <c r="H769" s="66"/>
      <c r="I769" s="64" t="str">
        <f>IF(OR($B769="", $D769="", $E769="", $F769="", $G769="", $H769=""),"",ROUND(($D769*Lists!$AN$20)+($E769*Lists!$AN$21)+($F769*Lists!$AN$22)+($G769*Lists!$AN$23)+($H769*Lists!$AN$24),2))</f>
        <v/>
      </c>
      <c r="J769" s="62"/>
      <c r="K769" s="65"/>
      <c r="L769" s="62"/>
    </row>
    <row r="770" spans="1:12" ht="15.75" customHeight="1" x14ac:dyDescent="0.2">
      <c r="A770" s="63" t="str">
        <f t="shared" si="12"/>
        <v/>
      </c>
      <c r="B770" s="63"/>
      <c r="C770" s="62" t="str">
        <f>IF($B770="","",IFERROR(VLOOKUP($B770,'Application Portfolio'!$A$2:$B$1000,2,FALSE()),""))</f>
        <v/>
      </c>
      <c r="D770" s="66"/>
      <c r="E770" s="66"/>
      <c r="F770" s="66"/>
      <c r="G770" s="66"/>
      <c r="H770" s="66"/>
      <c r="I770" s="64" t="str">
        <f>IF(OR($B770="", $D770="", $E770="", $F770="", $G770="", $H770=""),"",ROUND(($D770*Lists!$AN$20)+($E770*Lists!$AN$21)+($F770*Lists!$AN$22)+($G770*Lists!$AN$23)+($H770*Lists!$AN$24),2))</f>
        <v/>
      </c>
      <c r="J770" s="62"/>
      <c r="K770" s="65"/>
      <c r="L770" s="62"/>
    </row>
    <row r="771" spans="1:12" ht="15.75" customHeight="1" x14ac:dyDescent="0.2">
      <c r="A771" s="63" t="str">
        <f t="shared" si="12"/>
        <v/>
      </c>
      <c r="B771" s="63"/>
      <c r="C771" s="62" t="str">
        <f>IF($B771="","",IFERROR(VLOOKUP($B771,'Application Portfolio'!$A$2:$B$1000,2,FALSE()),""))</f>
        <v/>
      </c>
      <c r="D771" s="66"/>
      <c r="E771" s="66"/>
      <c r="F771" s="66"/>
      <c r="G771" s="66"/>
      <c r="H771" s="66"/>
      <c r="I771" s="64" t="str">
        <f>IF(OR($B771="", $D771="", $E771="", $F771="", $G771="", $H771=""),"",ROUND(($D771*Lists!$AN$20)+($E771*Lists!$AN$21)+($F771*Lists!$AN$22)+($G771*Lists!$AN$23)+($H771*Lists!$AN$24),2))</f>
        <v/>
      </c>
      <c r="J771" s="62"/>
      <c r="K771" s="65"/>
      <c r="L771" s="62"/>
    </row>
    <row r="772" spans="1:12" ht="15.75" customHeight="1" x14ac:dyDescent="0.2">
      <c r="A772" s="63" t="str">
        <f t="shared" si="12"/>
        <v/>
      </c>
      <c r="B772" s="63"/>
      <c r="C772" s="62" t="str">
        <f>IF($B772="","",IFERROR(VLOOKUP($B772,'Application Portfolio'!$A$2:$B$1000,2,FALSE()),""))</f>
        <v/>
      </c>
      <c r="D772" s="66"/>
      <c r="E772" s="66"/>
      <c r="F772" s="66"/>
      <c r="G772" s="66"/>
      <c r="H772" s="66"/>
      <c r="I772" s="64" t="str">
        <f>IF(OR($B772="", $D772="", $E772="", $F772="", $G772="", $H772=""),"",ROUND(($D772*Lists!$AN$20)+($E772*Lists!$AN$21)+($F772*Lists!$AN$22)+($G772*Lists!$AN$23)+($H772*Lists!$AN$24),2))</f>
        <v/>
      </c>
      <c r="J772" s="62"/>
      <c r="K772" s="65"/>
      <c r="L772" s="62"/>
    </row>
    <row r="773" spans="1:12" ht="15.75" customHeight="1" x14ac:dyDescent="0.2">
      <c r="A773" s="63" t="str">
        <f t="shared" si="12"/>
        <v/>
      </c>
      <c r="B773" s="63"/>
      <c r="C773" s="62" t="str">
        <f>IF($B773="","",IFERROR(VLOOKUP($B773,'Application Portfolio'!$A$2:$B$1000,2,FALSE()),""))</f>
        <v/>
      </c>
      <c r="D773" s="66"/>
      <c r="E773" s="66"/>
      <c r="F773" s="66"/>
      <c r="G773" s="66"/>
      <c r="H773" s="66"/>
      <c r="I773" s="64" t="str">
        <f>IF(OR($B773="", $D773="", $E773="", $F773="", $G773="", $H773=""),"",ROUND(($D773*Lists!$AN$20)+($E773*Lists!$AN$21)+($F773*Lists!$AN$22)+($G773*Lists!$AN$23)+($H773*Lists!$AN$24),2))</f>
        <v/>
      </c>
      <c r="J773" s="62"/>
      <c r="K773" s="65"/>
      <c r="L773" s="62"/>
    </row>
    <row r="774" spans="1:12" ht="15.75" customHeight="1" x14ac:dyDescent="0.2">
      <c r="A774" s="63" t="str">
        <f t="shared" si="12"/>
        <v/>
      </c>
      <c r="B774" s="63"/>
      <c r="C774" s="62" t="str">
        <f>IF($B774="","",IFERROR(VLOOKUP($B774,'Application Portfolio'!$A$2:$B$1000,2,FALSE()),""))</f>
        <v/>
      </c>
      <c r="D774" s="66"/>
      <c r="E774" s="66"/>
      <c r="F774" s="66"/>
      <c r="G774" s="66"/>
      <c r="H774" s="66"/>
      <c r="I774" s="64" t="str">
        <f>IF(OR($B774="", $D774="", $E774="", $F774="", $G774="", $H774=""),"",ROUND(($D774*Lists!$AN$20)+($E774*Lists!$AN$21)+($F774*Lists!$AN$22)+($G774*Lists!$AN$23)+($H774*Lists!$AN$24),2))</f>
        <v/>
      </c>
      <c r="J774" s="62"/>
      <c r="K774" s="65"/>
      <c r="L774" s="62"/>
    </row>
    <row r="775" spans="1:12" ht="15.75" customHeight="1" x14ac:dyDescent="0.2">
      <c r="A775" s="63" t="str">
        <f t="shared" si="12"/>
        <v/>
      </c>
      <c r="B775" s="63"/>
      <c r="C775" s="62" t="str">
        <f>IF($B775="","",IFERROR(VLOOKUP($B775,'Application Portfolio'!$A$2:$B$1000,2,FALSE()),""))</f>
        <v/>
      </c>
      <c r="D775" s="66"/>
      <c r="E775" s="66"/>
      <c r="F775" s="66"/>
      <c r="G775" s="66"/>
      <c r="H775" s="66"/>
      <c r="I775" s="64" t="str">
        <f>IF(OR($B775="", $D775="", $E775="", $F775="", $G775="", $H775=""),"",ROUND(($D775*Lists!$AN$20)+($E775*Lists!$AN$21)+($F775*Lists!$AN$22)+($G775*Lists!$AN$23)+($H775*Lists!$AN$24),2))</f>
        <v/>
      </c>
      <c r="J775" s="62"/>
      <c r="K775" s="65"/>
      <c r="L775" s="62"/>
    </row>
    <row r="776" spans="1:12" ht="15.75" customHeight="1" x14ac:dyDescent="0.2">
      <c r="A776" s="63" t="str">
        <f t="shared" si="12"/>
        <v/>
      </c>
      <c r="B776" s="63"/>
      <c r="C776" s="62" t="str">
        <f>IF($B776="","",IFERROR(VLOOKUP($B776,'Application Portfolio'!$A$2:$B$1000,2,FALSE()),""))</f>
        <v/>
      </c>
      <c r="D776" s="66"/>
      <c r="E776" s="66"/>
      <c r="F776" s="66"/>
      <c r="G776" s="66"/>
      <c r="H776" s="66"/>
      <c r="I776" s="64" t="str">
        <f>IF(OR($B776="", $D776="", $E776="", $F776="", $G776="", $H776=""),"",ROUND(($D776*Lists!$AN$20)+($E776*Lists!$AN$21)+($F776*Lists!$AN$22)+($G776*Lists!$AN$23)+($H776*Lists!$AN$24),2))</f>
        <v/>
      </c>
      <c r="J776" s="62"/>
      <c r="K776" s="65"/>
      <c r="L776" s="62"/>
    </row>
    <row r="777" spans="1:12" ht="15.75" customHeight="1" x14ac:dyDescent="0.2">
      <c r="A777" s="63" t="str">
        <f t="shared" si="12"/>
        <v/>
      </c>
      <c r="B777" s="63"/>
      <c r="C777" s="62" t="str">
        <f>IF($B777="","",IFERROR(VLOOKUP($B777,'Application Portfolio'!$A$2:$B$1000,2,FALSE()),""))</f>
        <v/>
      </c>
      <c r="D777" s="66"/>
      <c r="E777" s="66"/>
      <c r="F777" s="66"/>
      <c r="G777" s="66"/>
      <c r="H777" s="66"/>
      <c r="I777" s="64" t="str">
        <f>IF(OR($B777="", $D777="", $E777="", $F777="", $G777="", $H777=""),"",ROUND(($D777*Lists!$AN$20)+($E777*Lists!$AN$21)+($F777*Lists!$AN$22)+($G777*Lists!$AN$23)+($H777*Lists!$AN$24),2))</f>
        <v/>
      </c>
      <c r="J777" s="62"/>
      <c r="K777" s="65"/>
      <c r="L777" s="62"/>
    </row>
    <row r="778" spans="1:12" ht="15.75" customHeight="1" x14ac:dyDescent="0.2">
      <c r="A778" s="63" t="str">
        <f t="shared" si="12"/>
        <v/>
      </c>
      <c r="B778" s="63"/>
      <c r="C778" s="62" t="str">
        <f>IF($B778="","",IFERROR(VLOOKUP($B778,'Application Portfolio'!$A$2:$B$1000,2,FALSE()),""))</f>
        <v/>
      </c>
      <c r="D778" s="66"/>
      <c r="E778" s="66"/>
      <c r="F778" s="66"/>
      <c r="G778" s="66"/>
      <c r="H778" s="66"/>
      <c r="I778" s="64" t="str">
        <f>IF(OR($B778="", $D778="", $E778="", $F778="", $G778="", $H778=""),"",ROUND(($D778*Lists!$AN$20)+($E778*Lists!$AN$21)+($F778*Lists!$AN$22)+($G778*Lists!$AN$23)+($H778*Lists!$AN$24),2))</f>
        <v/>
      </c>
      <c r="J778" s="62"/>
      <c r="K778" s="65"/>
      <c r="L778" s="62"/>
    </row>
    <row r="779" spans="1:12" ht="15.75" customHeight="1" x14ac:dyDescent="0.2">
      <c r="A779" s="63" t="str">
        <f t="shared" si="12"/>
        <v/>
      </c>
      <c r="B779" s="63"/>
      <c r="C779" s="62" t="str">
        <f>IF($B779="","",IFERROR(VLOOKUP($B779,'Application Portfolio'!$A$2:$B$1000,2,FALSE()),""))</f>
        <v/>
      </c>
      <c r="D779" s="66"/>
      <c r="E779" s="66"/>
      <c r="F779" s="66"/>
      <c r="G779" s="66"/>
      <c r="H779" s="66"/>
      <c r="I779" s="64" t="str">
        <f>IF(OR($B779="", $D779="", $E779="", $F779="", $G779="", $H779=""),"",ROUND(($D779*Lists!$AN$20)+($E779*Lists!$AN$21)+($F779*Lists!$AN$22)+($G779*Lists!$AN$23)+($H779*Lists!$AN$24),2))</f>
        <v/>
      </c>
      <c r="J779" s="62"/>
      <c r="K779" s="65"/>
      <c r="L779" s="62"/>
    </row>
    <row r="780" spans="1:12" ht="15.75" customHeight="1" x14ac:dyDescent="0.2">
      <c r="A780" s="63" t="str">
        <f t="shared" si="12"/>
        <v/>
      </c>
      <c r="B780" s="63"/>
      <c r="C780" s="62" t="str">
        <f>IF($B780="","",IFERROR(VLOOKUP($B780,'Application Portfolio'!$A$2:$B$1000,2,FALSE()),""))</f>
        <v/>
      </c>
      <c r="D780" s="66"/>
      <c r="E780" s="66"/>
      <c r="F780" s="66"/>
      <c r="G780" s="66"/>
      <c r="H780" s="66"/>
      <c r="I780" s="64" t="str">
        <f>IF(OR($B780="", $D780="", $E780="", $F780="", $G780="", $H780=""),"",ROUND(($D780*Lists!$AN$20)+($E780*Lists!$AN$21)+($F780*Lists!$AN$22)+($G780*Lists!$AN$23)+($H780*Lists!$AN$24),2))</f>
        <v/>
      </c>
      <c r="J780" s="62"/>
      <c r="K780" s="65"/>
      <c r="L780" s="62"/>
    </row>
    <row r="781" spans="1:12" ht="15.75" customHeight="1" x14ac:dyDescent="0.2">
      <c r="A781" s="63" t="str">
        <f t="shared" si="12"/>
        <v/>
      </c>
      <c r="B781" s="63"/>
      <c r="C781" s="62" t="str">
        <f>IF($B781="","",IFERROR(VLOOKUP($B781,'Application Portfolio'!$A$2:$B$1000,2,FALSE()),""))</f>
        <v/>
      </c>
      <c r="D781" s="66"/>
      <c r="E781" s="66"/>
      <c r="F781" s="66"/>
      <c r="G781" s="66"/>
      <c r="H781" s="66"/>
      <c r="I781" s="64" t="str">
        <f>IF(OR($B781="", $D781="", $E781="", $F781="", $G781="", $H781=""),"",ROUND(($D781*Lists!$AN$20)+($E781*Lists!$AN$21)+($F781*Lists!$AN$22)+($G781*Lists!$AN$23)+($H781*Lists!$AN$24),2))</f>
        <v/>
      </c>
      <c r="J781" s="62"/>
      <c r="K781" s="65"/>
      <c r="L781" s="62"/>
    </row>
    <row r="782" spans="1:12" ht="15.75" customHeight="1" x14ac:dyDescent="0.2">
      <c r="A782" s="63" t="str">
        <f t="shared" si="12"/>
        <v/>
      </c>
      <c r="B782" s="63"/>
      <c r="C782" s="62" t="str">
        <f>IF($B782="","",IFERROR(VLOOKUP($B782,'Application Portfolio'!$A$2:$B$1000,2,FALSE()),""))</f>
        <v/>
      </c>
      <c r="D782" s="66"/>
      <c r="E782" s="66"/>
      <c r="F782" s="66"/>
      <c r="G782" s="66"/>
      <c r="H782" s="66"/>
      <c r="I782" s="64" t="str">
        <f>IF(OR($B782="", $D782="", $E782="", $F782="", $G782="", $H782=""),"",ROUND(($D782*Lists!$AN$20)+($E782*Lists!$AN$21)+($F782*Lists!$AN$22)+($G782*Lists!$AN$23)+($H782*Lists!$AN$24),2))</f>
        <v/>
      </c>
      <c r="J782" s="62"/>
      <c r="K782" s="65"/>
      <c r="L782" s="62"/>
    </row>
    <row r="783" spans="1:12" ht="15.75" customHeight="1" x14ac:dyDescent="0.2">
      <c r="A783" s="63" t="str">
        <f t="shared" si="12"/>
        <v/>
      </c>
      <c r="B783" s="63"/>
      <c r="C783" s="62" t="str">
        <f>IF($B783="","",IFERROR(VLOOKUP($B783,'Application Portfolio'!$A$2:$B$1000,2,FALSE()),""))</f>
        <v/>
      </c>
      <c r="D783" s="66"/>
      <c r="E783" s="66"/>
      <c r="F783" s="66"/>
      <c r="G783" s="66"/>
      <c r="H783" s="66"/>
      <c r="I783" s="64" t="str">
        <f>IF(OR($B783="", $D783="", $E783="", $F783="", $G783="", $H783=""),"",ROUND(($D783*Lists!$AN$20)+($E783*Lists!$AN$21)+($F783*Lists!$AN$22)+($G783*Lists!$AN$23)+($H783*Lists!$AN$24),2))</f>
        <v/>
      </c>
      <c r="J783" s="62"/>
      <c r="K783" s="65"/>
      <c r="L783" s="62"/>
    </row>
    <row r="784" spans="1:12" ht="15.75" customHeight="1" x14ac:dyDescent="0.2">
      <c r="A784" s="63" t="str">
        <f t="shared" si="12"/>
        <v/>
      </c>
      <c r="B784" s="63"/>
      <c r="C784" s="62" t="str">
        <f>IF($B784="","",IFERROR(VLOOKUP($B784,'Application Portfolio'!$A$2:$B$1000,2,FALSE()),""))</f>
        <v/>
      </c>
      <c r="D784" s="66"/>
      <c r="E784" s="66"/>
      <c r="F784" s="66"/>
      <c r="G784" s="66"/>
      <c r="H784" s="66"/>
      <c r="I784" s="64" t="str">
        <f>IF(OR($B784="", $D784="", $E784="", $F784="", $G784="", $H784=""),"",ROUND(($D784*Lists!$AN$20)+($E784*Lists!$AN$21)+($F784*Lists!$AN$22)+($G784*Lists!$AN$23)+($H784*Lists!$AN$24),2))</f>
        <v/>
      </c>
      <c r="J784" s="62"/>
      <c r="K784" s="65"/>
      <c r="L784" s="62"/>
    </row>
    <row r="785" spans="1:12" ht="15.75" customHeight="1" x14ac:dyDescent="0.2">
      <c r="A785" s="63" t="str">
        <f t="shared" si="12"/>
        <v/>
      </c>
      <c r="B785" s="63"/>
      <c r="C785" s="62" t="str">
        <f>IF($B785="","",IFERROR(VLOOKUP($B785,'Application Portfolio'!$A$2:$B$1000,2,FALSE()),""))</f>
        <v/>
      </c>
      <c r="D785" s="66"/>
      <c r="E785" s="66"/>
      <c r="F785" s="66"/>
      <c r="G785" s="66"/>
      <c r="H785" s="66"/>
      <c r="I785" s="64" t="str">
        <f>IF(OR($B785="", $D785="", $E785="", $F785="", $G785="", $H785=""),"",ROUND(($D785*Lists!$AN$20)+($E785*Lists!$AN$21)+($F785*Lists!$AN$22)+($G785*Lists!$AN$23)+($H785*Lists!$AN$24),2))</f>
        <v/>
      </c>
      <c r="J785" s="62"/>
      <c r="K785" s="65"/>
      <c r="L785" s="62"/>
    </row>
    <row r="786" spans="1:12" ht="15.75" customHeight="1" x14ac:dyDescent="0.2">
      <c r="A786" s="63" t="str">
        <f t="shared" si="12"/>
        <v/>
      </c>
      <c r="B786" s="63"/>
      <c r="C786" s="62" t="str">
        <f>IF($B786="","",IFERROR(VLOOKUP($B786,'Application Portfolio'!$A$2:$B$1000,2,FALSE()),""))</f>
        <v/>
      </c>
      <c r="D786" s="66"/>
      <c r="E786" s="66"/>
      <c r="F786" s="66"/>
      <c r="G786" s="66"/>
      <c r="H786" s="66"/>
      <c r="I786" s="64" t="str">
        <f>IF(OR($B786="", $D786="", $E786="", $F786="", $G786="", $H786=""),"",ROUND(($D786*Lists!$AN$20)+($E786*Lists!$AN$21)+($F786*Lists!$AN$22)+($G786*Lists!$AN$23)+($H786*Lists!$AN$24),2))</f>
        <v/>
      </c>
      <c r="J786" s="62"/>
      <c r="K786" s="65"/>
      <c r="L786" s="62"/>
    </row>
    <row r="787" spans="1:12" ht="15.75" customHeight="1" x14ac:dyDescent="0.2">
      <c r="A787" s="63" t="str">
        <f t="shared" si="12"/>
        <v/>
      </c>
      <c r="B787" s="63"/>
      <c r="C787" s="62" t="str">
        <f>IF($B787="","",IFERROR(VLOOKUP($B787,'Application Portfolio'!$A$2:$B$1000,2,FALSE()),""))</f>
        <v/>
      </c>
      <c r="D787" s="66"/>
      <c r="E787" s="66"/>
      <c r="F787" s="66"/>
      <c r="G787" s="66"/>
      <c r="H787" s="66"/>
      <c r="I787" s="64" t="str">
        <f>IF(OR($B787="", $D787="", $E787="", $F787="", $G787="", $H787=""),"",ROUND(($D787*Lists!$AN$20)+($E787*Lists!$AN$21)+($F787*Lists!$AN$22)+($G787*Lists!$AN$23)+($H787*Lists!$AN$24),2))</f>
        <v/>
      </c>
      <c r="J787" s="62"/>
      <c r="K787" s="65"/>
      <c r="L787" s="62"/>
    </row>
    <row r="788" spans="1:12" ht="15.75" customHeight="1" x14ac:dyDescent="0.2">
      <c r="A788" s="63" t="str">
        <f t="shared" si="12"/>
        <v/>
      </c>
      <c r="B788" s="63"/>
      <c r="C788" s="62" t="str">
        <f>IF($B788="","",IFERROR(VLOOKUP($B788,'Application Portfolio'!$A$2:$B$1000,2,FALSE()),""))</f>
        <v/>
      </c>
      <c r="D788" s="66"/>
      <c r="E788" s="66"/>
      <c r="F788" s="66"/>
      <c r="G788" s="66"/>
      <c r="H788" s="66"/>
      <c r="I788" s="64" t="str">
        <f>IF(OR($B788="", $D788="", $E788="", $F788="", $G788="", $H788=""),"",ROUND(($D788*Lists!$AN$20)+($E788*Lists!$AN$21)+($F788*Lists!$AN$22)+($G788*Lists!$AN$23)+($H788*Lists!$AN$24),2))</f>
        <v/>
      </c>
      <c r="J788" s="62"/>
      <c r="K788" s="65"/>
      <c r="L788" s="62"/>
    </row>
    <row r="789" spans="1:12" ht="15.75" customHeight="1" x14ac:dyDescent="0.2">
      <c r="A789" s="63" t="str">
        <f t="shared" si="12"/>
        <v/>
      </c>
      <c r="B789" s="63"/>
      <c r="C789" s="62" t="str">
        <f>IF($B789="","",IFERROR(VLOOKUP($B789,'Application Portfolio'!$A$2:$B$1000,2,FALSE()),""))</f>
        <v/>
      </c>
      <c r="D789" s="66"/>
      <c r="E789" s="66"/>
      <c r="F789" s="66"/>
      <c r="G789" s="66"/>
      <c r="H789" s="66"/>
      <c r="I789" s="64" t="str">
        <f>IF(OR($B789="", $D789="", $E789="", $F789="", $G789="", $H789=""),"",ROUND(($D789*Lists!$AN$20)+($E789*Lists!$AN$21)+($F789*Lists!$AN$22)+($G789*Lists!$AN$23)+($H789*Lists!$AN$24),2))</f>
        <v/>
      </c>
      <c r="J789" s="62"/>
      <c r="K789" s="65"/>
      <c r="L789" s="62"/>
    </row>
    <row r="790" spans="1:12" ht="15.75" customHeight="1" x14ac:dyDescent="0.2">
      <c r="A790" s="63" t="str">
        <f t="shared" si="12"/>
        <v/>
      </c>
      <c r="B790" s="63"/>
      <c r="C790" s="62" t="str">
        <f>IF($B790="","",IFERROR(VLOOKUP($B790,'Application Portfolio'!$A$2:$B$1000,2,FALSE()),""))</f>
        <v/>
      </c>
      <c r="D790" s="66"/>
      <c r="E790" s="66"/>
      <c r="F790" s="66"/>
      <c r="G790" s="66"/>
      <c r="H790" s="66"/>
      <c r="I790" s="64" t="str">
        <f>IF(OR($B790="", $D790="", $E790="", $F790="", $G790="", $H790=""),"",ROUND(($D790*Lists!$AN$20)+($E790*Lists!$AN$21)+($F790*Lists!$AN$22)+($G790*Lists!$AN$23)+($H790*Lists!$AN$24),2))</f>
        <v/>
      </c>
      <c r="J790" s="62"/>
      <c r="K790" s="65"/>
      <c r="L790" s="62"/>
    </row>
    <row r="791" spans="1:12" ht="15.75" customHeight="1" x14ac:dyDescent="0.2">
      <c r="A791" s="63" t="str">
        <f t="shared" si="12"/>
        <v/>
      </c>
      <c r="B791" s="63"/>
      <c r="C791" s="62" t="str">
        <f>IF($B791="","",IFERROR(VLOOKUP($B791,'Application Portfolio'!$A$2:$B$1000,2,FALSE()),""))</f>
        <v/>
      </c>
      <c r="D791" s="66"/>
      <c r="E791" s="66"/>
      <c r="F791" s="66"/>
      <c r="G791" s="66"/>
      <c r="H791" s="66"/>
      <c r="I791" s="64" t="str">
        <f>IF(OR($B791="", $D791="", $E791="", $F791="", $G791="", $H791=""),"",ROUND(($D791*Lists!$AN$20)+($E791*Lists!$AN$21)+($F791*Lists!$AN$22)+($G791*Lists!$AN$23)+($H791*Lists!$AN$24),2))</f>
        <v/>
      </c>
      <c r="J791" s="62"/>
      <c r="K791" s="65"/>
      <c r="L791" s="62"/>
    </row>
    <row r="792" spans="1:12" ht="15.75" customHeight="1" x14ac:dyDescent="0.2">
      <c r="A792" s="63" t="str">
        <f t="shared" si="12"/>
        <v/>
      </c>
      <c r="B792" s="63"/>
      <c r="C792" s="62" t="str">
        <f>IF($B792="","",IFERROR(VLOOKUP($B792,'Application Portfolio'!$A$2:$B$1000,2,FALSE()),""))</f>
        <v/>
      </c>
      <c r="D792" s="66"/>
      <c r="E792" s="66"/>
      <c r="F792" s="66"/>
      <c r="G792" s="66"/>
      <c r="H792" s="66"/>
      <c r="I792" s="64" t="str">
        <f>IF(OR($B792="", $D792="", $E792="", $F792="", $G792="", $H792=""),"",ROUND(($D792*Lists!$AN$20)+($E792*Lists!$AN$21)+($F792*Lists!$AN$22)+($G792*Lists!$AN$23)+($H792*Lists!$AN$24),2))</f>
        <v/>
      </c>
      <c r="J792" s="62"/>
      <c r="K792" s="65"/>
      <c r="L792" s="62"/>
    </row>
    <row r="793" spans="1:12" ht="15.75" customHeight="1" x14ac:dyDescent="0.2">
      <c r="A793" s="63" t="str">
        <f t="shared" si="12"/>
        <v/>
      </c>
      <c r="B793" s="63"/>
      <c r="C793" s="62" t="str">
        <f>IF($B793="","",IFERROR(VLOOKUP($B793,'Application Portfolio'!$A$2:$B$1000,2,FALSE()),""))</f>
        <v/>
      </c>
      <c r="D793" s="66"/>
      <c r="E793" s="66"/>
      <c r="F793" s="66"/>
      <c r="G793" s="66"/>
      <c r="H793" s="66"/>
      <c r="I793" s="64" t="str">
        <f>IF(OR($B793="", $D793="", $E793="", $F793="", $G793="", $H793=""),"",ROUND(($D793*Lists!$AN$20)+($E793*Lists!$AN$21)+($F793*Lists!$AN$22)+($G793*Lists!$AN$23)+($H793*Lists!$AN$24),2))</f>
        <v/>
      </c>
      <c r="J793" s="62"/>
      <c r="K793" s="65"/>
      <c r="L793" s="62"/>
    </row>
    <row r="794" spans="1:12" ht="15.75" customHeight="1" x14ac:dyDescent="0.2">
      <c r="A794" s="63" t="str">
        <f t="shared" si="12"/>
        <v/>
      </c>
      <c r="B794" s="63"/>
      <c r="C794" s="62" t="str">
        <f>IF($B794="","",IFERROR(VLOOKUP($B794,'Application Portfolio'!$A$2:$B$1000,2,FALSE()),""))</f>
        <v/>
      </c>
      <c r="D794" s="66"/>
      <c r="E794" s="66"/>
      <c r="F794" s="66"/>
      <c r="G794" s="66"/>
      <c r="H794" s="66"/>
      <c r="I794" s="64" t="str">
        <f>IF(OR($B794="", $D794="", $E794="", $F794="", $G794="", $H794=""),"",ROUND(($D794*Lists!$AN$20)+($E794*Lists!$AN$21)+($F794*Lists!$AN$22)+($G794*Lists!$AN$23)+($H794*Lists!$AN$24),2))</f>
        <v/>
      </c>
      <c r="J794" s="62"/>
      <c r="K794" s="65"/>
      <c r="L794" s="62"/>
    </row>
    <row r="795" spans="1:12" ht="15.75" customHeight="1" x14ac:dyDescent="0.2">
      <c r="A795" s="63" t="str">
        <f t="shared" si="12"/>
        <v/>
      </c>
      <c r="B795" s="63"/>
      <c r="C795" s="62" t="str">
        <f>IF($B795="","",IFERROR(VLOOKUP($B795,'Application Portfolio'!$A$2:$B$1000,2,FALSE()),""))</f>
        <v/>
      </c>
      <c r="D795" s="66"/>
      <c r="E795" s="66"/>
      <c r="F795" s="66"/>
      <c r="G795" s="66"/>
      <c r="H795" s="66"/>
      <c r="I795" s="64" t="str">
        <f>IF(OR($B795="", $D795="", $E795="", $F795="", $G795="", $H795=""),"",ROUND(($D795*Lists!$AN$20)+($E795*Lists!$AN$21)+($F795*Lists!$AN$22)+($G795*Lists!$AN$23)+($H795*Lists!$AN$24),2))</f>
        <v/>
      </c>
      <c r="J795" s="62"/>
      <c r="K795" s="65"/>
      <c r="L795" s="62"/>
    </row>
    <row r="796" spans="1:12" ht="15.75" customHeight="1" x14ac:dyDescent="0.2">
      <c r="A796" s="63" t="str">
        <f t="shared" si="12"/>
        <v/>
      </c>
      <c r="B796" s="63"/>
      <c r="C796" s="62" t="str">
        <f>IF($B796="","",IFERROR(VLOOKUP($B796,'Application Portfolio'!$A$2:$B$1000,2,FALSE()),""))</f>
        <v/>
      </c>
      <c r="D796" s="66"/>
      <c r="E796" s="66"/>
      <c r="F796" s="66"/>
      <c r="G796" s="66"/>
      <c r="H796" s="66"/>
      <c r="I796" s="64" t="str">
        <f>IF(OR($B796="", $D796="", $E796="", $F796="", $G796="", $H796=""),"",ROUND(($D796*Lists!$AN$20)+($E796*Lists!$AN$21)+($F796*Lists!$AN$22)+($G796*Lists!$AN$23)+($H796*Lists!$AN$24),2))</f>
        <v/>
      </c>
      <c r="J796" s="62"/>
      <c r="K796" s="65"/>
      <c r="L796" s="62"/>
    </row>
    <row r="797" spans="1:12" ht="15.75" customHeight="1" x14ac:dyDescent="0.2">
      <c r="A797" s="63" t="str">
        <f t="shared" si="12"/>
        <v/>
      </c>
      <c r="B797" s="63"/>
      <c r="C797" s="62" t="str">
        <f>IF($B797="","",IFERROR(VLOOKUP($B797,'Application Portfolio'!$A$2:$B$1000,2,FALSE()),""))</f>
        <v/>
      </c>
      <c r="D797" s="66"/>
      <c r="E797" s="66"/>
      <c r="F797" s="66"/>
      <c r="G797" s="66"/>
      <c r="H797" s="66"/>
      <c r="I797" s="64" t="str">
        <f>IF(OR($B797="", $D797="", $E797="", $F797="", $G797="", $H797=""),"",ROUND(($D797*Lists!$AN$20)+($E797*Lists!$AN$21)+($F797*Lists!$AN$22)+($G797*Lists!$AN$23)+($H797*Lists!$AN$24),2))</f>
        <v/>
      </c>
      <c r="J797" s="62"/>
      <c r="K797" s="65"/>
      <c r="L797" s="62"/>
    </row>
    <row r="798" spans="1:12" ht="15.75" customHeight="1" x14ac:dyDescent="0.2">
      <c r="A798" s="63" t="str">
        <f t="shared" si="12"/>
        <v/>
      </c>
      <c r="B798" s="63"/>
      <c r="C798" s="62" t="str">
        <f>IF($B798="","",IFERROR(VLOOKUP($B798,'Application Portfolio'!$A$2:$B$1000,2,FALSE()),""))</f>
        <v/>
      </c>
      <c r="D798" s="66"/>
      <c r="E798" s="66"/>
      <c r="F798" s="66"/>
      <c r="G798" s="66"/>
      <c r="H798" s="66"/>
      <c r="I798" s="64" t="str">
        <f>IF(OR($B798="", $D798="", $E798="", $F798="", $G798="", $H798=""),"",ROUND(($D798*Lists!$AN$20)+($E798*Lists!$AN$21)+($F798*Lists!$AN$22)+($G798*Lists!$AN$23)+($H798*Lists!$AN$24),2))</f>
        <v/>
      </c>
      <c r="J798" s="62"/>
      <c r="K798" s="65"/>
      <c r="L798" s="62"/>
    </row>
    <row r="799" spans="1:12" ht="15.75" customHeight="1" x14ac:dyDescent="0.2">
      <c r="A799" s="63" t="str">
        <f t="shared" si="12"/>
        <v/>
      </c>
      <c r="B799" s="63"/>
      <c r="C799" s="62" t="str">
        <f>IF($B799="","",IFERROR(VLOOKUP($B799,'Application Portfolio'!$A$2:$B$1000,2,FALSE()),""))</f>
        <v/>
      </c>
      <c r="D799" s="66"/>
      <c r="E799" s="66"/>
      <c r="F799" s="66"/>
      <c r="G799" s="66"/>
      <c r="H799" s="66"/>
      <c r="I799" s="64" t="str">
        <f>IF(OR($B799="", $D799="", $E799="", $F799="", $G799="", $H799=""),"",ROUND(($D799*Lists!$AN$20)+($E799*Lists!$AN$21)+($F799*Lists!$AN$22)+($G799*Lists!$AN$23)+($H799*Lists!$AN$24),2))</f>
        <v/>
      </c>
      <c r="J799" s="62"/>
      <c r="K799" s="65"/>
      <c r="L799" s="62"/>
    </row>
    <row r="800" spans="1:12" ht="15.75" customHeight="1" x14ac:dyDescent="0.2">
      <c r="A800" s="63" t="str">
        <f t="shared" ref="A800:A863" si="13">IF($B800="","", "R-" &amp; RIGHT("0000"&amp;ROW()-1,4))</f>
        <v/>
      </c>
      <c r="B800" s="63"/>
      <c r="C800" s="62" t="str">
        <f>IF($B800="","",IFERROR(VLOOKUP($B800,'Application Portfolio'!$A$2:$B$1000,2,FALSE()),""))</f>
        <v/>
      </c>
      <c r="D800" s="66"/>
      <c r="E800" s="66"/>
      <c r="F800" s="66"/>
      <c r="G800" s="66"/>
      <c r="H800" s="66"/>
      <c r="I800" s="64" t="str">
        <f>IF(OR($B800="", $D800="", $E800="", $F800="", $G800="", $H800=""),"",ROUND(($D800*Lists!$AN$20)+($E800*Lists!$AN$21)+($F800*Lists!$AN$22)+($G800*Lists!$AN$23)+($H800*Lists!$AN$24),2))</f>
        <v/>
      </c>
      <c r="J800" s="62"/>
      <c r="K800" s="65"/>
      <c r="L800" s="62"/>
    </row>
    <row r="801" spans="1:12" ht="15.75" customHeight="1" x14ac:dyDescent="0.2">
      <c r="A801" s="63" t="str">
        <f t="shared" si="13"/>
        <v/>
      </c>
      <c r="B801" s="63"/>
      <c r="C801" s="62" t="str">
        <f>IF($B801="","",IFERROR(VLOOKUP($B801,'Application Portfolio'!$A$2:$B$1000,2,FALSE()),""))</f>
        <v/>
      </c>
      <c r="D801" s="66"/>
      <c r="E801" s="66"/>
      <c r="F801" s="66"/>
      <c r="G801" s="66"/>
      <c r="H801" s="66"/>
      <c r="I801" s="64" t="str">
        <f>IF(OR($B801="", $D801="", $E801="", $F801="", $G801="", $H801=""),"",ROUND(($D801*Lists!$AN$20)+($E801*Lists!$AN$21)+($F801*Lists!$AN$22)+($G801*Lists!$AN$23)+($H801*Lists!$AN$24),2))</f>
        <v/>
      </c>
      <c r="J801" s="62"/>
      <c r="K801" s="65"/>
      <c r="L801" s="62"/>
    </row>
    <row r="802" spans="1:12" ht="15.75" customHeight="1" x14ac:dyDescent="0.2">
      <c r="A802" s="63" t="str">
        <f t="shared" si="13"/>
        <v/>
      </c>
      <c r="B802" s="63"/>
      <c r="C802" s="62" t="str">
        <f>IF($B802="","",IFERROR(VLOOKUP($B802,'Application Portfolio'!$A$2:$B$1000,2,FALSE()),""))</f>
        <v/>
      </c>
      <c r="D802" s="66"/>
      <c r="E802" s="66"/>
      <c r="F802" s="66"/>
      <c r="G802" s="66"/>
      <c r="H802" s="66"/>
      <c r="I802" s="64" t="str">
        <f>IF(OR($B802="", $D802="", $E802="", $F802="", $G802="", $H802=""),"",ROUND(($D802*Lists!$AN$20)+($E802*Lists!$AN$21)+($F802*Lists!$AN$22)+($G802*Lists!$AN$23)+($H802*Lists!$AN$24),2))</f>
        <v/>
      </c>
      <c r="J802" s="62"/>
      <c r="K802" s="65"/>
      <c r="L802" s="62"/>
    </row>
    <row r="803" spans="1:12" ht="15.75" customHeight="1" x14ac:dyDescent="0.2">
      <c r="A803" s="63" t="str">
        <f t="shared" si="13"/>
        <v/>
      </c>
      <c r="B803" s="63"/>
      <c r="C803" s="62" t="str">
        <f>IF($B803="","",IFERROR(VLOOKUP($B803,'Application Portfolio'!$A$2:$B$1000,2,FALSE()),""))</f>
        <v/>
      </c>
      <c r="D803" s="66"/>
      <c r="E803" s="66"/>
      <c r="F803" s="66"/>
      <c r="G803" s="66"/>
      <c r="H803" s="66"/>
      <c r="I803" s="64" t="str">
        <f>IF(OR($B803="", $D803="", $E803="", $F803="", $G803="", $H803=""),"",ROUND(($D803*Lists!$AN$20)+($E803*Lists!$AN$21)+($F803*Lists!$AN$22)+($G803*Lists!$AN$23)+($H803*Lists!$AN$24),2))</f>
        <v/>
      </c>
      <c r="J803" s="62"/>
      <c r="K803" s="65"/>
      <c r="L803" s="62"/>
    </row>
    <row r="804" spans="1:12" ht="15.75" customHeight="1" x14ac:dyDescent="0.2">
      <c r="A804" s="63" t="str">
        <f t="shared" si="13"/>
        <v/>
      </c>
      <c r="B804" s="63"/>
      <c r="C804" s="62" t="str">
        <f>IF($B804="","",IFERROR(VLOOKUP($B804,'Application Portfolio'!$A$2:$B$1000,2,FALSE()),""))</f>
        <v/>
      </c>
      <c r="D804" s="66"/>
      <c r="E804" s="66"/>
      <c r="F804" s="66"/>
      <c r="G804" s="66"/>
      <c r="H804" s="66"/>
      <c r="I804" s="64" t="str">
        <f>IF(OR($B804="", $D804="", $E804="", $F804="", $G804="", $H804=""),"",ROUND(($D804*Lists!$AN$20)+($E804*Lists!$AN$21)+($F804*Lists!$AN$22)+($G804*Lists!$AN$23)+($H804*Lists!$AN$24),2))</f>
        <v/>
      </c>
      <c r="J804" s="62"/>
      <c r="K804" s="65"/>
      <c r="L804" s="62"/>
    </row>
    <row r="805" spans="1:12" ht="15.75" customHeight="1" x14ac:dyDescent="0.2">
      <c r="A805" s="63" t="str">
        <f t="shared" si="13"/>
        <v/>
      </c>
      <c r="B805" s="63"/>
      <c r="C805" s="62" t="str">
        <f>IF($B805="","",IFERROR(VLOOKUP($B805,'Application Portfolio'!$A$2:$B$1000,2,FALSE()),""))</f>
        <v/>
      </c>
      <c r="D805" s="66"/>
      <c r="E805" s="66"/>
      <c r="F805" s="66"/>
      <c r="G805" s="66"/>
      <c r="H805" s="66"/>
      <c r="I805" s="64" t="str">
        <f>IF(OR($B805="", $D805="", $E805="", $F805="", $G805="", $H805=""),"",ROUND(($D805*Lists!$AN$20)+($E805*Lists!$AN$21)+($F805*Lists!$AN$22)+($G805*Lists!$AN$23)+($H805*Lists!$AN$24),2))</f>
        <v/>
      </c>
      <c r="J805" s="62"/>
      <c r="K805" s="65"/>
      <c r="L805" s="62"/>
    </row>
    <row r="806" spans="1:12" ht="15.75" customHeight="1" x14ac:dyDescent="0.2">
      <c r="A806" s="63" t="str">
        <f t="shared" si="13"/>
        <v/>
      </c>
      <c r="B806" s="63"/>
      <c r="C806" s="62" t="str">
        <f>IF($B806="","",IFERROR(VLOOKUP($B806,'Application Portfolio'!$A$2:$B$1000,2,FALSE()),""))</f>
        <v/>
      </c>
      <c r="D806" s="66"/>
      <c r="E806" s="66"/>
      <c r="F806" s="66"/>
      <c r="G806" s="66"/>
      <c r="H806" s="66"/>
      <c r="I806" s="64" t="str">
        <f>IF(OR($B806="", $D806="", $E806="", $F806="", $G806="", $H806=""),"",ROUND(($D806*Lists!$AN$20)+($E806*Lists!$AN$21)+($F806*Lists!$AN$22)+($G806*Lists!$AN$23)+($H806*Lists!$AN$24),2))</f>
        <v/>
      </c>
      <c r="J806" s="62"/>
      <c r="K806" s="65"/>
      <c r="L806" s="62"/>
    </row>
    <row r="807" spans="1:12" ht="15.75" customHeight="1" x14ac:dyDescent="0.2">
      <c r="A807" s="63" t="str">
        <f t="shared" si="13"/>
        <v/>
      </c>
      <c r="B807" s="63"/>
      <c r="C807" s="62" t="str">
        <f>IF($B807="","",IFERROR(VLOOKUP($B807,'Application Portfolio'!$A$2:$B$1000,2,FALSE()),""))</f>
        <v/>
      </c>
      <c r="D807" s="66"/>
      <c r="E807" s="66"/>
      <c r="F807" s="66"/>
      <c r="G807" s="66"/>
      <c r="H807" s="66"/>
      <c r="I807" s="64" t="str">
        <f>IF(OR($B807="", $D807="", $E807="", $F807="", $G807="", $H807=""),"",ROUND(($D807*Lists!$AN$20)+($E807*Lists!$AN$21)+($F807*Lists!$AN$22)+($G807*Lists!$AN$23)+($H807*Lists!$AN$24),2))</f>
        <v/>
      </c>
      <c r="J807" s="62"/>
      <c r="K807" s="65"/>
      <c r="L807" s="62"/>
    </row>
    <row r="808" spans="1:12" ht="15.75" customHeight="1" x14ac:dyDescent="0.2">
      <c r="A808" s="63" t="str">
        <f t="shared" si="13"/>
        <v/>
      </c>
      <c r="B808" s="63"/>
      <c r="C808" s="62" t="str">
        <f>IF($B808="","",IFERROR(VLOOKUP($B808,'Application Portfolio'!$A$2:$B$1000,2,FALSE()),""))</f>
        <v/>
      </c>
      <c r="D808" s="66"/>
      <c r="E808" s="66"/>
      <c r="F808" s="66"/>
      <c r="G808" s="66"/>
      <c r="H808" s="66"/>
      <c r="I808" s="64" t="str">
        <f>IF(OR($B808="", $D808="", $E808="", $F808="", $G808="", $H808=""),"",ROUND(($D808*Lists!$AN$20)+($E808*Lists!$AN$21)+($F808*Lists!$AN$22)+($G808*Lists!$AN$23)+($H808*Lists!$AN$24),2))</f>
        <v/>
      </c>
      <c r="J808" s="62"/>
      <c r="K808" s="65"/>
      <c r="L808" s="62"/>
    </row>
    <row r="809" spans="1:12" ht="15.75" customHeight="1" x14ac:dyDescent="0.2">
      <c r="A809" s="63" t="str">
        <f t="shared" si="13"/>
        <v/>
      </c>
      <c r="B809" s="63"/>
      <c r="C809" s="62" t="str">
        <f>IF($B809="","",IFERROR(VLOOKUP($B809,'Application Portfolio'!$A$2:$B$1000,2,FALSE()),""))</f>
        <v/>
      </c>
      <c r="D809" s="66"/>
      <c r="E809" s="66"/>
      <c r="F809" s="66"/>
      <c r="G809" s="66"/>
      <c r="H809" s="66"/>
      <c r="I809" s="64" t="str">
        <f>IF(OR($B809="", $D809="", $E809="", $F809="", $G809="", $H809=""),"",ROUND(($D809*Lists!$AN$20)+($E809*Lists!$AN$21)+($F809*Lists!$AN$22)+($G809*Lists!$AN$23)+($H809*Lists!$AN$24),2))</f>
        <v/>
      </c>
      <c r="J809" s="62"/>
      <c r="K809" s="65"/>
      <c r="L809" s="62"/>
    </row>
    <row r="810" spans="1:12" ht="15.75" customHeight="1" x14ac:dyDescent="0.2">
      <c r="A810" s="63" t="str">
        <f t="shared" si="13"/>
        <v/>
      </c>
      <c r="B810" s="63"/>
      <c r="C810" s="62" t="str">
        <f>IF($B810="","",IFERROR(VLOOKUP($B810,'Application Portfolio'!$A$2:$B$1000,2,FALSE()),""))</f>
        <v/>
      </c>
      <c r="D810" s="66"/>
      <c r="E810" s="66"/>
      <c r="F810" s="66"/>
      <c r="G810" s="66"/>
      <c r="H810" s="66"/>
      <c r="I810" s="64" t="str">
        <f>IF(OR($B810="", $D810="", $E810="", $F810="", $G810="", $H810=""),"",ROUND(($D810*Lists!$AN$20)+($E810*Lists!$AN$21)+($F810*Lists!$AN$22)+($G810*Lists!$AN$23)+($H810*Lists!$AN$24),2))</f>
        <v/>
      </c>
      <c r="J810" s="62"/>
      <c r="K810" s="65"/>
      <c r="L810" s="62"/>
    </row>
    <row r="811" spans="1:12" ht="15.75" customHeight="1" x14ac:dyDescent="0.2">
      <c r="A811" s="63" t="str">
        <f t="shared" si="13"/>
        <v/>
      </c>
      <c r="B811" s="63"/>
      <c r="C811" s="62" t="str">
        <f>IF($B811="","",IFERROR(VLOOKUP($B811,'Application Portfolio'!$A$2:$B$1000,2,FALSE()),""))</f>
        <v/>
      </c>
      <c r="D811" s="66"/>
      <c r="E811" s="66"/>
      <c r="F811" s="66"/>
      <c r="G811" s="66"/>
      <c r="H811" s="66"/>
      <c r="I811" s="64" t="str">
        <f>IF(OR($B811="", $D811="", $E811="", $F811="", $G811="", $H811=""),"",ROUND(($D811*Lists!$AN$20)+($E811*Lists!$AN$21)+($F811*Lists!$AN$22)+($G811*Lists!$AN$23)+($H811*Lists!$AN$24),2))</f>
        <v/>
      </c>
      <c r="J811" s="62"/>
      <c r="K811" s="65"/>
      <c r="L811" s="62"/>
    </row>
    <row r="812" spans="1:12" ht="15.75" customHeight="1" x14ac:dyDescent="0.2">
      <c r="A812" s="63" t="str">
        <f t="shared" si="13"/>
        <v/>
      </c>
      <c r="B812" s="63"/>
      <c r="C812" s="62" t="str">
        <f>IF($B812="","",IFERROR(VLOOKUP($B812,'Application Portfolio'!$A$2:$B$1000,2,FALSE()),""))</f>
        <v/>
      </c>
      <c r="D812" s="66"/>
      <c r="E812" s="66"/>
      <c r="F812" s="66"/>
      <c r="G812" s="66"/>
      <c r="H812" s="66"/>
      <c r="I812" s="64" t="str">
        <f>IF(OR($B812="", $D812="", $E812="", $F812="", $G812="", $H812=""),"",ROUND(($D812*Lists!$AN$20)+($E812*Lists!$AN$21)+($F812*Lists!$AN$22)+($G812*Lists!$AN$23)+($H812*Lists!$AN$24),2))</f>
        <v/>
      </c>
      <c r="J812" s="62"/>
      <c r="K812" s="65"/>
      <c r="L812" s="62"/>
    </row>
    <row r="813" spans="1:12" ht="15.75" customHeight="1" x14ac:dyDescent="0.2">
      <c r="A813" s="63" t="str">
        <f t="shared" si="13"/>
        <v/>
      </c>
      <c r="B813" s="63"/>
      <c r="C813" s="62" t="str">
        <f>IF($B813="","",IFERROR(VLOOKUP($B813,'Application Portfolio'!$A$2:$B$1000,2,FALSE()),""))</f>
        <v/>
      </c>
      <c r="D813" s="66"/>
      <c r="E813" s="66"/>
      <c r="F813" s="66"/>
      <c r="G813" s="66"/>
      <c r="H813" s="66"/>
      <c r="I813" s="64" t="str">
        <f>IF(OR($B813="", $D813="", $E813="", $F813="", $G813="", $H813=""),"",ROUND(($D813*Lists!$AN$20)+($E813*Lists!$AN$21)+($F813*Lists!$AN$22)+($G813*Lists!$AN$23)+($H813*Lists!$AN$24),2))</f>
        <v/>
      </c>
      <c r="J813" s="62"/>
      <c r="K813" s="65"/>
      <c r="L813" s="62"/>
    </row>
    <row r="814" spans="1:12" ht="15.75" customHeight="1" x14ac:dyDescent="0.2">
      <c r="A814" s="63" t="str">
        <f t="shared" si="13"/>
        <v/>
      </c>
      <c r="B814" s="63"/>
      <c r="C814" s="62" t="str">
        <f>IF($B814="","",IFERROR(VLOOKUP($B814,'Application Portfolio'!$A$2:$B$1000,2,FALSE()),""))</f>
        <v/>
      </c>
      <c r="D814" s="66"/>
      <c r="E814" s="66"/>
      <c r="F814" s="66"/>
      <c r="G814" s="66"/>
      <c r="H814" s="66"/>
      <c r="I814" s="64" t="str">
        <f>IF(OR($B814="", $D814="", $E814="", $F814="", $G814="", $H814=""),"",ROUND(($D814*Lists!$AN$20)+($E814*Lists!$AN$21)+($F814*Lists!$AN$22)+($G814*Lists!$AN$23)+($H814*Lists!$AN$24),2))</f>
        <v/>
      </c>
      <c r="J814" s="62"/>
      <c r="K814" s="65"/>
      <c r="L814" s="62"/>
    </row>
    <row r="815" spans="1:12" ht="15.75" customHeight="1" x14ac:dyDescent="0.2">
      <c r="A815" s="63" t="str">
        <f t="shared" si="13"/>
        <v/>
      </c>
      <c r="B815" s="63"/>
      <c r="C815" s="62" t="str">
        <f>IF($B815="","",IFERROR(VLOOKUP($B815,'Application Portfolio'!$A$2:$B$1000,2,FALSE()),""))</f>
        <v/>
      </c>
      <c r="D815" s="66"/>
      <c r="E815" s="66"/>
      <c r="F815" s="66"/>
      <c r="G815" s="66"/>
      <c r="H815" s="66"/>
      <c r="I815" s="64" t="str">
        <f>IF(OR($B815="", $D815="", $E815="", $F815="", $G815="", $H815=""),"",ROUND(($D815*Lists!$AN$20)+($E815*Lists!$AN$21)+($F815*Lists!$AN$22)+($G815*Lists!$AN$23)+($H815*Lists!$AN$24),2))</f>
        <v/>
      </c>
      <c r="J815" s="62"/>
      <c r="K815" s="65"/>
      <c r="L815" s="62"/>
    </row>
    <row r="816" spans="1:12" ht="15.75" customHeight="1" x14ac:dyDescent="0.2">
      <c r="A816" s="63" t="str">
        <f t="shared" si="13"/>
        <v/>
      </c>
      <c r="B816" s="63"/>
      <c r="C816" s="62" t="str">
        <f>IF($B816="","",IFERROR(VLOOKUP($B816,'Application Portfolio'!$A$2:$B$1000,2,FALSE()),""))</f>
        <v/>
      </c>
      <c r="D816" s="66"/>
      <c r="E816" s="66"/>
      <c r="F816" s="66"/>
      <c r="G816" s="66"/>
      <c r="H816" s="66"/>
      <c r="I816" s="64" t="str">
        <f>IF(OR($B816="", $D816="", $E816="", $F816="", $G816="", $H816=""),"",ROUND(($D816*Lists!$AN$20)+($E816*Lists!$AN$21)+($F816*Lists!$AN$22)+($G816*Lists!$AN$23)+($H816*Lists!$AN$24),2))</f>
        <v/>
      </c>
      <c r="J816" s="62"/>
      <c r="K816" s="65"/>
      <c r="L816" s="62"/>
    </row>
    <row r="817" spans="1:12" ht="15.75" customHeight="1" x14ac:dyDescent="0.2">
      <c r="A817" s="63" t="str">
        <f t="shared" si="13"/>
        <v/>
      </c>
      <c r="B817" s="63"/>
      <c r="C817" s="62" t="str">
        <f>IF($B817="","",IFERROR(VLOOKUP($B817,'Application Portfolio'!$A$2:$B$1000,2,FALSE()),""))</f>
        <v/>
      </c>
      <c r="D817" s="66"/>
      <c r="E817" s="66"/>
      <c r="F817" s="66"/>
      <c r="G817" s="66"/>
      <c r="H817" s="66"/>
      <c r="I817" s="64" t="str">
        <f>IF(OR($B817="", $D817="", $E817="", $F817="", $G817="", $H817=""),"",ROUND(($D817*Lists!$AN$20)+($E817*Lists!$AN$21)+($F817*Lists!$AN$22)+($G817*Lists!$AN$23)+($H817*Lists!$AN$24),2))</f>
        <v/>
      </c>
      <c r="J817" s="62"/>
      <c r="K817" s="65"/>
      <c r="L817" s="62"/>
    </row>
    <row r="818" spans="1:12" ht="15.75" customHeight="1" x14ac:dyDescent="0.2">
      <c r="A818" s="63" t="str">
        <f t="shared" si="13"/>
        <v/>
      </c>
      <c r="B818" s="63"/>
      <c r="C818" s="62" t="str">
        <f>IF($B818="","",IFERROR(VLOOKUP($B818,'Application Portfolio'!$A$2:$B$1000,2,FALSE()),""))</f>
        <v/>
      </c>
      <c r="D818" s="66"/>
      <c r="E818" s="66"/>
      <c r="F818" s="66"/>
      <c r="G818" s="66"/>
      <c r="H818" s="66"/>
      <c r="I818" s="64" t="str">
        <f>IF(OR($B818="", $D818="", $E818="", $F818="", $G818="", $H818=""),"",ROUND(($D818*Lists!$AN$20)+($E818*Lists!$AN$21)+($F818*Lists!$AN$22)+($G818*Lists!$AN$23)+($H818*Lists!$AN$24),2))</f>
        <v/>
      </c>
      <c r="J818" s="62"/>
      <c r="K818" s="65"/>
      <c r="L818" s="62"/>
    </row>
    <row r="819" spans="1:12" ht="15.75" customHeight="1" x14ac:dyDescent="0.2">
      <c r="A819" s="63" t="str">
        <f t="shared" si="13"/>
        <v/>
      </c>
      <c r="B819" s="63"/>
      <c r="C819" s="62" t="str">
        <f>IF($B819="","",IFERROR(VLOOKUP($B819,'Application Portfolio'!$A$2:$B$1000,2,FALSE()),""))</f>
        <v/>
      </c>
      <c r="D819" s="66"/>
      <c r="E819" s="66"/>
      <c r="F819" s="66"/>
      <c r="G819" s="66"/>
      <c r="H819" s="66"/>
      <c r="I819" s="64" t="str">
        <f>IF(OR($B819="", $D819="", $E819="", $F819="", $G819="", $H819=""),"",ROUND(($D819*Lists!$AN$20)+($E819*Lists!$AN$21)+($F819*Lists!$AN$22)+($G819*Lists!$AN$23)+($H819*Lists!$AN$24),2))</f>
        <v/>
      </c>
      <c r="J819" s="62"/>
      <c r="K819" s="65"/>
      <c r="L819" s="62"/>
    </row>
    <row r="820" spans="1:12" ht="15.75" customHeight="1" x14ac:dyDescent="0.2">
      <c r="A820" s="63" t="str">
        <f t="shared" si="13"/>
        <v/>
      </c>
      <c r="B820" s="63"/>
      <c r="C820" s="62" t="str">
        <f>IF($B820="","",IFERROR(VLOOKUP($B820,'Application Portfolio'!$A$2:$B$1000,2,FALSE()),""))</f>
        <v/>
      </c>
      <c r="D820" s="66"/>
      <c r="E820" s="66"/>
      <c r="F820" s="66"/>
      <c r="G820" s="66"/>
      <c r="H820" s="66"/>
      <c r="I820" s="64" t="str">
        <f>IF(OR($B820="", $D820="", $E820="", $F820="", $G820="", $H820=""),"",ROUND(($D820*Lists!$AN$20)+($E820*Lists!$AN$21)+($F820*Lists!$AN$22)+($G820*Lists!$AN$23)+($H820*Lists!$AN$24),2))</f>
        <v/>
      </c>
      <c r="J820" s="62"/>
      <c r="K820" s="65"/>
      <c r="L820" s="62"/>
    </row>
    <row r="821" spans="1:12" ht="15.75" customHeight="1" x14ac:dyDescent="0.2">
      <c r="A821" s="63" t="str">
        <f t="shared" si="13"/>
        <v/>
      </c>
      <c r="B821" s="63"/>
      <c r="C821" s="62" t="str">
        <f>IF($B821="","",IFERROR(VLOOKUP($B821,'Application Portfolio'!$A$2:$B$1000,2,FALSE()),""))</f>
        <v/>
      </c>
      <c r="D821" s="66"/>
      <c r="E821" s="66"/>
      <c r="F821" s="66"/>
      <c r="G821" s="66"/>
      <c r="H821" s="66"/>
      <c r="I821" s="64" t="str">
        <f>IF(OR($B821="", $D821="", $E821="", $F821="", $G821="", $H821=""),"",ROUND(($D821*Lists!$AN$20)+($E821*Lists!$AN$21)+($F821*Lists!$AN$22)+($G821*Lists!$AN$23)+($H821*Lists!$AN$24),2))</f>
        <v/>
      </c>
      <c r="J821" s="62"/>
      <c r="K821" s="65"/>
      <c r="L821" s="62"/>
    </row>
    <row r="822" spans="1:12" ht="15.75" customHeight="1" x14ac:dyDescent="0.2">
      <c r="A822" s="63" t="str">
        <f t="shared" si="13"/>
        <v/>
      </c>
      <c r="B822" s="63"/>
      <c r="C822" s="62" t="str">
        <f>IF($B822="","",IFERROR(VLOOKUP($B822,'Application Portfolio'!$A$2:$B$1000,2,FALSE()),""))</f>
        <v/>
      </c>
      <c r="D822" s="66"/>
      <c r="E822" s="66"/>
      <c r="F822" s="66"/>
      <c r="G822" s="66"/>
      <c r="H822" s="66"/>
      <c r="I822" s="64" t="str">
        <f>IF(OR($B822="", $D822="", $E822="", $F822="", $G822="", $H822=""),"",ROUND(($D822*Lists!$AN$20)+($E822*Lists!$AN$21)+($F822*Lists!$AN$22)+($G822*Lists!$AN$23)+($H822*Lists!$AN$24),2))</f>
        <v/>
      </c>
      <c r="J822" s="62"/>
      <c r="K822" s="65"/>
      <c r="L822" s="62"/>
    </row>
    <row r="823" spans="1:12" ht="15.75" customHeight="1" x14ac:dyDescent="0.2">
      <c r="A823" s="63" t="str">
        <f t="shared" si="13"/>
        <v/>
      </c>
      <c r="B823" s="63"/>
      <c r="C823" s="62" t="str">
        <f>IF($B823="","",IFERROR(VLOOKUP($B823,'Application Portfolio'!$A$2:$B$1000,2,FALSE()),""))</f>
        <v/>
      </c>
      <c r="D823" s="66"/>
      <c r="E823" s="66"/>
      <c r="F823" s="66"/>
      <c r="G823" s="66"/>
      <c r="H823" s="66"/>
      <c r="I823" s="64" t="str">
        <f>IF(OR($B823="", $D823="", $E823="", $F823="", $G823="", $H823=""),"",ROUND(($D823*Lists!$AN$20)+($E823*Lists!$AN$21)+($F823*Lists!$AN$22)+($G823*Lists!$AN$23)+($H823*Lists!$AN$24),2))</f>
        <v/>
      </c>
      <c r="J823" s="62"/>
      <c r="K823" s="65"/>
      <c r="L823" s="62"/>
    </row>
    <row r="824" spans="1:12" ht="15.75" customHeight="1" x14ac:dyDescent="0.2">
      <c r="A824" s="63" t="str">
        <f t="shared" si="13"/>
        <v/>
      </c>
      <c r="B824" s="63"/>
      <c r="C824" s="62" t="str">
        <f>IF($B824="","",IFERROR(VLOOKUP($B824,'Application Portfolio'!$A$2:$B$1000,2,FALSE()),""))</f>
        <v/>
      </c>
      <c r="D824" s="66"/>
      <c r="E824" s="66"/>
      <c r="F824" s="66"/>
      <c r="G824" s="66"/>
      <c r="H824" s="66"/>
      <c r="I824" s="64" t="str">
        <f>IF(OR($B824="", $D824="", $E824="", $F824="", $G824="", $H824=""),"",ROUND(($D824*Lists!$AN$20)+($E824*Lists!$AN$21)+($F824*Lists!$AN$22)+($G824*Lists!$AN$23)+($H824*Lists!$AN$24),2))</f>
        <v/>
      </c>
      <c r="J824" s="62"/>
      <c r="K824" s="65"/>
      <c r="L824" s="62"/>
    </row>
    <row r="825" spans="1:12" ht="15.75" customHeight="1" x14ac:dyDescent="0.2">
      <c r="A825" s="63" t="str">
        <f t="shared" si="13"/>
        <v/>
      </c>
      <c r="B825" s="63"/>
      <c r="C825" s="62" t="str">
        <f>IF($B825="","",IFERROR(VLOOKUP($B825,'Application Portfolio'!$A$2:$B$1000,2,FALSE()),""))</f>
        <v/>
      </c>
      <c r="D825" s="66"/>
      <c r="E825" s="66"/>
      <c r="F825" s="66"/>
      <c r="G825" s="66"/>
      <c r="H825" s="66"/>
      <c r="I825" s="64" t="str">
        <f>IF(OR($B825="", $D825="", $E825="", $F825="", $G825="", $H825=""),"",ROUND(($D825*Lists!$AN$20)+($E825*Lists!$AN$21)+($F825*Lists!$AN$22)+($G825*Lists!$AN$23)+($H825*Lists!$AN$24),2))</f>
        <v/>
      </c>
      <c r="J825" s="62"/>
      <c r="K825" s="65"/>
      <c r="L825" s="62"/>
    </row>
    <row r="826" spans="1:12" ht="15.75" customHeight="1" x14ac:dyDescent="0.2">
      <c r="A826" s="63" t="str">
        <f t="shared" si="13"/>
        <v/>
      </c>
      <c r="B826" s="63"/>
      <c r="C826" s="62" t="str">
        <f>IF($B826="","",IFERROR(VLOOKUP($B826,'Application Portfolio'!$A$2:$B$1000,2,FALSE()),""))</f>
        <v/>
      </c>
      <c r="D826" s="66"/>
      <c r="E826" s="66"/>
      <c r="F826" s="66"/>
      <c r="G826" s="66"/>
      <c r="H826" s="66"/>
      <c r="I826" s="64" t="str">
        <f>IF(OR($B826="", $D826="", $E826="", $F826="", $G826="", $H826=""),"",ROUND(($D826*Lists!$AN$20)+($E826*Lists!$AN$21)+($F826*Lists!$AN$22)+($G826*Lists!$AN$23)+($H826*Lists!$AN$24),2))</f>
        <v/>
      </c>
      <c r="J826" s="62"/>
      <c r="K826" s="65"/>
      <c r="L826" s="62"/>
    </row>
    <row r="827" spans="1:12" ht="15.75" customHeight="1" x14ac:dyDescent="0.2">
      <c r="A827" s="63" t="str">
        <f t="shared" si="13"/>
        <v/>
      </c>
      <c r="B827" s="63"/>
      <c r="C827" s="62" t="str">
        <f>IF($B827="","",IFERROR(VLOOKUP($B827,'Application Portfolio'!$A$2:$B$1000,2,FALSE()),""))</f>
        <v/>
      </c>
      <c r="D827" s="66"/>
      <c r="E827" s="66"/>
      <c r="F827" s="66"/>
      <c r="G827" s="66"/>
      <c r="H827" s="66"/>
      <c r="I827" s="64" t="str">
        <f>IF(OR($B827="", $D827="", $E827="", $F827="", $G827="", $H827=""),"",ROUND(($D827*Lists!$AN$20)+($E827*Lists!$AN$21)+($F827*Lists!$AN$22)+($G827*Lists!$AN$23)+($H827*Lists!$AN$24),2))</f>
        <v/>
      </c>
      <c r="J827" s="62"/>
      <c r="K827" s="65"/>
      <c r="L827" s="62"/>
    </row>
    <row r="828" spans="1:12" ht="15.75" customHeight="1" x14ac:dyDescent="0.2">
      <c r="A828" s="63" t="str">
        <f t="shared" si="13"/>
        <v/>
      </c>
      <c r="B828" s="63"/>
      <c r="C828" s="62" t="str">
        <f>IF($B828="","",IFERROR(VLOOKUP($B828,'Application Portfolio'!$A$2:$B$1000,2,FALSE()),""))</f>
        <v/>
      </c>
      <c r="D828" s="66"/>
      <c r="E828" s="66"/>
      <c r="F828" s="66"/>
      <c r="G828" s="66"/>
      <c r="H828" s="66"/>
      <c r="I828" s="64" t="str">
        <f>IF(OR($B828="", $D828="", $E828="", $F828="", $G828="", $H828=""),"",ROUND(($D828*Lists!$AN$20)+($E828*Lists!$AN$21)+($F828*Lists!$AN$22)+($G828*Lists!$AN$23)+($H828*Lists!$AN$24),2))</f>
        <v/>
      </c>
      <c r="J828" s="62"/>
      <c r="K828" s="65"/>
      <c r="L828" s="62"/>
    </row>
    <row r="829" spans="1:12" ht="15.75" customHeight="1" x14ac:dyDescent="0.2">
      <c r="A829" s="63" t="str">
        <f t="shared" si="13"/>
        <v/>
      </c>
      <c r="B829" s="63"/>
      <c r="C829" s="62" t="str">
        <f>IF($B829="","",IFERROR(VLOOKUP($B829,'Application Portfolio'!$A$2:$B$1000,2,FALSE()),""))</f>
        <v/>
      </c>
      <c r="D829" s="66"/>
      <c r="E829" s="66"/>
      <c r="F829" s="66"/>
      <c r="G829" s="66"/>
      <c r="H829" s="66"/>
      <c r="I829" s="64" t="str">
        <f>IF(OR($B829="", $D829="", $E829="", $F829="", $G829="", $H829=""),"",ROUND(($D829*Lists!$AN$20)+($E829*Lists!$AN$21)+($F829*Lists!$AN$22)+($G829*Lists!$AN$23)+($H829*Lists!$AN$24),2))</f>
        <v/>
      </c>
      <c r="J829" s="62"/>
      <c r="K829" s="65"/>
      <c r="L829" s="62"/>
    </row>
    <row r="830" spans="1:12" ht="15.75" customHeight="1" x14ac:dyDescent="0.2">
      <c r="A830" s="63" t="str">
        <f t="shared" si="13"/>
        <v/>
      </c>
      <c r="B830" s="63"/>
      <c r="C830" s="62" t="str">
        <f>IF($B830="","",IFERROR(VLOOKUP($B830,'Application Portfolio'!$A$2:$B$1000,2,FALSE()),""))</f>
        <v/>
      </c>
      <c r="D830" s="66"/>
      <c r="E830" s="66"/>
      <c r="F830" s="66"/>
      <c r="G830" s="66"/>
      <c r="H830" s="66"/>
      <c r="I830" s="64" t="str">
        <f>IF(OR($B830="", $D830="", $E830="", $F830="", $G830="", $H830=""),"",ROUND(($D830*Lists!$AN$20)+($E830*Lists!$AN$21)+($F830*Lists!$AN$22)+($G830*Lists!$AN$23)+($H830*Lists!$AN$24),2))</f>
        <v/>
      </c>
      <c r="J830" s="62"/>
      <c r="K830" s="65"/>
      <c r="L830" s="62"/>
    </row>
    <row r="831" spans="1:12" ht="15.75" customHeight="1" x14ac:dyDescent="0.2">
      <c r="A831" s="63" t="str">
        <f t="shared" si="13"/>
        <v/>
      </c>
      <c r="B831" s="63"/>
      <c r="C831" s="62" t="str">
        <f>IF($B831="","",IFERROR(VLOOKUP($B831,'Application Portfolio'!$A$2:$B$1000,2,FALSE()),""))</f>
        <v/>
      </c>
      <c r="D831" s="66"/>
      <c r="E831" s="66"/>
      <c r="F831" s="66"/>
      <c r="G831" s="66"/>
      <c r="H831" s="66"/>
      <c r="I831" s="64" t="str">
        <f>IF(OR($B831="", $D831="", $E831="", $F831="", $G831="", $H831=""),"",ROUND(($D831*Lists!$AN$20)+($E831*Lists!$AN$21)+($F831*Lists!$AN$22)+($G831*Lists!$AN$23)+($H831*Lists!$AN$24),2))</f>
        <v/>
      </c>
      <c r="J831" s="62"/>
      <c r="K831" s="65"/>
      <c r="L831" s="62"/>
    </row>
    <row r="832" spans="1:12" ht="15.75" customHeight="1" x14ac:dyDescent="0.2">
      <c r="A832" s="63" t="str">
        <f t="shared" si="13"/>
        <v/>
      </c>
      <c r="B832" s="63"/>
      <c r="C832" s="62" t="str">
        <f>IF($B832="","",IFERROR(VLOOKUP($B832,'Application Portfolio'!$A$2:$B$1000,2,FALSE()),""))</f>
        <v/>
      </c>
      <c r="D832" s="66"/>
      <c r="E832" s="66"/>
      <c r="F832" s="66"/>
      <c r="G832" s="66"/>
      <c r="H832" s="66"/>
      <c r="I832" s="64" t="str">
        <f>IF(OR($B832="", $D832="", $E832="", $F832="", $G832="", $H832=""),"",ROUND(($D832*Lists!$AN$20)+($E832*Lists!$AN$21)+($F832*Lists!$AN$22)+($G832*Lists!$AN$23)+($H832*Lists!$AN$24),2))</f>
        <v/>
      </c>
      <c r="J832" s="62"/>
      <c r="K832" s="65"/>
      <c r="L832" s="62"/>
    </row>
    <row r="833" spans="1:12" ht="15.75" customHeight="1" x14ac:dyDescent="0.2">
      <c r="A833" s="63" t="str">
        <f t="shared" si="13"/>
        <v/>
      </c>
      <c r="B833" s="63"/>
      <c r="C833" s="62" t="str">
        <f>IF($B833="","",IFERROR(VLOOKUP($B833,'Application Portfolio'!$A$2:$B$1000,2,FALSE()),""))</f>
        <v/>
      </c>
      <c r="D833" s="66"/>
      <c r="E833" s="66"/>
      <c r="F833" s="66"/>
      <c r="G833" s="66"/>
      <c r="H833" s="66"/>
      <c r="I833" s="64" t="str">
        <f>IF(OR($B833="", $D833="", $E833="", $F833="", $G833="", $H833=""),"",ROUND(($D833*Lists!$AN$20)+($E833*Lists!$AN$21)+($F833*Lists!$AN$22)+($G833*Lists!$AN$23)+($H833*Lists!$AN$24),2))</f>
        <v/>
      </c>
      <c r="J833" s="62"/>
      <c r="K833" s="65"/>
      <c r="L833" s="62"/>
    </row>
    <row r="834" spans="1:12" ht="15.75" customHeight="1" x14ac:dyDescent="0.2">
      <c r="A834" s="63" t="str">
        <f t="shared" si="13"/>
        <v/>
      </c>
      <c r="B834" s="63"/>
      <c r="C834" s="62" t="str">
        <f>IF($B834="","",IFERROR(VLOOKUP($B834,'Application Portfolio'!$A$2:$B$1000,2,FALSE()),""))</f>
        <v/>
      </c>
      <c r="D834" s="66"/>
      <c r="E834" s="66"/>
      <c r="F834" s="66"/>
      <c r="G834" s="66"/>
      <c r="H834" s="66"/>
      <c r="I834" s="64" t="str">
        <f>IF(OR($B834="", $D834="", $E834="", $F834="", $G834="", $H834=""),"",ROUND(($D834*Lists!$AN$20)+($E834*Lists!$AN$21)+($F834*Lists!$AN$22)+($G834*Lists!$AN$23)+($H834*Lists!$AN$24),2))</f>
        <v/>
      </c>
      <c r="J834" s="62"/>
      <c r="K834" s="65"/>
      <c r="L834" s="62"/>
    </row>
    <row r="835" spans="1:12" ht="15.75" customHeight="1" x14ac:dyDescent="0.2">
      <c r="A835" s="63" t="str">
        <f t="shared" si="13"/>
        <v/>
      </c>
      <c r="B835" s="63"/>
      <c r="C835" s="62" t="str">
        <f>IF($B835="","",IFERROR(VLOOKUP($B835,'Application Portfolio'!$A$2:$B$1000,2,FALSE()),""))</f>
        <v/>
      </c>
      <c r="D835" s="66"/>
      <c r="E835" s="66"/>
      <c r="F835" s="66"/>
      <c r="G835" s="66"/>
      <c r="H835" s="66"/>
      <c r="I835" s="64" t="str">
        <f>IF(OR($B835="", $D835="", $E835="", $F835="", $G835="", $H835=""),"",ROUND(($D835*Lists!$AN$20)+($E835*Lists!$AN$21)+($F835*Lists!$AN$22)+($G835*Lists!$AN$23)+($H835*Lists!$AN$24),2))</f>
        <v/>
      </c>
      <c r="J835" s="62"/>
      <c r="K835" s="65"/>
      <c r="L835" s="62"/>
    </row>
    <row r="836" spans="1:12" ht="15.75" customHeight="1" x14ac:dyDescent="0.2">
      <c r="A836" s="63" t="str">
        <f t="shared" si="13"/>
        <v/>
      </c>
      <c r="B836" s="63"/>
      <c r="C836" s="62" t="str">
        <f>IF($B836="","",IFERROR(VLOOKUP($B836,'Application Portfolio'!$A$2:$B$1000,2,FALSE()),""))</f>
        <v/>
      </c>
      <c r="D836" s="66"/>
      <c r="E836" s="66"/>
      <c r="F836" s="66"/>
      <c r="G836" s="66"/>
      <c r="H836" s="66"/>
      <c r="I836" s="64" t="str">
        <f>IF(OR($B836="", $D836="", $E836="", $F836="", $G836="", $H836=""),"",ROUND(($D836*Lists!$AN$20)+($E836*Lists!$AN$21)+($F836*Lists!$AN$22)+($G836*Lists!$AN$23)+($H836*Lists!$AN$24),2))</f>
        <v/>
      </c>
      <c r="J836" s="62"/>
      <c r="K836" s="65"/>
      <c r="L836" s="62"/>
    </row>
    <row r="837" spans="1:12" ht="15.75" customHeight="1" x14ac:dyDescent="0.2">
      <c r="A837" s="63" t="str">
        <f t="shared" si="13"/>
        <v/>
      </c>
      <c r="B837" s="63"/>
      <c r="C837" s="62" t="str">
        <f>IF($B837="","",IFERROR(VLOOKUP($B837,'Application Portfolio'!$A$2:$B$1000,2,FALSE()),""))</f>
        <v/>
      </c>
      <c r="D837" s="66"/>
      <c r="E837" s="66"/>
      <c r="F837" s="66"/>
      <c r="G837" s="66"/>
      <c r="H837" s="66"/>
      <c r="I837" s="64" t="str">
        <f>IF(OR($B837="", $D837="", $E837="", $F837="", $G837="", $H837=""),"",ROUND(($D837*Lists!$AN$20)+($E837*Lists!$AN$21)+($F837*Lists!$AN$22)+($G837*Lists!$AN$23)+($H837*Lists!$AN$24),2))</f>
        <v/>
      </c>
      <c r="J837" s="62"/>
      <c r="K837" s="65"/>
      <c r="L837" s="62"/>
    </row>
    <row r="838" spans="1:12" ht="15.75" customHeight="1" x14ac:dyDescent="0.2">
      <c r="A838" s="63" t="str">
        <f t="shared" si="13"/>
        <v/>
      </c>
      <c r="B838" s="63"/>
      <c r="C838" s="62" t="str">
        <f>IF($B838="","",IFERROR(VLOOKUP($B838,'Application Portfolio'!$A$2:$B$1000,2,FALSE()),""))</f>
        <v/>
      </c>
      <c r="D838" s="66"/>
      <c r="E838" s="66"/>
      <c r="F838" s="66"/>
      <c r="G838" s="66"/>
      <c r="H838" s="66"/>
      <c r="I838" s="64" t="str">
        <f>IF(OR($B838="", $D838="", $E838="", $F838="", $G838="", $H838=""),"",ROUND(($D838*Lists!$AN$20)+($E838*Lists!$AN$21)+($F838*Lists!$AN$22)+($G838*Lists!$AN$23)+($H838*Lists!$AN$24),2))</f>
        <v/>
      </c>
      <c r="J838" s="62"/>
      <c r="K838" s="65"/>
      <c r="L838" s="62"/>
    </row>
    <row r="839" spans="1:12" ht="15.75" customHeight="1" x14ac:dyDescent="0.2">
      <c r="A839" s="63" t="str">
        <f t="shared" si="13"/>
        <v/>
      </c>
      <c r="B839" s="63"/>
      <c r="C839" s="62" t="str">
        <f>IF($B839="","",IFERROR(VLOOKUP($B839,'Application Portfolio'!$A$2:$B$1000,2,FALSE()),""))</f>
        <v/>
      </c>
      <c r="D839" s="66"/>
      <c r="E839" s="66"/>
      <c r="F839" s="66"/>
      <c r="G839" s="66"/>
      <c r="H839" s="66"/>
      <c r="I839" s="64" t="str">
        <f>IF(OR($B839="", $D839="", $E839="", $F839="", $G839="", $H839=""),"",ROUND(($D839*Lists!$AN$20)+($E839*Lists!$AN$21)+($F839*Lists!$AN$22)+($G839*Lists!$AN$23)+($H839*Lists!$AN$24),2))</f>
        <v/>
      </c>
      <c r="J839" s="62"/>
      <c r="K839" s="65"/>
      <c r="L839" s="62"/>
    </row>
    <row r="840" spans="1:12" ht="15.75" customHeight="1" x14ac:dyDescent="0.2">
      <c r="A840" s="63" t="str">
        <f t="shared" si="13"/>
        <v/>
      </c>
      <c r="B840" s="63"/>
      <c r="C840" s="62" t="str">
        <f>IF($B840="","",IFERROR(VLOOKUP($B840,'Application Portfolio'!$A$2:$B$1000,2,FALSE()),""))</f>
        <v/>
      </c>
      <c r="D840" s="66"/>
      <c r="E840" s="66"/>
      <c r="F840" s="66"/>
      <c r="G840" s="66"/>
      <c r="H840" s="66"/>
      <c r="I840" s="64" t="str">
        <f>IF(OR($B840="", $D840="", $E840="", $F840="", $G840="", $H840=""),"",ROUND(($D840*Lists!$AN$20)+($E840*Lists!$AN$21)+($F840*Lists!$AN$22)+($G840*Lists!$AN$23)+($H840*Lists!$AN$24),2))</f>
        <v/>
      </c>
      <c r="J840" s="62"/>
      <c r="K840" s="65"/>
      <c r="L840" s="62"/>
    </row>
    <row r="841" spans="1:12" ht="15.75" customHeight="1" x14ac:dyDescent="0.2">
      <c r="A841" s="63" t="str">
        <f t="shared" si="13"/>
        <v/>
      </c>
      <c r="B841" s="63"/>
      <c r="C841" s="62" t="str">
        <f>IF($B841="","",IFERROR(VLOOKUP($B841,'Application Portfolio'!$A$2:$B$1000,2,FALSE()),""))</f>
        <v/>
      </c>
      <c r="D841" s="66"/>
      <c r="E841" s="66"/>
      <c r="F841" s="66"/>
      <c r="G841" s="66"/>
      <c r="H841" s="66"/>
      <c r="I841" s="64" t="str">
        <f>IF(OR($B841="", $D841="", $E841="", $F841="", $G841="", $H841=""),"",ROUND(($D841*Lists!$AN$20)+($E841*Lists!$AN$21)+($F841*Lists!$AN$22)+($G841*Lists!$AN$23)+($H841*Lists!$AN$24),2))</f>
        <v/>
      </c>
      <c r="J841" s="62"/>
      <c r="K841" s="65"/>
      <c r="L841" s="62"/>
    </row>
    <row r="842" spans="1:12" ht="15.75" customHeight="1" x14ac:dyDescent="0.2">
      <c r="A842" s="63" t="str">
        <f t="shared" si="13"/>
        <v/>
      </c>
      <c r="B842" s="63"/>
      <c r="C842" s="62" t="str">
        <f>IF($B842="","",IFERROR(VLOOKUP($B842,'Application Portfolio'!$A$2:$B$1000,2,FALSE()),""))</f>
        <v/>
      </c>
      <c r="D842" s="66"/>
      <c r="E842" s="66"/>
      <c r="F842" s="66"/>
      <c r="G842" s="66"/>
      <c r="H842" s="66"/>
      <c r="I842" s="64" t="str">
        <f>IF(OR($B842="", $D842="", $E842="", $F842="", $G842="", $H842=""),"",ROUND(($D842*Lists!$AN$20)+($E842*Lists!$AN$21)+($F842*Lists!$AN$22)+($G842*Lists!$AN$23)+($H842*Lists!$AN$24),2))</f>
        <v/>
      </c>
      <c r="J842" s="62"/>
      <c r="K842" s="65"/>
      <c r="L842" s="62"/>
    </row>
    <row r="843" spans="1:12" ht="15.75" customHeight="1" x14ac:dyDescent="0.2">
      <c r="A843" s="63" t="str">
        <f t="shared" si="13"/>
        <v/>
      </c>
      <c r="B843" s="63"/>
      <c r="C843" s="62" t="str">
        <f>IF($B843="","",IFERROR(VLOOKUP($B843,'Application Portfolio'!$A$2:$B$1000,2,FALSE()),""))</f>
        <v/>
      </c>
      <c r="D843" s="66"/>
      <c r="E843" s="66"/>
      <c r="F843" s="66"/>
      <c r="G843" s="66"/>
      <c r="H843" s="66"/>
      <c r="I843" s="64" t="str">
        <f>IF(OR($B843="", $D843="", $E843="", $F843="", $G843="", $H843=""),"",ROUND(($D843*Lists!$AN$20)+($E843*Lists!$AN$21)+($F843*Lists!$AN$22)+($G843*Lists!$AN$23)+($H843*Lists!$AN$24),2))</f>
        <v/>
      </c>
      <c r="J843" s="62"/>
      <c r="K843" s="65"/>
      <c r="L843" s="62"/>
    </row>
    <row r="844" spans="1:12" ht="15.75" customHeight="1" x14ac:dyDescent="0.2">
      <c r="A844" s="63" t="str">
        <f t="shared" si="13"/>
        <v/>
      </c>
      <c r="B844" s="63"/>
      <c r="C844" s="62" t="str">
        <f>IF($B844="","",IFERROR(VLOOKUP($B844,'Application Portfolio'!$A$2:$B$1000,2,FALSE()),""))</f>
        <v/>
      </c>
      <c r="D844" s="66"/>
      <c r="E844" s="66"/>
      <c r="F844" s="66"/>
      <c r="G844" s="66"/>
      <c r="H844" s="66"/>
      <c r="I844" s="64" t="str">
        <f>IF(OR($B844="", $D844="", $E844="", $F844="", $G844="", $H844=""),"",ROUND(($D844*Lists!$AN$20)+($E844*Lists!$AN$21)+($F844*Lists!$AN$22)+($G844*Lists!$AN$23)+($H844*Lists!$AN$24),2))</f>
        <v/>
      </c>
      <c r="J844" s="62"/>
      <c r="K844" s="65"/>
      <c r="L844" s="62"/>
    </row>
    <row r="845" spans="1:12" ht="15.75" customHeight="1" x14ac:dyDescent="0.2">
      <c r="A845" s="63" t="str">
        <f t="shared" si="13"/>
        <v/>
      </c>
      <c r="B845" s="63"/>
      <c r="C845" s="62" t="str">
        <f>IF($B845="","",IFERROR(VLOOKUP($B845,'Application Portfolio'!$A$2:$B$1000,2,FALSE()),""))</f>
        <v/>
      </c>
      <c r="D845" s="66"/>
      <c r="E845" s="66"/>
      <c r="F845" s="66"/>
      <c r="G845" s="66"/>
      <c r="H845" s="66"/>
      <c r="I845" s="64" t="str">
        <f>IF(OR($B845="", $D845="", $E845="", $F845="", $G845="", $H845=""),"",ROUND(($D845*Lists!$AN$20)+($E845*Lists!$AN$21)+($F845*Lists!$AN$22)+($G845*Lists!$AN$23)+($H845*Lists!$AN$24),2))</f>
        <v/>
      </c>
      <c r="J845" s="62"/>
      <c r="K845" s="65"/>
      <c r="L845" s="62"/>
    </row>
    <row r="846" spans="1:12" ht="15.75" customHeight="1" x14ac:dyDescent="0.2">
      <c r="A846" s="63" t="str">
        <f t="shared" si="13"/>
        <v/>
      </c>
      <c r="B846" s="63"/>
      <c r="C846" s="62" t="str">
        <f>IF($B846="","",IFERROR(VLOOKUP($B846,'Application Portfolio'!$A$2:$B$1000,2,FALSE()),""))</f>
        <v/>
      </c>
      <c r="D846" s="66"/>
      <c r="E846" s="66"/>
      <c r="F846" s="66"/>
      <c r="G846" s="66"/>
      <c r="H846" s="66"/>
      <c r="I846" s="64" t="str">
        <f>IF(OR($B846="", $D846="", $E846="", $F846="", $G846="", $H846=""),"",ROUND(($D846*Lists!$AN$20)+($E846*Lists!$AN$21)+($F846*Lists!$AN$22)+($G846*Lists!$AN$23)+($H846*Lists!$AN$24),2))</f>
        <v/>
      </c>
      <c r="J846" s="62"/>
      <c r="K846" s="65"/>
      <c r="L846" s="62"/>
    </row>
    <row r="847" spans="1:12" ht="15.75" customHeight="1" x14ac:dyDescent="0.2">
      <c r="A847" s="63" t="str">
        <f t="shared" si="13"/>
        <v/>
      </c>
      <c r="B847" s="63"/>
      <c r="C847" s="62" t="str">
        <f>IF($B847="","",IFERROR(VLOOKUP($B847,'Application Portfolio'!$A$2:$B$1000,2,FALSE()),""))</f>
        <v/>
      </c>
      <c r="D847" s="66"/>
      <c r="E847" s="66"/>
      <c r="F847" s="66"/>
      <c r="G847" s="66"/>
      <c r="H847" s="66"/>
      <c r="I847" s="64" t="str">
        <f>IF(OR($B847="", $D847="", $E847="", $F847="", $G847="", $H847=""),"",ROUND(($D847*Lists!$AN$20)+($E847*Lists!$AN$21)+($F847*Lists!$AN$22)+($G847*Lists!$AN$23)+($H847*Lists!$AN$24),2))</f>
        <v/>
      </c>
      <c r="J847" s="62"/>
      <c r="K847" s="65"/>
      <c r="L847" s="62"/>
    </row>
    <row r="848" spans="1:12" ht="15.75" customHeight="1" x14ac:dyDescent="0.2">
      <c r="A848" s="63" t="str">
        <f t="shared" si="13"/>
        <v/>
      </c>
      <c r="B848" s="63"/>
      <c r="C848" s="62" t="str">
        <f>IF($B848="","",IFERROR(VLOOKUP($B848,'Application Portfolio'!$A$2:$B$1000,2,FALSE()),""))</f>
        <v/>
      </c>
      <c r="D848" s="66"/>
      <c r="E848" s="66"/>
      <c r="F848" s="66"/>
      <c r="G848" s="66"/>
      <c r="H848" s="66"/>
      <c r="I848" s="64" t="str">
        <f>IF(OR($B848="", $D848="", $E848="", $F848="", $G848="", $H848=""),"",ROUND(($D848*Lists!$AN$20)+($E848*Lists!$AN$21)+($F848*Lists!$AN$22)+($G848*Lists!$AN$23)+($H848*Lists!$AN$24),2))</f>
        <v/>
      </c>
      <c r="J848" s="62"/>
      <c r="K848" s="65"/>
      <c r="L848" s="62"/>
    </row>
    <row r="849" spans="1:12" ht="15.75" customHeight="1" x14ac:dyDescent="0.2">
      <c r="A849" s="63" t="str">
        <f t="shared" si="13"/>
        <v/>
      </c>
      <c r="B849" s="63"/>
      <c r="C849" s="62" t="str">
        <f>IF($B849="","",IFERROR(VLOOKUP($B849,'Application Portfolio'!$A$2:$B$1000,2,FALSE()),""))</f>
        <v/>
      </c>
      <c r="D849" s="66"/>
      <c r="E849" s="66"/>
      <c r="F849" s="66"/>
      <c r="G849" s="66"/>
      <c r="H849" s="66"/>
      <c r="I849" s="64" t="str">
        <f>IF(OR($B849="", $D849="", $E849="", $F849="", $G849="", $H849=""),"",ROUND(($D849*Lists!$AN$20)+($E849*Lists!$AN$21)+($F849*Lists!$AN$22)+($G849*Lists!$AN$23)+($H849*Lists!$AN$24),2))</f>
        <v/>
      </c>
      <c r="J849" s="62"/>
      <c r="K849" s="65"/>
      <c r="L849" s="62"/>
    </row>
    <row r="850" spans="1:12" ht="15.75" customHeight="1" x14ac:dyDescent="0.2">
      <c r="A850" s="63" t="str">
        <f t="shared" si="13"/>
        <v/>
      </c>
      <c r="B850" s="63"/>
      <c r="C850" s="62" t="str">
        <f>IF($B850="","",IFERROR(VLOOKUP($B850,'Application Portfolio'!$A$2:$B$1000,2,FALSE()),""))</f>
        <v/>
      </c>
      <c r="D850" s="66"/>
      <c r="E850" s="66"/>
      <c r="F850" s="66"/>
      <c r="G850" s="66"/>
      <c r="H850" s="66"/>
      <c r="I850" s="64" t="str">
        <f>IF(OR($B850="", $D850="", $E850="", $F850="", $G850="", $H850=""),"",ROUND(($D850*Lists!$AN$20)+($E850*Lists!$AN$21)+($F850*Lists!$AN$22)+($G850*Lists!$AN$23)+($H850*Lists!$AN$24),2))</f>
        <v/>
      </c>
      <c r="J850" s="62"/>
      <c r="K850" s="65"/>
      <c r="L850" s="62"/>
    </row>
    <row r="851" spans="1:12" ht="15.75" customHeight="1" x14ac:dyDescent="0.2">
      <c r="A851" s="63" t="str">
        <f t="shared" si="13"/>
        <v/>
      </c>
      <c r="B851" s="63"/>
      <c r="C851" s="62" t="str">
        <f>IF($B851="","",IFERROR(VLOOKUP($B851,'Application Portfolio'!$A$2:$B$1000,2,FALSE()),""))</f>
        <v/>
      </c>
      <c r="D851" s="66"/>
      <c r="E851" s="66"/>
      <c r="F851" s="66"/>
      <c r="G851" s="66"/>
      <c r="H851" s="66"/>
      <c r="I851" s="64" t="str">
        <f>IF(OR($B851="", $D851="", $E851="", $F851="", $G851="", $H851=""),"",ROUND(($D851*Lists!$AN$20)+($E851*Lists!$AN$21)+($F851*Lists!$AN$22)+($G851*Lists!$AN$23)+($H851*Lists!$AN$24),2))</f>
        <v/>
      </c>
      <c r="J851" s="62"/>
      <c r="K851" s="65"/>
      <c r="L851" s="62"/>
    </row>
    <row r="852" spans="1:12" ht="15.75" customHeight="1" x14ac:dyDescent="0.2">
      <c r="A852" s="63" t="str">
        <f t="shared" si="13"/>
        <v/>
      </c>
      <c r="B852" s="63"/>
      <c r="C852" s="62" t="str">
        <f>IF($B852="","",IFERROR(VLOOKUP($B852,'Application Portfolio'!$A$2:$B$1000,2,FALSE()),""))</f>
        <v/>
      </c>
      <c r="D852" s="66"/>
      <c r="E852" s="66"/>
      <c r="F852" s="66"/>
      <c r="G852" s="66"/>
      <c r="H852" s="66"/>
      <c r="I852" s="64" t="str">
        <f>IF(OR($B852="", $D852="", $E852="", $F852="", $G852="", $H852=""),"",ROUND(($D852*Lists!$AN$20)+($E852*Lists!$AN$21)+($F852*Lists!$AN$22)+($G852*Lists!$AN$23)+($H852*Lists!$AN$24),2))</f>
        <v/>
      </c>
      <c r="J852" s="62"/>
      <c r="K852" s="65"/>
      <c r="L852" s="62"/>
    </row>
    <row r="853" spans="1:12" ht="15.75" customHeight="1" x14ac:dyDescent="0.2">
      <c r="A853" s="63" t="str">
        <f t="shared" si="13"/>
        <v/>
      </c>
      <c r="B853" s="63"/>
      <c r="C853" s="62" t="str">
        <f>IF($B853="","",IFERROR(VLOOKUP($B853,'Application Portfolio'!$A$2:$B$1000,2,FALSE()),""))</f>
        <v/>
      </c>
      <c r="D853" s="66"/>
      <c r="E853" s="66"/>
      <c r="F853" s="66"/>
      <c r="G853" s="66"/>
      <c r="H853" s="66"/>
      <c r="I853" s="64" t="str">
        <f>IF(OR($B853="", $D853="", $E853="", $F853="", $G853="", $H853=""),"",ROUND(($D853*Lists!$AN$20)+($E853*Lists!$AN$21)+($F853*Lists!$AN$22)+($G853*Lists!$AN$23)+($H853*Lists!$AN$24),2))</f>
        <v/>
      </c>
      <c r="J853" s="62"/>
      <c r="K853" s="65"/>
      <c r="L853" s="62"/>
    </row>
    <row r="854" spans="1:12" ht="15.75" customHeight="1" x14ac:dyDescent="0.2">
      <c r="A854" s="63" t="str">
        <f t="shared" si="13"/>
        <v/>
      </c>
      <c r="B854" s="63"/>
      <c r="C854" s="62" t="str">
        <f>IF($B854="","",IFERROR(VLOOKUP($B854,'Application Portfolio'!$A$2:$B$1000,2,FALSE()),""))</f>
        <v/>
      </c>
      <c r="D854" s="66"/>
      <c r="E854" s="66"/>
      <c r="F854" s="66"/>
      <c r="G854" s="66"/>
      <c r="H854" s="66"/>
      <c r="I854" s="64" t="str">
        <f>IF(OR($B854="", $D854="", $E854="", $F854="", $G854="", $H854=""),"",ROUND(($D854*Lists!$AN$20)+($E854*Lists!$AN$21)+($F854*Lists!$AN$22)+($G854*Lists!$AN$23)+($H854*Lists!$AN$24),2))</f>
        <v/>
      </c>
      <c r="J854" s="62"/>
      <c r="K854" s="65"/>
      <c r="L854" s="62"/>
    </row>
    <row r="855" spans="1:12" ht="15.75" customHeight="1" x14ac:dyDescent="0.2">
      <c r="A855" s="63" t="str">
        <f t="shared" si="13"/>
        <v/>
      </c>
      <c r="B855" s="63"/>
      <c r="C855" s="62" t="str">
        <f>IF($B855="","",IFERROR(VLOOKUP($B855,'Application Portfolio'!$A$2:$B$1000,2,FALSE()),""))</f>
        <v/>
      </c>
      <c r="D855" s="66"/>
      <c r="E855" s="66"/>
      <c r="F855" s="66"/>
      <c r="G855" s="66"/>
      <c r="H855" s="66"/>
      <c r="I855" s="64" t="str">
        <f>IF(OR($B855="", $D855="", $E855="", $F855="", $G855="", $H855=""),"",ROUND(($D855*Lists!$AN$20)+($E855*Lists!$AN$21)+($F855*Lists!$AN$22)+($G855*Lists!$AN$23)+($H855*Lists!$AN$24),2))</f>
        <v/>
      </c>
      <c r="J855" s="62"/>
      <c r="K855" s="65"/>
      <c r="L855" s="62"/>
    </row>
    <row r="856" spans="1:12" ht="15.75" customHeight="1" x14ac:dyDescent="0.2">
      <c r="A856" s="63" t="str">
        <f t="shared" si="13"/>
        <v/>
      </c>
      <c r="B856" s="63"/>
      <c r="C856" s="62" t="str">
        <f>IF($B856="","",IFERROR(VLOOKUP($B856,'Application Portfolio'!$A$2:$B$1000,2,FALSE()),""))</f>
        <v/>
      </c>
      <c r="D856" s="66"/>
      <c r="E856" s="66"/>
      <c r="F856" s="66"/>
      <c r="G856" s="66"/>
      <c r="H856" s="66"/>
      <c r="I856" s="64" t="str">
        <f>IF(OR($B856="", $D856="", $E856="", $F856="", $G856="", $H856=""),"",ROUND(($D856*Lists!$AN$20)+($E856*Lists!$AN$21)+($F856*Lists!$AN$22)+($G856*Lists!$AN$23)+($H856*Lists!$AN$24),2))</f>
        <v/>
      </c>
      <c r="J856" s="62"/>
      <c r="K856" s="65"/>
      <c r="L856" s="62"/>
    </row>
    <row r="857" spans="1:12" ht="15.75" customHeight="1" x14ac:dyDescent="0.2">
      <c r="A857" s="63" t="str">
        <f t="shared" si="13"/>
        <v/>
      </c>
      <c r="B857" s="63"/>
      <c r="C857" s="62" t="str">
        <f>IF($B857="","",IFERROR(VLOOKUP($B857,'Application Portfolio'!$A$2:$B$1000,2,FALSE()),""))</f>
        <v/>
      </c>
      <c r="D857" s="66"/>
      <c r="E857" s="66"/>
      <c r="F857" s="66"/>
      <c r="G857" s="66"/>
      <c r="H857" s="66"/>
      <c r="I857" s="64" t="str">
        <f>IF(OR($B857="", $D857="", $E857="", $F857="", $G857="", $H857=""),"",ROUND(($D857*Lists!$AN$20)+($E857*Lists!$AN$21)+($F857*Lists!$AN$22)+($G857*Lists!$AN$23)+($H857*Lists!$AN$24),2))</f>
        <v/>
      </c>
      <c r="J857" s="62"/>
      <c r="K857" s="65"/>
      <c r="L857" s="62"/>
    </row>
    <row r="858" spans="1:12" ht="15.75" customHeight="1" x14ac:dyDescent="0.2">
      <c r="A858" s="63" t="str">
        <f t="shared" si="13"/>
        <v/>
      </c>
      <c r="B858" s="63"/>
      <c r="C858" s="62" t="str">
        <f>IF($B858="","",IFERROR(VLOOKUP($B858,'Application Portfolio'!$A$2:$B$1000,2,FALSE()),""))</f>
        <v/>
      </c>
      <c r="D858" s="66"/>
      <c r="E858" s="66"/>
      <c r="F858" s="66"/>
      <c r="G858" s="66"/>
      <c r="H858" s="66"/>
      <c r="I858" s="64" t="str">
        <f>IF(OR($B858="", $D858="", $E858="", $F858="", $G858="", $H858=""),"",ROUND(($D858*Lists!$AN$20)+($E858*Lists!$AN$21)+($F858*Lists!$AN$22)+($G858*Lists!$AN$23)+($H858*Lists!$AN$24),2))</f>
        <v/>
      </c>
      <c r="J858" s="62"/>
      <c r="K858" s="65"/>
      <c r="L858" s="62"/>
    </row>
    <row r="859" spans="1:12" ht="15.75" customHeight="1" x14ac:dyDescent="0.2">
      <c r="A859" s="63" t="str">
        <f t="shared" si="13"/>
        <v/>
      </c>
      <c r="B859" s="63"/>
      <c r="C859" s="62" t="str">
        <f>IF($B859="","",IFERROR(VLOOKUP($B859,'Application Portfolio'!$A$2:$B$1000,2,FALSE()),""))</f>
        <v/>
      </c>
      <c r="D859" s="66"/>
      <c r="E859" s="66"/>
      <c r="F859" s="66"/>
      <c r="G859" s="66"/>
      <c r="H859" s="66"/>
      <c r="I859" s="64" t="str">
        <f>IF(OR($B859="", $D859="", $E859="", $F859="", $G859="", $H859=""),"",ROUND(($D859*Lists!$AN$20)+($E859*Lists!$AN$21)+($F859*Lists!$AN$22)+($G859*Lists!$AN$23)+($H859*Lists!$AN$24),2))</f>
        <v/>
      </c>
      <c r="J859" s="62"/>
      <c r="K859" s="65"/>
      <c r="L859" s="62"/>
    </row>
    <row r="860" spans="1:12" ht="15.75" customHeight="1" x14ac:dyDescent="0.2">
      <c r="A860" s="63" t="str">
        <f t="shared" si="13"/>
        <v/>
      </c>
      <c r="B860" s="63"/>
      <c r="C860" s="62" t="str">
        <f>IF($B860="","",IFERROR(VLOOKUP($B860,'Application Portfolio'!$A$2:$B$1000,2,FALSE()),""))</f>
        <v/>
      </c>
      <c r="D860" s="66"/>
      <c r="E860" s="66"/>
      <c r="F860" s="66"/>
      <c r="G860" s="66"/>
      <c r="H860" s="66"/>
      <c r="I860" s="64" t="str">
        <f>IF(OR($B860="", $D860="", $E860="", $F860="", $G860="", $H860=""),"",ROUND(($D860*Lists!$AN$20)+($E860*Lists!$AN$21)+($F860*Lists!$AN$22)+($G860*Lists!$AN$23)+($H860*Lists!$AN$24),2))</f>
        <v/>
      </c>
      <c r="J860" s="62"/>
      <c r="K860" s="65"/>
      <c r="L860" s="62"/>
    </row>
    <row r="861" spans="1:12" ht="15.75" customHeight="1" x14ac:dyDescent="0.2">
      <c r="A861" s="63" t="str">
        <f t="shared" si="13"/>
        <v/>
      </c>
      <c r="B861" s="63"/>
      <c r="C861" s="62" t="str">
        <f>IF($B861="","",IFERROR(VLOOKUP($B861,'Application Portfolio'!$A$2:$B$1000,2,FALSE()),""))</f>
        <v/>
      </c>
      <c r="D861" s="66"/>
      <c r="E861" s="66"/>
      <c r="F861" s="66"/>
      <c r="G861" s="66"/>
      <c r="H861" s="66"/>
      <c r="I861" s="64" t="str">
        <f>IF(OR($B861="", $D861="", $E861="", $F861="", $G861="", $H861=""),"",ROUND(($D861*Lists!$AN$20)+($E861*Lists!$AN$21)+($F861*Lists!$AN$22)+($G861*Lists!$AN$23)+($H861*Lists!$AN$24),2))</f>
        <v/>
      </c>
      <c r="J861" s="62"/>
      <c r="K861" s="65"/>
      <c r="L861" s="62"/>
    </row>
    <row r="862" spans="1:12" ht="15.75" customHeight="1" x14ac:dyDescent="0.2">
      <c r="A862" s="63" t="str">
        <f t="shared" si="13"/>
        <v/>
      </c>
      <c r="B862" s="63"/>
      <c r="C862" s="62" t="str">
        <f>IF($B862="","",IFERROR(VLOOKUP($B862,'Application Portfolio'!$A$2:$B$1000,2,FALSE()),""))</f>
        <v/>
      </c>
      <c r="D862" s="66"/>
      <c r="E862" s="66"/>
      <c r="F862" s="66"/>
      <c r="G862" s="66"/>
      <c r="H862" s="66"/>
      <c r="I862" s="64" t="str">
        <f>IF(OR($B862="", $D862="", $E862="", $F862="", $G862="", $H862=""),"",ROUND(($D862*Lists!$AN$20)+($E862*Lists!$AN$21)+($F862*Lists!$AN$22)+($G862*Lists!$AN$23)+($H862*Lists!$AN$24),2))</f>
        <v/>
      </c>
      <c r="J862" s="62"/>
      <c r="K862" s="65"/>
      <c r="L862" s="62"/>
    </row>
    <row r="863" spans="1:12" ht="15.75" customHeight="1" x14ac:dyDescent="0.2">
      <c r="A863" s="63" t="str">
        <f t="shared" si="13"/>
        <v/>
      </c>
      <c r="B863" s="63"/>
      <c r="C863" s="62" t="str">
        <f>IF($B863="","",IFERROR(VLOOKUP($B863,'Application Portfolio'!$A$2:$B$1000,2,FALSE()),""))</f>
        <v/>
      </c>
      <c r="D863" s="66"/>
      <c r="E863" s="66"/>
      <c r="F863" s="66"/>
      <c r="G863" s="66"/>
      <c r="H863" s="66"/>
      <c r="I863" s="64" t="str">
        <f>IF(OR($B863="", $D863="", $E863="", $F863="", $G863="", $H863=""),"",ROUND(($D863*Lists!$AN$20)+($E863*Lists!$AN$21)+($F863*Lists!$AN$22)+($G863*Lists!$AN$23)+($H863*Lists!$AN$24),2))</f>
        <v/>
      </c>
      <c r="J863" s="62"/>
      <c r="K863" s="65"/>
      <c r="L863" s="62"/>
    </row>
    <row r="864" spans="1:12" ht="15.75" customHeight="1" x14ac:dyDescent="0.2">
      <c r="A864" s="63" t="str">
        <f t="shared" ref="A864:A927" si="14">IF($B864="","", "R-" &amp; RIGHT("0000"&amp;ROW()-1,4))</f>
        <v/>
      </c>
      <c r="B864" s="63"/>
      <c r="C864" s="62" t="str">
        <f>IF($B864="","",IFERROR(VLOOKUP($B864,'Application Portfolio'!$A$2:$B$1000,2,FALSE()),""))</f>
        <v/>
      </c>
      <c r="D864" s="66"/>
      <c r="E864" s="66"/>
      <c r="F864" s="66"/>
      <c r="G864" s="66"/>
      <c r="H864" s="66"/>
      <c r="I864" s="64" t="str">
        <f>IF(OR($B864="", $D864="", $E864="", $F864="", $G864="", $H864=""),"",ROUND(($D864*Lists!$AN$20)+($E864*Lists!$AN$21)+($F864*Lists!$AN$22)+($G864*Lists!$AN$23)+($H864*Lists!$AN$24),2))</f>
        <v/>
      </c>
      <c r="J864" s="62"/>
      <c r="K864" s="65"/>
      <c r="L864" s="62"/>
    </row>
    <row r="865" spans="1:12" ht="15.75" customHeight="1" x14ac:dyDescent="0.2">
      <c r="A865" s="63" t="str">
        <f t="shared" si="14"/>
        <v/>
      </c>
      <c r="B865" s="63"/>
      <c r="C865" s="62" t="str">
        <f>IF($B865="","",IFERROR(VLOOKUP($B865,'Application Portfolio'!$A$2:$B$1000,2,FALSE()),""))</f>
        <v/>
      </c>
      <c r="D865" s="66"/>
      <c r="E865" s="66"/>
      <c r="F865" s="66"/>
      <c r="G865" s="66"/>
      <c r="H865" s="66"/>
      <c r="I865" s="64" t="str">
        <f>IF(OR($B865="", $D865="", $E865="", $F865="", $G865="", $H865=""),"",ROUND(($D865*Lists!$AN$20)+($E865*Lists!$AN$21)+($F865*Lists!$AN$22)+($G865*Lists!$AN$23)+($H865*Lists!$AN$24),2))</f>
        <v/>
      </c>
      <c r="J865" s="62"/>
      <c r="K865" s="65"/>
      <c r="L865" s="62"/>
    </row>
    <row r="866" spans="1:12" ht="15.75" customHeight="1" x14ac:dyDescent="0.2">
      <c r="A866" s="63" t="str">
        <f t="shared" si="14"/>
        <v/>
      </c>
      <c r="B866" s="63"/>
      <c r="C866" s="62" t="str">
        <f>IF($B866="","",IFERROR(VLOOKUP($B866,'Application Portfolio'!$A$2:$B$1000,2,FALSE()),""))</f>
        <v/>
      </c>
      <c r="D866" s="66"/>
      <c r="E866" s="66"/>
      <c r="F866" s="66"/>
      <c r="G866" s="66"/>
      <c r="H866" s="66"/>
      <c r="I866" s="64" t="str">
        <f>IF(OR($B866="", $D866="", $E866="", $F866="", $G866="", $H866=""),"",ROUND(($D866*Lists!$AN$20)+($E866*Lists!$AN$21)+($F866*Lists!$AN$22)+($G866*Lists!$AN$23)+($H866*Lists!$AN$24),2))</f>
        <v/>
      </c>
      <c r="J866" s="62"/>
      <c r="K866" s="65"/>
      <c r="L866" s="62"/>
    </row>
    <row r="867" spans="1:12" ht="15.75" customHeight="1" x14ac:dyDescent="0.2">
      <c r="A867" s="63" t="str">
        <f t="shared" si="14"/>
        <v/>
      </c>
      <c r="B867" s="63"/>
      <c r="C867" s="62" t="str">
        <f>IF($B867="","",IFERROR(VLOOKUP($B867,'Application Portfolio'!$A$2:$B$1000,2,FALSE()),""))</f>
        <v/>
      </c>
      <c r="D867" s="66"/>
      <c r="E867" s="66"/>
      <c r="F867" s="66"/>
      <c r="G867" s="66"/>
      <c r="H867" s="66"/>
      <c r="I867" s="64" t="str">
        <f>IF(OR($B867="", $D867="", $E867="", $F867="", $G867="", $H867=""),"",ROUND(($D867*Lists!$AN$20)+($E867*Lists!$AN$21)+($F867*Lists!$AN$22)+($G867*Lists!$AN$23)+($H867*Lists!$AN$24),2))</f>
        <v/>
      </c>
      <c r="J867" s="62"/>
      <c r="K867" s="65"/>
      <c r="L867" s="62"/>
    </row>
    <row r="868" spans="1:12" ht="15.75" customHeight="1" x14ac:dyDescent="0.2">
      <c r="A868" s="63" t="str">
        <f t="shared" si="14"/>
        <v/>
      </c>
      <c r="B868" s="63"/>
      <c r="C868" s="62" t="str">
        <f>IF($B868="","",IFERROR(VLOOKUP($B868,'Application Portfolio'!$A$2:$B$1000,2,FALSE()),""))</f>
        <v/>
      </c>
      <c r="D868" s="66"/>
      <c r="E868" s="66"/>
      <c r="F868" s="66"/>
      <c r="G868" s="66"/>
      <c r="H868" s="66"/>
      <c r="I868" s="64" t="str">
        <f>IF(OR($B868="", $D868="", $E868="", $F868="", $G868="", $H868=""),"",ROUND(($D868*Lists!$AN$20)+($E868*Lists!$AN$21)+($F868*Lists!$AN$22)+($G868*Lists!$AN$23)+($H868*Lists!$AN$24),2))</f>
        <v/>
      </c>
      <c r="J868" s="62"/>
      <c r="K868" s="65"/>
      <c r="L868" s="62"/>
    </row>
    <row r="869" spans="1:12" ht="15.75" customHeight="1" x14ac:dyDescent="0.2">
      <c r="A869" s="63" t="str">
        <f t="shared" si="14"/>
        <v/>
      </c>
      <c r="B869" s="63"/>
      <c r="C869" s="62" t="str">
        <f>IF($B869="","",IFERROR(VLOOKUP($B869,'Application Portfolio'!$A$2:$B$1000,2,FALSE()),""))</f>
        <v/>
      </c>
      <c r="D869" s="66"/>
      <c r="E869" s="66"/>
      <c r="F869" s="66"/>
      <c r="G869" s="66"/>
      <c r="H869" s="66"/>
      <c r="I869" s="64" t="str">
        <f>IF(OR($B869="", $D869="", $E869="", $F869="", $G869="", $H869=""),"",ROUND(($D869*Lists!$AN$20)+($E869*Lists!$AN$21)+($F869*Lists!$AN$22)+($G869*Lists!$AN$23)+($H869*Lists!$AN$24),2))</f>
        <v/>
      </c>
      <c r="J869" s="62"/>
      <c r="K869" s="65"/>
      <c r="L869" s="62"/>
    </row>
    <row r="870" spans="1:12" ht="15.75" customHeight="1" x14ac:dyDescent="0.2">
      <c r="A870" s="63" t="str">
        <f t="shared" si="14"/>
        <v/>
      </c>
      <c r="B870" s="63"/>
      <c r="C870" s="62" t="str">
        <f>IF($B870="","",IFERROR(VLOOKUP($B870,'Application Portfolio'!$A$2:$B$1000,2,FALSE()),""))</f>
        <v/>
      </c>
      <c r="D870" s="66"/>
      <c r="E870" s="66"/>
      <c r="F870" s="66"/>
      <c r="G870" s="66"/>
      <c r="H870" s="66"/>
      <c r="I870" s="64" t="str">
        <f>IF(OR($B870="", $D870="", $E870="", $F870="", $G870="", $H870=""),"",ROUND(($D870*Lists!$AN$20)+($E870*Lists!$AN$21)+($F870*Lists!$AN$22)+($G870*Lists!$AN$23)+($H870*Lists!$AN$24),2))</f>
        <v/>
      </c>
      <c r="J870" s="62"/>
      <c r="K870" s="65"/>
      <c r="L870" s="62"/>
    </row>
    <row r="871" spans="1:12" ht="15.75" customHeight="1" x14ac:dyDescent="0.2">
      <c r="A871" s="63" t="str">
        <f t="shared" si="14"/>
        <v/>
      </c>
      <c r="B871" s="63"/>
      <c r="C871" s="62" t="str">
        <f>IF($B871="","",IFERROR(VLOOKUP($B871,'Application Portfolio'!$A$2:$B$1000,2,FALSE()),""))</f>
        <v/>
      </c>
      <c r="D871" s="66"/>
      <c r="E871" s="66"/>
      <c r="F871" s="66"/>
      <c r="G871" s="66"/>
      <c r="H871" s="66"/>
      <c r="I871" s="64" t="str">
        <f>IF(OR($B871="", $D871="", $E871="", $F871="", $G871="", $H871=""),"",ROUND(($D871*Lists!$AN$20)+($E871*Lists!$AN$21)+($F871*Lists!$AN$22)+($G871*Lists!$AN$23)+($H871*Lists!$AN$24),2))</f>
        <v/>
      </c>
      <c r="J871" s="62"/>
      <c r="K871" s="65"/>
      <c r="L871" s="62"/>
    </row>
    <row r="872" spans="1:12" ht="15.75" customHeight="1" x14ac:dyDescent="0.2">
      <c r="A872" s="63" t="str">
        <f t="shared" si="14"/>
        <v/>
      </c>
      <c r="B872" s="63"/>
      <c r="C872" s="62" t="str">
        <f>IF($B872="","",IFERROR(VLOOKUP($B872,'Application Portfolio'!$A$2:$B$1000,2,FALSE()),""))</f>
        <v/>
      </c>
      <c r="D872" s="66"/>
      <c r="E872" s="66"/>
      <c r="F872" s="66"/>
      <c r="G872" s="66"/>
      <c r="H872" s="66"/>
      <c r="I872" s="64" t="str">
        <f>IF(OR($B872="", $D872="", $E872="", $F872="", $G872="", $H872=""),"",ROUND(($D872*Lists!$AN$20)+($E872*Lists!$AN$21)+($F872*Lists!$AN$22)+($G872*Lists!$AN$23)+($H872*Lists!$AN$24),2))</f>
        <v/>
      </c>
      <c r="J872" s="62"/>
      <c r="K872" s="65"/>
      <c r="L872" s="62"/>
    </row>
    <row r="873" spans="1:12" ht="15.75" customHeight="1" x14ac:dyDescent="0.2">
      <c r="A873" s="63" t="str">
        <f t="shared" si="14"/>
        <v/>
      </c>
      <c r="B873" s="63"/>
      <c r="C873" s="62" t="str">
        <f>IF($B873="","",IFERROR(VLOOKUP($B873,'Application Portfolio'!$A$2:$B$1000,2,FALSE()),""))</f>
        <v/>
      </c>
      <c r="D873" s="66"/>
      <c r="E873" s="66"/>
      <c r="F873" s="66"/>
      <c r="G873" s="66"/>
      <c r="H873" s="66"/>
      <c r="I873" s="64" t="str">
        <f>IF(OR($B873="", $D873="", $E873="", $F873="", $G873="", $H873=""),"",ROUND(($D873*Lists!$AN$20)+($E873*Lists!$AN$21)+($F873*Lists!$AN$22)+($G873*Lists!$AN$23)+($H873*Lists!$AN$24),2))</f>
        <v/>
      </c>
      <c r="J873" s="62"/>
      <c r="K873" s="65"/>
      <c r="L873" s="62"/>
    </row>
    <row r="874" spans="1:12" ht="15.75" customHeight="1" x14ac:dyDescent="0.2">
      <c r="A874" s="63" t="str">
        <f t="shared" si="14"/>
        <v/>
      </c>
      <c r="B874" s="63"/>
      <c r="C874" s="62" t="str">
        <f>IF($B874="","",IFERROR(VLOOKUP($B874,'Application Portfolio'!$A$2:$B$1000,2,FALSE()),""))</f>
        <v/>
      </c>
      <c r="D874" s="66"/>
      <c r="E874" s="66"/>
      <c r="F874" s="66"/>
      <c r="G874" s="66"/>
      <c r="H874" s="66"/>
      <c r="I874" s="64" t="str">
        <f>IF(OR($B874="", $D874="", $E874="", $F874="", $G874="", $H874=""),"",ROUND(($D874*Lists!$AN$20)+($E874*Lists!$AN$21)+($F874*Lists!$AN$22)+($G874*Lists!$AN$23)+($H874*Lists!$AN$24),2))</f>
        <v/>
      </c>
      <c r="J874" s="62"/>
      <c r="K874" s="65"/>
      <c r="L874" s="62"/>
    </row>
    <row r="875" spans="1:12" ht="15.75" customHeight="1" x14ac:dyDescent="0.2">
      <c r="A875" s="63" t="str">
        <f t="shared" si="14"/>
        <v/>
      </c>
      <c r="B875" s="63"/>
      <c r="C875" s="62" t="str">
        <f>IF($B875="","",IFERROR(VLOOKUP($B875,'Application Portfolio'!$A$2:$B$1000,2,FALSE()),""))</f>
        <v/>
      </c>
      <c r="D875" s="66"/>
      <c r="E875" s="66"/>
      <c r="F875" s="66"/>
      <c r="G875" s="66"/>
      <c r="H875" s="66"/>
      <c r="I875" s="64" t="str">
        <f>IF(OR($B875="", $D875="", $E875="", $F875="", $G875="", $H875=""),"",ROUND(($D875*Lists!$AN$20)+($E875*Lists!$AN$21)+($F875*Lists!$AN$22)+($G875*Lists!$AN$23)+($H875*Lists!$AN$24),2))</f>
        <v/>
      </c>
      <c r="J875" s="62"/>
      <c r="K875" s="65"/>
      <c r="L875" s="62"/>
    </row>
    <row r="876" spans="1:12" ht="15.75" customHeight="1" x14ac:dyDescent="0.2">
      <c r="A876" s="63" t="str">
        <f t="shared" si="14"/>
        <v/>
      </c>
      <c r="B876" s="63"/>
      <c r="C876" s="62" t="str">
        <f>IF($B876="","",IFERROR(VLOOKUP($B876,'Application Portfolio'!$A$2:$B$1000,2,FALSE()),""))</f>
        <v/>
      </c>
      <c r="D876" s="66"/>
      <c r="E876" s="66"/>
      <c r="F876" s="66"/>
      <c r="G876" s="66"/>
      <c r="H876" s="66"/>
      <c r="I876" s="64" t="str">
        <f>IF(OR($B876="", $D876="", $E876="", $F876="", $G876="", $H876=""),"",ROUND(($D876*Lists!$AN$20)+($E876*Lists!$AN$21)+($F876*Lists!$AN$22)+($G876*Lists!$AN$23)+($H876*Lists!$AN$24),2))</f>
        <v/>
      </c>
      <c r="J876" s="62"/>
      <c r="K876" s="65"/>
      <c r="L876" s="62"/>
    </row>
    <row r="877" spans="1:12" ht="15.75" customHeight="1" x14ac:dyDescent="0.2">
      <c r="A877" s="63" t="str">
        <f t="shared" si="14"/>
        <v/>
      </c>
      <c r="B877" s="63"/>
      <c r="C877" s="62" t="str">
        <f>IF($B877="","",IFERROR(VLOOKUP($B877,'Application Portfolio'!$A$2:$B$1000,2,FALSE()),""))</f>
        <v/>
      </c>
      <c r="D877" s="66"/>
      <c r="E877" s="66"/>
      <c r="F877" s="66"/>
      <c r="G877" s="66"/>
      <c r="H877" s="66"/>
      <c r="I877" s="64" t="str">
        <f>IF(OR($B877="", $D877="", $E877="", $F877="", $G877="", $H877=""),"",ROUND(($D877*Lists!$AN$20)+($E877*Lists!$AN$21)+($F877*Lists!$AN$22)+($G877*Lists!$AN$23)+($H877*Lists!$AN$24),2))</f>
        <v/>
      </c>
      <c r="J877" s="62"/>
      <c r="K877" s="65"/>
      <c r="L877" s="62"/>
    </row>
    <row r="878" spans="1:12" ht="15.75" customHeight="1" x14ac:dyDescent="0.2">
      <c r="A878" s="63" t="str">
        <f t="shared" si="14"/>
        <v/>
      </c>
      <c r="B878" s="63"/>
      <c r="C878" s="62" t="str">
        <f>IF($B878="","",IFERROR(VLOOKUP($B878,'Application Portfolio'!$A$2:$B$1000,2,FALSE()),""))</f>
        <v/>
      </c>
      <c r="D878" s="66"/>
      <c r="E878" s="66"/>
      <c r="F878" s="66"/>
      <c r="G878" s="66"/>
      <c r="H878" s="66"/>
      <c r="I878" s="64" t="str">
        <f>IF(OR($B878="", $D878="", $E878="", $F878="", $G878="", $H878=""),"",ROUND(($D878*Lists!$AN$20)+($E878*Lists!$AN$21)+($F878*Lists!$AN$22)+($G878*Lists!$AN$23)+($H878*Lists!$AN$24),2))</f>
        <v/>
      </c>
      <c r="J878" s="62"/>
      <c r="K878" s="65"/>
      <c r="L878" s="62"/>
    </row>
    <row r="879" spans="1:12" ht="15.75" customHeight="1" x14ac:dyDescent="0.2">
      <c r="A879" s="63" t="str">
        <f t="shared" si="14"/>
        <v/>
      </c>
      <c r="B879" s="63"/>
      <c r="C879" s="62" t="str">
        <f>IF($B879="","",IFERROR(VLOOKUP($B879,'Application Portfolio'!$A$2:$B$1000,2,FALSE()),""))</f>
        <v/>
      </c>
      <c r="D879" s="66"/>
      <c r="E879" s="66"/>
      <c r="F879" s="66"/>
      <c r="G879" s="66"/>
      <c r="H879" s="66"/>
      <c r="I879" s="64" t="str">
        <f>IF(OR($B879="", $D879="", $E879="", $F879="", $G879="", $H879=""),"",ROUND(($D879*Lists!$AN$20)+($E879*Lists!$AN$21)+($F879*Lists!$AN$22)+($G879*Lists!$AN$23)+($H879*Lists!$AN$24),2))</f>
        <v/>
      </c>
      <c r="J879" s="62"/>
      <c r="K879" s="65"/>
      <c r="L879" s="62"/>
    </row>
    <row r="880" spans="1:12" ht="15.75" customHeight="1" x14ac:dyDescent="0.2">
      <c r="A880" s="63" t="str">
        <f t="shared" si="14"/>
        <v/>
      </c>
      <c r="B880" s="63"/>
      <c r="C880" s="62" t="str">
        <f>IF($B880="","",IFERROR(VLOOKUP($B880,'Application Portfolio'!$A$2:$B$1000,2,FALSE()),""))</f>
        <v/>
      </c>
      <c r="D880" s="66"/>
      <c r="E880" s="66"/>
      <c r="F880" s="66"/>
      <c r="G880" s="66"/>
      <c r="H880" s="66"/>
      <c r="I880" s="64" t="str">
        <f>IF(OR($B880="", $D880="", $E880="", $F880="", $G880="", $H880=""),"",ROUND(($D880*Lists!$AN$20)+($E880*Lists!$AN$21)+($F880*Lists!$AN$22)+($G880*Lists!$AN$23)+($H880*Lists!$AN$24),2))</f>
        <v/>
      </c>
      <c r="J880" s="62"/>
      <c r="K880" s="65"/>
      <c r="L880" s="62"/>
    </row>
    <row r="881" spans="1:12" ht="15.75" customHeight="1" x14ac:dyDescent="0.2">
      <c r="A881" s="63" t="str">
        <f t="shared" si="14"/>
        <v/>
      </c>
      <c r="B881" s="63"/>
      <c r="C881" s="62" t="str">
        <f>IF($B881="","",IFERROR(VLOOKUP($B881,'Application Portfolio'!$A$2:$B$1000,2,FALSE()),""))</f>
        <v/>
      </c>
      <c r="D881" s="66"/>
      <c r="E881" s="66"/>
      <c r="F881" s="66"/>
      <c r="G881" s="66"/>
      <c r="H881" s="66"/>
      <c r="I881" s="64" t="str">
        <f>IF(OR($B881="", $D881="", $E881="", $F881="", $G881="", $H881=""),"",ROUND(($D881*Lists!$AN$20)+($E881*Lists!$AN$21)+($F881*Lists!$AN$22)+($G881*Lists!$AN$23)+($H881*Lists!$AN$24),2))</f>
        <v/>
      </c>
      <c r="J881" s="62"/>
      <c r="K881" s="65"/>
      <c r="L881" s="62"/>
    </row>
    <row r="882" spans="1:12" ht="15.75" customHeight="1" x14ac:dyDescent="0.2">
      <c r="A882" s="63" t="str">
        <f t="shared" si="14"/>
        <v/>
      </c>
      <c r="B882" s="63"/>
      <c r="C882" s="62" t="str">
        <f>IF($B882="","",IFERROR(VLOOKUP($B882,'Application Portfolio'!$A$2:$B$1000,2,FALSE()),""))</f>
        <v/>
      </c>
      <c r="D882" s="66"/>
      <c r="E882" s="66"/>
      <c r="F882" s="66"/>
      <c r="G882" s="66"/>
      <c r="H882" s="66"/>
      <c r="I882" s="64" t="str">
        <f>IF(OR($B882="", $D882="", $E882="", $F882="", $G882="", $H882=""),"",ROUND(($D882*Lists!$AN$20)+($E882*Lists!$AN$21)+($F882*Lists!$AN$22)+($G882*Lists!$AN$23)+($H882*Lists!$AN$24),2))</f>
        <v/>
      </c>
      <c r="J882" s="62"/>
      <c r="K882" s="65"/>
      <c r="L882" s="62"/>
    </row>
    <row r="883" spans="1:12" ht="15.75" customHeight="1" x14ac:dyDescent="0.2">
      <c r="A883" s="63" t="str">
        <f t="shared" si="14"/>
        <v/>
      </c>
      <c r="B883" s="63"/>
      <c r="C883" s="62" t="str">
        <f>IF($B883="","",IFERROR(VLOOKUP($B883,'Application Portfolio'!$A$2:$B$1000,2,FALSE()),""))</f>
        <v/>
      </c>
      <c r="D883" s="66"/>
      <c r="E883" s="66"/>
      <c r="F883" s="66"/>
      <c r="G883" s="66"/>
      <c r="H883" s="66"/>
      <c r="I883" s="64" t="str">
        <f>IF(OR($B883="", $D883="", $E883="", $F883="", $G883="", $H883=""),"",ROUND(($D883*Lists!$AN$20)+($E883*Lists!$AN$21)+($F883*Lists!$AN$22)+($G883*Lists!$AN$23)+($H883*Lists!$AN$24),2))</f>
        <v/>
      </c>
      <c r="J883" s="62"/>
      <c r="K883" s="65"/>
      <c r="L883" s="62"/>
    </row>
    <row r="884" spans="1:12" ht="15.75" customHeight="1" x14ac:dyDescent="0.2">
      <c r="A884" s="63" t="str">
        <f t="shared" si="14"/>
        <v/>
      </c>
      <c r="B884" s="63"/>
      <c r="C884" s="62" t="str">
        <f>IF($B884="","",IFERROR(VLOOKUP($B884,'Application Portfolio'!$A$2:$B$1000,2,FALSE()),""))</f>
        <v/>
      </c>
      <c r="D884" s="66"/>
      <c r="E884" s="66"/>
      <c r="F884" s="66"/>
      <c r="G884" s="66"/>
      <c r="H884" s="66"/>
      <c r="I884" s="64" t="str">
        <f>IF(OR($B884="", $D884="", $E884="", $F884="", $G884="", $H884=""),"",ROUND(($D884*Lists!$AN$20)+($E884*Lists!$AN$21)+($F884*Lists!$AN$22)+($G884*Lists!$AN$23)+($H884*Lists!$AN$24),2))</f>
        <v/>
      </c>
      <c r="J884" s="62"/>
      <c r="K884" s="65"/>
      <c r="L884" s="62"/>
    </row>
    <row r="885" spans="1:12" ht="15.75" customHeight="1" x14ac:dyDescent="0.2">
      <c r="A885" s="63" t="str">
        <f t="shared" si="14"/>
        <v/>
      </c>
      <c r="B885" s="63"/>
      <c r="C885" s="62" t="str">
        <f>IF($B885="","",IFERROR(VLOOKUP($B885,'Application Portfolio'!$A$2:$B$1000,2,FALSE()),""))</f>
        <v/>
      </c>
      <c r="D885" s="66"/>
      <c r="E885" s="66"/>
      <c r="F885" s="66"/>
      <c r="G885" s="66"/>
      <c r="H885" s="66"/>
      <c r="I885" s="64" t="str">
        <f>IF(OR($B885="", $D885="", $E885="", $F885="", $G885="", $H885=""),"",ROUND(($D885*Lists!$AN$20)+($E885*Lists!$AN$21)+($F885*Lists!$AN$22)+($G885*Lists!$AN$23)+($H885*Lists!$AN$24),2))</f>
        <v/>
      </c>
      <c r="J885" s="62"/>
      <c r="K885" s="65"/>
      <c r="L885" s="62"/>
    </row>
    <row r="886" spans="1:12" ht="15.75" customHeight="1" x14ac:dyDescent="0.2">
      <c r="A886" s="63" t="str">
        <f t="shared" si="14"/>
        <v/>
      </c>
      <c r="B886" s="63"/>
      <c r="C886" s="62" t="str">
        <f>IF($B886="","",IFERROR(VLOOKUP($B886,'Application Portfolio'!$A$2:$B$1000,2,FALSE()),""))</f>
        <v/>
      </c>
      <c r="D886" s="66"/>
      <c r="E886" s="66"/>
      <c r="F886" s="66"/>
      <c r="G886" s="66"/>
      <c r="H886" s="66"/>
      <c r="I886" s="64" t="str">
        <f>IF(OR($B886="", $D886="", $E886="", $F886="", $G886="", $H886=""),"",ROUND(($D886*Lists!$AN$20)+($E886*Lists!$AN$21)+($F886*Lists!$AN$22)+($G886*Lists!$AN$23)+($H886*Lists!$AN$24),2))</f>
        <v/>
      </c>
      <c r="J886" s="62"/>
      <c r="K886" s="65"/>
      <c r="L886" s="62"/>
    </row>
    <row r="887" spans="1:12" ht="15.75" customHeight="1" x14ac:dyDescent="0.2">
      <c r="A887" s="63" t="str">
        <f t="shared" si="14"/>
        <v/>
      </c>
      <c r="B887" s="63"/>
      <c r="C887" s="62" t="str">
        <f>IF($B887="","",IFERROR(VLOOKUP($B887,'Application Portfolio'!$A$2:$B$1000,2,FALSE()),""))</f>
        <v/>
      </c>
      <c r="D887" s="66"/>
      <c r="E887" s="66"/>
      <c r="F887" s="66"/>
      <c r="G887" s="66"/>
      <c r="H887" s="66"/>
      <c r="I887" s="64" t="str">
        <f>IF(OR($B887="", $D887="", $E887="", $F887="", $G887="", $H887=""),"",ROUND(($D887*Lists!$AN$20)+($E887*Lists!$AN$21)+($F887*Lists!$AN$22)+($G887*Lists!$AN$23)+($H887*Lists!$AN$24),2))</f>
        <v/>
      </c>
      <c r="J887" s="62"/>
      <c r="K887" s="65"/>
      <c r="L887" s="62"/>
    </row>
    <row r="888" spans="1:12" ht="15.75" customHeight="1" x14ac:dyDescent="0.2">
      <c r="A888" s="63" t="str">
        <f t="shared" si="14"/>
        <v/>
      </c>
      <c r="B888" s="63"/>
      <c r="C888" s="62" t="str">
        <f>IF($B888="","",IFERROR(VLOOKUP($B888,'Application Portfolio'!$A$2:$B$1000,2,FALSE()),""))</f>
        <v/>
      </c>
      <c r="D888" s="66"/>
      <c r="E888" s="66"/>
      <c r="F888" s="66"/>
      <c r="G888" s="66"/>
      <c r="H888" s="66"/>
      <c r="I888" s="64" t="str">
        <f>IF(OR($B888="", $D888="", $E888="", $F888="", $G888="", $H888=""),"",ROUND(($D888*Lists!$AN$20)+($E888*Lists!$AN$21)+($F888*Lists!$AN$22)+($G888*Lists!$AN$23)+($H888*Lists!$AN$24),2))</f>
        <v/>
      </c>
      <c r="J888" s="62"/>
      <c r="K888" s="65"/>
      <c r="L888" s="62"/>
    </row>
    <row r="889" spans="1:12" ht="15.75" customHeight="1" x14ac:dyDescent="0.2">
      <c r="A889" s="63" t="str">
        <f t="shared" si="14"/>
        <v/>
      </c>
      <c r="B889" s="63"/>
      <c r="C889" s="62" t="str">
        <f>IF($B889="","",IFERROR(VLOOKUP($B889,'Application Portfolio'!$A$2:$B$1000,2,FALSE()),""))</f>
        <v/>
      </c>
      <c r="D889" s="66"/>
      <c r="E889" s="66"/>
      <c r="F889" s="66"/>
      <c r="G889" s="66"/>
      <c r="H889" s="66"/>
      <c r="I889" s="64" t="str">
        <f>IF(OR($B889="", $D889="", $E889="", $F889="", $G889="", $H889=""),"",ROUND(($D889*Lists!$AN$20)+($E889*Lists!$AN$21)+($F889*Lists!$AN$22)+($G889*Lists!$AN$23)+($H889*Lists!$AN$24),2))</f>
        <v/>
      </c>
      <c r="J889" s="62"/>
      <c r="K889" s="65"/>
      <c r="L889" s="62"/>
    </row>
    <row r="890" spans="1:12" ht="15.75" customHeight="1" x14ac:dyDescent="0.2">
      <c r="A890" s="63" t="str">
        <f t="shared" si="14"/>
        <v/>
      </c>
      <c r="B890" s="63"/>
      <c r="C890" s="62" t="str">
        <f>IF($B890="","",IFERROR(VLOOKUP($B890,'Application Portfolio'!$A$2:$B$1000,2,FALSE()),""))</f>
        <v/>
      </c>
      <c r="D890" s="66"/>
      <c r="E890" s="66"/>
      <c r="F890" s="66"/>
      <c r="G890" s="66"/>
      <c r="H890" s="66"/>
      <c r="I890" s="64" t="str">
        <f>IF(OR($B890="", $D890="", $E890="", $F890="", $G890="", $H890=""),"",ROUND(($D890*Lists!$AN$20)+($E890*Lists!$AN$21)+($F890*Lists!$AN$22)+($G890*Lists!$AN$23)+($H890*Lists!$AN$24),2))</f>
        <v/>
      </c>
      <c r="J890" s="62"/>
      <c r="K890" s="65"/>
      <c r="L890" s="62"/>
    </row>
    <row r="891" spans="1:12" ht="15.75" customHeight="1" x14ac:dyDescent="0.2">
      <c r="A891" s="63" t="str">
        <f t="shared" si="14"/>
        <v/>
      </c>
      <c r="B891" s="63"/>
      <c r="C891" s="62" t="str">
        <f>IF($B891="","",IFERROR(VLOOKUP($B891,'Application Portfolio'!$A$2:$B$1000,2,FALSE()),""))</f>
        <v/>
      </c>
      <c r="D891" s="66"/>
      <c r="E891" s="66"/>
      <c r="F891" s="66"/>
      <c r="G891" s="66"/>
      <c r="H891" s="66"/>
      <c r="I891" s="64" t="str">
        <f>IF(OR($B891="", $D891="", $E891="", $F891="", $G891="", $H891=""),"",ROUND(($D891*Lists!$AN$20)+($E891*Lists!$AN$21)+($F891*Lists!$AN$22)+($G891*Lists!$AN$23)+($H891*Lists!$AN$24),2))</f>
        <v/>
      </c>
      <c r="J891" s="62"/>
      <c r="K891" s="65"/>
      <c r="L891" s="62"/>
    </row>
    <row r="892" spans="1:12" ht="15.75" customHeight="1" x14ac:dyDescent="0.2">
      <c r="A892" s="63" t="str">
        <f t="shared" si="14"/>
        <v/>
      </c>
      <c r="B892" s="63"/>
      <c r="C892" s="62" t="str">
        <f>IF($B892="","",IFERROR(VLOOKUP($B892,'Application Portfolio'!$A$2:$B$1000,2,FALSE()),""))</f>
        <v/>
      </c>
      <c r="D892" s="66"/>
      <c r="E892" s="66"/>
      <c r="F892" s="66"/>
      <c r="G892" s="66"/>
      <c r="H892" s="66"/>
      <c r="I892" s="64" t="str">
        <f>IF(OR($B892="", $D892="", $E892="", $F892="", $G892="", $H892=""),"",ROUND(($D892*Lists!$AN$20)+($E892*Lists!$AN$21)+($F892*Lists!$AN$22)+($G892*Lists!$AN$23)+($H892*Lists!$AN$24),2))</f>
        <v/>
      </c>
      <c r="J892" s="62"/>
      <c r="K892" s="65"/>
      <c r="L892" s="62"/>
    </row>
    <row r="893" spans="1:12" ht="15.75" customHeight="1" x14ac:dyDescent="0.2">
      <c r="A893" s="63" t="str">
        <f t="shared" si="14"/>
        <v/>
      </c>
      <c r="B893" s="63"/>
      <c r="C893" s="62" t="str">
        <f>IF($B893="","",IFERROR(VLOOKUP($B893,'Application Portfolio'!$A$2:$B$1000,2,FALSE()),""))</f>
        <v/>
      </c>
      <c r="D893" s="66"/>
      <c r="E893" s="66"/>
      <c r="F893" s="66"/>
      <c r="G893" s="66"/>
      <c r="H893" s="66"/>
      <c r="I893" s="64" t="str">
        <f>IF(OR($B893="", $D893="", $E893="", $F893="", $G893="", $H893=""),"",ROUND(($D893*Lists!$AN$20)+($E893*Lists!$AN$21)+($F893*Lists!$AN$22)+($G893*Lists!$AN$23)+($H893*Lists!$AN$24),2))</f>
        <v/>
      </c>
      <c r="J893" s="62"/>
      <c r="K893" s="65"/>
      <c r="L893" s="62"/>
    </row>
    <row r="894" spans="1:12" ht="15.75" customHeight="1" x14ac:dyDescent="0.2">
      <c r="A894" s="63" t="str">
        <f t="shared" si="14"/>
        <v/>
      </c>
      <c r="B894" s="63"/>
      <c r="C894" s="62" t="str">
        <f>IF($B894="","",IFERROR(VLOOKUP($B894,'Application Portfolio'!$A$2:$B$1000,2,FALSE()),""))</f>
        <v/>
      </c>
      <c r="D894" s="66"/>
      <c r="E894" s="66"/>
      <c r="F894" s="66"/>
      <c r="G894" s="66"/>
      <c r="H894" s="66"/>
      <c r="I894" s="64" t="str">
        <f>IF(OR($B894="", $D894="", $E894="", $F894="", $G894="", $H894=""),"",ROUND(($D894*Lists!$AN$20)+($E894*Lists!$AN$21)+($F894*Lists!$AN$22)+($G894*Lists!$AN$23)+($H894*Lists!$AN$24),2))</f>
        <v/>
      </c>
      <c r="J894" s="62"/>
      <c r="K894" s="65"/>
      <c r="L894" s="62"/>
    </row>
    <row r="895" spans="1:12" ht="15.75" customHeight="1" x14ac:dyDescent="0.2">
      <c r="A895" s="63" t="str">
        <f t="shared" si="14"/>
        <v/>
      </c>
      <c r="B895" s="63"/>
      <c r="C895" s="62" t="str">
        <f>IF($B895="","",IFERROR(VLOOKUP($B895,'Application Portfolio'!$A$2:$B$1000,2,FALSE()),""))</f>
        <v/>
      </c>
      <c r="D895" s="66"/>
      <c r="E895" s="66"/>
      <c r="F895" s="66"/>
      <c r="G895" s="66"/>
      <c r="H895" s="66"/>
      <c r="I895" s="64" t="str">
        <f>IF(OR($B895="", $D895="", $E895="", $F895="", $G895="", $H895=""),"",ROUND(($D895*Lists!$AN$20)+($E895*Lists!$AN$21)+($F895*Lists!$AN$22)+($G895*Lists!$AN$23)+($H895*Lists!$AN$24),2))</f>
        <v/>
      </c>
      <c r="J895" s="62"/>
      <c r="K895" s="65"/>
      <c r="L895" s="62"/>
    </row>
    <row r="896" spans="1:12" ht="15.75" customHeight="1" x14ac:dyDescent="0.2">
      <c r="A896" s="63" t="str">
        <f t="shared" si="14"/>
        <v/>
      </c>
      <c r="B896" s="63"/>
      <c r="C896" s="62" t="str">
        <f>IF($B896="","",IFERROR(VLOOKUP($B896,'Application Portfolio'!$A$2:$B$1000,2,FALSE()),""))</f>
        <v/>
      </c>
      <c r="D896" s="66"/>
      <c r="E896" s="66"/>
      <c r="F896" s="66"/>
      <c r="G896" s="66"/>
      <c r="H896" s="66"/>
      <c r="I896" s="64" t="str">
        <f>IF(OR($B896="", $D896="", $E896="", $F896="", $G896="", $H896=""),"",ROUND(($D896*Lists!$AN$20)+($E896*Lists!$AN$21)+($F896*Lists!$AN$22)+($G896*Lists!$AN$23)+($H896*Lists!$AN$24),2))</f>
        <v/>
      </c>
      <c r="J896" s="62"/>
      <c r="K896" s="65"/>
      <c r="L896" s="62"/>
    </row>
    <row r="897" spans="1:12" ht="15.75" customHeight="1" x14ac:dyDescent="0.2">
      <c r="A897" s="63" t="str">
        <f t="shared" si="14"/>
        <v/>
      </c>
      <c r="B897" s="63"/>
      <c r="C897" s="62" t="str">
        <f>IF($B897="","",IFERROR(VLOOKUP($B897,'Application Portfolio'!$A$2:$B$1000,2,FALSE()),""))</f>
        <v/>
      </c>
      <c r="D897" s="66"/>
      <c r="E897" s="66"/>
      <c r="F897" s="66"/>
      <c r="G897" s="66"/>
      <c r="H897" s="66"/>
      <c r="I897" s="64" t="str">
        <f>IF(OR($B897="", $D897="", $E897="", $F897="", $G897="", $H897=""),"",ROUND(($D897*Lists!$AN$20)+($E897*Lists!$AN$21)+($F897*Lists!$AN$22)+($G897*Lists!$AN$23)+($H897*Lists!$AN$24),2))</f>
        <v/>
      </c>
      <c r="J897" s="62"/>
      <c r="K897" s="65"/>
      <c r="L897" s="62"/>
    </row>
    <row r="898" spans="1:12" ht="15.75" customHeight="1" x14ac:dyDescent="0.2">
      <c r="A898" s="63" t="str">
        <f t="shared" si="14"/>
        <v/>
      </c>
      <c r="B898" s="63"/>
      <c r="C898" s="62" t="str">
        <f>IF($B898="","",IFERROR(VLOOKUP($B898,'Application Portfolio'!$A$2:$B$1000,2,FALSE()),""))</f>
        <v/>
      </c>
      <c r="D898" s="66"/>
      <c r="E898" s="66"/>
      <c r="F898" s="66"/>
      <c r="G898" s="66"/>
      <c r="H898" s="66"/>
      <c r="I898" s="64" t="str">
        <f>IF(OR($B898="", $D898="", $E898="", $F898="", $G898="", $H898=""),"",ROUND(($D898*Lists!$AN$20)+($E898*Lists!$AN$21)+($F898*Lists!$AN$22)+($G898*Lists!$AN$23)+($H898*Lists!$AN$24),2))</f>
        <v/>
      </c>
      <c r="J898" s="62"/>
      <c r="K898" s="65"/>
      <c r="L898" s="62"/>
    </row>
    <row r="899" spans="1:12" ht="15.75" customHeight="1" x14ac:dyDescent="0.2">
      <c r="A899" s="63" t="str">
        <f t="shared" si="14"/>
        <v/>
      </c>
      <c r="B899" s="63"/>
      <c r="C899" s="62" t="str">
        <f>IF($B899="","",IFERROR(VLOOKUP($B899,'Application Portfolio'!$A$2:$B$1000,2,FALSE()),""))</f>
        <v/>
      </c>
      <c r="D899" s="66"/>
      <c r="E899" s="66"/>
      <c r="F899" s="66"/>
      <c r="G899" s="66"/>
      <c r="H899" s="66"/>
      <c r="I899" s="64" t="str">
        <f>IF(OR($B899="", $D899="", $E899="", $F899="", $G899="", $H899=""),"",ROUND(($D899*Lists!$AN$20)+($E899*Lists!$AN$21)+($F899*Lists!$AN$22)+($G899*Lists!$AN$23)+($H899*Lists!$AN$24),2))</f>
        <v/>
      </c>
      <c r="J899" s="62"/>
      <c r="K899" s="65"/>
      <c r="L899" s="62"/>
    </row>
    <row r="900" spans="1:12" ht="15.75" customHeight="1" x14ac:dyDescent="0.2">
      <c r="A900" s="63" t="str">
        <f t="shared" si="14"/>
        <v/>
      </c>
      <c r="B900" s="63"/>
      <c r="C900" s="62" t="str">
        <f>IF($B900="","",IFERROR(VLOOKUP($B900,'Application Portfolio'!$A$2:$B$1000,2,FALSE()),""))</f>
        <v/>
      </c>
      <c r="D900" s="66"/>
      <c r="E900" s="66"/>
      <c r="F900" s="66"/>
      <c r="G900" s="66"/>
      <c r="H900" s="66"/>
      <c r="I900" s="64" t="str">
        <f>IF(OR($B900="", $D900="", $E900="", $F900="", $G900="", $H900=""),"",ROUND(($D900*Lists!$AN$20)+($E900*Lists!$AN$21)+($F900*Lists!$AN$22)+($G900*Lists!$AN$23)+($H900*Lists!$AN$24),2))</f>
        <v/>
      </c>
      <c r="J900" s="62"/>
      <c r="K900" s="65"/>
      <c r="L900" s="62"/>
    </row>
    <row r="901" spans="1:12" ht="15.75" customHeight="1" x14ac:dyDescent="0.2">
      <c r="A901" s="63" t="str">
        <f t="shared" si="14"/>
        <v/>
      </c>
      <c r="B901" s="63"/>
      <c r="C901" s="62" t="str">
        <f>IF($B901="","",IFERROR(VLOOKUP($B901,'Application Portfolio'!$A$2:$B$1000,2,FALSE()),""))</f>
        <v/>
      </c>
      <c r="D901" s="66"/>
      <c r="E901" s="66"/>
      <c r="F901" s="66"/>
      <c r="G901" s="66"/>
      <c r="H901" s="66"/>
      <c r="I901" s="64" t="str">
        <f>IF(OR($B901="", $D901="", $E901="", $F901="", $G901="", $H901=""),"",ROUND(($D901*Lists!$AN$20)+($E901*Lists!$AN$21)+($F901*Lists!$AN$22)+($G901*Lists!$AN$23)+($H901*Lists!$AN$24),2))</f>
        <v/>
      </c>
      <c r="J901" s="62"/>
      <c r="K901" s="65"/>
      <c r="L901" s="62"/>
    </row>
    <row r="902" spans="1:12" ht="15.75" customHeight="1" x14ac:dyDescent="0.2">
      <c r="A902" s="63" t="str">
        <f t="shared" si="14"/>
        <v/>
      </c>
      <c r="B902" s="63"/>
      <c r="C902" s="62" t="str">
        <f>IF($B902="","",IFERROR(VLOOKUP($B902,'Application Portfolio'!$A$2:$B$1000,2,FALSE()),""))</f>
        <v/>
      </c>
      <c r="D902" s="66"/>
      <c r="E902" s="66"/>
      <c r="F902" s="66"/>
      <c r="G902" s="66"/>
      <c r="H902" s="66"/>
      <c r="I902" s="64" t="str">
        <f>IF(OR($B902="", $D902="", $E902="", $F902="", $G902="", $H902=""),"",ROUND(($D902*Lists!$AN$20)+($E902*Lists!$AN$21)+($F902*Lists!$AN$22)+($G902*Lists!$AN$23)+($H902*Lists!$AN$24),2))</f>
        <v/>
      </c>
      <c r="J902" s="62"/>
      <c r="K902" s="65"/>
      <c r="L902" s="62"/>
    </row>
    <row r="903" spans="1:12" ht="15.75" customHeight="1" x14ac:dyDescent="0.2">
      <c r="A903" s="63" t="str">
        <f t="shared" si="14"/>
        <v/>
      </c>
      <c r="B903" s="63"/>
      <c r="C903" s="62" t="str">
        <f>IF($B903="","",IFERROR(VLOOKUP($B903,'Application Portfolio'!$A$2:$B$1000,2,FALSE()),""))</f>
        <v/>
      </c>
      <c r="D903" s="66"/>
      <c r="E903" s="66"/>
      <c r="F903" s="66"/>
      <c r="G903" s="66"/>
      <c r="H903" s="66"/>
      <c r="I903" s="64" t="str">
        <f>IF(OR($B903="", $D903="", $E903="", $F903="", $G903="", $H903=""),"",ROUND(($D903*Lists!$AN$20)+($E903*Lists!$AN$21)+($F903*Lists!$AN$22)+($G903*Lists!$AN$23)+($H903*Lists!$AN$24),2))</f>
        <v/>
      </c>
      <c r="J903" s="62"/>
      <c r="K903" s="65"/>
      <c r="L903" s="62"/>
    </row>
    <row r="904" spans="1:12" ht="15.75" customHeight="1" x14ac:dyDescent="0.2">
      <c r="A904" s="63" t="str">
        <f t="shared" si="14"/>
        <v/>
      </c>
      <c r="B904" s="63"/>
      <c r="C904" s="62" t="str">
        <f>IF($B904="","",IFERROR(VLOOKUP($B904,'Application Portfolio'!$A$2:$B$1000,2,FALSE()),""))</f>
        <v/>
      </c>
      <c r="D904" s="66"/>
      <c r="E904" s="66"/>
      <c r="F904" s="66"/>
      <c r="G904" s="66"/>
      <c r="H904" s="66"/>
      <c r="I904" s="64" t="str">
        <f>IF(OR($B904="", $D904="", $E904="", $F904="", $G904="", $H904=""),"",ROUND(($D904*Lists!$AN$20)+($E904*Lists!$AN$21)+($F904*Lists!$AN$22)+($G904*Lists!$AN$23)+($H904*Lists!$AN$24),2))</f>
        <v/>
      </c>
      <c r="J904" s="62"/>
      <c r="K904" s="65"/>
      <c r="L904" s="62"/>
    </row>
    <row r="905" spans="1:12" ht="15.75" customHeight="1" x14ac:dyDescent="0.2">
      <c r="A905" s="63" t="str">
        <f t="shared" si="14"/>
        <v/>
      </c>
      <c r="B905" s="63"/>
      <c r="C905" s="62" t="str">
        <f>IF($B905="","",IFERROR(VLOOKUP($B905,'Application Portfolio'!$A$2:$B$1000,2,FALSE()),""))</f>
        <v/>
      </c>
      <c r="D905" s="66"/>
      <c r="E905" s="66"/>
      <c r="F905" s="66"/>
      <c r="G905" s="66"/>
      <c r="H905" s="66"/>
      <c r="I905" s="64" t="str">
        <f>IF(OR($B905="", $D905="", $E905="", $F905="", $G905="", $H905=""),"",ROUND(($D905*Lists!$AN$20)+($E905*Lists!$AN$21)+($F905*Lists!$AN$22)+($G905*Lists!$AN$23)+($H905*Lists!$AN$24),2))</f>
        <v/>
      </c>
      <c r="J905" s="62"/>
      <c r="K905" s="65"/>
      <c r="L905" s="62"/>
    </row>
    <row r="906" spans="1:12" ht="15.75" customHeight="1" x14ac:dyDescent="0.2">
      <c r="A906" s="63" t="str">
        <f t="shared" si="14"/>
        <v/>
      </c>
      <c r="B906" s="63"/>
      <c r="C906" s="62" t="str">
        <f>IF($B906="","",IFERROR(VLOOKUP($B906,'Application Portfolio'!$A$2:$B$1000,2,FALSE()),""))</f>
        <v/>
      </c>
      <c r="D906" s="66"/>
      <c r="E906" s="66"/>
      <c r="F906" s="66"/>
      <c r="G906" s="66"/>
      <c r="H906" s="66"/>
      <c r="I906" s="64" t="str">
        <f>IF(OR($B906="", $D906="", $E906="", $F906="", $G906="", $H906=""),"",ROUND(($D906*Lists!$AN$20)+($E906*Lists!$AN$21)+($F906*Lists!$AN$22)+($G906*Lists!$AN$23)+($H906*Lists!$AN$24),2))</f>
        <v/>
      </c>
      <c r="J906" s="62"/>
      <c r="K906" s="65"/>
      <c r="L906" s="62"/>
    </row>
    <row r="907" spans="1:12" ht="15.75" customHeight="1" x14ac:dyDescent="0.2">
      <c r="A907" s="63" t="str">
        <f t="shared" si="14"/>
        <v/>
      </c>
      <c r="B907" s="63"/>
      <c r="C907" s="62" t="str">
        <f>IF($B907="","",IFERROR(VLOOKUP($B907,'Application Portfolio'!$A$2:$B$1000,2,FALSE()),""))</f>
        <v/>
      </c>
      <c r="D907" s="66"/>
      <c r="E907" s="66"/>
      <c r="F907" s="66"/>
      <c r="G907" s="66"/>
      <c r="H907" s="66"/>
      <c r="I907" s="64" t="str">
        <f>IF(OR($B907="", $D907="", $E907="", $F907="", $G907="", $H907=""),"",ROUND(($D907*Lists!$AN$20)+($E907*Lists!$AN$21)+($F907*Lists!$AN$22)+($G907*Lists!$AN$23)+($H907*Lists!$AN$24),2))</f>
        <v/>
      </c>
      <c r="J907" s="62"/>
      <c r="K907" s="65"/>
      <c r="L907" s="62"/>
    </row>
    <row r="908" spans="1:12" ht="15.75" customHeight="1" x14ac:dyDescent="0.2">
      <c r="A908" s="63" t="str">
        <f t="shared" si="14"/>
        <v/>
      </c>
      <c r="B908" s="63"/>
      <c r="C908" s="62" t="str">
        <f>IF($B908="","",IFERROR(VLOOKUP($B908,'Application Portfolio'!$A$2:$B$1000,2,FALSE()),""))</f>
        <v/>
      </c>
      <c r="D908" s="66"/>
      <c r="E908" s="66"/>
      <c r="F908" s="66"/>
      <c r="G908" s="66"/>
      <c r="H908" s="66"/>
      <c r="I908" s="64" t="str">
        <f>IF(OR($B908="", $D908="", $E908="", $F908="", $G908="", $H908=""),"",ROUND(($D908*Lists!$AN$20)+($E908*Lists!$AN$21)+($F908*Lists!$AN$22)+($G908*Lists!$AN$23)+($H908*Lists!$AN$24),2))</f>
        <v/>
      </c>
      <c r="J908" s="62"/>
      <c r="K908" s="65"/>
      <c r="L908" s="62"/>
    </row>
    <row r="909" spans="1:12" ht="15.75" customHeight="1" x14ac:dyDescent="0.2">
      <c r="A909" s="63" t="str">
        <f t="shared" si="14"/>
        <v/>
      </c>
      <c r="B909" s="63"/>
      <c r="C909" s="62" t="str">
        <f>IF($B909="","",IFERROR(VLOOKUP($B909,'Application Portfolio'!$A$2:$B$1000,2,FALSE()),""))</f>
        <v/>
      </c>
      <c r="D909" s="66"/>
      <c r="E909" s="66"/>
      <c r="F909" s="66"/>
      <c r="G909" s="66"/>
      <c r="H909" s="66"/>
      <c r="I909" s="64" t="str">
        <f>IF(OR($B909="", $D909="", $E909="", $F909="", $G909="", $H909=""),"",ROUND(($D909*Lists!$AN$20)+($E909*Lists!$AN$21)+($F909*Lists!$AN$22)+($G909*Lists!$AN$23)+($H909*Lists!$AN$24),2))</f>
        <v/>
      </c>
      <c r="J909" s="62"/>
      <c r="K909" s="65"/>
      <c r="L909" s="62"/>
    </row>
    <row r="910" spans="1:12" ht="15.75" customHeight="1" x14ac:dyDescent="0.2">
      <c r="A910" s="63" t="str">
        <f t="shared" si="14"/>
        <v/>
      </c>
      <c r="B910" s="63"/>
      <c r="C910" s="62" t="str">
        <f>IF($B910="","",IFERROR(VLOOKUP($B910,'Application Portfolio'!$A$2:$B$1000,2,FALSE()),""))</f>
        <v/>
      </c>
      <c r="D910" s="66"/>
      <c r="E910" s="66"/>
      <c r="F910" s="66"/>
      <c r="G910" s="66"/>
      <c r="H910" s="66"/>
      <c r="I910" s="64" t="str">
        <f>IF(OR($B910="", $D910="", $E910="", $F910="", $G910="", $H910=""),"",ROUND(($D910*Lists!$AN$20)+($E910*Lists!$AN$21)+($F910*Lists!$AN$22)+($G910*Lists!$AN$23)+($H910*Lists!$AN$24),2))</f>
        <v/>
      </c>
      <c r="J910" s="62"/>
      <c r="K910" s="65"/>
      <c r="L910" s="62"/>
    </row>
    <row r="911" spans="1:12" ht="15.75" customHeight="1" x14ac:dyDescent="0.2">
      <c r="A911" s="63" t="str">
        <f t="shared" si="14"/>
        <v/>
      </c>
      <c r="B911" s="63"/>
      <c r="C911" s="62" t="str">
        <f>IF($B911="","",IFERROR(VLOOKUP($B911,'Application Portfolio'!$A$2:$B$1000,2,FALSE()),""))</f>
        <v/>
      </c>
      <c r="D911" s="66"/>
      <c r="E911" s="66"/>
      <c r="F911" s="66"/>
      <c r="G911" s="66"/>
      <c r="H911" s="66"/>
      <c r="I911" s="64" t="str">
        <f>IF(OR($B911="", $D911="", $E911="", $F911="", $G911="", $H911=""),"",ROUND(($D911*Lists!$AN$20)+($E911*Lists!$AN$21)+($F911*Lists!$AN$22)+($G911*Lists!$AN$23)+($H911*Lists!$AN$24),2))</f>
        <v/>
      </c>
      <c r="J911" s="62"/>
      <c r="K911" s="65"/>
      <c r="L911" s="62"/>
    </row>
    <row r="912" spans="1:12" ht="15.75" customHeight="1" x14ac:dyDescent="0.2">
      <c r="A912" s="63" t="str">
        <f t="shared" si="14"/>
        <v/>
      </c>
      <c r="B912" s="63"/>
      <c r="C912" s="62" t="str">
        <f>IF($B912="","",IFERROR(VLOOKUP($B912,'Application Portfolio'!$A$2:$B$1000,2,FALSE()),""))</f>
        <v/>
      </c>
      <c r="D912" s="66"/>
      <c r="E912" s="66"/>
      <c r="F912" s="66"/>
      <c r="G912" s="66"/>
      <c r="H912" s="66"/>
      <c r="I912" s="64" t="str">
        <f>IF(OR($B912="", $D912="", $E912="", $F912="", $G912="", $H912=""),"",ROUND(($D912*Lists!$AN$20)+($E912*Lists!$AN$21)+($F912*Lists!$AN$22)+($G912*Lists!$AN$23)+($H912*Lists!$AN$24),2))</f>
        <v/>
      </c>
      <c r="J912" s="62"/>
      <c r="K912" s="65"/>
      <c r="L912" s="62"/>
    </row>
    <row r="913" spans="1:12" ht="15.75" customHeight="1" x14ac:dyDescent="0.2">
      <c r="A913" s="63" t="str">
        <f t="shared" si="14"/>
        <v/>
      </c>
      <c r="B913" s="63"/>
      <c r="C913" s="62" t="str">
        <f>IF($B913="","",IFERROR(VLOOKUP($B913,'Application Portfolio'!$A$2:$B$1000,2,FALSE()),""))</f>
        <v/>
      </c>
      <c r="D913" s="66"/>
      <c r="E913" s="66"/>
      <c r="F913" s="66"/>
      <c r="G913" s="66"/>
      <c r="H913" s="66"/>
      <c r="I913" s="64" t="str">
        <f>IF(OR($B913="", $D913="", $E913="", $F913="", $G913="", $H913=""),"",ROUND(($D913*Lists!$AN$20)+($E913*Lists!$AN$21)+($F913*Lists!$AN$22)+($G913*Lists!$AN$23)+($H913*Lists!$AN$24),2))</f>
        <v/>
      </c>
      <c r="J913" s="62"/>
      <c r="K913" s="65"/>
      <c r="L913" s="62"/>
    </row>
    <row r="914" spans="1:12" ht="15.75" customHeight="1" x14ac:dyDescent="0.2">
      <c r="A914" s="63" t="str">
        <f t="shared" si="14"/>
        <v/>
      </c>
      <c r="B914" s="63"/>
      <c r="C914" s="62" t="str">
        <f>IF($B914="","",IFERROR(VLOOKUP($B914,'Application Portfolio'!$A$2:$B$1000,2,FALSE()),""))</f>
        <v/>
      </c>
      <c r="D914" s="66"/>
      <c r="E914" s="66"/>
      <c r="F914" s="66"/>
      <c r="G914" s="66"/>
      <c r="H914" s="66"/>
      <c r="I914" s="64" t="str">
        <f>IF(OR($B914="", $D914="", $E914="", $F914="", $G914="", $H914=""),"",ROUND(($D914*Lists!$AN$20)+($E914*Lists!$AN$21)+($F914*Lists!$AN$22)+($G914*Lists!$AN$23)+($H914*Lists!$AN$24),2))</f>
        <v/>
      </c>
      <c r="J914" s="62"/>
      <c r="K914" s="65"/>
      <c r="L914" s="62"/>
    </row>
    <row r="915" spans="1:12" ht="15.75" customHeight="1" x14ac:dyDescent="0.2">
      <c r="A915" s="63" t="str">
        <f t="shared" si="14"/>
        <v/>
      </c>
      <c r="B915" s="63"/>
      <c r="C915" s="62" t="str">
        <f>IF($B915="","",IFERROR(VLOOKUP($B915,'Application Portfolio'!$A$2:$B$1000,2,FALSE()),""))</f>
        <v/>
      </c>
      <c r="D915" s="66"/>
      <c r="E915" s="66"/>
      <c r="F915" s="66"/>
      <c r="G915" s="66"/>
      <c r="H915" s="66"/>
      <c r="I915" s="64" t="str">
        <f>IF(OR($B915="", $D915="", $E915="", $F915="", $G915="", $H915=""),"",ROUND(($D915*Lists!$AN$20)+($E915*Lists!$AN$21)+($F915*Lists!$AN$22)+($G915*Lists!$AN$23)+($H915*Lists!$AN$24),2))</f>
        <v/>
      </c>
      <c r="J915" s="62"/>
      <c r="K915" s="65"/>
      <c r="L915" s="62"/>
    </row>
    <row r="916" spans="1:12" ht="15.75" customHeight="1" x14ac:dyDescent="0.2">
      <c r="A916" s="63" t="str">
        <f t="shared" si="14"/>
        <v/>
      </c>
      <c r="B916" s="63"/>
      <c r="C916" s="62" t="str">
        <f>IF($B916="","",IFERROR(VLOOKUP($B916,'Application Portfolio'!$A$2:$B$1000,2,FALSE()),""))</f>
        <v/>
      </c>
      <c r="D916" s="66"/>
      <c r="E916" s="66"/>
      <c r="F916" s="66"/>
      <c r="G916" s="66"/>
      <c r="H916" s="66"/>
      <c r="I916" s="64" t="str">
        <f>IF(OR($B916="", $D916="", $E916="", $F916="", $G916="", $H916=""),"",ROUND(($D916*Lists!$AN$20)+($E916*Lists!$AN$21)+($F916*Lists!$AN$22)+($G916*Lists!$AN$23)+($H916*Lists!$AN$24),2))</f>
        <v/>
      </c>
      <c r="J916" s="62"/>
      <c r="K916" s="65"/>
      <c r="L916" s="62"/>
    </row>
    <row r="917" spans="1:12" ht="15.75" customHeight="1" x14ac:dyDescent="0.2">
      <c r="A917" s="63" t="str">
        <f t="shared" si="14"/>
        <v/>
      </c>
      <c r="B917" s="63"/>
      <c r="C917" s="62" t="str">
        <f>IF($B917="","",IFERROR(VLOOKUP($B917,'Application Portfolio'!$A$2:$B$1000,2,FALSE()),""))</f>
        <v/>
      </c>
      <c r="D917" s="66"/>
      <c r="E917" s="66"/>
      <c r="F917" s="66"/>
      <c r="G917" s="66"/>
      <c r="H917" s="66"/>
      <c r="I917" s="64" t="str">
        <f>IF(OR($B917="", $D917="", $E917="", $F917="", $G917="", $H917=""),"",ROUND(($D917*Lists!$AN$20)+($E917*Lists!$AN$21)+($F917*Lists!$AN$22)+($G917*Lists!$AN$23)+($H917*Lists!$AN$24),2))</f>
        <v/>
      </c>
      <c r="J917" s="62"/>
      <c r="K917" s="65"/>
      <c r="L917" s="62"/>
    </row>
    <row r="918" spans="1:12" ht="15.75" customHeight="1" x14ac:dyDescent="0.2">
      <c r="A918" s="63" t="str">
        <f t="shared" si="14"/>
        <v/>
      </c>
      <c r="B918" s="63"/>
      <c r="C918" s="62" t="str">
        <f>IF($B918="","",IFERROR(VLOOKUP($B918,'Application Portfolio'!$A$2:$B$1000,2,FALSE()),""))</f>
        <v/>
      </c>
      <c r="D918" s="66"/>
      <c r="E918" s="66"/>
      <c r="F918" s="66"/>
      <c r="G918" s="66"/>
      <c r="H918" s="66"/>
      <c r="I918" s="64" t="str">
        <f>IF(OR($B918="", $D918="", $E918="", $F918="", $G918="", $H918=""),"",ROUND(($D918*Lists!$AN$20)+($E918*Lists!$AN$21)+($F918*Lists!$AN$22)+($G918*Lists!$AN$23)+($H918*Lists!$AN$24),2))</f>
        <v/>
      </c>
      <c r="J918" s="62"/>
      <c r="K918" s="65"/>
      <c r="L918" s="62"/>
    </row>
    <row r="919" spans="1:12" ht="15.75" customHeight="1" x14ac:dyDescent="0.2">
      <c r="A919" s="63" t="str">
        <f t="shared" si="14"/>
        <v/>
      </c>
      <c r="B919" s="63"/>
      <c r="C919" s="62" t="str">
        <f>IF($B919="","",IFERROR(VLOOKUP($B919,'Application Portfolio'!$A$2:$B$1000,2,FALSE()),""))</f>
        <v/>
      </c>
      <c r="D919" s="66"/>
      <c r="E919" s="66"/>
      <c r="F919" s="66"/>
      <c r="G919" s="66"/>
      <c r="H919" s="66"/>
      <c r="I919" s="64" t="str">
        <f>IF(OR($B919="", $D919="", $E919="", $F919="", $G919="", $H919=""),"",ROUND(($D919*Lists!$AN$20)+($E919*Lists!$AN$21)+($F919*Lists!$AN$22)+($G919*Lists!$AN$23)+($H919*Lists!$AN$24),2))</f>
        <v/>
      </c>
      <c r="J919" s="62"/>
      <c r="K919" s="65"/>
      <c r="L919" s="62"/>
    </row>
    <row r="920" spans="1:12" ht="15.75" customHeight="1" x14ac:dyDescent="0.2">
      <c r="A920" s="63" t="str">
        <f t="shared" si="14"/>
        <v/>
      </c>
      <c r="B920" s="63"/>
      <c r="C920" s="62" t="str">
        <f>IF($B920="","",IFERROR(VLOOKUP($B920,'Application Portfolio'!$A$2:$B$1000,2,FALSE()),""))</f>
        <v/>
      </c>
      <c r="D920" s="66"/>
      <c r="E920" s="66"/>
      <c r="F920" s="66"/>
      <c r="G920" s="66"/>
      <c r="H920" s="66"/>
      <c r="I920" s="64" t="str">
        <f>IF(OR($B920="", $D920="", $E920="", $F920="", $G920="", $H920=""),"",ROUND(($D920*Lists!$AN$20)+($E920*Lists!$AN$21)+($F920*Lists!$AN$22)+($G920*Lists!$AN$23)+($H920*Lists!$AN$24),2))</f>
        <v/>
      </c>
      <c r="J920" s="62"/>
      <c r="K920" s="65"/>
      <c r="L920" s="62"/>
    </row>
    <row r="921" spans="1:12" ht="15.75" customHeight="1" x14ac:dyDescent="0.2">
      <c r="A921" s="63" t="str">
        <f t="shared" si="14"/>
        <v/>
      </c>
      <c r="B921" s="63"/>
      <c r="C921" s="62" t="str">
        <f>IF($B921="","",IFERROR(VLOOKUP($B921,'Application Portfolio'!$A$2:$B$1000,2,FALSE()),""))</f>
        <v/>
      </c>
      <c r="D921" s="66"/>
      <c r="E921" s="66"/>
      <c r="F921" s="66"/>
      <c r="G921" s="66"/>
      <c r="H921" s="66"/>
      <c r="I921" s="64" t="str">
        <f>IF(OR($B921="", $D921="", $E921="", $F921="", $G921="", $H921=""),"",ROUND(($D921*Lists!$AN$20)+($E921*Lists!$AN$21)+($F921*Lists!$AN$22)+($G921*Lists!$AN$23)+($H921*Lists!$AN$24),2))</f>
        <v/>
      </c>
      <c r="J921" s="62"/>
      <c r="K921" s="65"/>
      <c r="L921" s="62"/>
    </row>
    <row r="922" spans="1:12" ht="15.75" customHeight="1" x14ac:dyDescent="0.2">
      <c r="A922" s="63" t="str">
        <f t="shared" si="14"/>
        <v/>
      </c>
      <c r="B922" s="63"/>
      <c r="C922" s="62" t="str">
        <f>IF($B922="","",IFERROR(VLOOKUP($B922,'Application Portfolio'!$A$2:$B$1000,2,FALSE()),""))</f>
        <v/>
      </c>
      <c r="D922" s="66"/>
      <c r="E922" s="66"/>
      <c r="F922" s="66"/>
      <c r="G922" s="66"/>
      <c r="H922" s="66"/>
      <c r="I922" s="64" t="str">
        <f>IF(OR($B922="", $D922="", $E922="", $F922="", $G922="", $H922=""),"",ROUND(($D922*Lists!$AN$20)+($E922*Lists!$AN$21)+($F922*Lists!$AN$22)+($G922*Lists!$AN$23)+($H922*Lists!$AN$24),2))</f>
        <v/>
      </c>
      <c r="J922" s="62"/>
      <c r="K922" s="65"/>
      <c r="L922" s="62"/>
    </row>
    <row r="923" spans="1:12" ht="15.75" customHeight="1" x14ac:dyDescent="0.2">
      <c r="A923" s="63" t="str">
        <f t="shared" si="14"/>
        <v/>
      </c>
      <c r="B923" s="63"/>
      <c r="C923" s="62" t="str">
        <f>IF($B923="","",IFERROR(VLOOKUP($B923,'Application Portfolio'!$A$2:$B$1000,2,FALSE()),""))</f>
        <v/>
      </c>
      <c r="D923" s="66"/>
      <c r="E923" s="66"/>
      <c r="F923" s="66"/>
      <c r="G923" s="66"/>
      <c r="H923" s="66"/>
      <c r="I923" s="64" t="str">
        <f>IF(OR($B923="", $D923="", $E923="", $F923="", $G923="", $H923=""),"",ROUND(($D923*Lists!$AN$20)+($E923*Lists!$AN$21)+($F923*Lists!$AN$22)+($G923*Lists!$AN$23)+($H923*Lists!$AN$24),2))</f>
        <v/>
      </c>
      <c r="J923" s="62"/>
      <c r="K923" s="65"/>
      <c r="L923" s="62"/>
    </row>
    <row r="924" spans="1:12" ht="15.75" customHeight="1" x14ac:dyDescent="0.2">
      <c r="A924" s="63" t="str">
        <f t="shared" si="14"/>
        <v/>
      </c>
      <c r="B924" s="63"/>
      <c r="C924" s="62" t="str">
        <f>IF($B924="","",IFERROR(VLOOKUP($B924,'Application Portfolio'!$A$2:$B$1000,2,FALSE()),""))</f>
        <v/>
      </c>
      <c r="D924" s="66"/>
      <c r="E924" s="66"/>
      <c r="F924" s="66"/>
      <c r="G924" s="66"/>
      <c r="H924" s="66"/>
      <c r="I924" s="64" t="str">
        <f>IF(OR($B924="", $D924="", $E924="", $F924="", $G924="", $H924=""),"",ROUND(($D924*Lists!$AN$20)+($E924*Lists!$AN$21)+($F924*Lists!$AN$22)+($G924*Lists!$AN$23)+($H924*Lists!$AN$24),2))</f>
        <v/>
      </c>
      <c r="J924" s="62"/>
      <c r="K924" s="65"/>
      <c r="L924" s="62"/>
    </row>
    <row r="925" spans="1:12" ht="15.75" customHeight="1" x14ac:dyDescent="0.2">
      <c r="A925" s="63" t="str">
        <f t="shared" si="14"/>
        <v/>
      </c>
      <c r="B925" s="63"/>
      <c r="C925" s="62" t="str">
        <f>IF($B925="","",IFERROR(VLOOKUP($B925,'Application Portfolio'!$A$2:$B$1000,2,FALSE()),""))</f>
        <v/>
      </c>
      <c r="D925" s="66"/>
      <c r="E925" s="66"/>
      <c r="F925" s="66"/>
      <c r="G925" s="66"/>
      <c r="H925" s="66"/>
      <c r="I925" s="64" t="str">
        <f>IF(OR($B925="", $D925="", $E925="", $F925="", $G925="", $H925=""),"",ROUND(($D925*Lists!$AN$20)+($E925*Lists!$AN$21)+($F925*Lists!$AN$22)+($G925*Lists!$AN$23)+($H925*Lists!$AN$24),2))</f>
        <v/>
      </c>
      <c r="J925" s="62"/>
      <c r="K925" s="65"/>
      <c r="L925" s="62"/>
    </row>
    <row r="926" spans="1:12" ht="15.75" customHeight="1" x14ac:dyDescent="0.2">
      <c r="A926" s="63" t="str">
        <f t="shared" si="14"/>
        <v/>
      </c>
      <c r="B926" s="63"/>
      <c r="C926" s="62" t="str">
        <f>IF($B926="","",IFERROR(VLOOKUP($B926,'Application Portfolio'!$A$2:$B$1000,2,FALSE()),""))</f>
        <v/>
      </c>
      <c r="D926" s="66"/>
      <c r="E926" s="66"/>
      <c r="F926" s="66"/>
      <c r="G926" s="66"/>
      <c r="H926" s="66"/>
      <c r="I926" s="64" t="str">
        <f>IF(OR($B926="", $D926="", $E926="", $F926="", $G926="", $H926=""),"",ROUND(($D926*Lists!$AN$20)+($E926*Lists!$AN$21)+($F926*Lists!$AN$22)+($G926*Lists!$AN$23)+($H926*Lists!$AN$24),2))</f>
        <v/>
      </c>
      <c r="J926" s="62"/>
      <c r="K926" s="65"/>
      <c r="L926" s="62"/>
    </row>
    <row r="927" spans="1:12" ht="15.75" customHeight="1" x14ac:dyDescent="0.2">
      <c r="A927" s="63" t="str">
        <f t="shared" si="14"/>
        <v/>
      </c>
      <c r="B927" s="63"/>
      <c r="C927" s="62" t="str">
        <f>IF($B927="","",IFERROR(VLOOKUP($B927,'Application Portfolio'!$A$2:$B$1000,2,FALSE()),""))</f>
        <v/>
      </c>
      <c r="D927" s="66"/>
      <c r="E927" s="66"/>
      <c r="F927" s="66"/>
      <c r="G927" s="66"/>
      <c r="H927" s="66"/>
      <c r="I927" s="64" t="str">
        <f>IF(OR($B927="", $D927="", $E927="", $F927="", $G927="", $H927=""),"",ROUND(($D927*Lists!$AN$20)+($E927*Lists!$AN$21)+($F927*Lists!$AN$22)+($G927*Lists!$AN$23)+($H927*Lists!$AN$24),2))</f>
        <v/>
      </c>
      <c r="J927" s="62"/>
      <c r="K927" s="65"/>
      <c r="L927" s="62"/>
    </row>
    <row r="928" spans="1:12" ht="15.75" customHeight="1" x14ac:dyDescent="0.2">
      <c r="A928" s="63" t="str">
        <f t="shared" ref="A928:A991" si="15">IF($B928="","", "R-" &amp; RIGHT("0000"&amp;ROW()-1,4))</f>
        <v/>
      </c>
      <c r="B928" s="63"/>
      <c r="C928" s="62" t="str">
        <f>IF($B928="","",IFERROR(VLOOKUP($B928,'Application Portfolio'!$A$2:$B$1000,2,FALSE()),""))</f>
        <v/>
      </c>
      <c r="D928" s="66"/>
      <c r="E928" s="66"/>
      <c r="F928" s="66"/>
      <c r="G928" s="66"/>
      <c r="H928" s="66"/>
      <c r="I928" s="64" t="str">
        <f>IF(OR($B928="", $D928="", $E928="", $F928="", $G928="", $H928=""),"",ROUND(($D928*Lists!$AN$20)+($E928*Lists!$AN$21)+($F928*Lists!$AN$22)+($G928*Lists!$AN$23)+($H928*Lists!$AN$24),2))</f>
        <v/>
      </c>
      <c r="J928" s="62"/>
      <c r="K928" s="65"/>
      <c r="L928" s="62"/>
    </row>
    <row r="929" spans="1:12" ht="15.75" customHeight="1" x14ac:dyDescent="0.2">
      <c r="A929" s="63" t="str">
        <f t="shared" si="15"/>
        <v/>
      </c>
      <c r="B929" s="63"/>
      <c r="C929" s="62" t="str">
        <f>IF($B929="","",IFERROR(VLOOKUP($B929,'Application Portfolio'!$A$2:$B$1000,2,FALSE()),""))</f>
        <v/>
      </c>
      <c r="D929" s="66"/>
      <c r="E929" s="66"/>
      <c r="F929" s="66"/>
      <c r="G929" s="66"/>
      <c r="H929" s="66"/>
      <c r="I929" s="64" t="str">
        <f>IF(OR($B929="", $D929="", $E929="", $F929="", $G929="", $H929=""),"",ROUND(($D929*Lists!$AN$20)+($E929*Lists!$AN$21)+($F929*Lists!$AN$22)+($G929*Lists!$AN$23)+($H929*Lists!$AN$24),2))</f>
        <v/>
      </c>
      <c r="J929" s="62"/>
      <c r="K929" s="65"/>
      <c r="L929" s="62"/>
    </row>
    <row r="930" spans="1:12" ht="15.75" customHeight="1" x14ac:dyDescent="0.2">
      <c r="A930" s="63" t="str">
        <f t="shared" si="15"/>
        <v/>
      </c>
      <c r="B930" s="63"/>
      <c r="C930" s="62" t="str">
        <f>IF($B930="","",IFERROR(VLOOKUP($B930,'Application Portfolio'!$A$2:$B$1000,2,FALSE()),""))</f>
        <v/>
      </c>
      <c r="D930" s="66"/>
      <c r="E930" s="66"/>
      <c r="F930" s="66"/>
      <c r="G930" s="66"/>
      <c r="H930" s="66"/>
      <c r="I930" s="64" t="str">
        <f>IF(OR($B930="", $D930="", $E930="", $F930="", $G930="", $H930=""),"",ROUND(($D930*Lists!$AN$20)+($E930*Lists!$AN$21)+($F930*Lists!$AN$22)+($G930*Lists!$AN$23)+($H930*Lists!$AN$24),2))</f>
        <v/>
      </c>
      <c r="J930" s="62"/>
      <c r="K930" s="65"/>
      <c r="L930" s="62"/>
    </row>
    <row r="931" spans="1:12" ht="15.75" customHeight="1" x14ac:dyDescent="0.2">
      <c r="A931" s="63" t="str">
        <f t="shared" si="15"/>
        <v/>
      </c>
      <c r="B931" s="63"/>
      <c r="C931" s="62" t="str">
        <f>IF($B931="","",IFERROR(VLOOKUP($B931,'Application Portfolio'!$A$2:$B$1000,2,FALSE()),""))</f>
        <v/>
      </c>
      <c r="D931" s="66"/>
      <c r="E931" s="66"/>
      <c r="F931" s="66"/>
      <c r="G931" s="66"/>
      <c r="H931" s="66"/>
      <c r="I931" s="64" t="str">
        <f>IF(OR($B931="", $D931="", $E931="", $F931="", $G931="", $H931=""),"",ROUND(($D931*Lists!$AN$20)+($E931*Lists!$AN$21)+($F931*Lists!$AN$22)+($G931*Lists!$AN$23)+($H931*Lists!$AN$24),2))</f>
        <v/>
      </c>
      <c r="J931" s="62"/>
      <c r="K931" s="65"/>
      <c r="L931" s="62"/>
    </row>
    <row r="932" spans="1:12" ht="15.75" customHeight="1" x14ac:dyDescent="0.2">
      <c r="A932" s="63" t="str">
        <f t="shared" si="15"/>
        <v/>
      </c>
      <c r="B932" s="63"/>
      <c r="C932" s="62" t="str">
        <f>IF($B932="","",IFERROR(VLOOKUP($B932,'Application Portfolio'!$A$2:$B$1000,2,FALSE()),""))</f>
        <v/>
      </c>
      <c r="D932" s="66"/>
      <c r="E932" s="66"/>
      <c r="F932" s="66"/>
      <c r="G932" s="66"/>
      <c r="H932" s="66"/>
      <c r="I932" s="64" t="str">
        <f>IF(OR($B932="", $D932="", $E932="", $F932="", $G932="", $H932=""),"",ROUND(($D932*Lists!$AN$20)+($E932*Lists!$AN$21)+($F932*Lists!$AN$22)+($G932*Lists!$AN$23)+($H932*Lists!$AN$24),2))</f>
        <v/>
      </c>
      <c r="J932" s="62"/>
      <c r="K932" s="65"/>
      <c r="L932" s="62"/>
    </row>
    <row r="933" spans="1:12" ht="15.75" customHeight="1" x14ac:dyDescent="0.2">
      <c r="A933" s="63" t="str">
        <f t="shared" si="15"/>
        <v/>
      </c>
      <c r="B933" s="63"/>
      <c r="C933" s="62" t="str">
        <f>IF($B933="","",IFERROR(VLOOKUP($B933,'Application Portfolio'!$A$2:$B$1000,2,FALSE()),""))</f>
        <v/>
      </c>
      <c r="D933" s="66"/>
      <c r="E933" s="66"/>
      <c r="F933" s="66"/>
      <c r="G933" s="66"/>
      <c r="H933" s="66"/>
      <c r="I933" s="64" t="str">
        <f>IF(OR($B933="", $D933="", $E933="", $F933="", $G933="", $H933=""),"",ROUND(($D933*Lists!$AN$20)+($E933*Lists!$AN$21)+($F933*Lists!$AN$22)+($G933*Lists!$AN$23)+($H933*Lists!$AN$24),2))</f>
        <v/>
      </c>
      <c r="J933" s="62"/>
      <c r="K933" s="65"/>
      <c r="L933" s="62"/>
    </row>
    <row r="934" spans="1:12" ht="15.75" customHeight="1" x14ac:dyDescent="0.2">
      <c r="A934" s="63" t="str">
        <f t="shared" si="15"/>
        <v/>
      </c>
      <c r="B934" s="63"/>
      <c r="C934" s="62" t="str">
        <f>IF($B934="","",IFERROR(VLOOKUP($B934,'Application Portfolio'!$A$2:$B$1000,2,FALSE()),""))</f>
        <v/>
      </c>
      <c r="D934" s="66"/>
      <c r="E934" s="66"/>
      <c r="F934" s="66"/>
      <c r="G934" s="66"/>
      <c r="H934" s="66"/>
      <c r="I934" s="64" t="str">
        <f>IF(OR($B934="", $D934="", $E934="", $F934="", $G934="", $H934=""),"",ROUND(($D934*Lists!$AN$20)+($E934*Lists!$AN$21)+($F934*Lists!$AN$22)+($G934*Lists!$AN$23)+($H934*Lists!$AN$24),2))</f>
        <v/>
      </c>
      <c r="J934" s="62"/>
      <c r="K934" s="65"/>
      <c r="L934" s="62"/>
    </row>
    <row r="935" spans="1:12" ht="15.75" customHeight="1" x14ac:dyDescent="0.2">
      <c r="A935" s="63" t="str">
        <f t="shared" si="15"/>
        <v/>
      </c>
      <c r="B935" s="63"/>
      <c r="C935" s="62" t="str">
        <f>IF($B935="","",IFERROR(VLOOKUP($B935,'Application Portfolio'!$A$2:$B$1000,2,FALSE()),""))</f>
        <v/>
      </c>
      <c r="D935" s="66"/>
      <c r="E935" s="66"/>
      <c r="F935" s="66"/>
      <c r="G935" s="66"/>
      <c r="H935" s="66"/>
      <c r="I935" s="64" t="str">
        <f>IF(OR($B935="", $D935="", $E935="", $F935="", $G935="", $H935=""),"",ROUND(($D935*Lists!$AN$20)+($E935*Lists!$AN$21)+($F935*Lists!$AN$22)+($G935*Lists!$AN$23)+($H935*Lists!$AN$24),2))</f>
        <v/>
      </c>
      <c r="J935" s="62"/>
      <c r="K935" s="65"/>
      <c r="L935" s="62"/>
    </row>
    <row r="936" spans="1:12" ht="15.75" customHeight="1" x14ac:dyDescent="0.2">
      <c r="A936" s="63" t="str">
        <f t="shared" si="15"/>
        <v/>
      </c>
      <c r="B936" s="63"/>
      <c r="C936" s="62" t="str">
        <f>IF($B936="","",IFERROR(VLOOKUP($B936,'Application Portfolio'!$A$2:$B$1000,2,FALSE()),""))</f>
        <v/>
      </c>
      <c r="D936" s="66"/>
      <c r="E936" s="66"/>
      <c r="F936" s="66"/>
      <c r="G936" s="66"/>
      <c r="H936" s="66"/>
      <c r="I936" s="64" t="str">
        <f>IF(OR($B936="", $D936="", $E936="", $F936="", $G936="", $H936=""),"",ROUND(($D936*Lists!$AN$20)+($E936*Lists!$AN$21)+($F936*Lists!$AN$22)+($G936*Lists!$AN$23)+($H936*Lists!$AN$24),2))</f>
        <v/>
      </c>
      <c r="J936" s="62"/>
      <c r="K936" s="65"/>
      <c r="L936" s="62"/>
    </row>
    <row r="937" spans="1:12" ht="15.75" customHeight="1" x14ac:dyDescent="0.2">
      <c r="A937" s="63" t="str">
        <f t="shared" si="15"/>
        <v/>
      </c>
      <c r="B937" s="63"/>
      <c r="C937" s="62" t="str">
        <f>IF($B937="","",IFERROR(VLOOKUP($B937,'Application Portfolio'!$A$2:$B$1000,2,FALSE()),""))</f>
        <v/>
      </c>
      <c r="D937" s="66"/>
      <c r="E937" s="66"/>
      <c r="F937" s="66"/>
      <c r="G937" s="66"/>
      <c r="H937" s="66"/>
      <c r="I937" s="64" t="str">
        <f>IF(OR($B937="", $D937="", $E937="", $F937="", $G937="", $H937=""),"",ROUND(($D937*Lists!$AN$20)+($E937*Lists!$AN$21)+($F937*Lists!$AN$22)+($G937*Lists!$AN$23)+($H937*Lists!$AN$24),2))</f>
        <v/>
      </c>
      <c r="J937" s="62"/>
      <c r="K937" s="65"/>
      <c r="L937" s="62"/>
    </row>
    <row r="938" spans="1:12" ht="15.75" customHeight="1" x14ac:dyDescent="0.2">
      <c r="A938" s="63" t="str">
        <f t="shared" si="15"/>
        <v/>
      </c>
      <c r="B938" s="63"/>
      <c r="C938" s="62" t="str">
        <f>IF($B938="","",IFERROR(VLOOKUP($B938,'Application Portfolio'!$A$2:$B$1000,2,FALSE()),""))</f>
        <v/>
      </c>
      <c r="D938" s="66"/>
      <c r="E938" s="66"/>
      <c r="F938" s="66"/>
      <c r="G938" s="66"/>
      <c r="H938" s="66"/>
      <c r="I938" s="64" t="str">
        <f>IF(OR($B938="", $D938="", $E938="", $F938="", $G938="", $H938=""),"",ROUND(($D938*Lists!$AN$20)+($E938*Lists!$AN$21)+($F938*Lists!$AN$22)+($G938*Lists!$AN$23)+($H938*Lists!$AN$24),2))</f>
        <v/>
      </c>
      <c r="J938" s="62"/>
      <c r="K938" s="65"/>
      <c r="L938" s="62"/>
    </row>
    <row r="939" spans="1:12" ht="15.75" customHeight="1" x14ac:dyDescent="0.2">
      <c r="A939" s="63" t="str">
        <f t="shared" si="15"/>
        <v/>
      </c>
      <c r="B939" s="63"/>
      <c r="C939" s="62" t="str">
        <f>IF($B939="","",IFERROR(VLOOKUP($B939,'Application Portfolio'!$A$2:$B$1000,2,FALSE()),""))</f>
        <v/>
      </c>
      <c r="D939" s="66"/>
      <c r="E939" s="66"/>
      <c r="F939" s="66"/>
      <c r="G939" s="66"/>
      <c r="H939" s="66"/>
      <c r="I939" s="64" t="str">
        <f>IF(OR($B939="", $D939="", $E939="", $F939="", $G939="", $H939=""),"",ROUND(($D939*Lists!$AN$20)+($E939*Lists!$AN$21)+($F939*Lists!$AN$22)+($G939*Lists!$AN$23)+($H939*Lists!$AN$24),2))</f>
        <v/>
      </c>
      <c r="J939" s="62"/>
      <c r="K939" s="65"/>
      <c r="L939" s="62"/>
    </row>
    <row r="940" spans="1:12" ht="15.75" customHeight="1" x14ac:dyDescent="0.2">
      <c r="A940" s="63" t="str">
        <f t="shared" si="15"/>
        <v/>
      </c>
      <c r="B940" s="63"/>
      <c r="C940" s="62" t="str">
        <f>IF($B940="","",IFERROR(VLOOKUP($B940,'Application Portfolio'!$A$2:$B$1000,2,FALSE()),""))</f>
        <v/>
      </c>
      <c r="D940" s="66"/>
      <c r="E940" s="66"/>
      <c r="F940" s="66"/>
      <c r="G940" s="66"/>
      <c r="H940" s="66"/>
      <c r="I940" s="64" t="str">
        <f>IF(OR($B940="", $D940="", $E940="", $F940="", $G940="", $H940=""),"",ROUND(($D940*Lists!$AN$20)+($E940*Lists!$AN$21)+($F940*Lists!$AN$22)+($G940*Lists!$AN$23)+($H940*Lists!$AN$24),2))</f>
        <v/>
      </c>
      <c r="J940" s="62"/>
      <c r="K940" s="65"/>
      <c r="L940" s="62"/>
    </row>
    <row r="941" spans="1:12" ht="15.75" customHeight="1" x14ac:dyDescent="0.2">
      <c r="A941" s="63" t="str">
        <f t="shared" si="15"/>
        <v/>
      </c>
      <c r="B941" s="63"/>
      <c r="C941" s="62" t="str">
        <f>IF($B941="","",IFERROR(VLOOKUP($B941,'Application Portfolio'!$A$2:$B$1000,2,FALSE()),""))</f>
        <v/>
      </c>
      <c r="D941" s="66"/>
      <c r="E941" s="66"/>
      <c r="F941" s="66"/>
      <c r="G941" s="66"/>
      <c r="H941" s="66"/>
      <c r="I941" s="64" t="str">
        <f>IF(OR($B941="", $D941="", $E941="", $F941="", $G941="", $H941=""),"",ROUND(($D941*Lists!$AN$20)+($E941*Lists!$AN$21)+($F941*Lists!$AN$22)+($G941*Lists!$AN$23)+($H941*Lists!$AN$24),2))</f>
        <v/>
      </c>
      <c r="J941" s="62"/>
      <c r="K941" s="65"/>
      <c r="L941" s="62"/>
    </row>
    <row r="942" spans="1:12" ht="15.75" customHeight="1" x14ac:dyDescent="0.2">
      <c r="A942" s="63" t="str">
        <f t="shared" si="15"/>
        <v/>
      </c>
      <c r="B942" s="63"/>
      <c r="C942" s="62" t="str">
        <f>IF($B942="","",IFERROR(VLOOKUP($B942,'Application Portfolio'!$A$2:$B$1000,2,FALSE()),""))</f>
        <v/>
      </c>
      <c r="D942" s="66"/>
      <c r="E942" s="66"/>
      <c r="F942" s="66"/>
      <c r="G942" s="66"/>
      <c r="H942" s="66"/>
      <c r="I942" s="64" t="str">
        <f>IF(OR($B942="", $D942="", $E942="", $F942="", $G942="", $H942=""),"",ROUND(($D942*Lists!$AN$20)+($E942*Lists!$AN$21)+($F942*Lists!$AN$22)+($G942*Lists!$AN$23)+($H942*Lists!$AN$24),2))</f>
        <v/>
      </c>
      <c r="J942" s="62"/>
      <c r="K942" s="65"/>
      <c r="L942" s="62"/>
    </row>
    <row r="943" spans="1:12" ht="15.75" customHeight="1" x14ac:dyDescent="0.2">
      <c r="A943" s="63" t="str">
        <f t="shared" si="15"/>
        <v/>
      </c>
      <c r="B943" s="63"/>
      <c r="C943" s="62" t="str">
        <f>IF($B943="","",IFERROR(VLOOKUP($B943,'Application Portfolio'!$A$2:$B$1000,2,FALSE()),""))</f>
        <v/>
      </c>
      <c r="D943" s="66"/>
      <c r="E943" s="66"/>
      <c r="F943" s="66"/>
      <c r="G943" s="66"/>
      <c r="H943" s="66"/>
      <c r="I943" s="64" t="str">
        <f>IF(OR($B943="", $D943="", $E943="", $F943="", $G943="", $H943=""),"",ROUND(($D943*Lists!$AN$20)+($E943*Lists!$AN$21)+($F943*Lists!$AN$22)+($G943*Lists!$AN$23)+($H943*Lists!$AN$24),2))</f>
        <v/>
      </c>
      <c r="J943" s="62"/>
      <c r="K943" s="65"/>
      <c r="L943" s="62"/>
    </row>
    <row r="944" spans="1:12" ht="15.75" customHeight="1" x14ac:dyDescent="0.2">
      <c r="A944" s="63" t="str">
        <f t="shared" si="15"/>
        <v/>
      </c>
      <c r="B944" s="63"/>
      <c r="C944" s="62" t="str">
        <f>IF($B944="","",IFERROR(VLOOKUP($B944,'Application Portfolio'!$A$2:$B$1000,2,FALSE()),""))</f>
        <v/>
      </c>
      <c r="D944" s="66"/>
      <c r="E944" s="66"/>
      <c r="F944" s="66"/>
      <c r="G944" s="66"/>
      <c r="H944" s="66"/>
      <c r="I944" s="64" t="str">
        <f>IF(OR($B944="", $D944="", $E944="", $F944="", $G944="", $H944=""),"",ROUND(($D944*Lists!$AN$20)+($E944*Lists!$AN$21)+($F944*Lists!$AN$22)+($G944*Lists!$AN$23)+($H944*Lists!$AN$24),2))</f>
        <v/>
      </c>
      <c r="J944" s="62"/>
      <c r="K944" s="65"/>
      <c r="L944" s="62"/>
    </row>
    <row r="945" spans="1:12" ht="15.75" customHeight="1" x14ac:dyDescent="0.2">
      <c r="A945" s="63" t="str">
        <f t="shared" si="15"/>
        <v/>
      </c>
      <c r="B945" s="63"/>
      <c r="C945" s="62" t="str">
        <f>IF($B945="","",IFERROR(VLOOKUP($B945,'Application Portfolio'!$A$2:$B$1000,2,FALSE()),""))</f>
        <v/>
      </c>
      <c r="D945" s="66"/>
      <c r="E945" s="66"/>
      <c r="F945" s="66"/>
      <c r="G945" s="66"/>
      <c r="H945" s="66"/>
      <c r="I945" s="64" t="str">
        <f>IF(OR($B945="", $D945="", $E945="", $F945="", $G945="", $H945=""),"",ROUND(($D945*Lists!$AN$20)+($E945*Lists!$AN$21)+($F945*Lists!$AN$22)+($G945*Lists!$AN$23)+($H945*Lists!$AN$24),2))</f>
        <v/>
      </c>
      <c r="J945" s="62"/>
      <c r="K945" s="65"/>
      <c r="L945" s="62"/>
    </row>
    <row r="946" spans="1:12" ht="15.75" customHeight="1" x14ac:dyDescent="0.2">
      <c r="A946" s="63" t="str">
        <f t="shared" si="15"/>
        <v/>
      </c>
      <c r="B946" s="63"/>
      <c r="C946" s="62" t="str">
        <f>IF($B946="","",IFERROR(VLOOKUP($B946,'Application Portfolio'!$A$2:$B$1000,2,FALSE()),""))</f>
        <v/>
      </c>
      <c r="D946" s="66"/>
      <c r="E946" s="66"/>
      <c r="F946" s="66"/>
      <c r="G946" s="66"/>
      <c r="H946" s="66"/>
      <c r="I946" s="64" t="str">
        <f>IF(OR($B946="", $D946="", $E946="", $F946="", $G946="", $H946=""),"",ROUND(($D946*Lists!$AN$20)+($E946*Lists!$AN$21)+($F946*Lists!$AN$22)+($G946*Lists!$AN$23)+($H946*Lists!$AN$24),2))</f>
        <v/>
      </c>
      <c r="J946" s="62"/>
      <c r="K946" s="65"/>
      <c r="L946" s="62"/>
    </row>
    <row r="947" spans="1:12" ht="15.75" customHeight="1" x14ac:dyDescent="0.2">
      <c r="A947" s="63" t="str">
        <f t="shared" si="15"/>
        <v/>
      </c>
      <c r="B947" s="63"/>
      <c r="C947" s="62" t="str">
        <f>IF($B947="","",IFERROR(VLOOKUP($B947,'Application Portfolio'!$A$2:$B$1000,2,FALSE()),""))</f>
        <v/>
      </c>
      <c r="D947" s="66"/>
      <c r="E947" s="66"/>
      <c r="F947" s="66"/>
      <c r="G947" s="66"/>
      <c r="H947" s="66"/>
      <c r="I947" s="64" t="str">
        <f>IF(OR($B947="", $D947="", $E947="", $F947="", $G947="", $H947=""),"",ROUND(($D947*Lists!$AN$20)+($E947*Lists!$AN$21)+($F947*Lists!$AN$22)+($G947*Lists!$AN$23)+($H947*Lists!$AN$24),2))</f>
        <v/>
      </c>
      <c r="J947" s="62"/>
      <c r="K947" s="65"/>
      <c r="L947" s="62"/>
    </row>
    <row r="948" spans="1:12" ht="15.75" customHeight="1" x14ac:dyDescent="0.2">
      <c r="A948" s="63" t="str">
        <f t="shared" si="15"/>
        <v/>
      </c>
      <c r="B948" s="63"/>
      <c r="C948" s="62" t="str">
        <f>IF($B948="","",IFERROR(VLOOKUP($B948,'Application Portfolio'!$A$2:$B$1000,2,FALSE()),""))</f>
        <v/>
      </c>
      <c r="D948" s="66"/>
      <c r="E948" s="66"/>
      <c r="F948" s="66"/>
      <c r="G948" s="66"/>
      <c r="H948" s="66"/>
      <c r="I948" s="64" t="str">
        <f>IF(OR($B948="", $D948="", $E948="", $F948="", $G948="", $H948=""),"",ROUND(($D948*Lists!$AN$20)+($E948*Lists!$AN$21)+($F948*Lists!$AN$22)+($G948*Lists!$AN$23)+($H948*Lists!$AN$24),2))</f>
        <v/>
      </c>
      <c r="J948" s="62"/>
      <c r="K948" s="65"/>
      <c r="L948" s="62"/>
    </row>
    <row r="949" spans="1:12" ht="15.75" customHeight="1" x14ac:dyDescent="0.2">
      <c r="A949" s="63" t="str">
        <f t="shared" si="15"/>
        <v/>
      </c>
      <c r="B949" s="63"/>
      <c r="C949" s="62" t="str">
        <f>IF($B949="","",IFERROR(VLOOKUP($B949,'Application Portfolio'!$A$2:$B$1000,2,FALSE()),""))</f>
        <v/>
      </c>
      <c r="D949" s="66"/>
      <c r="E949" s="66"/>
      <c r="F949" s="66"/>
      <c r="G949" s="66"/>
      <c r="H949" s="66"/>
      <c r="I949" s="64" t="str">
        <f>IF(OR($B949="", $D949="", $E949="", $F949="", $G949="", $H949=""),"",ROUND(($D949*Lists!$AN$20)+($E949*Lists!$AN$21)+($F949*Lists!$AN$22)+($G949*Lists!$AN$23)+($H949*Lists!$AN$24),2))</f>
        <v/>
      </c>
      <c r="J949" s="62"/>
      <c r="K949" s="65"/>
      <c r="L949" s="62"/>
    </row>
    <row r="950" spans="1:12" ht="15.75" customHeight="1" x14ac:dyDescent="0.2">
      <c r="A950" s="63" t="str">
        <f t="shared" si="15"/>
        <v/>
      </c>
      <c r="B950" s="63"/>
      <c r="C950" s="62" t="str">
        <f>IF($B950="","",IFERROR(VLOOKUP($B950,'Application Portfolio'!$A$2:$B$1000,2,FALSE()),""))</f>
        <v/>
      </c>
      <c r="D950" s="66"/>
      <c r="E950" s="66"/>
      <c r="F950" s="66"/>
      <c r="G950" s="66"/>
      <c r="H950" s="66"/>
      <c r="I950" s="64" t="str">
        <f>IF(OR($B950="", $D950="", $E950="", $F950="", $G950="", $H950=""),"",ROUND(($D950*Lists!$AN$20)+($E950*Lists!$AN$21)+($F950*Lists!$AN$22)+($G950*Lists!$AN$23)+($H950*Lists!$AN$24),2))</f>
        <v/>
      </c>
      <c r="J950" s="62"/>
      <c r="K950" s="65"/>
      <c r="L950" s="62"/>
    </row>
    <row r="951" spans="1:12" ht="15.75" customHeight="1" x14ac:dyDescent="0.2">
      <c r="A951" s="63" t="str">
        <f t="shared" si="15"/>
        <v/>
      </c>
      <c r="B951" s="63"/>
      <c r="C951" s="62" t="str">
        <f>IF($B951="","",IFERROR(VLOOKUP($B951,'Application Portfolio'!$A$2:$B$1000,2,FALSE()),""))</f>
        <v/>
      </c>
      <c r="D951" s="66"/>
      <c r="E951" s="66"/>
      <c r="F951" s="66"/>
      <c r="G951" s="66"/>
      <c r="H951" s="66"/>
      <c r="I951" s="64" t="str">
        <f>IF(OR($B951="", $D951="", $E951="", $F951="", $G951="", $H951=""),"",ROUND(($D951*Lists!$AN$20)+($E951*Lists!$AN$21)+($F951*Lists!$AN$22)+($G951*Lists!$AN$23)+($H951*Lists!$AN$24),2))</f>
        <v/>
      </c>
      <c r="J951" s="62"/>
      <c r="K951" s="65"/>
      <c r="L951" s="62"/>
    </row>
    <row r="952" spans="1:12" ht="15.75" customHeight="1" x14ac:dyDescent="0.2">
      <c r="A952" s="63" t="str">
        <f t="shared" si="15"/>
        <v/>
      </c>
      <c r="B952" s="63"/>
      <c r="C952" s="62" t="str">
        <f>IF($B952="","",IFERROR(VLOOKUP($B952,'Application Portfolio'!$A$2:$B$1000,2,FALSE()),""))</f>
        <v/>
      </c>
      <c r="D952" s="66"/>
      <c r="E952" s="66"/>
      <c r="F952" s="66"/>
      <c r="G952" s="66"/>
      <c r="H952" s="66"/>
      <c r="I952" s="64" t="str">
        <f>IF(OR($B952="", $D952="", $E952="", $F952="", $G952="", $H952=""),"",ROUND(($D952*Lists!$AN$20)+($E952*Lists!$AN$21)+($F952*Lists!$AN$22)+($G952*Lists!$AN$23)+($H952*Lists!$AN$24),2))</f>
        <v/>
      </c>
      <c r="J952" s="62"/>
      <c r="K952" s="65"/>
      <c r="L952" s="62"/>
    </row>
    <row r="953" spans="1:12" ht="15.75" customHeight="1" x14ac:dyDescent="0.2">
      <c r="A953" s="63" t="str">
        <f t="shared" si="15"/>
        <v/>
      </c>
      <c r="B953" s="63"/>
      <c r="C953" s="62" t="str">
        <f>IF($B953="","",IFERROR(VLOOKUP($B953,'Application Portfolio'!$A$2:$B$1000,2,FALSE()),""))</f>
        <v/>
      </c>
      <c r="D953" s="66"/>
      <c r="E953" s="66"/>
      <c r="F953" s="66"/>
      <c r="G953" s="66"/>
      <c r="H953" s="66"/>
      <c r="I953" s="64" t="str">
        <f>IF(OR($B953="", $D953="", $E953="", $F953="", $G953="", $H953=""),"",ROUND(($D953*Lists!$AN$20)+($E953*Lists!$AN$21)+($F953*Lists!$AN$22)+($G953*Lists!$AN$23)+($H953*Lists!$AN$24),2))</f>
        <v/>
      </c>
      <c r="J953" s="62"/>
      <c r="K953" s="65"/>
      <c r="L953" s="62"/>
    </row>
    <row r="954" spans="1:12" ht="15.75" customHeight="1" x14ac:dyDescent="0.2">
      <c r="A954" s="63" t="str">
        <f t="shared" si="15"/>
        <v/>
      </c>
      <c r="B954" s="63"/>
      <c r="C954" s="62" t="str">
        <f>IF($B954="","",IFERROR(VLOOKUP($B954,'Application Portfolio'!$A$2:$B$1000,2,FALSE()),""))</f>
        <v/>
      </c>
      <c r="D954" s="66"/>
      <c r="E954" s="66"/>
      <c r="F954" s="66"/>
      <c r="G954" s="66"/>
      <c r="H954" s="66"/>
      <c r="I954" s="64" t="str">
        <f>IF(OR($B954="", $D954="", $E954="", $F954="", $G954="", $H954=""),"",ROUND(($D954*Lists!$AN$20)+($E954*Lists!$AN$21)+($F954*Lists!$AN$22)+($G954*Lists!$AN$23)+($H954*Lists!$AN$24),2))</f>
        <v/>
      </c>
      <c r="J954" s="62"/>
      <c r="K954" s="65"/>
      <c r="L954" s="62"/>
    </row>
    <row r="955" spans="1:12" ht="15.75" customHeight="1" x14ac:dyDescent="0.2">
      <c r="A955" s="63" t="str">
        <f t="shared" si="15"/>
        <v/>
      </c>
      <c r="B955" s="63"/>
      <c r="C955" s="62" t="str">
        <f>IF($B955="","",IFERROR(VLOOKUP($B955,'Application Portfolio'!$A$2:$B$1000,2,FALSE()),""))</f>
        <v/>
      </c>
      <c r="D955" s="66"/>
      <c r="E955" s="66"/>
      <c r="F955" s="66"/>
      <c r="G955" s="66"/>
      <c r="H955" s="66"/>
      <c r="I955" s="64" t="str">
        <f>IF(OR($B955="", $D955="", $E955="", $F955="", $G955="", $H955=""),"",ROUND(($D955*Lists!$AN$20)+($E955*Lists!$AN$21)+($F955*Lists!$AN$22)+($G955*Lists!$AN$23)+($H955*Lists!$AN$24),2))</f>
        <v/>
      </c>
      <c r="J955" s="62"/>
      <c r="K955" s="65"/>
      <c r="L955" s="62"/>
    </row>
    <row r="956" spans="1:12" ht="15.75" customHeight="1" x14ac:dyDescent="0.2">
      <c r="A956" s="63" t="str">
        <f t="shared" si="15"/>
        <v/>
      </c>
      <c r="B956" s="63"/>
      <c r="C956" s="62" t="str">
        <f>IF($B956="","",IFERROR(VLOOKUP($B956,'Application Portfolio'!$A$2:$B$1000,2,FALSE()),""))</f>
        <v/>
      </c>
      <c r="D956" s="66"/>
      <c r="E956" s="66"/>
      <c r="F956" s="66"/>
      <c r="G956" s="66"/>
      <c r="H956" s="66"/>
      <c r="I956" s="64" t="str">
        <f>IF(OR($B956="", $D956="", $E956="", $F956="", $G956="", $H956=""),"",ROUND(($D956*Lists!$AN$20)+($E956*Lists!$AN$21)+($F956*Lists!$AN$22)+($G956*Lists!$AN$23)+($H956*Lists!$AN$24),2))</f>
        <v/>
      </c>
      <c r="J956" s="62"/>
      <c r="K956" s="65"/>
      <c r="L956" s="62"/>
    </row>
    <row r="957" spans="1:12" ht="15.75" customHeight="1" x14ac:dyDescent="0.2">
      <c r="A957" s="63" t="str">
        <f t="shared" si="15"/>
        <v/>
      </c>
      <c r="B957" s="63"/>
      <c r="C957" s="62" t="str">
        <f>IF($B957="","",IFERROR(VLOOKUP($B957,'Application Portfolio'!$A$2:$B$1000,2,FALSE()),""))</f>
        <v/>
      </c>
      <c r="D957" s="66"/>
      <c r="E957" s="66"/>
      <c r="F957" s="66"/>
      <c r="G957" s="66"/>
      <c r="H957" s="66"/>
      <c r="I957" s="64" t="str">
        <f>IF(OR($B957="", $D957="", $E957="", $F957="", $G957="", $H957=""),"",ROUND(($D957*Lists!$AN$20)+($E957*Lists!$AN$21)+($F957*Lists!$AN$22)+($G957*Lists!$AN$23)+($H957*Lists!$AN$24),2))</f>
        <v/>
      </c>
      <c r="J957" s="62"/>
      <c r="K957" s="65"/>
      <c r="L957" s="62"/>
    </row>
    <row r="958" spans="1:12" ht="15.75" customHeight="1" x14ac:dyDescent="0.2">
      <c r="A958" s="63" t="str">
        <f t="shared" si="15"/>
        <v/>
      </c>
      <c r="B958" s="63"/>
      <c r="C958" s="62" t="str">
        <f>IF($B958="","",IFERROR(VLOOKUP($B958,'Application Portfolio'!$A$2:$B$1000,2,FALSE()),""))</f>
        <v/>
      </c>
      <c r="D958" s="66"/>
      <c r="E958" s="66"/>
      <c r="F958" s="66"/>
      <c r="G958" s="66"/>
      <c r="H958" s="66"/>
      <c r="I958" s="64" t="str">
        <f>IF(OR($B958="", $D958="", $E958="", $F958="", $G958="", $H958=""),"",ROUND(($D958*Lists!$AN$20)+($E958*Lists!$AN$21)+($F958*Lists!$AN$22)+($G958*Lists!$AN$23)+($H958*Lists!$AN$24),2))</f>
        <v/>
      </c>
      <c r="J958" s="62"/>
      <c r="K958" s="65"/>
      <c r="L958" s="62"/>
    </row>
    <row r="959" spans="1:12" ht="15.75" customHeight="1" x14ac:dyDescent="0.2">
      <c r="A959" s="63" t="str">
        <f t="shared" si="15"/>
        <v/>
      </c>
      <c r="B959" s="63"/>
      <c r="C959" s="62" t="str">
        <f>IF($B959="","",IFERROR(VLOOKUP($B959,'Application Portfolio'!$A$2:$B$1000,2,FALSE()),""))</f>
        <v/>
      </c>
      <c r="D959" s="66"/>
      <c r="E959" s="66"/>
      <c r="F959" s="66"/>
      <c r="G959" s="66"/>
      <c r="H959" s="66"/>
      <c r="I959" s="64" t="str">
        <f>IF(OR($B959="", $D959="", $E959="", $F959="", $G959="", $H959=""),"",ROUND(($D959*Lists!$AN$20)+($E959*Lists!$AN$21)+($F959*Lists!$AN$22)+($G959*Lists!$AN$23)+($H959*Lists!$AN$24),2))</f>
        <v/>
      </c>
      <c r="J959" s="62"/>
      <c r="K959" s="65"/>
      <c r="L959" s="62"/>
    </row>
    <row r="960" spans="1:12" ht="15.75" customHeight="1" x14ac:dyDescent="0.2">
      <c r="A960" s="63" t="str">
        <f t="shared" si="15"/>
        <v/>
      </c>
      <c r="B960" s="63"/>
      <c r="C960" s="62" t="str">
        <f>IF($B960="","",IFERROR(VLOOKUP($B960,'Application Portfolio'!$A$2:$B$1000,2,FALSE()),""))</f>
        <v/>
      </c>
      <c r="D960" s="66"/>
      <c r="E960" s="66"/>
      <c r="F960" s="66"/>
      <c r="G960" s="66"/>
      <c r="H960" s="66"/>
      <c r="I960" s="64" t="str">
        <f>IF(OR($B960="", $D960="", $E960="", $F960="", $G960="", $H960=""),"",ROUND(($D960*Lists!$AN$20)+($E960*Lists!$AN$21)+($F960*Lists!$AN$22)+($G960*Lists!$AN$23)+($H960*Lists!$AN$24),2))</f>
        <v/>
      </c>
      <c r="J960" s="62"/>
      <c r="K960" s="65"/>
      <c r="L960" s="62"/>
    </row>
    <row r="961" spans="1:12" ht="15.75" customHeight="1" x14ac:dyDescent="0.2">
      <c r="A961" s="63" t="str">
        <f t="shared" si="15"/>
        <v/>
      </c>
      <c r="B961" s="63"/>
      <c r="C961" s="62" t="str">
        <f>IF($B961="","",IFERROR(VLOOKUP($B961,'Application Portfolio'!$A$2:$B$1000,2,FALSE()),""))</f>
        <v/>
      </c>
      <c r="D961" s="66"/>
      <c r="E961" s="66"/>
      <c r="F961" s="66"/>
      <c r="G961" s="66"/>
      <c r="H961" s="66"/>
      <c r="I961" s="64" t="str">
        <f>IF(OR($B961="", $D961="", $E961="", $F961="", $G961="", $H961=""),"",ROUND(($D961*Lists!$AN$20)+($E961*Lists!$AN$21)+($F961*Lists!$AN$22)+($G961*Lists!$AN$23)+($H961*Lists!$AN$24),2))</f>
        <v/>
      </c>
      <c r="J961" s="62"/>
      <c r="K961" s="65"/>
      <c r="L961" s="62"/>
    </row>
    <row r="962" spans="1:12" ht="15.75" customHeight="1" x14ac:dyDescent="0.2">
      <c r="A962" s="63" t="str">
        <f t="shared" si="15"/>
        <v/>
      </c>
      <c r="B962" s="63"/>
      <c r="C962" s="62" t="str">
        <f>IF($B962="","",IFERROR(VLOOKUP($B962,'Application Portfolio'!$A$2:$B$1000,2,FALSE()),""))</f>
        <v/>
      </c>
      <c r="D962" s="66"/>
      <c r="E962" s="66"/>
      <c r="F962" s="66"/>
      <c r="G962" s="66"/>
      <c r="H962" s="66"/>
      <c r="I962" s="64" t="str">
        <f>IF(OR($B962="", $D962="", $E962="", $F962="", $G962="", $H962=""),"",ROUND(($D962*Lists!$AN$20)+($E962*Lists!$AN$21)+($F962*Lists!$AN$22)+($G962*Lists!$AN$23)+($H962*Lists!$AN$24),2))</f>
        <v/>
      </c>
      <c r="J962" s="62"/>
      <c r="K962" s="65"/>
      <c r="L962" s="62"/>
    </row>
    <row r="963" spans="1:12" ht="15.75" customHeight="1" x14ac:dyDescent="0.2">
      <c r="A963" s="63" t="str">
        <f t="shared" si="15"/>
        <v/>
      </c>
      <c r="B963" s="63"/>
      <c r="C963" s="62" t="str">
        <f>IF($B963="","",IFERROR(VLOOKUP($B963,'Application Portfolio'!$A$2:$B$1000,2,FALSE()),""))</f>
        <v/>
      </c>
      <c r="D963" s="66"/>
      <c r="E963" s="66"/>
      <c r="F963" s="66"/>
      <c r="G963" s="66"/>
      <c r="H963" s="66"/>
      <c r="I963" s="64" t="str">
        <f>IF(OR($B963="", $D963="", $E963="", $F963="", $G963="", $H963=""),"",ROUND(($D963*Lists!$AN$20)+($E963*Lists!$AN$21)+($F963*Lists!$AN$22)+($G963*Lists!$AN$23)+($H963*Lists!$AN$24),2))</f>
        <v/>
      </c>
      <c r="J963" s="62"/>
      <c r="K963" s="65"/>
      <c r="L963" s="62"/>
    </row>
    <row r="964" spans="1:12" ht="15.75" customHeight="1" x14ac:dyDescent="0.2">
      <c r="A964" s="63" t="str">
        <f t="shared" si="15"/>
        <v/>
      </c>
      <c r="B964" s="63"/>
      <c r="C964" s="62" t="str">
        <f>IF($B964="","",IFERROR(VLOOKUP($B964,'Application Portfolio'!$A$2:$B$1000,2,FALSE()),""))</f>
        <v/>
      </c>
      <c r="D964" s="66"/>
      <c r="E964" s="66"/>
      <c r="F964" s="66"/>
      <c r="G964" s="66"/>
      <c r="H964" s="66"/>
      <c r="I964" s="64" t="str">
        <f>IF(OR($B964="", $D964="", $E964="", $F964="", $G964="", $H964=""),"",ROUND(($D964*Lists!$AN$20)+($E964*Lists!$AN$21)+($F964*Lists!$AN$22)+($G964*Lists!$AN$23)+($H964*Lists!$AN$24),2))</f>
        <v/>
      </c>
      <c r="J964" s="62"/>
      <c r="K964" s="65"/>
      <c r="L964" s="62"/>
    </row>
    <row r="965" spans="1:12" ht="15.75" customHeight="1" x14ac:dyDescent="0.2">
      <c r="A965" s="63" t="str">
        <f t="shared" si="15"/>
        <v/>
      </c>
      <c r="B965" s="63"/>
      <c r="C965" s="62" t="str">
        <f>IF($B965="","",IFERROR(VLOOKUP($B965,'Application Portfolio'!$A$2:$B$1000,2,FALSE()),""))</f>
        <v/>
      </c>
      <c r="D965" s="66"/>
      <c r="E965" s="66"/>
      <c r="F965" s="66"/>
      <c r="G965" s="66"/>
      <c r="H965" s="66"/>
      <c r="I965" s="64" t="str">
        <f>IF(OR($B965="", $D965="", $E965="", $F965="", $G965="", $H965=""),"",ROUND(($D965*Lists!$AN$20)+($E965*Lists!$AN$21)+($F965*Lists!$AN$22)+($G965*Lists!$AN$23)+($H965*Lists!$AN$24),2))</f>
        <v/>
      </c>
      <c r="J965" s="62"/>
      <c r="K965" s="65"/>
      <c r="L965" s="62"/>
    </row>
    <row r="966" spans="1:12" ht="15.75" customHeight="1" x14ac:dyDescent="0.2">
      <c r="A966" s="63" t="str">
        <f t="shared" si="15"/>
        <v/>
      </c>
      <c r="B966" s="63"/>
      <c r="C966" s="62" t="str">
        <f>IF($B966="","",IFERROR(VLOOKUP($B966,'Application Portfolio'!$A$2:$B$1000,2,FALSE()),""))</f>
        <v/>
      </c>
      <c r="D966" s="66"/>
      <c r="E966" s="66"/>
      <c r="F966" s="66"/>
      <c r="G966" s="66"/>
      <c r="H966" s="66"/>
      <c r="I966" s="64" t="str">
        <f>IF(OR($B966="", $D966="", $E966="", $F966="", $G966="", $H966=""),"",ROUND(($D966*Lists!$AN$20)+($E966*Lists!$AN$21)+($F966*Lists!$AN$22)+($G966*Lists!$AN$23)+($H966*Lists!$AN$24),2))</f>
        <v/>
      </c>
      <c r="J966" s="62"/>
      <c r="K966" s="65"/>
      <c r="L966" s="62"/>
    </row>
    <row r="967" spans="1:12" ht="15.75" customHeight="1" x14ac:dyDescent="0.2">
      <c r="A967" s="63" t="str">
        <f t="shared" si="15"/>
        <v/>
      </c>
      <c r="B967" s="63"/>
      <c r="C967" s="62" t="str">
        <f>IF($B967="","",IFERROR(VLOOKUP($B967,'Application Portfolio'!$A$2:$B$1000,2,FALSE()),""))</f>
        <v/>
      </c>
      <c r="D967" s="66"/>
      <c r="E967" s="66"/>
      <c r="F967" s="66"/>
      <c r="G967" s="66"/>
      <c r="H967" s="66"/>
      <c r="I967" s="64" t="str">
        <f>IF(OR($B967="", $D967="", $E967="", $F967="", $G967="", $H967=""),"",ROUND(($D967*Lists!$AN$20)+($E967*Lists!$AN$21)+($F967*Lists!$AN$22)+($G967*Lists!$AN$23)+($H967*Lists!$AN$24),2))</f>
        <v/>
      </c>
      <c r="J967" s="62"/>
      <c r="K967" s="65"/>
      <c r="L967" s="62"/>
    </row>
    <row r="968" spans="1:12" ht="15.75" customHeight="1" x14ac:dyDescent="0.2">
      <c r="A968" s="63" t="str">
        <f t="shared" si="15"/>
        <v/>
      </c>
      <c r="B968" s="63"/>
      <c r="C968" s="62" t="str">
        <f>IF($B968="","",IFERROR(VLOOKUP($B968,'Application Portfolio'!$A$2:$B$1000,2,FALSE()),""))</f>
        <v/>
      </c>
      <c r="D968" s="66"/>
      <c r="E968" s="66"/>
      <c r="F968" s="66"/>
      <c r="G968" s="66"/>
      <c r="H968" s="66"/>
      <c r="I968" s="64" t="str">
        <f>IF(OR($B968="", $D968="", $E968="", $F968="", $G968="", $H968=""),"",ROUND(($D968*Lists!$AN$20)+($E968*Lists!$AN$21)+($F968*Lists!$AN$22)+($G968*Lists!$AN$23)+($H968*Lists!$AN$24),2))</f>
        <v/>
      </c>
      <c r="J968" s="62"/>
      <c r="K968" s="65"/>
      <c r="L968" s="62"/>
    </row>
    <row r="969" spans="1:12" ht="15.75" customHeight="1" x14ac:dyDescent="0.2">
      <c r="A969" s="63" t="str">
        <f t="shared" si="15"/>
        <v/>
      </c>
      <c r="B969" s="63"/>
      <c r="C969" s="62" t="str">
        <f>IF($B969="","",IFERROR(VLOOKUP($B969,'Application Portfolio'!$A$2:$B$1000,2,FALSE()),""))</f>
        <v/>
      </c>
      <c r="D969" s="66"/>
      <c r="E969" s="66"/>
      <c r="F969" s="66"/>
      <c r="G969" s="66"/>
      <c r="H969" s="66"/>
      <c r="I969" s="64" t="str">
        <f>IF(OR($B969="", $D969="", $E969="", $F969="", $G969="", $H969=""),"",ROUND(($D969*Lists!$AN$20)+($E969*Lists!$AN$21)+($F969*Lists!$AN$22)+($G969*Lists!$AN$23)+($H969*Lists!$AN$24),2))</f>
        <v/>
      </c>
      <c r="J969" s="62"/>
      <c r="K969" s="65"/>
      <c r="L969" s="62"/>
    </row>
    <row r="970" spans="1:12" ht="15.75" customHeight="1" x14ac:dyDescent="0.2">
      <c r="A970" s="63" t="str">
        <f t="shared" si="15"/>
        <v/>
      </c>
      <c r="B970" s="63"/>
      <c r="C970" s="62" t="str">
        <f>IF($B970="","",IFERROR(VLOOKUP($B970,'Application Portfolio'!$A$2:$B$1000,2,FALSE()),""))</f>
        <v/>
      </c>
      <c r="D970" s="66"/>
      <c r="E970" s="66"/>
      <c r="F970" s="66"/>
      <c r="G970" s="66"/>
      <c r="H970" s="66"/>
      <c r="I970" s="64" t="str">
        <f>IF(OR($B970="", $D970="", $E970="", $F970="", $G970="", $H970=""),"",ROUND(($D970*Lists!$AN$20)+($E970*Lists!$AN$21)+($F970*Lists!$AN$22)+($G970*Lists!$AN$23)+($H970*Lists!$AN$24),2))</f>
        <v/>
      </c>
      <c r="J970" s="62"/>
      <c r="K970" s="65"/>
      <c r="L970" s="62"/>
    </row>
    <row r="971" spans="1:12" ht="15.75" customHeight="1" x14ac:dyDescent="0.2">
      <c r="A971" s="63" t="str">
        <f t="shared" si="15"/>
        <v/>
      </c>
      <c r="B971" s="63"/>
      <c r="C971" s="62" t="str">
        <f>IF($B971="","",IFERROR(VLOOKUP($B971,'Application Portfolio'!$A$2:$B$1000,2,FALSE()),""))</f>
        <v/>
      </c>
      <c r="D971" s="66"/>
      <c r="E971" s="66"/>
      <c r="F971" s="66"/>
      <c r="G971" s="66"/>
      <c r="H971" s="66"/>
      <c r="I971" s="64" t="str">
        <f>IF(OR($B971="", $D971="", $E971="", $F971="", $G971="", $H971=""),"",ROUND(($D971*Lists!$AN$20)+($E971*Lists!$AN$21)+($F971*Lists!$AN$22)+($G971*Lists!$AN$23)+($H971*Lists!$AN$24),2))</f>
        <v/>
      </c>
      <c r="J971" s="62"/>
      <c r="K971" s="65"/>
      <c r="L971" s="62"/>
    </row>
    <row r="972" spans="1:12" ht="15.75" customHeight="1" x14ac:dyDescent="0.2">
      <c r="A972" s="63" t="str">
        <f t="shared" si="15"/>
        <v/>
      </c>
      <c r="B972" s="63"/>
      <c r="C972" s="62" t="str">
        <f>IF($B972="","",IFERROR(VLOOKUP($B972,'Application Portfolio'!$A$2:$B$1000,2,FALSE()),""))</f>
        <v/>
      </c>
      <c r="D972" s="66"/>
      <c r="E972" s="66"/>
      <c r="F972" s="66"/>
      <c r="G972" s="66"/>
      <c r="H972" s="66"/>
      <c r="I972" s="64" t="str">
        <f>IF(OR($B972="", $D972="", $E972="", $F972="", $G972="", $H972=""),"",ROUND(($D972*Lists!$AN$20)+($E972*Lists!$AN$21)+($F972*Lists!$AN$22)+($G972*Lists!$AN$23)+($H972*Lists!$AN$24),2))</f>
        <v/>
      </c>
      <c r="J972" s="62"/>
      <c r="K972" s="65"/>
      <c r="L972" s="62"/>
    </row>
    <row r="973" spans="1:12" ht="15.75" customHeight="1" x14ac:dyDescent="0.2">
      <c r="A973" s="63" t="str">
        <f t="shared" si="15"/>
        <v/>
      </c>
      <c r="B973" s="63"/>
      <c r="C973" s="62" t="str">
        <f>IF($B973="","",IFERROR(VLOOKUP($B973,'Application Portfolio'!$A$2:$B$1000,2,FALSE()),""))</f>
        <v/>
      </c>
      <c r="D973" s="66"/>
      <c r="E973" s="66"/>
      <c r="F973" s="66"/>
      <c r="G973" s="66"/>
      <c r="H973" s="66"/>
      <c r="I973" s="64" t="str">
        <f>IF(OR($B973="", $D973="", $E973="", $F973="", $G973="", $H973=""),"",ROUND(($D973*Lists!$AN$20)+($E973*Lists!$AN$21)+($F973*Lists!$AN$22)+($G973*Lists!$AN$23)+($H973*Lists!$AN$24),2))</f>
        <v/>
      </c>
      <c r="J973" s="62"/>
      <c r="K973" s="65"/>
      <c r="L973" s="62"/>
    </row>
    <row r="974" spans="1:12" ht="15.75" customHeight="1" x14ac:dyDescent="0.2">
      <c r="A974" s="63" t="str">
        <f t="shared" si="15"/>
        <v/>
      </c>
      <c r="B974" s="63"/>
      <c r="C974" s="62" t="str">
        <f>IF($B974="","",IFERROR(VLOOKUP($B974,'Application Portfolio'!$A$2:$B$1000,2,FALSE()),""))</f>
        <v/>
      </c>
      <c r="D974" s="66"/>
      <c r="E974" s="66"/>
      <c r="F974" s="66"/>
      <c r="G974" s="66"/>
      <c r="H974" s="66"/>
      <c r="I974" s="64" t="str">
        <f>IF(OR($B974="", $D974="", $E974="", $F974="", $G974="", $H974=""),"",ROUND(($D974*Lists!$AN$20)+($E974*Lists!$AN$21)+($F974*Lists!$AN$22)+($G974*Lists!$AN$23)+($H974*Lists!$AN$24),2))</f>
        <v/>
      </c>
      <c r="J974" s="62"/>
      <c r="K974" s="65"/>
      <c r="L974" s="62"/>
    </row>
    <row r="975" spans="1:12" ht="15.75" customHeight="1" x14ac:dyDescent="0.2">
      <c r="A975" s="63" t="str">
        <f t="shared" si="15"/>
        <v/>
      </c>
      <c r="B975" s="63"/>
      <c r="C975" s="62" t="str">
        <f>IF($B975="","",IFERROR(VLOOKUP($B975,'Application Portfolio'!$A$2:$B$1000,2,FALSE()),""))</f>
        <v/>
      </c>
      <c r="D975" s="66"/>
      <c r="E975" s="66"/>
      <c r="F975" s="66"/>
      <c r="G975" s="66"/>
      <c r="H975" s="66"/>
      <c r="I975" s="64" t="str">
        <f>IF(OR($B975="", $D975="", $E975="", $F975="", $G975="", $H975=""),"",ROUND(($D975*Lists!$AN$20)+($E975*Lists!$AN$21)+($F975*Lists!$AN$22)+($G975*Lists!$AN$23)+($H975*Lists!$AN$24),2))</f>
        <v/>
      </c>
      <c r="J975" s="62"/>
      <c r="K975" s="65"/>
      <c r="L975" s="62"/>
    </row>
    <row r="976" spans="1:12" ht="15.75" customHeight="1" x14ac:dyDescent="0.2">
      <c r="A976" s="63" t="str">
        <f t="shared" si="15"/>
        <v/>
      </c>
      <c r="B976" s="63"/>
      <c r="C976" s="62" t="str">
        <f>IF($B976="","",IFERROR(VLOOKUP($B976,'Application Portfolio'!$A$2:$B$1000,2,FALSE()),""))</f>
        <v/>
      </c>
      <c r="D976" s="66"/>
      <c r="E976" s="66"/>
      <c r="F976" s="66"/>
      <c r="G976" s="66"/>
      <c r="H976" s="66"/>
      <c r="I976" s="64" t="str">
        <f>IF(OR($B976="", $D976="", $E976="", $F976="", $G976="", $H976=""),"",ROUND(($D976*Lists!$AN$20)+($E976*Lists!$AN$21)+($F976*Lists!$AN$22)+($G976*Lists!$AN$23)+($H976*Lists!$AN$24),2))</f>
        <v/>
      </c>
      <c r="J976" s="62"/>
      <c r="K976" s="65"/>
      <c r="L976" s="62"/>
    </row>
    <row r="977" spans="1:12" ht="15.75" customHeight="1" x14ac:dyDescent="0.2">
      <c r="A977" s="63" t="str">
        <f t="shared" si="15"/>
        <v/>
      </c>
      <c r="B977" s="63"/>
      <c r="C977" s="62" t="str">
        <f>IF($B977="","",IFERROR(VLOOKUP($B977,'Application Portfolio'!$A$2:$B$1000,2,FALSE()),""))</f>
        <v/>
      </c>
      <c r="D977" s="66"/>
      <c r="E977" s="66"/>
      <c r="F977" s="66"/>
      <c r="G977" s="66"/>
      <c r="H977" s="66"/>
      <c r="I977" s="64" t="str">
        <f>IF(OR($B977="", $D977="", $E977="", $F977="", $G977="", $H977=""),"",ROUND(($D977*Lists!$AN$20)+($E977*Lists!$AN$21)+($F977*Lists!$AN$22)+($G977*Lists!$AN$23)+($H977*Lists!$AN$24),2))</f>
        <v/>
      </c>
      <c r="J977" s="62"/>
      <c r="K977" s="65"/>
      <c r="L977" s="62"/>
    </row>
    <row r="978" spans="1:12" ht="15.75" customHeight="1" x14ac:dyDescent="0.2">
      <c r="A978" s="63" t="str">
        <f t="shared" si="15"/>
        <v/>
      </c>
      <c r="B978" s="63"/>
      <c r="C978" s="62" t="str">
        <f>IF($B978="","",IFERROR(VLOOKUP($B978,'Application Portfolio'!$A$2:$B$1000,2,FALSE()),""))</f>
        <v/>
      </c>
      <c r="D978" s="66"/>
      <c r="E978" s="66"/>
      <c r="F978" s="66"/>
      <c r="G978" s="66"/>
      <c r="H978" s="66"/>
      <c r="I978" s="64" t="str">
        <f>IF(OR($B978="", $D978="", $E978="", $F978="", $G978="", $H978=""),"",ROUND(($D978*Lists!$AN$20)+($E978*Lists!$AN$21)+($F978*Lists!$AN$22)+($G978*Lists!$AN$23)+($H978*Lists!$AN$24),2))</f>
        <v/>
      </c>
      <c r="J978" s="62"/>
      <c r="K978" s="65"/>
      <c r="L978" s="62"/>
    </row>
    <row r="979" spans="1:12" ht="15.75" customHeight="1" x14ac:dyDescent="0.2">
      <c r="A979" s="63" t="str">
        <f t="shared" si="15"/>
        <v/>
      </c>
      <c r="B979" s="63"/>
      <c r="C979" s="62" t="str">
        <f>IF($B979="","",IFERROR(VLOOKUP($B979,'Application Portfolio'!$A$2:$B$1000,2,FALSE()),""))</f>
        <v/>
      </c>
      <c r="D979" s="66"/>
      <c r="E979" s="66"/>
      <c r="F979" s="66"/>
      <c r="G979" s="66"/>
      <c r="H979" s="66"/>
      <c r="I979" s="64" t="str">
        <f>IF(OR($B979="", $D979="", $E979="", $F979="", $G979="", $H979=""),"",ROUND(($D979*Lists!$AN$20)+($E979*Lists!$AN$21)+($F979*Lists!$AN$22)+($G979*Lists!$AN$23)+($H979*Lists!$AN$24),2))</f>
        <v/>
      </c>
      <c r="J979" s="62"/>
      <c r="K979" s="65"/>
      <c r="L979" s="62"/>
    </row>
    <row r="980" spans="1:12" ht="15.75" customHeight="1" x14ac:dyDescent="0.2">
      <c r="A980" s="63" t="str">
        <f t="shared" si="15"/>
        <v/>
      </c>
      <c r="B980" s="63"/>
      <c r="C980" s="62" t="str">
        <f>IF($B980="","",IFERROR(VLOOKUP($B980,'Application Portfolio'!$A$2:$B$1000,2,FALSE()),""))</f>
        <v/>
      </c>
      <c r="D980" s="66"/>
      <c r="E980" s="66"/>
      <c r="F980" s="66"/>
      <c r="G980" s="66"/>
      <c r="H980" s="66"/>
      <c r="I980" s="64" t="str">
        <f>IF(OR($B980="", $D980="", $E980="", $F980="", $G980="", $H980=""),"",ROUND(($D980*Lists!$AN$20)+($E980*Lists!$AN$21)+($F980*Lists!$AN$22)+($G980*Lists!$AN$23)+($H980*Lists!$AN$24),2))</f>
        <v/>
      </c>
      <c r="J980" s="62"/>
      <c r="K980" s="65"/>
      <c r="L980" s="62"/>
    </row>
    <row r="981" spans="1:12" ht="15.75" customHeight="1" x14ac:dyDescent="0.2">
      <c r="A981" s="63" t="str">
        <f t="shared" si="15"/>
        <v/>
      </c>
      <c r="B981" s="63"/>
      <c r="C981" s="62" t="str">
        <f>IF($B981="","",IFERROR(VLOOKUP($B981,'Application Portfolio'!$A$2:$B$1000,2,FALSE()),""))</f>
        <v/>
      </c>
      <c r="D981" s="66"/>
      <c r="E981" s="66"/>
      <c r="F981" s="66"/>
      <c r="G981" s="66"/>
      <c r="H981" s="66"/>
      <c r="I981" s="64" t="str">
        <f>IF(OR($B981="", $D981="", $E981="", $F981="", $G981="", $H981=""),"",ROUND(($D981*Lists!$AN$20)+($E981*Lists!$AN$21)+($F981*Lists!$AN$22)+($G981*Lists!$AN$23)+($H981*Lists!$AN$24),2))</f>
        <v/>
      </c>
      <c r="J981" s="62"/>
      <c r="K981" s="65"/>
      <c r="L981" s="62"/>
    </row>
    <row r="982" spans="1:12" ht="15.75" customHeight="1" x14ac:dyDescent="0.2">
      <c r="A982" s="63" t="str">
        <f t="shared" si="15"/>
        <v/>
      </c>
      <c r="B982" s="63"/>
      <c r="C982" s="62" t="str">
        <f>IF($B982="","",IFERROR(VLOOKUP($B982,'Application Portfolio'!$A$2:$B$1000,2,FALSE()),""))</f>
        <v/>
      </c>
      <c r="D982" s="66"/>
      <c r="E982" s="66"/>
      <c r="F982" s="66"/>
      <c r="G982" s="66"/>
      <c r="H982" s="66"/>
      <c r="I982" s="64" t="str">
        <f>IF(OR($B982="", $D982="", $E982="", $F982="", $G982="", $H982=""),"",ROUND(($D982*Lists!$AN$20)+($E982*Lists!$AN$21)+($F982*Lists!$AN$22)+($G982*Lists!$AN$23)+($H982*Lists!$AN$24),2))</f>
        <v/>
      </c>
      <c r="J982" s="62"/>
      <c r="K982" s="65"/>
      <c r="L982" s="62"/>
    </row>
    <row r="983" spans="1:12" ht="15.75" customHeight="1" x14ac:dyDescent="0.2">
      <c r="A983" s="63" t="str">
        <f t="shared" si="15"/>
        <v/>
      </c>
      <c r="B983" s="63"/>
      <c r="C983" s="62" t="str">
        <f>IF($B983="","",IFERROR(VLOOKUP($B983,'Application Portfolio'!$A$2:$B$1000,2,FALSE()),""))</f>
        <v/>
      </c>
      <c r="D983" s="66"/>
      <c r="E983" s="66"/>
      <c r="F983" s="66"/>
      <c r="G983" s="66"/>
      <c r="H983" s="66"/>
      <c r="I983" s="64" t="str">
        <f>IF(OR($B983="", $D983="", $E983="", $F983="", $G983="", $H983=""),"",ROUND(($D983*Lists!$AN$20)+($E983*Lists!$AN$21)+($F983*Lists!$AN$22)+($G983*Lists!$AN$23)+($H983*Lists!$AN$24),2))</f>
        <v/>
      </c>
      <c r="J983" s="62"/>
      <c r="K983" s="65"/>
      <c r="L983" s="62"/>
    </row>
    <row r="984" spans="1:12" ht="15.75" customHeight="1" x14ac:dyDescent="0.2">
      <c r="A984" s="63" t="str">
        <f t="shared" si="15"/>
        <v/>
      </c>
      <c r="B984" s="63"/>
      <c r="C984" s="62" t="str">
        <f>IF($B984="","",IFERROR(VLOOKUP($B984,'Application Portfolio'!$A$2:$B$1000,2,FALSE()),""))</f>
        <v/>
      </c>
      <c r="D984" s="66"/>
      <c r="E984" s="66"/>
      <c r="F984" s="66"/>
      <c r="G984" s="66"/>
      <c r="H984" s="66"/>
      <c r="I984" s="64" t="str">
        <f>IF(OR($B984="", $D984="", $E984="", $F984="", $G984="", $H984=""),"",ROUND(($D984*Lists!$AN$20)+($E984*Lists!$AN$21)+($F984*Lists!$AN$22)+($G984*Lists!$AN$23)+($H984*Lists!$AN$24),2))</f>
        <v/>
      </c>
      <c r="J984" s="62"/>
      <c r="K984" s="65"/>
      <c r="L984" s="62"/>
    </row>
    <row r="985" spans="1:12" ht="15.75" customHeight="1" x14ac:dyDescent="0.2">
      <c r="A985" s="63" t="str">
        <f t="shared" si="15"/>
        <v/>
      </c>
      <c r="B985" s="63"/>
      <c r="C985" s="62" t="str">
        <f>IF($B985="","",IFERROR(VLOOKUP($B985,'Application Portfolio'!$A$2:$B$1000,2,FALSE()),""))</f>
        <v/>
      </c>
      <c r="D985" s="66"/>
      <c r="E985" s="66"/>
      <c r="F985" s="66"/>
      <c r="G985" s="66"/>
      <c r="H985" s="66"/>
      <c r="I985" s="64" t="str">
        <f>IF(OR($B985="", $D985="", $E985="", $F985="", $G985="", $H985=""),"",ROUND(($D985*Lists!$AN$20)+($E985*Lists!$AN$21)+($F985*Lists!$AN$22)+($G985*Lists!$AN$23)+($H985*Lists!$AN$24),2))</f>
        <v/>
      </c>
      <c r="J985" s="62"/>
      <c r="K985" s="65"/>
      <c r="L985" s="62"/>
    </row>
    <row r="986" spans="1:12" ht="15.75" customHeight="1" x14ac:dyDescent="0.2">
      <c r="A986" s="63" t="str">
        <f t="shared" si="15"/>
        <v/>
      </c>
      <c r="B986" s="63"/>
      <c r="C986" s="62" t="str">
        <f>IF($B986="","",IFERROR(VLOOKUP($B986,'Application Portfolio'!$A$2:$B$1000,2,FALSE()),""))</f>
        <v/>
      </c>
      <c r="D986" s="66"/>
      <c r="E986" s="66"/>
      <c r="F986" s="66"/>
      <c r="G986" s="66"/>
      <c r="H986" s="66"/>
      <c r="I986" s="64" t="str">
        <f>IF(OR($B986="", $D986="", $E986="", $F986="", $G986="", $H986=""),"",ROUND(($D986*Lists!$AN$20)+($E986*Lists!$AN$21)+($F986*Lists!$AN$22)+($G986*Lists!$AN$23)+($H986*Lists!$AN$24),2))</f>
        <v/>
      </c>
      <c r="J986" s="62"/>
      <c r="K986" s="65"/>
      <c r="L986" s="62"/>
    </row>
    <row r="987" spans="1:12" ht="15.75" customHeight="1" x14ac:dyDescent="0.2">
      <c r="A987" s="63" t="str">
        <f t="shared" si="15"/>
        <v/>
      </c>
      <c r="B987" s="63"/>
      <c r="C987" s="62" t="str">
        <f>IF($B987="","",IFERROR(VLOOKUP($B987,'Application Portfolio'!$A$2:$B$1000,2,FALSE()),""))</f>
        <v/>
      </c>
      <c r="D987" s="66"/>
      <c r="E987" s="66"/>
      <c r="F987" s="66"/>
      <c r="G987" s="66"/>
      <c r="H987" s="66"/>
      <c r="I987" s="64" t="str">
        <f>IF(OR($B987="", $D987="", $E987="", $F987="", $G987="", $H987=""),"",ROUND(($D987*Lists!$AN$20)+($E987*Lists!$AN$21)+($F987*Lists!$AN$22)+($G987*Lists!$AN$23)+($H987*Lists!$AN$24),2))</f>
        <v/>
      </c>
      <c r="J987" s="62"/>
      <c r="K987" s="65"/>
      <c r="L987" s="62"/>
    </row>
    <row r="988" spans="1:12" ht="15.75" customHeight="1" x14ac:dyDescent="0.2">
      <c r="A988" s="63" t="str">
        <f t="shared" si="15"/>
        <v/>
      </c>
      <c r="B988" s="63"/>
      <c r="C988" s="62" t="str">
        <f>IF($B988="","",IFERROR(VLOOKUP($B988,'Application Portfolio'!$A$2:$B$1000,2,FALSE()),""))</f>
        <v/>
      </c>
      <c r="D988" s="66"/>
      <c r="E988" s="66"/>
      <c r="F988" s="66"/>
      <c r="G988" s="66"/>
      <c r="H988" s="66"/>
      <c r="I988" s="64" t="str">
        <f>IF(OR($B988="", $D988="", $E988="", $F988="", $G988="", $H988=""),"",ROUND(($D988*Lists!$AN$20)+($E988*Lists!$AN$21)+($F988*Lists!$AN$22)+($G988*Lists!$AN$23)+($H988*Lists!$AN$24),2))</f>
        <v/>
      </c>
      <c r="J988" s="62"/>
      <c r="K988" s="65"/>
      <c r="L988" s="62"/>
    </row>
    <row r="989" spans="1:12" ht="15.75" customHeight="1" x14ac:dyDescent="0.2">
      <c r="A989" s="63" t="str">
        <f t="shared" si="15"/>
        <v/>
      </c>
      <c r="B989" s="63"/>
      <c r="C989" s="62" t="str">
        <f>IF($B989="","",IFERROR(VLOOKUP($B989,'Application Portfolio'!$A$2:$B$1000,2,FALSE()),""))</f>
        <v/>
      </c>
      <c r="D989" s="66"/>
      <c r="E989" s="66"/>
      <c r="F989" s="66"/>
      <c r="G989" s="66"/>
      <c r="H989" s="66"/>
      <c r="I989" s="64" t="str">
        <f>IF(OR($B989="", $D989="", $E989="", $F989="", $G989="", $H989=""),"",ROUND(($D989*Lists!$AN$20)+($E989*Lists!$AN$21)+($F989*Lists!$AN$22)+($G989*Lists!$AN$23)+($H989*Lists!$AN$24),2))</f>
        <v/>
      </c>
      <c r="J989" s="62"/>
      <c r="K989" s="65"/>
      <c r="L989" s="62"/>
    </row>
    <row r="990" spans="1:12" ht="15.75" customHeight="1" x14ac:dyDescent="0.2">
      <c r="A990" s="63" t="str">
        <f t="shared" si="15"/>
        <v/>
      </c>
      <c r="B990" s="63"/>
      <c r="C990" s="62" t="str">
        <f>IF($B990="","",IFERROR(VLOOKUP($B990,'Application Portfolio'!$A$2:$B$1000,2,FALSE()),""))</f>
        <v/>
      </c>
      <c r="D990" s="66"/>
      <c r="E990" s="66"/>
      <c r="F990" s="66"/>
      <c r="G990" s="66"/>
      <c r="H990" s="66"/>
      <c r="I990" s="64" t="str">
        <f>IF(OR($B990="", $D990="", $E990="", $F990="", $G990="", $H990=""),"",ROUND(($D990*Lists!$AN$20)+($E990*Lists!$AN$21)+($F990*Lists!$AN$22)+($G990*Lists!$AN$23)+($H990*Lists!$AN$24),2))</f>
        <v/>
      </c>
      <c r="J990" s="62"/>
      <c r="K990" s="65"/>
      <c r="L990" s="62"/>
    </row>
    <row r="991" spans="1:12" ht="15.75" customHeight="1" x14ac:dyDescent="0.2">
      <c r="A991" s="63" t="str">
        <f t="shared" si="15"/>
        <v/>
      </c>
      <c r="B991" s="63"/>
      <c r="C991" s="62" t="str">
        <f>IF($B991="","",IFERROR(VLOOKUP($B991,'Application Portfolio'!$A$2:$B$1000,2,FALSE()),""))</f>
        <v/>
      </c>
      <c r="D991" s="66"/>
      <c r="E991" s="66"/>
      <c r="F991" s="66"/>
      <c r="G991" s="66"/>
      <c r="H991" s="66"/>
      <c r="I991" s="64" t="str">
        <f>IF(OR($B991="", $D991="", $E991="", $F991="", $G991="", $H991=""),"",ROUND(($D991*Lists!$AN$20)+($E991*Lists!$AN$21)+($F991*Lists!$AN$22)+($G991*Lists!$AN$23)+($H991*Lists!$AN$24),2))</f>
        <v/>
      </c>
      <c r="J991" s="62"/>
      <c r="K991" s="65"/>
      <c r="L991" s="62"/>
    </row>
    <row r="992" spans="1:12" ht="15.75" customHeight="1" x14ac:dyDescent="0.2">
      <c r="A992" s="63" t="str">
        <f t="shared" ref="A992:A1000" si="16">IF($B992="","", "R-" &amp; RIGHT("0000"&amp;ROW()-1,4))</f>
        <v/>
      </c>
      <c r="B992" s="63"/>
      <c r="C992" s="62" t="str">
        <f>IF($B992="","",IFERROR(VLOOKUP($B992,'Application Portfolio'!$A$2:$B$1000,2,FALSE()),""))</f>
        <v/>
      </c>
      <c r="D992" s="66"/>
      <c r="E992" s="66"/>
      <c r="F992" s="66"/>
      <c r="G992" s="66"/>
      <c r="H992" s="66"/>
      <c r="I992" s="64" t="str">
        <f>IF(OR($B992="", $D992="", $E992="", $F992="", $G992="", $H992=""),"",ROUND(($D992*Lists!$AN$20)+($E992*Lists!$AN$21)+($F992*Lists!$AN$22)+($G992*Lists!$AN$23)+($H992*Lists!$AN$24),2))</f>
        <v/>
      </c>
      <c r="J992" s="62"/>
      <c r="K992" s="65"/>
      <c r="L992" s="62"/>
    </row>
    <row r="993" spans="1:12" ht="15.75" customHeight="1" x14ac:dyDescent="0.2">
      <c r="A993" s="63" t="str">
        <f t="shared" si="16"/>
        <v/>
      </c>
      <c r="B993" s="63"/>
      <c r="C993" s="62" t="str">
        <f>IF($B993="","",IFERROR(VLOOKUP($B993,'Application Portfolio'!$A$2:$B$1000,2,FALSE()),""))</f>
        <v/>
      </c>
      <c r="D993" s="66"/>
      <c r="E993" s="66"/>
      <c r="F993" s="66"/>
      <c r="G993" s="66"/>
      <c r="H993" s="66"/>
      <c r="I993" s="64" t="str">
        <f>IF(OR($B993="", $D993="", $E993="", $F993="", $G993="", $H993=""),"",ROUND(($D993*Lists!$AN$20)+($E993*Lists!$AN$21)+($F993*Lists!$AN$22)+($G993*Lists!$AN$23)+($H993*Lists!$AN$24),2))</f>
        <v/>
      </c>
      <c r="J993" s="62"/>
      <c r="K993" s="65"/>
      <c r="L993" s="62"/>
    </row>
    <row r="994" spans="1:12" ht="15.75" customHeight="1" x14ac:dyDescent="0.2">
      <c r="A994" s="63" t="str">
        <f t="shared" si="16"/>
        <v/>
      </c>
      <c r="B994" s="63"/>
      <c r="C994" s="62" t="str">
        <f>IF($B994="","",IFERROR(VLOOKUP($B994,'Application Portfolio'!$A$2:$B$1000,2,FALSE()),""))</f>
        <v/>
      </c>
      <c r="D994" s="66"/>
      <c r="E994" s="66"/>
      <c r="F994" s="66"/>
      <c r="G994" s="66"/>
      <c r="H994" s="66"/>
      <c r="I994" s="64" t="str">
        <f>IF(OR($B994="", $D994="", $E994="", $F994="", $G994="", $H994=""),"",ROUND(($D994*Lists!$AN$20)+($E994*Lists!$AN$21)+($F994*Lists!$AN$22)+($G994*Lists!$AN$23)+($H994*Lists!$AN$24),2))</f>
        <v/>
      </c>
      <c r="J994" s="62"/>
      <c r="K994" s="65"/>
      <c r="L994" s="62"/>
    </row>
    <row r="995" spans="1:12" ht="15.75" customHeight="1" x14ac:dyDescent="0.2">
      <c r="A995" s="63" t="str">
        <f t="shared" si="16"/>
        <v/>
      </c>
      <c r="B995" s="63"/>
      <c r="C995" s="62" t="str">
        <f>IF($B995="","",IFERROR(VLOOKUP($B995,'Application Portfolio'!$A$2:$B$1000,2,FALSE()),""))</f>
        <v/>
      </c>
      <c r="D995" s="66"/>
      <c r="E995" s="66"/>
      <c r="F995" s="66"/>
      <c r="G995" s="66"/>
      <c r="H995" s="66"/>
      <c r="I995" s="64" t="str">
        <f>IF(OR($B995="", $D995="", $E995="", $F995="", $G995="", $H995=""),"",ROUND(($D995*Lists!$AN$20)+($E995*Lists!$AN$21)+($F995*Lists!$AN$22)+($G995*Lists!$AN$23)+($H995*Lists!$AN$24),2))</f>
        <v/>
      </c>
      <c r="J995" s="62"/>
      <c r="K995" s="65"/>
      <c r="L995" s="62"/>
    </row>
    <row r="996" spans="1:12" ht="15.75" customHeight="1" x14ac:dyDescent="0.2">
      <c r="A996" s="63" t="str">
        <f t="shared" si="16"/>
        <v/>
      </c>
      <c r="B996" s="63"/>
      <c r="C996" s="62" t="str">
        <f>IF($B996="","",IFERROR(VLOOKUP($B996,'Application Portfolio'!$A$2:$B$1000,2,FALSE()),""))</f>
        <v/>
      </c>
      <c r="D996" s="66"/>
      <c r="E996" s="66"/>
      <c r="F996" s="66"/>
      <c r="G996" s="66"/>
      <c r="H996" s="66"/>
      <c r="I996" s="64" t="str">
        <f>IF(OR($B996="", $D996="", $E996="", $F996="", $G996="", $H996=""),"",ROUND(($D996*Lists!$AN$20)+($E996*Lists!$AN$21)+($F996*Lists!$AN$22)+($G996*Lists!$AN$23)+($H996*Lists!$AN$24),2))</f>
        <v/>
      </c>
      <c r="J996" s="62"/>
      <c r="K996" s="65"/>
      <c r="L996" s="62"/>
    </row>
    <row r="997" spans="1:12" ht="15.75" customHeight="1" x14ac:dyDescent="0.2">
      <c r="A997" s="63" t="str">
        <f t="shared" si="16"/>
        <v/>
      </c>
      <c r="B997" s="63"/>
      <c r="C997" s="62" t="str">
        <f>IF($B997="","",IFERROR(VLOOKUP($B997,'Application Portfolio'!$A$2:$B$1000,2,FALSE()),""))</f>
        <v/>
      </c>
      <c r="D997" s="66"/>
      <c r="E997" s="66"/>
      <c r="F997" s="66"/>
      <c r="G997" s="66"/>
      <c r="H997" s="66"/>
      <c r="I997" s="64" t="str">
        <f>IF(OR($B997="", $D997="", $E997="", $F997="", $G997="", $H997=""),"",ROUND(($D997*Lists!$AN$20)+($E997*Lists!$AN$21)+($F997*Lists!$AN$22)+($G997*Lists!$AN$23)+($H997*Lists!$AN$24),2))</f>
        <v/>
      </c>
      <c r="J997" s="62"/>
      <c r="K997" s="65"/>
      <c r="L997" s="62"/>
    </row>
    <row r="998" spans="1:12" ht="15.75" customHeight="1" x14ac:dyDescent="0.2">
      <c r="A998" s="63" t="str">
        <f t="shared" si="16"/>
        <v/>
      </c>
      <c r="B998" s="63"/>
      <c r="C998" s="62" t="str">
        <f>IF($B998="","",IFERROR(VLOOKUP($B998,'Application Portfolio'!$A$2:$B$1000,2,FALSE()),""))</f>
        <v/>
      </c>
      <c r="D998" s="66"/>
      <c r="E998" s="66"/>
      <c r="F998" s="66"/>
      <c r="G998" s="66"/>
      <c r="H998" s="66"/>
      <c r="I998" s="64" t="str">
        <f>IF(OR($B998="", $D998="", $E998="", $F998="", $G998="", $H998=""),"",ROUND(($D998*Lists!$AN$20)+($E998*Lists!$AN$21)+($F998*Lists!$AN$22)+($G998*Lists!$AN$23)+($H998*Lists!$AN$24),2))</f>
        <v/>
      </c>
      <c r="J998" s="62"/>
      <c r="K998" s="65"/>
      <c r="L998" s="62"/>
    </row>
    <row r="999" spans="1:12" ht="15.75" customHeight="1" x14ac:dyDescent="0.2">
      <c r="A999" s="63" t="str">
        <f t="shared" si="16"/>
        <v/>
      </c>
      <c r="B999" s="63"/>
      <c r="C999" s="62" t="str">
        <f>IF($B999="","",IFERROR(VLOOKUP($B999,'Application Portfolio'!$A$2:$B$1000,2,FALSE()),""))</f>
        <v/>
      </c>
      <c r="D999" s="66"/>
      <c r="E999" s="66"/>
      <c r="F999" s="66"/>
      <c r="G999" s="66"/>
      <c r="H999" s="66"/>
      <c r="I999" s="64" t="str">
        <f>IF(OR($B999="", $D999="", $E999="", $F999="", $G999="", $H999=""),"",ROUND(($D999*Lists!$AN$20)+($E999*Lists!$AN$21)+($F999*Lists!$AN$22)+($G999*Lists!$AN$23)+($H999*Lists!$AN$24),2))</f>
        <v/>
      </c>
      <c r="J999" s="62"/>
      <c r="K999" s="65"/>
      <c r="L999" s="62"/>
    </row>
    <row r="1000" spans="1:12" ht="15.75" customHeight="1" x14ac:dyDescent="0.2">
      <c r="A1000" s="63" t="str">
        <f t="shared" si="16"/>
        <v/>
      </c>
      <c r="B1000" s="63"/>
      <c r="C1000" s="62" t="str">
        <f>IF($B1000="","",IFERROR(VLOOKUP($B1000,'Application Portfolio'!$A$2:$B$1000,2,FALSE()),""))</f>
        <v/>
      </c>
      <c r="D1000" s="66"/>
      <c r="E1000" s="66"/>
      <c r="F1000" s="66"/>
      <c r="G1000" s="66"/>
      <c r="H1000" s="66"/>
      <c r="I1000" s="64" t="str">
        <f>IF(OR($B1000="", $D1000="", $E1000="", $F1000="", $G1000="", $H1000=""),"",ROUND(($D1000*Lists!$AN$20)+($E1000*Lists!$AN$21)+($F1000*Lists!$AN$22)+($G1000*Lists!$AN$23)+($H1000*Lists!$AN$24),2))</f>
        <v/>
      </c>
      <c r="J1000" s="62"/>
      <c r="K1000" s="65"/>
      <c r="L1000" s="62"/>
    </row>
  </sheetData>
  <conditionalFormatting sqref="D2:D1000">
    <cfRule type="colorScale" priority="4">
      <colorScale>
        <cfvo type="num" val="1"/>
        <cfvo type="num" val="3"/>
        <cfvo type="num" val="5"/>
        <color rgb="FF86EFAC"/>
        <color rgb="FFFDE68A"/>
        <color rgb="FFFCA5A5"/>
      </colorScale>
    </cfRule>
  </conditionalFormatting>
  <conditionalFormatting sqref="E2:E1000">
    <cfRule type="colorScale" priority="5">
      <colorScale>
        <cfvo type="num" val="1"/>
        <cfvo type="num" val="3"/>
        <cfvo type="num" val="5"/>
        <color rgb="FF86EFAC"/>
        <color rgb="FFFDE68A"/>
        <color rgb="FFFCA5A5"/>
      </colorScale>
    </cfRule>
  </conditionalFormatting>
  <conditionalFormatting sqref="F2:F1000">
    <cfRule type="colorScale" priority="6">
      <colorScale>
        <cfvo type="num" val="1"/>
        <cfvo type="num" val="3"/>
        <cfvo type="num" val="5"/>
        <color rgb="FF86EFAC"/>
        <color rgb="FFFDE68A"/>
        <color rgb="FFFCA5A5"/>
      </colorScale>
    </cfRule>
  </conditionalFormatting>
  <conditionalFormatting sqref="G2:G1000">
    <cfRule type="colorScale" priority="7">
      <colorScale>
        <cfvo type="num" val="1"/>
        <cfvo type="num" val="3"/>
        <cfvo type="num" val="5"/>
        <color rgb="FF86EFAC"/>
        <color rgb="FFFDE68A"/>
        <color rgb="FFFCA5A5"/>
      </colorScale>
    </cfRule>
  </conditionalFormatting>
  <conditionalFormatting sqref="H2:H1000">
    <cfRule type="colorScale" priority="8">
      <colorScale>
        <cfvo type="num" val="1"/>
        <cfvo type="num" val="3"/>
        <cfvo type="num" val="5"/>
        <color rgb="FF86EFAC"/>
        <color rgb="FFFDE68A"/>
        <color rgb="FFFCA5A5"/>
      </colorScale>
    </cfRule>
  </conditionalFormatting>
  <conditionalFormatting sqref="I2:I1000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">
      <colorScale>
        <cfvo type="num" val="1"/>
        <cfvo type="num" val="3"/>
        <cfvo type="num" val="5"/>
        <color rgb="FF86EFAC"/>
        <color rgb="FFFDE68A"/>
        <color rgb="FFFCA5A5"/>
      </colorScale>
    </cfRule>
  </conditionalFormatting>
  <dataValidations count="1">
    <dataValidation type="list" allowBlank="1" sqref="D2:H1000" xr:uid="{00000000-0002-0000-0200-000000000000}">
      <formula1>"1,2,3,4,5"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Q1000"/>
  <sheetViews>
    <sheetView zoomScaleNormal="10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AP2" sqref="AP2"/>
    </sheetView>
  </sheetViews>
  <sheetFormatPr baseColWidth="10" defaultColWidth="8.83203125" defaultRowHeight="15" x14ac:dyDescent="0.2"/>
  <cols>
    <col min="1" max="1" width="10" customWidth="1"/>
    <col min="2" max="2" width="28" customWidth="1"/>
    <col min="3" max="3" width="32" customWidth="1"/>
    <col min="4" max="4" width="22" customWidth="1"/>
    <col min="5" max="7" width="16" customWidth="1"/>
    <col min="8" max="8" width="14" customWidth="1"/>
    <col min="9" max="9" width="23.1640625" customWidth="1"/>
    <col min="10" max="10" width="30" customWidth="1"/>
    <col min="11" max="11" width="30.83203125" customWidth="1"/>
    <col min="12" max="12" width="24.6640625" customWidth="1"/>
    <col min="13" max="13" width="28.33203125" customWidth="1"/>
    <col min="14" max="14" width="12.83203125" customWidth="1"/>
    <col min="15" max="15" width="10.83203125" customWidth="1"/>
    <col min="16" max="16" width="11.83203125" customWidth="1"/>
    <col min="17" max="17" width="18.6640625" customWidth="1"/>
    <col min="18" max="18" width="18.5" customWidth="1"/>
    <col min="19" max="19" width="15.83203125" customWidth="1"/>
    <col min="20" max="20" width="16.1640625" customWidth="1"/>
    <col min="21" max="21" width="18" customWidth="1"/>
    <col min="22" max="22" width="14.5" customWidth="1"/>
    <col min="23" max="23" width="13.33203125" customWidth="1"/>
    <col min="24" max="24" width="16" customWidth="1"/>
    <col min="25" max="25" width="19.1640625" customWidth="1"/>
    <col min="26" max="26" width="13" customWidth="1"/>
    <col min="27" max="27" width="14.5" customWidth="1"/>
    <col min="28" max="28" width="16" customWidth="1"/>
    <col min="29" max="29" width="12.83203125" customWidth="1"/>
    <col min="30" max="30" width="17.33203125" customWidth="1"/>
    <col min="31" max="31" width="24" customWidth="1"/>
    <col min="32" max="32" width="30" customWidth="1"/>
    <col min="33" max="35" width="10" customWidth="1"/>
    <col min="36" max="36" width="16.6640625" customWidth="1"/>
    <col min="37" max="37" width="16.33203125" customWidth="1"/>
    <col min="38" max="38" width="15.5" customWidth="1"/>
    <col min="39" max="39" width="18.1640625" customWidth="1"/>
    <col min="40" max="40" width="16.6640625" customWidth="1"/>
    <col min="41" max="41" width="16.1640625" customWidth="1"/>
    <col min="42" max="42" width="14.6640625" customWidth="1"/>
    <col min="43" max="43" width="21" customWidth="1"/>
  </cols>
  <sheetData>
    <row r="1" spans="1:43" ht="43.5" customHeight="1" x14ac:dyDescent="0.2">
      <c r="A1" s="16" t="s">
        <v>164</v>
      </c>
      <c r="B1" s="16" t="s">
        <v>165</v>
      </c>
      <c r="C1" s="16" t="s">
        <v>68</v>
      </c>
      <c r="D1" s="16" t="s">
        <v>187</v>
      </c>
      <c r="E1" s="16" t="s">
        <v>188</v>
      </c>
      <c r="F1" s="16" t="s">
        <v>189</v>
      </c>
      <c r="G1" s="16" t="s">
        <v>190</v>
      </c>
      <c r="H1" s="16" t="s">
        <v>191</v>
      </c>
      <c r="I1" s="70" t="s">
        <v>192</v>
      </c>
      <c r="J1" s="70" t="s">
        <v>193</v>
      </c>
      <c r="K1" s="70" t="s">
        <v>194</v>
      </c>
      <c r="L1" s="70" t="s">
        <v>195</v>
      </c>
      <c r="M1" s="70" t="s">
        <v>196</v>
      </c>
      <c r="N1" s="71" t="s">
        <v>197</v>
      </c>
      <c r="O1" s="72" t="s">
        <v>171</v>
      </c>
      <c r="P1" s="73" t="s">
        <v>198</v>
      </c>
      <c r="Q1" s="73" t="s">
        <v>199</v>
      </c>
      <c r="R1" s="73" t="s">
        <v>200</v>
      </c>
      <c r="S1" s="73" t="s">
        <v>201</v>
      </c>
      <c r="T1" s="74" t="s">
        <v>202</v>
      </c>
      <c r="U1" s="70" t="s">
        <v>203</v>
      </c>
      <c r="V1" s="70" t="s">
        <v>204</v>
      </c>
      <c r="W1" s="70" t="s">
        <v>205</v>
      </c>
      <c r="X1" s="70" t="s">
        <v>206</v>
      </c>
      <c r="Y1" s="70" t="s">
        <v>207</v>
      </c>
      <c r="Z1" s="71" t="s">
        <v>208</v>
      </c>
      <c r="AA1" s="16" t="s">
        <v>209</v>
      </c>
      <c r="AB1" s="71" t="s">
        <v>210</v>
      </c>
      <c r="AC1" s="16" t="s">
        <v>211</v>
      </c>
      <c r="AD1" s="16" t="s">
        <v>212</v>
      </c>
      <c r="AE1" s="16" t="s">
        <v>213</v>
      </c>
      <c r="AF1" s="16" t="s">
        <v>87</v>
      </c>
      <c r="AG1" s="16" t="s">
        <v>214</v>
      </c>
      <c r="AH1" s="16" t="s">
        <v>215</v>
      </c>
      <c r="AI1" s="16" t="s">
        <v>216</v>
      </c>
      <c r="AJ1" s="16" t="s">
        <v>217</v>
      </c>
      <c r="AK1" s="16" t="s">
        <v>218</v>
      </c>
      <c r="AL1" s="16" t="s">
        <v>219</v>
      </c>
      <c r="AM1" s="16" t="s">
        <v>220</v>
      </c>
      <c r="AN1" s="16" t="s">
        <v>221</v>
      </c>
      <c r="AO1" s="16" t="s">
        <v>222</v>
      </c>
      <c r="AP1" s="16" t="s">
        <v>223</v>
      </c>
      <c r="AQ1" s="16" t="s">
        <v>224</v>
      </c>
    </row>
    <row r="2" spans="1:43" ht="28.5" customHeight="1" x14ac:dyDescent="0.2">
      <c r="A2" s="67" t="str">
        <f t="shared" ref="A2:A8" si="0">IF($B2="","", "APM-" &amp; RIGHT("0000"&amp;ROW()-1,4))</f>
        <v>APM-0001</v>
      </c>
      <c r="B2" s="75" t="s">
        <v>94</v>
      </c>
      <c r="C2" s="75" t="s">
        <v>225</v>
      </c>
      <c r="D2" s="75" t="s">
        <v>226</v>
      </c>
      <c r="E2" s="75" t="s">
        <v>227</v>
      </c>
      <c r="F2" s="75" t="s">
        <v>98</v>
      </c>
      <c r="G2" s="75" t="s">
        <v>228</v>
      </c>
      <c r="H2" s="75" t="s">
        <v>229</v>
      </c>
      <c r="I2" s="76">
        <v>5</v>
      </c>
      <c r="J2" s="76">
        <v>5</v>
      </c>
      <c r="K2" s="76">
        <v>5</v>
      </c>
      <c r="L2" s="76">
        <v>4</v>
      </c>
      <c r="M2" s="76">
        <v>3</v>
      </c>
      <c r="N2" s="55">
        <f>IF(OR($B2="", $I2="", $J2="", $K2="", $L2="", $M2=""),"",ROUND(($I2*Lists!$AN$2)+($J2*Lists!$AN$3)+($K2*Lists!$AN$4)+($L2*Lists!$AN$5)+($M2*Lists!$AN$6),2))</f>
        <v>4.4000000000000004</v>
      </c>
      <c r="O2" s="55">
        <f>IF($A2="","",IFERROR(VLOOKUP($A2,'Risk Register'!$B$2:$I$1000,8,FALSE()),""))</f>
        <v>3.4</v>
      </c>
      <c r="P2" s="76">
        <v>4</v>
      </c>
      <c r="Q2" s="76">
        <v>4</v>
      </c>
      <c r="R2" s="76">
        <v>3</v>
      </c>
      <c r="S2" s="76">
        <v>4</v>
      </c>
      <c r="T2" s="55">
        <f>IF(OR($B2="", $P2="", $Q2="", $R2="", $S2=""),"",ROUND(($P2*Lists!$AN$7)+($Q2*Lists!$AN$8)+($R2*Lists!$AN$9)+($S2*Lists!$AN$10),2))</f>
        <v>3.75</v>
      </c>
      <c r="U2" s="76">
        <v>2</v>
      </c>
      <c r="V2" s="76">
        <v>2</v>
      </c>
      <c r="W2" s="76">
        <v>2</v>
      </c>
      <c r="X2" s="76">
        <v>3</v>
      </c>
      <c r="Y2" s="76">
        <v>2</v>
      </c>
      <c r="Z2" s="55">
        <f>IF(OR($B2="", $U2="", $V2="", $W2="", $X2="", $Y2=""),"",ROUND(($U2*Lists!$AN$11)+($V2*Lists!$AN$12)+($W2*Lists!$AN$13)+($X2*Lists!$AN$14)+($Y2*Lists!$AN$15),2))</f>
        <v>2.2000000000000002</v>
      </c>
      <c r="AA2" s="55">
        <f>IF(OR($B2="", $N2="", $O2="", $T2="", $Z2=""),"",ROUND(($N2*Lists!$AN$16)-($O2*Lists!$AN$17)-($T2*Lists!$AN$18)+($Z2*Lists!$AN$19),2))</f>
        <v>-0.14000000000000001</v>
      </c>
      <c r="AB2" s="67" t="str">
        <f t="shared" ref="AB2:AB8" si="1">IF(OR($B2="", $N2="", $Z2=""),"",IF($N2&gt;=3,IF($Z2&gt;=3,"Invest","Migrate"),IF($Z2&gt;=3,"Tolerate","Eliminate")))</f>
        <v>Migrate</v>
      </c>
      <c r="AC2" s="67" t="str">
        <f t="shared" ref="AC2:AC8" si="2">IF($B2="","",IF($J2&gt;=4,"Yes",""))</f>
        <v>Yes</v>
      </c>
      <c r="AD2" s="67" t="str">
        <f>IF($A2="","",IFERROR(IF(VLOOKUP($A2,'Risk Register'!$B$2:$H$1000,4,FALSE())&gt;=4,"Yes",""),""))</f>
        <v>Yes</v>
      </c>
      <c r="AE2" s="67" t="str">
        <f t="shared" ref="AE2:AE8" si="3">IF(OR($N2="", $O2=""),"",IF($N2&gt;=3.5,IF($O2&gt;=3.5,"High Value / High Risk","High Value / Low Risk"),IF($O2&gt;=3.5,"Low Value / High Risk","Low Value / Low Risk")))</f>
        <v>High Value / Low Risk</v>
      </c>
      <c r="AF2" s="75"/>
      <c r="AG2" s="75"/>
      <c r="AH2" s="75"/>
      <c r="AI2" s="75"/>
      <c r="AJ2" s="75"/>
      <c r="AK2" s="75"/>
      <c r="AL2" s="75"/>
      <c r="AM2" s="75"/>
      <c r="AN2" s="75"/>
      <c r="AO2" s="75"/>
      <c r="AP2" s="75"/>
      <c r="AQ2" s="77"/>
    </row>
    <row r="3" spans="1:43" ht="25.5" customHeight="1" x14ac:dyDescent="0.2">
      <c r="A3" s="67" t="str">
        <f t="shared" si="0"/>
        <v>APM-0002</v>
      </c>
      <c r="B3" s="78" t="s">
        <v>230</v>
      </c>
      <c r="C3" s="78" t="s">
        <v>231</v>
      </c>
      <c r="D3" s="78" t="s">
        <v>232</v>
      </c>
      <c r="E3" s="78" t="s">
        <v>233</v>
      </c>
      <c r="F3" s="78" t="s">
        <v>111</v>
      </c>
      <c r="G3" s="78" t="s">
        <v>234</v>
      </c>
      <c r="H3" s="78" t="s">
        <v>235</v>
      </c>
      <c r="I3" s="76">
        <v>5</v>
      </c>
      <c r="J3" s="76">
        <v>5</v>
      </c>
      <c r="K3" s="76">
        <v>4</v>
      </c>
      <c r="L3" s="76">
        <v>3</v>
      </c>
      <c r="M3" s="76">
        <v>3</v>
      </c>
      <c r="N3" s="55">
        <f>IF(OR($B3="", $I3="", $J3="", $K3="", $L3="", $M3=""),"",ROUND(($I3*Lists!$AN$2)+($J3*Lists!$AN$3)+($K3*Lists!$AN$4)+($L3*Lists!$AN$5)+($M3*Lists!$AN$6),2))</f>
        <v>4</v>
      </c>
      <c r="O3" s="55">
        <f>IF($A3="","",IFERROR(VLOOKUP($A3,'Risk Register'!$B$2:$I$1000,8,FALSE()),""))</f>
        <v>2.2000000000000002</v>
      </c>
      <c r="P3" s="76">
        <v>3</v>
      </c>
      <c r="Q3" s="76">
        <v>3</v>
      </c>
      <c r="R3" s="76">
        <v>3</v>
      </c>
      <c r="S3" s="76">
        <v>3</v>
      </c>
      <c r="T3" s="55">
        <f>IF(OR($B3="", $P3="", $Q3="", $R3="", $S3=""),"",ROUND(($P3*Lists!$AN$7)+($Q3*Lists!$AN$8)+($R3*Lists!$AN$9)+($S3*Lists!$AN$10),2))</f>
        <v>3</v>
      </c>
      <c r="U3" s="76">
        <v>4</v>
      </c>
      <c r="V3" s="76">
        <v>4</v>
      </c>
      <c r="W3" s="76">
        <v>4</v>
      </c>
      <c r="X3" s="76">
        <v>4</v>
      </c>
      <c r="Y3" s="76">
        <v>3</v>
      </c>
      <c r="Z3" s="55">
        <f>IF(OR($B3="", $U3="", $V3="", $W3="", $X3="", $Y3=""),"",ROUND(($U3*Lists!$AN$11)+($V3*Lists!$AN$12)+($W3*Lists!$AN$13)+($X3*Lists!$AN$14)+($Y3*Lists!$AN$15),2))</f>
        <v>3.8</v>
      </c>
      <c r="AA3" s="55">
        <f>IF(OR($B3="", $N3="", $O3="", $T3="", $Z3=""),"",ROUND(($N3*Lists!$AN$16)-($O3*Lists!$AN$17)-($T3*Lists!$AN$18)+($Z3*Lists!$AN$19),2))</f>
        <v>0.65</v>
      </c>
      <c r="AB3" s="67" t="str">
        <f t="shared" si="1"/>
        <v>Invest</v>
      </c>
      <c r="AC3" s="67" t="str">
        <f t="shared" si="2"/>
        <v>Yes</v>
      </c>
      <c r="AD3" s="67" t="str">
        <f>IF($A3="","",IFERROR(IF(VLOOKUP($A3,'Risk Register'!$B$2:$H$1000,4,FALSE())&gt;=4,"Yes",""),""))</f>
        <v/>
      </c>
      <c r="AE3" s="67" t="str">
        <f t="shared" si="3"/>
        <v>High Value / Low Risk</v>
      </c>
      <c r="AF3" s="78"/>
      <c r="AG3" s="78"/>
      <c r="AH3" s="78"/>
      <c r="AI3" s="78"/>
      <c r="AJ3" s="78"/>
      <c r="AK3" s="78"/>
      <c r="AL3" s="78"/>
      <c r="AM3" s="78"/>
      <c r="AN3" s="78"/>
      <c r="AO3" s="78"/>
      <c r="AP3" s="78"/>
      <c r="AQ3" s="79"/>
    </row>
    <row r="4" spans="1:43" ht="25.5" customHeight="1" x14ac:dyDescent="0.2">
      <c r="A4" s="67" t="str">
        <f t="shared" si="0"/>
        <v>APM-0003</v>
      </c>
      <c r="B4" s="75" t="s">
        <v>236</v>
      </c>
      <c r="C4" s="75" t="s">
        <v>237</v>
      </c>
      <c r="D4" s="75" t="s">
        <v>118</v>
      </c>
      <c r="E4" s="75" t="s">
        <v>238</v>
      </c>
      <c r="F4" s="75" t="s">
        <v>123</v>
      </c>
      <c r="G4" s="75" t="s">
        <v>228</v>
      </c>
      <c r="H4" s="75" t="s">
        <v>235</v>
      </c>
      <c r="I4" s="76">
        <v>5</v>
      </c>
      <c r="J4" s="76">
        <v>5</v>
      </c>
      <c r="K4" s="76">
        <v>5</v>
      </c>
      <c r="L4" s="76">
        <v>5</v>
      </c>
      <c r="M4" s="76">
        <v>5</v>
      </c>
      <c r="N4" s="55">
        <f>IF(OR($B4="", $I4="", $J4="", $K4="", $L4="", $M4=""),"",ROUND(($I4*Lists!$AN$2)+($J4*Lists!$AN$3)+($K4*Lists!$AN$4)+($L4*Lists!$AN$5)+($M4*Lists!$AN$6),2))</f>
        <v>5</v>
      </c>
      <c r="O4" s="55">
        <f>IF($A4="","",IFERROR(VLOOKUP($A4,'Risk Register'!$B$2:$I$1000,8,FALSE()),""))</f>
        <v>4</v>
      </c>
      <c r="P4" s="76">
        <v>4</v>
      </c>
      <c r="Q4" s="76">
        <v>3</v>
      </c>
      <c r="R4" s="76">
        <v>3</v>
      </c>
      <c r="S4" s="76">
        <v>4</v>
      </c>
      <c r="T4" s="55">
        <f>IF(OR($B4="", $P4="", $Q4="", $R4="", $S4=""),"",ROUND(($P4*Lists!$AN$7)+($Q4*Lists!$AN$8)+($R4*Lists!$AN$9)+($S4*Lists!$AN$10),2))</f>
        <v>3.5</v>
      </c>
      <c r="U4" s="76">
        <v>3</v>
      </c>
      <c r="V4" s="76">
        <v>2</v>
      </c>
      <c r="W4" s="76">
        <v>2</v>
      </c>
      <c r="X4" s="76">
        <v>3</v>
      </c>
      <c r="Y4" s="76">
        <v>2</v>
      </c>
      <c r="Z4" s="55">
        <f>IF(OR($B4="", $U4="", $V4="", $W4="", $X4="", $Y4=""),"",ROUND(($U4*Lists!$AN$11)+($V4*Lists!$AN$12)+($W4*Lists!$AN$13)+($X4*Lists!$AN$14)+($Y4*Lists!$AN$15),2))</f>
        <v>2.4</v>
      </c>
      <c r="AA4" s="55">
        <f>IF(OR($B4="", $N4="", $O4="", $T4="", $Z4=""),"",ROUND(($N4*Lists!$AN$16)-($O4*Lists!$AN$17)-($T4*Lists!$AN$18)+($Z4*Lists!$AN$19),2))</f>
        <v>-0.03</v>
      </c>
      <c r="AB4" s="67" t="str">
        <f t="shared" si="1"/>
        <v>Migrate</v>
      </c>
      <c r="AC4" s="67" t="str">
        <f t="shared" si="2"/>
        <v>Yes</v>
      </c>
      <c r="AD4" s="67" t="str">
        <f>IF($A4="","",IFERROR(IF(VLOOKUP($A4,'Risk Register'!$B$2:$H$1000,4,FALSE())&gt;=4,"Yes",""),""))</f>
        <v>Yes</v>
      </c>
      <c r="AE4" s="67" t="str">
        <f t="shared" si="3"/>
        <v>High Value / High Risk</v>
      </c>
      <c r="AF4" s="75"/>
      <c r="AG4" s="75"/>
      <c r="AH4" s="75"/>
      <c r="AI4" s="75"/>
      <c r="AJ4" s="75"/>
      <c r="AK4" s="75"/>
      <c r="AL4" s="75"/>
      <c r="AM4" s="75"/>
      <c r="AN4" s="75"/>
      <c r="AO4" s="75"/>
      <c r="AP4" s="75"/>
      <c r="AQ4" s="77"/>
    </row>
    <row r="5" spans="1:43" ht="28.5" customHeight="1" x14ac:dyDescent="0.2">
      <c r="A5" s="67" t="str">
        <f t="shared" si="0"/>
        <v>APM-0004</v>
      </c>
      <c r="B5" s="78" t="s">
        <v>239</v>
      </c>
      <c r="C5" s="78" t="s">
        <v>240</v>
      </c>
      <c r="D5" s="78" t="s">
        <v>241</v>
      </c>
      <c r="E5" s="78" t="s">
        <v>242</v>
      </c>
      <c r="F5" s="78" t="s">
        <v>111</v>
      </c>
      <c r="G5" s="78" t="s">
        <v>243</v>
      </c>
      <c r="H5" s="78" t="s">
        <v>244</v>
      </c>
      <c r="I5" s="76">
        <v>1</v>
      </c>
      <c r="J5" s="76">
        <v>2</v>
      </c>
      <c r="K5" s="76">
        <v>1</v>
      </c>
      <c r="L5" s="76">
        <v>1</v>
      </c>
      <c r="M5" s="76">
        <v>1</v>
      </c>
      <c r="N5" s="55">
        <f>IF(OR($B5="", $I5="", $J5="", $K5="", $L5="", $M5=""),"",ROUND(($I5*Lists!$AN$2)+($J5*Lists!$AN$3)+($K5*Lists!$AN$4)+($L5*Lists!$AN$5)+($M5*Lists!$AN$6),2))</f>
        <v>1.2</v>
      </c>
      <c r="O5" s="55">
        <f>IF($A5="","",IFERROR(VLOOKUP($A5,'Risk Register'!$B$2:$I$1000,8,FALSE()),""))</f>
        <v>4</v>
      </c>
      <c r="P5" s="76">
        <v>4</v>
      </c>
      <c r="Q5" s="76">
        <v>5</v>
      </c>
      <c r="R5" s="76">
        <v>4</v>
      </c>
      <c r="S5" s="76">
        <v>5</v>
      </c>
      <c r="T5" s="55">
        <f>IF(OR($B5="", $P5="", $Q5="", $R5="", $S5=""),"",ROUND(($P5*Lists!$AN$7)+($Q5*Lists!$AN$8)+($R5*Lists!$AN$9)+($S5*Lists!$AN$10),2))</f>
        <v>4.5</v>
      </c>
      <c r="U5" s="76">
        <v>1</v>
      </c>
      <c r="V5" s="76">
        <v>1</v>
      </c>
      <c r="W5" s="76">
        <v>2</v>
      </c>
      <c r="X5" s="76">
        <v>1</v>
      </c>
      <c r="Y5" s="76">
        <v>1</v>
      </c>
      <c r="Z5" s="55">
        <f>IF(OR($B5="", $U5="", $V5="", $W5="", $X5="", $Y5=""),"",ROUND(($U5*Lists!$AN$11)+($V5*Lists!$AN$12)+($W5*Lists!$AN$13)+($X5*Lists!$AN$14)+($Y5*Lists!$AN$15),2))</f>
        <v>1.2</v>
      </c>
      <c r="AA5" s="55">
        <f>IF(OR($B5="", $N5="", $O5="", $T5="", $Z5=""),"",ROUND(($N5*Lists!$AN$16)-($O5*Lists!$AN$17)-($T5*Lists!$AN$18)+($Z5*Lists!$AN$19),2))</f>
        <v>-1.53</v>
      </c>
      <c r="AB5" s="67" t="str">
        <f t="shared" si="1"/>
        <v>Eliminate</v>
      </c>
      <c r="AC5" s="67" t="str">
        <f t="shared" si="2"/>
        <v/>
      </c>
      <c r="AD5" s="67" t="str">
        <f>IF($A5="","",IFERROR(IF(VLOOKUP($A5,'Risk Register'!$B$2:$H$1000,4,FALSE())&gt;=4,"Yes",""),""))</f>
        <v/>
      </c>
      <c r="AE5" s="67" t="str">
        <f t="shared" si="3"/>
        <v>Low Value / High Risk</v>
      </c>
      <c r="AF5" s="78"/>
      <c r="AG5" s="78"/>
      <c r="AH5" s="78"/>
      <c r="AI5" s="78"/>
      <c r="AJ5" s="78"/>
      <c r="AK5" s="78"/>
      <c r="AL5" s="78"/>
      <c r="AM5" s="78"/>
      <c r="AN5" s="78"/>
      <c r="AO5" s="78"/>
      <c r="AP5" s="78"/>
      <c r="AQ5" s="79"/>
    </row>
    <row r="6" spans="1:43" ht="28.5" customHeight="1" x14ac:dyDescent="0.2">
      <c r="A6" s="67" t="str">
        <f t="shared" si="0"/>
        <v>APM-0005</v>
      </c>
      <c r="B6" s="75" t="s">
        <v>245</v>
      </c>
      <c r="C6" s="75" t="s">
        <v>246</v>
      </c>
      <c r="D6" s="75" t="s">
        <v>247</v>
      </c>
      <c r="E6" s="75" t="s">
        <v>248</v>
      </c>
      <c r="F6" s="75" t="s">
        <v>142</v>
      </c>
      <c r="G6" s="75" t="s">
        <v>228</v>
      </c>
      <c r="H6" s="75" t="s">
        <v>229</v>
      </c>
      <c r="I6" s="76">
        <v>3</v>
      </c>
      <c r="J6" s="76">
        <v>2</v>
      </c>
      <c r="K6" s="76">
        <v>2</v>
      </c>
      <c r="L6" s="76">
        <v>3</v>
      </c>
      <c r="M6" s="76">
        <v>1</v>
      </c>
      <c r="N6" s="55">
        <f>IF(OR($B6="", $I6="", $J6="", $K6="", $L6="", $M6=""),"",ROUND(($I6*Lists!$AN$2)+($J6*Lists!$AN$3)+($K6*Lists!$AN$4)+($L6*Lists!$AN$5)+($M6*Lists!$AN$6),2))</f>
        <v>2.2000000000000002</v>
      </c>
      <c r="O6" s="55">
        <f>IF($A6="","",IFERROR(VLOOKUP($A6,'Risk Register'!$B$2:$I$1000,8,FALSE()),""))</f>
        <v>2.2000000000000002</v>
      </c>
      <c r="P6" s="76">
        <v>2</v>
      </c>
      <c r="Q6" s="76">
        <v>2</v>
      </c>
      <c r="R6" s="76">
        <v>3</v>
      </c>
      <c r="S6" s="76">
        <v>2</v>
      </c>
      <c r="T6" s="55">
        <f>IF(OR($B6="", $P6="", $Q6="", $R6="", $S6=""),"",ROUND(($P6*Lists!$AN$7)+($Q6*Lists!$AN$8)+($R6*Lists!$AN$9)+($S6*Lists!$AN$10),2))</f>
        <v>2.25</v>
      </c>
      <c r="U6" s="76">
        <v>4</v>
      </c>
      <c r="V6" s="76">
        <v>4</v>
      </c>
      <c r="W6" s="76">
        <v>4</v>
      </c>
      <c r="X6" s="76">
        <v>4</v>
      </c>
      <c r="Y6" s="76">
        <v>4</v>
      </c>
      <c r="Z6" s="55">
        <f>IF(OR($B6="", $U6="", $V6="", $W6="", $X6="", $Y6=""),"",ROUND(($U6*Lists!$AN$11)+($V6*Lists!$AN$12)+($W6*Lists!$AN$13)+($X6*Lists!$AN$14)+($Y6*Lists!$AN$15),2))</f>
        <v>4</v>
      </c>
      <c r="AA6" s="55">
        <f>IF(OR($B6="", $N6="", $O6="", $T6="", $Z6=""),"",ROUND(($N6*Lists!$AN$16)-($O6*Lists!$AN$17)-($T6*Lists!$AN$18)+($Z6*Lists!$AN$19),2))</f>
        <v>0.44</v>
      </c>
      <c r="AB6" s="67" t="str">
        <f t="shared" si="1"/>
        <v>Tolerate</v>
      </c>
      <c r="AC6" s="67" t="str">
        <f t="shared" si="2"/>
        <v/>
      </c>
      <c r="AD6" s="67" t="str">
        <f>IF($A6="","",IFERROR(IF(VLOOKUP($A6,'Risk Register'!$B$2:$H$1000,4,FALSE())&gt;=4,"Yes",""),""))</f>
        <v/>
      </c>
      <c r="AE6" s="67" t="str">
        <f t="shared" si="3"/>
        <v>Low Value / Low Risk</v>
      </c>
      <c r="AF6" s="75"/>
      <c r="AG6" s="75"/>
      <c r="AH6" s="75"/>
      <c r="AI6" s="75"/>
      <c r="AJ6" s="75"/>
      <c r="AK6" s="75"/>
      <c r="AL6" s="75"/>
      <c r="AM6" s="75"/>
      <c r="AN6" s="75"/>
      <c r="AO6" s="75"/>
      <c r="AP6" s="75"/>
      <c r="AQ6" s="77"/>
    </row>
    <row r="7" spans="1:43" ht="28.5" customHeight="1" x14ac:dyDescent="0.2">
      <c r="A7" s="67" t="str">
        <f t="shared" si="0"/>
        <v>APM-0006</v>
      </c>
      <c r="B7" s="78" t="s">
        <v>249</v>
      </c>
      <c r="C7" s="78" t="s">
        <v>250</v>
      </c>
      <c r="D7" s="78" t="s">
        <v>148</v>
      </c>
      <c r="E7" s="78" t="s">
        <v>251</v>
      </c>
      <c r="F7" s="78" t="s">
        <v>151</v>
      </c>
      <c r="G7" s="78" t="s">
        <v>228</v>
      </c>
      <c r="H7" s="78" t="s">
        <v>235</v>
      </c>
      <c r="I7" s="76">
        <v>4</v>
      </c>
      <c r="J7" s="76">
        <v>5</v>
      </c>
      <c r="K7" s="76">
        <v>3</v>
      </c>
      <c r="L7" s="76">
        <v>2</v>
      </c>
      <c r="M7" s="76">
        <v>5</v>
      </c>
      <c r="N7" s="55">
        <f>IF(OR($B7="", $I7="", $J7="", $K7="", $L7="", $M7=""),"",ROUND(($I7*Lists!$AN$2)+($J7*Lists!$AN$3)+($K7*Lists!$AN$4)+($L7*Lists!$AN$5)+($M7*Lists!$AN$6),2))</f>
        <v>3.8</v>
      </c>
      <c r="O7" s="55">
        <f>IF($A7="","",IFERROR(VLOOKUP($A7,'Risk Register'!$B$2:$I$1000,8,FALSE()),""))</f>
        <v>3.2</v>
      </c>
      <c r="P7" s="76">
        <v>3</v>
      </c>
      <c r="Q7" s="76">
        <v>3</v>
      </c>
      <c r="R7" s="76">
        <v>2</v>
      </c>
      <c r="S7" s="76">
        <v>3</v>
      </c>
      <c r="T7" s="55">
        <f>IF(OR($B7="", $P7="", $Q7="", $R7="", $S7=""),"",ROUND(($P7*Lists!$AN$7)+($Q7*Lists!$AN$8)+($R7*Lists!$AN$9)+($S7*Lists!$AN$10),2))</f>
        <v>2.75</v>
      </c>
      <c r="U7" s="76">
        <v>3</v>
      </c>
      <c r="V7" s="76">
        <v>3</v>
      </c>
      <c r="W7" s="76">
        <v>2</v>
      </c>
      <c r="X7" s="76">
        <v>3</v>
      </c>
      <c r="Y7" s="76">
        <v>2</v>
      </c>
      <c r="Z7" s="55">
        <f>IF(OR($B7="", $U7="", $V7="", $W7="", $X7="", $Y7=""),"",ROUND(($U7*Lists!$AN$11)+($V7*Lists!$AN$12)+($W7*Lists!$AN$13)+($X7*Lists!$AN$14)+($Y7*Lists!$AN$15),2))</f>
        <v>2.6</v>
      </c>
      <c r="AA7" s="55">
        <f>IF(OR($B7="", $N7="", $O7="", $T7="", $Z7=""),"",ROUND(($N7*Lists!$AN$16)-($O7*Lists!$AN$17)-($T7*Lists!$AN$18)+($Z7*Lists!$AN$19),2))</f>
        <v>0.11</v>
      </c>
      <c r="AB7" s="67" t="str">
        <f t="shared" si="1"/>
        <v>Migrate</v>
      </c>
      <c r="AC7" s="67" t="str">
        <f t="shared" si="2"/>
        <v>Yes</v>
      </c>
      <c r="AD7" s="67" t="str">
        <f>IF($A7="","",IFERROR(IF(VLOOKUP($A7,'Risk Register'!$B$2:$H$1000,4,FALSE())&gt;=4,"Yes",""),""))</f>
        <v/>
      </c>
      <c r="AE7" s="67" t="str">
        <f t="shared" si="3"/>
        <v>High Value / Low Risk</v>
      </c>
      <c r="AF7" s="78"/>
      <c r="AG7" s="78"/>
      <c r="AH7" s="78"/>
      <c r="AI7" s="78"/>
      <c r="AJ7" s="78"/>
      <c r="AK7" s="78"/>
      <c r="AL7" s="78"/>
      <c r="AM7" s="78"/>
      <c r="AN7" s="78"/>
      <c r="AO7" s="78"/>
      <c r="AP7" s="78"/>
      <c r="AQ7" s="79"/>
    </row>
    <row r="8" spans="1:43" ht="28.5" customHeight="1" x14ac:dyDescent="0.2">
      <c r="A8" s="67" t="str">
        <f t="shared" si="0"/>
        <v>APM-0007</v>
      </c>
      <c r="B8" s="75" t="s">
        <v>252</v>
      </c>
      <c r="C8" s="75" t="s">
        <v>253</v>
      </c>
      <c r="D8" s="75" t="s">
        <v>254</v>
      </c>
      <c r="E8" s="75" t="s">
        <v>255</v>
      </c>
      <c r="F8" s="75" t="s">
        <v>161</v>
      </c>
      <c r="G8" s="75" t="s">
        <v>256</v>
      </c>
      <c r="H8" s="75" t="s">
        <v>229</v>
      </c>
      <c r="I8" s="76">
        <v>4</v>
      </c>
      <c r="J8" s="76">
        <v>3</v>
      </c>
      <c r="K8" s="76">
        <v>3</v>
      </c>
      <c r="L8" s="76">
        <v>4</v>
      </c>
      <c r="M8" s="76">
        <v>3</v>
      </c>
      <c r="N8" s="55">
        <f>IF(OR($B8="", $I8="", $J8="", $K8="", $L8="", $M8=""),"",ROUND(($I8*Lists!$AN$2)+($J8*Lists!$AN$3)+($K8*Lists!$AN$4)+($L8*Lists!$AN$5)+($M8*Lists!$AN$6),2))</f>
        <v>3.4</v>
      </c>
      <c r="O8" s="55">
        <f>IF($A8="","",IFERROR(VLOOKUP($A8,'Risk Register'!$B$2:$I$1000,8,FALSE()),""))</f>
        <v>3</v>
      </c>
      <c r="P8" s="76">
        <v>3</v>
      </c>
      <c r="Q8" s="76">
        <v>3</v>
      </c>
      <c r="R8" s="76">
        <v>3</v>
      </c>
      <c r="S8" s="76">
        <v>3</v>
      </c>
      <c r="T8" s="55">
        <f>IF(OR($B8="", $P8="", $Q8="", $R8="", $S8=""),"",ROUND(($P8*Lists!$AN$7)+($Q8*Lists!$AN$8)+($R8*Lists!$AN$9)+($S8*Lists!$AN$10),2))</f>
        <v>3</v>
      </c>
      <c r="U8" s="76">
        <v>4</v>
      </c>
      <c r="V8" s="76">
        <v>4</v>
      </c>
      <c r="W8" s="76">
        <v>3</v>
      </c>
      <c r="X8" s="76">
        <v>4</v>
      </c>
      <c r="Y8" s="76">
        <v>4</v>
      </c>
      <c r="Z8" s="55">
        <f>IF(OR($B8="", $U8="", $V8="", $W8="", $X8="", $Y8=""),"",ROUND(($U8*Lists!$AN$11)+($V8*Lists!$AN$12)+($W8*Lists!$AN$13)+($X8*Lists!$AN$14)+($Y8*Lists!$AN$15),2))</f>
        <v>3.8</v>
      </c>
      <c r="AA8" s="55">
        <f>IF(OR($B8="", $N8="", $O8="", $T8="", $Z8=""),"",ROUND(($N8*Lists!$AN$16)-($O8*Lists!$AN$17)-($T8*Lists!$AN$18)+($Z8*Lists!$AN$19),2))</f>
        <v>0.3</v>
      </c>
      <c r="AB8" s="67" t="str">
        <f t="shared" si="1"/>
        <v>Invest</v>
      </c>
      <c r="AC8" s="67" t="str">
        <f t="shared" si="2"/>
        <v/>
      </c>
      <c r="AD8" s="67" t="str">
        <f>IF($A8="","",IFERROR(IF(VLOOKUP($A8,'Risk Register'!$B$2:$H$1000,4,FALSE())&gt;=4,"Yes",""),""))</f>
        <v>Yes</v>
      </c>
      <c r="AE8" s="67" t="str">
        <f t="shared" si="3"/>
        <v>Low Value / Low Risk</v>
      </c>
      <c r="AF8" s="75"/>
      <c r="AG8" s="75"/>
      <c r="AH8" s="75"/>
      <c r="AI8" s="75"/>
      <c r="AJ8" s="75"/>
      <c r="AK8" s="75"/>
      <c r="AL8" s="75"/>
      <c r="AM8" s="75"/>
      <c r="AN8" s="75"/>
      <c r="AO8" s="75"/>
      <c r="AP8" s="75"/>
      <c r="AQ8" s="77"/>
    </row>
    <row r="9" spans="1:43" ht="28.5" customHeight="1" x14ac:dyDescent="0.2">
      <c r="A9" s="67"/>
      <c r="B9" s="78"/>
      <c r="C9" s="78"/>
      <c r="D9" s="78"/>
      <c r="E9" s="78"/>
      <c r="F9" s="78"/>
      <c r="G9" s="78"/>
      <c r="H9" s="78"/>
      <c r="I9" s="76"/>
      <c r="J9" s="76"/>
      <c r="K9" s="76"/>
      <c r="L9" s="76"/>
      <c r="M9" s="76"/>
      <c r="N9" s="55" t="str">
        <f>IF(OR($B9="", $I9="", $J9="", $K9="", $L9="", $M9=""),"",ROUND(($I9*Lists!$AN$2)+($J9*Lists!$AN$3)+($K9*Lists!$AN$4)+($L9*Lists!$AN$5)+($M9*Lists!$AN$6),2))</f>
        <v/>
      </c>
      <c r="O9" s="55"/>
      <c r="P9" s="76"/>
      <c r="Q9" s="76"/>
      <c r="R9" s="76"/>
      <c r="S9" s="76"/>
      <c r="T9" s="55" t="str">
        <f>IF(OR($B9="", $P9="", $Q9="", $R9="", $S9=""),"",ROUND(($P9*Lists!$AN$7)+($Q9*Lists!$AN$8)+($R9*Lists!$AN$9)+($S9*Lists!$AN$10),2))</f>
        <v/>
      </c>
      <c r="U9" s="76"/>
      <c r="V9" s="76"/>
      <c r="W9" s="76"/>
      <c r="X9" s="76"/>
      <c r="Y9" s="76"/>
      <c r="Z9" s="55" t="str">
        <f>IF(OR($B9="", $U9="", $V9="", $W9="", $X9="", $Y9=""),"",ROUND(($U9*Lists!$AN$11)+($V9*Lists!$AN$12)+($W9*Lists!$AN$13)+($X9*Lists!$AN$14)+($Y9*Lists!$AN$15),2))</f>
        <v/>
      </c>
      <c r="AA9" s="55" t="str">
        <f>IF(OR($B9="", $N9="", $O9="", $T9="", $Z9=""),"",ROUND(($N9*Lists!$AN$16)-($O9*Lists!$AN$17)-($T9*Lists!$AN$18)+($Z9*Lists!$AN$19),2))</f>
        <v/>
      </c>
      <c r="AB9" s="67"/>
      <c r="AC9" s="67"/>
      <c r="AD9" s="67"/>
      <c r="AE9" s="67"/>
      <c r="AF9" s="78"/>
      <c r="AG9" s="78"/>
      <c r="AH9" s="78"/>
      <c r="AI9" s="78"/>
      <c r="AJ9" s="78"/>
      <c r="AK9" s="78"/>
      <c r="AL9" s="78"/>
      <c r="AM9" s="78"/>
      <c r="AN9" s="78"/>
      <c r="AO9" s="78"/>
      <c r="AP9" s="78"/>
      <c r="AQ9" s="79"/>
    </row>
    <row r="10" spans="1:43" ht="28.5" customHeight="1" x14ac:dyDescent="0.2">
      <c r="A10" s="67"/>
      <c r="B10" s="75"/>
      <c r="C10" s="75"/>
      <c r="D10" s="75"/>
      <c r="E10" s="75"/>
      <c r="F10" s="75"/>
      <c r="G10" s="75"/>
      <c r="H10" s="75"/>
      <c r="I10" s="76"/>
      <c r="J10" s="76"/>
      <c r="K10" s="76"/>
      <c r="L10" s="76"/>
      <c r="M10" s="76"/>
      <c r="N10" s="55" t="str">
        <f>IF(OR($B10="", $I10="", $J10="", $K10="", $L10="", $M10=""),"",ROUND(($I10*Lists!$AN$2)+($J10*Lists!$AN$3)+($K10*Lists!$AN$4)+($L10*Lists!$AN$5)+($M10*Lists!$AN$6),2))</f>
        <v/>
      </c>
      <c r="O10" s="55"/>
      <c r="P10" s="76"/>
      <c r="Q10" s="76"/>
      <c r="R10" s="76"/>
      <c r="S10" s="76"/>
      <c r="T10" s="55" t="str">
        <f>IF(OR($B10="", $P10="", $Q10="", $R10="", $S10=""),"",ROUND(($P10*Lists!$AN$7)+($Q10*Lists!$AN$8)+($R10*Lists!$AN$9)+($S10*Lists!$AN$10),2))</f>
        <v/>
      </c>
      <c r="U10" s="76"/>
      <c r="V10" s="76"/>
      <c r="W10" s="76"/>
      <c r="X10" s="76"/>
      <c r="Y10" s="76"/>
      <c r="Z10" s="55" t="str">
        <f>IF(OR($B10="", $U10="", $V10="", $W10="", $X10="", $Y10=""),"",ROUND(($U10*Lists!$AN$11)+($V10*Lists!$AN$12)+($W10*Lists!$AN$13)+($X10*Lists!$AN$14)+($Y10*Lists!$AN$15),2))</f>
        <v/>
      </c>
      <c r="AA10" s="55" t="str">
        <f>IF(OR($B10="", $N10="", $O10="", $T10="", $Z10=""),"",ROUND(($N10*Lists!$AN$16)-($O10*Lists!$AN$17)-($T10*Lists!$AN$18)+($Z10*Lists!$AN$19),2))</f>
        <v/>
      </c>
      <c r="AB10" s="67"/>
      <c r="AC10" s="67"/>
      <c r="AD10" s="67"/>
      <c r="AE10" s="67"/>
      <c r="AF10" s="75"/>
      <c r="AG10" s="75"/>
      <c r="AH10" s="75"/>
      <c r="AI10" s="75"/>
      <c r="AJ10" s="75"/>
      <c r="AK10" s="75"/>
      <c r="AL10" s="75"/>
      <c r="AM10" s="75"/>
      <c r="AN10" s="75"/>
      <c r="AO10" s="75"/>
      <c r="AP10" s="75"/>
      <c r="AQ10" s="77"/>
    </row>
    <row r="11" spans="1:43" x14ac:dyDescent="0.2">
      <c r="A11" s="67"/>
      <c r="B11" s="78"/>
      <c r="C11" s="78"/>
      <c r="D11" s="78"/>
      <c r="E11" s="78"/>
      <c r="F11" s="78"/>
      <c r="G11" s="78"/>
      <c r="H11" s="78"/>
      <c r="I11" s="76"/>
      <c r="J11" s="76"/>
      <c r="K11" s="76"/>
      <c r="L11" s="76"/>
      <c r="M11" s="76"/>
      <c r="N11" s="55" t="str">
        <f>IF(OR($B11="", $I11="", $J11="", $K11="", $L11="", $M11=""),"",ROUND(($I11*Lists!$AN$2)+($J11*Lists!$AN$3)+($K11*Lists!$AN$4)+($L11*Lists!$AN$5)+($M11*Lists!$AN$6),2))</f>
        <v/>
      </c>
      <c r="O11" s="55"/>
      <c r="P11" s="76"/>
      <c r="Q11" s="76"/>
      <c r="R11" s="76"/>
      <c r="S11" s="76"/>
      <c r="T11" s="55" t="str">
        <f>IF(OR($B11="", $P11="", $Q11="", $R11="", $S11=""),"",ROUND(($P11*Lists!$AN$7)+($Q11*Lists!$AN$8)+($R11*Lists!$AN$9)+($S11*Lists!$AN$10),2))</f>
        <v/>
      </c>
      <c r="U11" s="76"/>
      <c r="V11" s="76"/>
      <c r="W11" s="76"/>
      <c r="X11" s="76"/>
      <c r="Y11" s="76"/>
      <c r="Z11" s="55" t="str">
        <f>IF(OR($B11="", $U11="", $V11="", $W11="", $X11="", $Y11=""),"",ROUND(($U11*Lists!$AN$11)+($V11*Lists!$AN$12)+($W11*Lists!$AN$13)+($X11*Lists!$AN$14)+($Y11*Lists!$AN$15),2))</f>
        <v/>
      </c>
      <c r="AA11" s="55" t="str">
        <f>IF(OR($B11="", $N11="", $O11="", $T11="", $Z11=""),"",ROUND(($N11*Lists!$AN$16)-($O11*Lists!$AN$17)-($T11*Lists!$AN$18)+($Z11*Lists!$AN$19),2))</f>
        <v/>
      </c>
      <c r="AB11" s="67"/>
      <c r="AC11" s="67"/>
      <c r="AD11" s="67"/>
      <c r="AE11" s="67"/>
      <c r="AF11" s="78"/>
      <c r="AG11" s="78"/>
      <c r="AH11" s="78"/>
      <c r="AI11" s="78"/>
      <c r="AJ11" s="78"/>
      <c r="AK11" s="78"/>
      <c r="AL11" s="78"/>
      <c r="AM11" s="78"/>
      <c r="AN11" s="78"/>
      <c r="AO11" s="78"/>
      <c r="AP11" s="78"/>
      <c r="AQ11" s="79"/>
    </row>
    <row r="12" spans="1:43" x14ac:dyDescent="0.2">
      <c r="A12" s="67"/>
      <c r="B12" s="75"/>
      <c r="C12" s="75"/>
      <c r="D12" s="75"/>
      <c r="E12" s="75"/>
      <c r="F12" s="75"/>
      <c r="G12" s="75"/>
      <c r="H12" s="75"/>
      <c r="I12" s="76"/>
      <c r="J12" s="76"/>
      <c r="K12" s="76"/>
      <c r="L12" s="76"/>
      <c r="M12" s="76"/>
      <c r="N12" s="55" t="str">
        <f>IF(OR($B12="", $I12="", $J12="", $K12="", $L12="", $M12=""),"",ROUND(($I12*Lists!$AN$2)+($J12*Lists!$AN$3)+($K12*Lists!$AN$4)+($L12*Lists!$AN$5)+($M12*Lists!$AN$6),2))</f>
        <v/>
      </c>
      <c r="O12" s="55"/>
      <c r="P12" s="76"/>
      <c r="Q12" s="76"/>
      <c r="R12" s="76"/>
      <c r="S12" s="76"/>
      <c r="T12" s="55" t="str">
        <f>IF(OR($B12="", $P12="", $Q12="", $R12="", $S12=""),"",ROUND(($P12*Lists!$AN$7)+($Q12*Lists!$AN$8)+($R12*Lists!$AN$9)+($S12*Lists!$AN$10),2))</f>
        <v/>
      </c>
      <c r="U12" s="76"/>
      <c r="V12" s="76"/>
      <c r="W12" s="76"/>
      <c r="X12" s="76"/>
      <c r="Y12" s="76"/>
      <c r="Z12" s="55" t="str">
        <f>IF(OR($B12="", $U12="", $V12="", $W12="", $X12="", $Y12=""),"",ROUND(($U12*Lists!$AN$11)+($V12*Lists!$AN$12)+($W12*Lists!$AN$13)+($X12*Lists!$AN$14)+($Y12*Lists!$AN$15),2))</f>
        <v/>
      </c>
      <c r="AA12" s="55" t="str">
        <f>IF(OR($B12="", $N12="", $O12="", $T12="", $Z12=""),"",ROUND(($N12*Lists!$AN$16)-($O12*Lists!$AN$17)-($T12*Lists!$AN$18)+($Z12*Lists!$AN$19),2))</f>
        <v/>
      </c>
      <c r="AB12" s="67"/>
      <c r="AC12" s="67"/>
      <c r="AD12" s="67"/>
      <c r="AE12" s="67"/>
      <c r="AF12" s="75"/>
      <c r="AG12" s="75"/>
      <c r="AH12" s="75"/>
      <c r="AI12" s="75"/>
      <c r="AJ12" s="75"/>
      <c r="AK12" s="75"/>
      <c r="AL12" s="75"/>
      <c r="AM12" s="75"/>
      <c r="AN12" s="75"/>
      <c r="AO12" s="75"/>
      <c r="AP12" s="75"/>
      <c r="AQ12" s="77"/>
    </row>
    <row r="13" spans="1:43" x14ac:dyDescent="0.2">
      <c r="A13" s="67"/>
      <c r="B13" s="78"/>
      <c r="C13" s="78"/>
      <c r="D13" s="78"/>
      <c r="E13" s="78"/>
      <c r="F13" s="78"/>
      <c r="G13" s="78"/>
      <c r="H13" s="78"/>
      <c r="I13" s="76"/>
      <c r="J13" s="76"/>
      <c r="K13" s="76"/>
      <c r="L13" s="76"/>
      <c r="M13" s="76"/>
      <c r="N13" s="55" t="str">
        <f>IF(OR($B13="", $I13="", $J13="", $K13="", $L13="", $M13=""),"",ROUND(($I13*Lists!$AN$2)+($J13*Lists!$AN$3)+($K13*Lists!$AN$4)+($L13*Lists!$AN$5)+($M13*Lists!$AN$6),2))</f>
        <v/>
      </c>
      <c r="O13" s="55"/>
      <c r="P13" s="76"/>
      <c r="Q13" s="76"/>
      <c r="R13" s="76"/>
      <c r="S13" s="76"/>
      <c r="T13" s="55" t="str">
        <f>IF(OR($B13="", $P13="", $Q13="", $R13="", $S13=""),"",ROUND(($P13*Lists!$AN$7)+($Q13*Lists!$AN$8)+($R13*Lists!$AN$9)+($S13*Lists!$AN$10),2))</f>
        <v/>
      </c>
      <c r="U13" s="76"/>
      <c r="V13" s="76"/>
      <c r="W13" s="76"/>
      <c r="X13" s="76"/>
      <c r="Y13" s="76"/>
      <c r="Z13" s="55" t="str">
        <f>IF(OR($B13="", $U13="", $V13="", $W13="", $X13="", $Y13=""),"",ROUND(($U13*Lists!$AN$11)+($V13*Lists!$AN$12)+($W13*Lists!$AN$13)+($X13*Lists!$AN$14)+($Y13*Lists!$AN$15),2))</f>
        <v/>
      </c>
      <c r="AA13" s="55" t="str">
        <f>IF(OR($B13="", $N13="", $O13="", $T13="", $Z13=""),"",ROUND(($N13*Lists!$AN$16)-($O13*Lists!$AN$17)-($T13*Lists!$AN$18)+($Z13*Lists!$AN$19),2))</f>
        <v/>
      </c>
      <c r="AB13" s="67"/>
      <c r="AC13" s="67"/>
      <c r="AD13" s="67"/>
      <c r="AE13" s="67"/>
      <c r="AF13" s="78"/>
      <c r="AG13" s="78"/>
      <c r="AH13" s="78"/>
      <c r="AI13" s="78"/>
      <c r="AJ13" s="78"/>
      <c r="AK13" s="78"/>
      <c r="AL13" s="78"/>
      <c r="AM13" s="78"/>
      <c r="AN13" s="78"/>
      <c r="AO13" s="78"/>
      <c r="AP13" s="78"/>
      <c r="AQ13" s="79"/>
    </row>
    <row r="14" spans="1:43" x14ac:dyDescent="0.2">
      <c r="A14" s="67"/>
      <c r="B14" s="75"/>
      <c r="C14" s="75"/>
      <c r="D14" s="75"/>
      <c r="E14" s="75"/>
      <c r="F14" s="75"/>
      <c r="G14" s="75"/>
      <c r="H14" s="75"/>
      <c r="I14" s="76"/>
      <c r="J14" s="76"/>
      <c r="K14" s="76"/>
      <c r="L14" s="76"/>
      <c r="M14" s="76"/>
      <c r="N14" s="55" t="str">
        <f>IF(OR($B14="", $I14="", $J14="", $K14="", $L14="", $M14=""),"",ROUND(($I14*Lists!$AN$2)+($J14*Lists!$AN$3)+($K14*Lists!$AN$4)+($L14*Lists!$AN$5)+($M14*Lists!$AN$6),2))</f>
        <v/>
      </c>
      <c r="O14" s="55"/>
      <c r="P14" s="76"/>
      <c r="Q14" s="76"/>
      <c r="R14" s="76"/>
      <c r="S14" s="76"/>
      <c r="T14" s="55" t="str">
        <f>IF(OR($B14="", $P14="", $Q14="", $R14="", $S14=""),"",ROUND(($P14*Lists!$AN$7)+($Q14*Lists!$AN$8)+($R14*Lists!$AN$9)+($S14*Lists!$AN$10),2))</f>
        <v/>
      </c>
      <c r="U14" s="76"/>
      <c r="V14" s="76"/>
      <c r="W14" s="76"/>
      <c r="X14" s="76"/>
      <c r="Y14" s="76"/>
      <c r="Z14" s="55" t="str">
        <f>IF(OR($B14="", $U14="", $V14="", $W14="", $X14="", $Y14=""),"",ROUND(($U14*Lists!$AN$11)+($V14*Lists!$AN$12)+($W14*Lists!$AN$13)+($X14*Lists!$AN$14)+($Y14*Lists!$AN$15),2))</f>
        <v/>
      </c>
      <c r="AA14" s="55" t="str">
        <f>IF(OR($B14="", $N14="", $O14="", $T14="", $Z14=""),"",ROUND(($N14*Lists!$AN$16)-($O14*Lists!$AN$17)-($T14*Lists!$AN$18)+($Z14*Lists!$AN$19),2))</f>
        <v/>
      </c>
      <c r="AB14" s="67"/>
      <c r="AC14" s="67"/>
      <c r="AD14" s="67"/>
      <c r="AE14" s="67"/>
      <c r="AF14" s="75"/>
      <c r="AG14" s="75"/>
      <c r="AH14" s="75"/>
      <c r="AI14" s="75"/>
      <c r="AJ14" s="75"/>
      <c r="AK14" s="75"/>
      <c r="AL14" s="75"/>
      <c r="AM14" s="75"/>
      <c r="AN14" s="75"/>
      <c r="AO14" s="75"/>
      <c r="AP14" s="75"/>
      <c r="AQ14" s="77"/>
    </row>
    <row r="15" spans="1:43" ht="28.5" customHeight="1" x14ac:dyDescent="0.2">
      <c r="A15" s="67"/>
      <c r="B15" s="78"/>
      <c r="C15" s="78"/>
      <c r="D15" s="78"/>
      <c r="E15" s="78"/>
      <c r="F15" s="78"/>
      <c r="G15" s="78"/>
      <c r="H15" s="78"/>
      <c r="I15" s="76"/>
      <c r="J15" s="76"/>
      <c r="K15" s="76"/>
      <c r="L15" s="76"/>
      <c r="M15" s="76"/>
      <c r="N15" s="55" t="str">
        <f>IF(OR($B15="", $I15="", $J15="", $K15="", $L15="", $M15=""),"",ROUND(($I15*Lists!$AN$2)+($J15*Lists!$AN$3)+($K15*Lists!$AN$4)+($L15*Lists!$AN$5)+($M15*Lists!$AN$6),2))</f>
        <v/>
      </c>
      <c r="O15" s="55"/>
      <c r="P15" s="76"/>
      <c r="Q15" s="76"/>
      <c r="R15" s="76"/>
      <c r="S15" s="76"/>
      <c r="T15" s="55" t="str">
        <f>IF(OR($B15="", $P15="", $Q15="", $R15="", $S15=""),"",ROUND(($P15*Lists!$AN$7)+($Q15*Lists!$AN$8)+($R15*Lists!$AN$9)+($S15*Lists!$AN$10),2))</f>
        <v/>
      </c>
      <c r="U15" s="76"/>
      <c r="V15" s="76"/>
      <c r="W15" s="76"/>
      <c r="X15" s="76"/>
      <c r="Y15" s="76"/>
      <c r="Z15" s="55" t="str">
        <f>IF(OR($B15="", $U15="", $V15="", $W15="", $X15="", $Y15=""),"",ROUND(($U15*Lists!$AN$11)+($V15*Lists!$AN$12)+($W15*Lists!$AN$13)+($X15*Lists!$AN$14)+($Y15*Lists!$AN$15),2))</f>
        <v/>
      </c>
      <c r="AA15" s="55" t="str">
        <f>IF(OR($B15="", $N15="", $O15="", $T15="", $Z15=""),"",ROUND(($N15*Lists!$AN$16)-($O15*Lists!$AN$17)-($T15*Lists!$AN$18)+($Z15*Lists!$AN$19),2))</f>
        <v/>
      </c>
      <c r="AB15" s="67"/>
      <c r="AC15" s="67"/>
      <c r="AD15" s="67"/>
      <c r="AE15" s="67"/>
      <c r="AF15" s="78"/>
      <c r="AG15" s="78"/>
      <c r="AH15" s="78"/>
      <c r="AI15" s="78"/>
      <c r="AJ15" s="78"/>
      <c r="AK15" s="78"/>
      <c r="AL15" s="78"/>
      <c r="AM15" s="78"/>
      <c r="AN15" s="78"/>
      <c r="AO15" s="78"/>
      <c r="AP15" s="78"/>
      <c r="AQ15" s="79"/>
    </row>
    <row r="16" spans="1:43" x14ac:dyDescent="0.2">
      <c r="A16" s="67"/>
      <c r="B16" s="75"/>
      <c r="C16" s="75"/>
      <c r="D16" s="75"/>
      <c r="E16" s="75"/>
      <c r="F16" s="75"/>
      <c r="G16" s="75"/>
      <c r="H16" s="75"/>
      <c r="I16" s="76"/>
      <c r="J16" s="76"/>
      <c r="K16" s="76"/>
      <c r="L16" s="76"/>
      <c r="M16" s="76"/>
      <c r="N16" s="55" t="str">
        <f>IF(OR($B16="", $I16="", $J16="", $K16="", $L16="", $M16=""),"",ROUND(($I16*Lists!$AN$2)+($J16*Lists!$AN$3)+($K16*Lists!$AN$4)+($L16*Lists!$AN$5)+($M16*Lists!$AN$6),2))</f>
        <v/>
      </c>
      <c r="O16" s="55"/>
      <c r="P16" s="76"/>
      <c r="Q16" s="76"/>
      <c r="R16" s="76"/>
      <c r="S16" s="76"/>
      <c r="T16" s="55" t="str">
        <f>IF(OR($B16="", $P16="", $Q16="", $R16="", $S16=""),"",ROUND(($P16*Lists!$AN$7)+($Q16*Lists!$AN$8)+($R16*Lists!$AN$9)+($S16*Lists!$AN$10),2))</f>
        <v/>
      </c>
      <c r="U16" s="76"/>
      <c r="V16" s="76"/>
      <c r="W16" s="76"/>
      <c r="X16" s="76"/>
      <c r="Y16" s="76"/>
      <c r="Z16" s="55" t="str">
        <f>IF(OR($B16="", $U16="", $V16="", $W16="", $X16="", $Y16=""),"",ROUND(($U16*Lists!$AN$11)+($V16*Lists!$AN$12)+($W16*Lists!$AN$13)+($X16*Lists!$AN$14)+($Y16*Lists!$AN$15),2))</f>
        <v/>
      </c>
      <c r="AA16" s="55" t="str">
        <f>IF(OR($B16="", $N16="", $O16="", $T16="", $Z16=""),"",ROUND(($N16*Lists!$AN$16)-($O16*Lists!$AN$17)-($T16*Lists!$AN$18)+($Z16*Lists!$AN$19),2))</f>
        <v/>
      </c>
      <c r="AB16" s="67"/>
      <c r="AC16" s="67"/>
      <c r="AD16" s="67"/>
      <c r="AE16" s="67"/>
      <c r="AF16" s="75"/>
      <c r="AG16" s="75"/>
      <c r="AH16" s="75"/>
      <c r="AI16" s="75"/>
      <c r="AJ16" s="75"/>
      <c r="AK16" s="75"/>
      <c r="AL16" s="75"/>
      <c r="AM16" s="75"/>
      <c r="AN16" s="75"/>
      <c r="AO16" s="75"/>
      <c r="AP16" s="75"/>
      <c r="AQ16" s="77"/>
    </row>
    <row r="17" spans="1:43" x14ac:dyDescent="0.2">
      <c r="A17" s="67"/>
      <c r="B17" s="78"/>
      <c r="C17" s="78"/>
      <c r="D17" s="78"/>
      <c r="E17" s="78"/>
      <c r="F17" s="78"/>
      <c r="G17" s="78"/>
      <c r="H17" s="78"/>
      <c r="I17" s="76"/>
      <c r="J17" s="76"/>
      <c r="K17" s="76"/>
      <c r="L17" s="76"/>
      <c r="M17" s="76"/>
      <c r="N17" s="55" t="str">
        <f>IF(OR($B17="", $I17="", $J17="", $K17="", $L17="", $M17=""),"",ROUND(($I17*Lists!$AN$2)+($J17*Lists!$AN$3)+($K17*Lists!$AN$4)+($L17*Lists!$AN$5)+($M17*Lists!$AN$6),2))</f>
        <v/>
      </c>
      <c r="O17" s="55"/>
      <c r="P17" s="76"/>
      <c r="Q17" s="76"/>
      <c r="R17" s="76"/>
      <c r="S17" s="76"/>
      <c r="T17" s="55" t="str">
        <f>IF(OR($B17="", $P17="", $Q17="", $R17="", $S17=""),"",ROUND(($P17*Lists!$AN$7)+($Q17*Lists!$AN$8)+($R17*Lists!$AN$9)+($S17*Lists!$AN$10),2))</f>
        <v/>
      </c>
      <c r="U17" s="76"/>
      <c r="V17" s="76"/>
      <c r="W17" s="76"/>
      <c r="X17" s="76"/>
      <c r="Y17" s="76"/>
      <c r="Z17" s="55" t="str">
        <f>IF(OR($B17="", $U17="", $V17="", $W17="", $X17="", $Y17=""),"",ROUND(($U17*Lists!$AN$11)+($V17*Lists!$AN$12)+($W17*Lists!$AN$13)+($X17*Lists!$AN$14)+($Y17*Lists!$AN$15),2))</f>
        <v/>
      </c>
      <c r="AA17" s="55" t="str">
        <f>IF(OR($B17="", $N17="", $O17="", $T17="", $Z17=""),"",ROUND(($N17*Lists!$AN$16)-($O17*Lists!$AN$17)-($T17*Lists!$AN$18)+($Z17*Lists!$AN$19),2))</f>
        <v/>
      </c>
      <c r="AB17" s="67"/>
      <c r="AC17" s="67"/>
      <c r="AD17" s="67"/>
      <c r="AE17" s="67"/>
      <c r="AF17" s="78"/>
      <c r="AG17" s="78"/>
      <c r="AH17" s="78"/>
      <c r="AI17" s="78"/>
      <c r="AJ17" s="78"/>
      <c r="AK17" s="78"/>
      <c r="AL17" s="78"/>
      <c r="AM17" s="78"/>
      <c r="AN17" s="78"/>
      <c r="AO17" s="78"/>
      <c r="AP17" s="78"/>
      <c r="AQ17" s="79"/>
    </row>
    <row r="18" spans="1:43" ht="28.5" customHeight="1" x14ac:dyDescent="0.2">
      <c r="A18" s="67"/>
      <c r="B18" s="75"/>
      <c r="C18" s="75"/>
      <c r="D18" s="75"/>
      <c r="E18" s="75"/>
      <c r="F18" s="75"/>
      <c r="G18" s="75"/>
      <c r="H18" s="75"/>
      <c r="I18" s="76"/>
      <c r="J18" s="76"/>
      <c r="K18" s="76"/>
      <c r="L18" s="76"/>
      <c r="M18" s="76"/>
      <c r="N18" s="55" t="str">
        <f>IF(OR($B18="", $I18="", $J18="", $K18="", $L18="", $M18=""),"",ROUND(($I18*Lists!$AN$2)+($J18*Lists!$AN$3)+($K18*Lists!$AN$4)+($L18*Lists!$AN$5)+($M18*Lists!$AN$6),2))</f>
        <v/>
      </c>
      <c r="O18" s="55"/>
      <c r="P18" s="76"/>
      <c r="Q18" s="76"/>
      <c r="R18" s="76"/>
      <c r="S18" s="76"/>
      <c r="T18" s="55" t="str">
        <f>IF(OR($B18="", $P18="", $Q18="", $R18="", $S18=""),"",ROUND(($P18*Lists!$AN$7)+($Q18*Lists!$AN$8)+($R18*Lists!$AN$9)+($S18*Lists!$AN$10),2))</f>
        <v/>
      </c>
      <c r="U18" s="76"/>
      <c r="V18" s="76"/>
      <c r="W18" s="76"/>
      <c r="X18" s="76"/>
      <c r="Y18" s="76"/>
      <c r="Z18" s="55" t="str">
        <f>IF(OR($B18="", $U18="", $V18="", $W18="", $X18="", $Y18=""),"",ROUND(($U18*Lists!$AN$11)+($V18*Lists!$AN$12)+($W18*Lists!$AN$13)+($X18*Lists!$AN$14)+($Y18*Lists!$AN$15),2))</f>
        <v/>
      </c>
      <c r="AA18" s="55" t="str">
        <f>IF(OR($B18="", $N18="", $O18="", $T18="", $Z18=""),"",ROUND(($N18*Lists!$AN$16)-($O18*Lists!$AN$17)-($T18*Lists!$AN$18)+($Z18*Lists!$AN$19),2))</f>
        <v/>
      </c>
      <c r="AB18" s="67"/>
      <c r="AC18" s="67"/>
      <c r="AD18" s="67"/>
      <c r="AE18" s="67"/>
      <c r="AF18" s="75"/>
      <c r="AG18" s="75"/>
      <c r="AH18" s="75"/>
      <c r="AI18" s="75"/>
      <c r="AJ18" s="75"/>
      <c r="AK18" s="75"/>
      <c r="AL18" s="75"/>
      <c r="AM18" s="75"/>
      <c r="AN18" s="75"/>
      <c r="AO18" s="75"/>
      <c r="AP18" s="75"/>
      <c r="AQ18" s="77"/>
    </row>
    <row r="19" spans="1:43" ht="28.5" customHeight="1" x14ac:dyDescent="0.2">
      <c r="A19" s="67"/>
      <c r="B19" s="78"/>
      <c r="C19" s="78"/>
      <c r="D19" s="78"/>
      <c r="E19" s="78"/>
      <c r="F19" s="78"/>
      <c r="G19" s="78"/>
      <c r="H19" s="78"/>
      <c r="I19" s="76"/>
      <c r="J19" s="76"/>
      <c r="K19" s="76"/>
      <c r="L19" s="76"/>
      <c r="M19" s="76"/>
      <c r="N19" s="55" t="str">
        <f>IF(OR($B19="", $I19="", $J19="", $K19="", $L19="", $M19=""),"",ROUND(($I19*Lists!$AN$2)+($J19*Lists!$AN$3)+($K19*Lists!$AN$4)+($L19*Lists!$AN$5)+($M19*Lists!$AN$6),2))</f>
        <v/>
      </c>
      <c r="O19" s="55"/>
      <c r="P19" s="76"/>
      <c r="Q19" s="76"/>
      <c r="R19" s="76"/>
      <c r="S19" s="76"/>
      <c r="T19" s="55" t="str">
        <f>IF(OR($B19="", $P19="", $Q19="", $R19="", $S19=""),"",ROUND(($P19*Lists!$AN$7)+($Q19*Lists!$AN$8)+($R19*Lists!$AN$9)+($S19*Lists!$AN$10),2))</f>
        <v/>
      </c>
      <c r="U19" s="76"/>
      <c r="V19" s="76"/>
      <c r="W19" s="76"/>
      <c r="X19" s="76"/>
      <c r="Y19" s="76"/>
      <c r="Z19" s="55" t="str">
        <f>IF(OR($B19="", $U19="", $V19="", $W19="", $X19="", $Y19=""),"",ROUND(($U19*Lists!$AN$11)+($V19*Lists!$AN$12)+($W19*Lists!$AN$13)+($X19*Lists!$AN$14)+($Y19*Lists!$AN$15),2))</f>
        <v/>
      </c>
      <c r="AA19" s="55" t="str">
        <f>IF(OR($B19="", $N19="", $O19="", $T19="", $Z19=""),"",ROUND(($N19*Lists!$AN$16)-($O19*Lists!$AN$17)-($T19*Lists!$AN$18)+($Z19*Lists!$AN$19),2))</f>
        <v/>
      </c>
      <c r="AB19" s="67"/>
      <c r="AC19" s="67"/>
      <c r="AD19" s="67"/>
      <c r="AE19" s="67"/>
      <c r="AF19" s="78"/>
      <c r="AG19" s="78"/>
      <c r="AH19" s="78"/>
      <c r="AI19" s="78"/>
      <c r="AJ19" s="78"/>
      <c r="AK19" s="78"/>
      <c r="AL19" s="78"/>
      <c r="AM19" s="78"/>
      <c r="AN19" s="78"/>
      <c r="AO19" s="78"/>
      <c r="AP19" s="78"/>
      <c r="AQ19" s="79"/>
    </row>
    <row r="20" spans="1:43" x14ac:dyDescent="0.2">
      <c r="A20" s="67"/>
      <c r="B20" s="75"/>
      <c r="C20" s="75"/>
      <c r="D20" s="75"/>
      <c r="E20" s="75"/>
      <c r="F20" s="75"/>
      <c r="G20" s="75"/>
      <c r="H20" s="75"/>
      <c r="I20" s="76"/>
      <c r="J20" s="76"/>
      <c r="K20" s="76"/>
      <c r="L20" s="76"/>
      <c r="M20" s="76"/>
      <c r="N20" s="55" t="str">
        <f>IF(OR($B20="", $I20="", $J20="", $K20="", $L20="", $M20=""),"",ROUND(($I20*Lists!$AN$2)+($J20*Lists!$AN$3)+($K20*Lists!$AN$4)+($L20*Lists!$AN$5)+($M20*Lists!$AN$6),2))</f>
        <v/>
      </c>
      <c r="O20" s="55"/>
      <c r="P20" s="76"/>
      <c r="Q20" s="76"/>
      <c r="R20" s="76"/>
      <c r="S20" s="76"/>
      <c r="T20" s="55" t="str">
        <f>IF(OR($B20="", $P20="", $Q20="", $R20="", $S20=""),"",ROUND(($P20*Lists!$AN$7)+($Q20*Lists!$AN$8)+($R20*Lists!$AN$9)+($S20*Lists!$AN$10),2))</f>
        <v/>
      </c>
      <c r="U20" s="76"/>
      <c r="V20" s="76"/>
      <c r="W20" s="76"/>
      <c r="X20" s="76"/>
      <c r="Y20" s="76"/>
      <c r="Z20" s="55" t="str">
        <f>IF(OR($B20="", $U20="", $V20="", $W20="", $X20="", $Y20=""),"",ROUND(($U20*Lists!$AN$11)+($V20*Lists!$AN$12)+($W20*Lists!$AN$13)+($X20*Lists!$AN$14)+($Y20*Lists!$AN$15),2))</f>
        <v/>
      </c>
      <c r="AA20" s="55" t="str">
        <f>IF(OR($B20="", $N20="", $O20="", $T20="", $Z20=""),"",ROUND(($N20*Lists!$AN$16)-($O20*Lists!$AN$17)-($T20*Lists!$AN$18)+($Z20*Lists!$AN$19),2))</f>
        <v/>
      </c>
      <c r="AB20" s="67"/>
      <c r="AC20" s="67"/>
      <c r="AD20" s="67"/>
      <c r="AE20" s="67"/>
      <c r="AF20" s="75"/>
      <c r="AG20" s="75"/>
      <c r="AH20" s="75"/>
      <c r="AI20" s="75"/>
      <c r="AJ20" s="75"/>
      <c r="AK20" s="75"/>
      <c r="AL20" s="75"/>
      <c r="AM20" s="75"/>
      <c r="AN20" s="75"/>
      <c r="AO20" s="75"/>
      <c r="AP20" s="75"/>
      <c r="AQ20" s="77"/>
    </row>
    <row r="21" spans="1:43" x14ac:dyDescent="0.2">
      <c r="A21" s="67"/>
      <c r="B21" s="78"/>
      <c r="C21" s="78"/>
      <c r="D21" s="78"/>
      <c r="E21" s="78"/>
      <c r="F21" s="78"/>
      <c r="G21" s="78"/>
      <c r="H21" s="78"/>
      <c r="I21" s="76"/>
      <c r="J21" s="76"/>
      <c r="K21" s="76"/>
      <c r="L21" s="76"/>
      <c r="M21" s="76"/>
      <c r="N21" s="55" t="str">
        <f>IF(OR($B21="", $I21="", $J21="", $K21="", $L21="", $M21=""),"",ROUND(($I21*Lists!$AN$2)+($J21*Lists!$AN$3)+($K21*Lists!$AN$4)+($L21*Lists!$AN$5)+($M21*Lists!$AN$6),2))</f>
        <v/>
      </c>
      <c r="O21" s="55"/>
      <c r="P21" s="76"/>
      <c r="Q21" s="76"/>
      <c r="R21" s="76"/>
      <c r="S21" s="76"/>
      <c r="T21" s="55" t="str">
        <f>IF(OR($B21="", $P21="", $Q21="", $R21="", $S21=""),"",ROUND(($P21*Lists!$AN$7)+($Q21*Lists!$AN$8)+($R21*Lists!$AN$9)+($S21*Lists!$AN$10),2))</f>
        <v/>
      </c>
      <c r="U21" s="76"/>
      <c r="V21" s="76"/>
      <c r="W21" s="76"/>
      <c r="X21" s="76"/>
      <c r="Y21" s="76"/>
      <c r="Z21" s="55" t="str">
        <f>IF(OR($B21="", $U21="", $V21="", $W21="", $X21="", $Y21=""),"",ROUND(($U21*Lists!$AN$11)+($V21*Lists!$AN$12)+($W21*Lists!$AN$13)+($X21*Lists!$AN$14)+($Y21*Lists!$AN$15),2))</f>
        <v/>
      </c>
      <c r="AA21" s="55" t="str">
        <f>IF(OR($B21="", $N21="", $O21="", $T21="", $Z21=""),"",ROUND(($N21*Lists!$AN$16)-($O21*Lists!$AN$17)-($T21*Lists!$AN$18)+($Z21*Lists!$AN$19),2))</f>
        <v/>
      </c>
      <c r="AB21" s="67"/>
      <c r="AC21" s="67"/>
      <c r="AD21" s="67"/>
      <c r="AE21" s="67"/>
      <c r="AF21" s="78"/>
      <c r="AG21" s="78"/>
      <c r="AH21" s="78"/>
      <c r="AI21" s="78"/>
      <c r="AJ21" s="78"/>
      <c r="AK21" s="78"/>
      <c r="AL21" s="78"/>
      <c r="AM21" s="78"/>
      <c r="AN21" s="78"/>
      <c r="AO21" s="78"/>
      <c r="AP21" s="78"/>
      <c r="AQ21" s="79"/>
    </row>
    <row r="22" spans="1:43" ht="57" customHeight="1" x14ac:dyDescent="0.2">
      <c r="A22" s="67"/>
      <c r="B22" s="75"/>
      <c r="C22" s="75"/>
      <c r="D22" s="75"/>
      <c r="E22" s="75"/>
      <c r="F22" s="75"/>
      <c r="G22" s="75"/>
      <c r="H22" s="75"/>
      <c r="I22" s="76"/>
      <c r="J22" s="76"/>
      <c r="K22" s="76"/>
      <c r="L22" s="76"/>
      <c r="M22" s="76"/>
      <c r="N22" s="55" t="str">
        <f>IF(OR($B22="", $I22="", $J22="", $K22="", $L22="", $M22=""),"",ROUND(($I22*Lists!$AN$2)+($J22*Lists!$AN$3)+($K22*Lists!$AN$4)+($L22*Lists!$AN$5)+($M22*Lists!$AN$6),2))</f>
        <v/>
      </c>
      <c r="O22" s="55"/>
      <c r="P22" s="76"/>
      <c r="Q22" s="76"/>
      <c r="R22" s="76"/>
      <c r="S22" s="76"/>
      <c r="T22" s="55" t="str">
        <f>IF(OR($B22="", $P22="", $Q22="", $R22="", $S22=""),"",ROUND(($P22*Lists!$AN$7)+($Q22*Lists!$AN$8)+($R22*Lists!$AN$9)+($S22*Lists!$AN$10),2))</f>
        <v/>
      </c>
      <c r="U22" s="76"/>
      <c r="V22" s="76"/>
      <c r="W22" s="76"/>
      <c r="X22" s="76"/>
      <c r="Y22" s="76"/>
      <c r="Z22" s="55" t="str">
        <f>IF(OR($B22="", $U22="", $V22="", $W22="", $X22="", $Y22=""),"",ROUND(($U22*Lists!$AN$11)+($V22*Lists!$AN$12)+($W22*Lists!$AN$13)+($X22*Lists!$AN$14)+($Y22*Lists!$AN$15),2))</f>
        <v/>
      </c>
      <c r="AA22" s="55" t="str">
        <f>IF(OR($B22="", $N22="", $O22="", $T22="", $Z22=""),"",ROUND(($N22*Lists!$AN$16)-($O22*Lists!$AN$17)-($T22*Lists!$AN$18)+($Z22*Lists!$AN$19),2))</f>
        <v/>
      </c>
      <c r="AB22" s="67"/>
      <c r="AC22" s="67"/>
      <c r="AD22" s="67"/>
      <c r="AE22" s="67"/>
      <c r="AF22" s="75"/>
      <c r="AG22" s="75"/>
      <c r="AH22" s="75"/>
      <c r="AI22" s="75"/>
      <c r="AJ22" s="75"/>
      <c r="AK22" s="75"/>
      <c r="AL22" s="75"/>
      <c r="AM22" s="75"/>
      <c r="AN22" s="75"/>
      <c r="AO22" s="75"/>
      <c r="AP22" s="75"/>
      <c r="AQ22" s="77"/>
    </row>
    <row r="23" spans="1:43" ht="42.75" customHeight="1" x14ac:dyDescent="0.2">
      <c r="A23" s="67"/>
      <c r="B23" s="78"/>
      <c r="C23" s="78"/>
      <c r="D23" s="78"/>
      <c r="E23" s="78"/>
      <c r="F23" s="78"/>
      <c r="G23" s="78"/>
      <c r="H23" s="78"/>
      <c r="I23" s="76"/>
      <c r="J23" s="76"/>
      <c r="K23" s="76"/>
      <c r="L23" s="76"/>
      <c r="M23" s="76"/>
      <c r="N23" s="55" t="str">
        <f>IF(OR($B23="", $I23="", $J23="", $K23="", $L23="", $M23=""),"",ROUND(($I23*Lists!$AN$2)+($J23*Lists!$AN$3)+($K23*Lists!$AN$4)+($L23*Lists!$AN$5)+($M23*Lists!$AN$6),2))</f>
        <v/>
      </c>
      <c r="O23" s="55"/>
      <c r="P23" s="76"/>
      <c r="Q23" s="76"/>
      <c r="R23" s="76"/>
      <c r="S23" s="76"/>
      <c r="T23" s="55" t="str">
        <f>IF(OR($B23="", $P23="", $Q23="", $R23="", $S23=""),"",ROUND(($P23*Lists!$AN$7)+($Q23*Lists!$AN$8)+($R23*Lists!$AN$9)+($S23*Lists!$AN$10),2))</f>
        <v/>
      </c>
      <c r="U23" s="76"/>
      <c r="V23" s="76"/>
      <c r="W23" s="76"/>
      <c r="X23" s="76"/>
      <c r="Y23" s="76"/>
      <c r="Z23" s="55" t="str">
        <f>IF(OR($B23="", $U23="", $V23="", $W23="", $X23="", $Y23=""),"",ROUND(($U23*Lists!$AN$11)+($V23*Lists!$AN$12)+($W23*Lists!$AN$13)+($X23*Lists!$AN$14)+($Y23*Lists!$AN$15),2))</f>
        <v/>
      </c>
      <c r="AA23" s="55" t="str">
        <f>IF(OR($B23="", $N23="", $O23="", $T23="", $Z23=""),"",ROUND(($N23*Lists!$AN$16)-($O23*Lists!$AN$17)-($T23*Lists!$AN$18)+($Z23*Lists!$AN$19),2))</f>
        <v/>
      </c>
      <c r="AB23" s="67"/>
      <c r="AC23" s="67"/>
      <c r="AD23" s="67"/>
      <c r="AE23" s="67"/>
      <c r="AF23" s="78"/>
      <c r="AG23" s="78"/>
      <c r="AH23" s="78"/>
      <c r="AI23" s="78"/>
      <c r="AJ23" s="78"/>
      <c r="AK23" s="78"/>
      <c r="AL23" s="78"/>
      <c r="AM23" s="78"/>
      <c r="AN23" s="78"/>
      <c r="AO23" s="78"/>
      <c r="AP23" s="78"/>
      <c r="AQ23" s="79"/>
    </row>
    <row r="24" spans="1:43" ht="28.5" customHeight="1" x14ac:dyDescent="0.2">
      <c r="A24" s="67"/>
      <c r="B24" s="75"/>
      <c r="C24" s="75"/>
      <c r="D24" s="75"/>
      <c r="E24" s="75"/>
      <c r="F24" s="75"/>
      <c r="G24" s="75"/>
      <c r="H24" s="75"/>
      <c r="I24" s="76"/>
      <c r="J24" s="76"/>
      <c r="K24" s="76"/>
      <c r="L24" s="76"/>
      <c r="M24" s="76"/>
      <c r="N24" s="55" t="str">
        <f>IF(OR($B24="", $I24="", $J24="", $K24="", $L24="", $M24=""),"",ROUND(($I24*Lists!$AN$2)+($J24*Lists!$AN$3)+($K24*Lists!$AN$4)+($L24*Lists!$AN$5)+($M24*Lists!$AN$6),2))</f>
        <v/>
      </c>
      <c r="O24" s="55"/>
      <c r="P24" s="76"/>
      <c r="Q24" s="76"/>
      <c r="R24" s="76"/>
      <c r="S24" s="76"/>
      <c r="T24" s="55" t="str">
        <f>IF(OR($B24="", $P24="", $Q24="", $R24="", $S24=""),"",ROUND(($P24*Lists!$AN$7)+($Q24*Lists!$AN$8)+($R24*Lists!$AN$9)+($S24*Lists!$AN$10),2))</f>
        <v/>
      </c>
      <c r="U24" s="76"/>
      <c r="V24" s="76"/>
      <c r="W24" s="76"/>
      <c r="X24" s="76"/>
      <c r="Y24" s="76"/>
      <c r="Z24" s="55" t="str">
        <f>IF(OR($B24="", $U24="", $V24="", $W24="", $X24="", $Y24=""),"",ROUND(($U24*Lists!$AN$11)+($V24*Lists!$AN$12)+($W24*Lists!$AN$13)+($X24*Lists!$AN$14)+($Y24*Lists!$AN$15),2))</f>
        <v/>
      </c>
      <c r="AA24" s="55" t="str">
        <f>IF(OR($B24="", $N24="", $O24="", $T24="", $Z24=""),"",ROUND(($N24*Lists!$AN$16)-($O24*Lists!$AN$17)-($T24*Lists!$AN$18)+($Z24*Lists!$AN$19),2))</f>
        <v/>
      </c>
      <c r="AB24" s="67"/>
      <c r="AC24" s="67"/>
      <c r="AD24" s="67"/>
      <c r="AE24" s="67"/>
      <c r="AF24" s="75"/>
      <c r="AG24" s="75"/>
      <c r="AH24" s="75"/>
      <c r="AI24" s="75"/>
      <c r="AJ24" s="75"/>
      <c r="AK24" s="75"/>
      <c r="AL24" s="75"/>
      <c r="AM24" s="75"/>
      <c r="AN24" s="75"/>
      <c r="AO24" s="75"/>
      <c r="AP24" s="75"/>
      <c r="AQ24" s="77"/>
    </row>
    <row r="25" spans="1:43" ht="28.5" customHeight="1" x14ac:dyDescent="0.2">
      <c r="A25" s="67"/>
      <c r="B25" s="78"/>
      <c r="C25" s="78"/>
      <c r="D25" s="78"/>
      <c r="E25" s="78"/>
      <c r="F25" s="78"/>
      <c r="G25" s="78"/>
      <c r="H25" s="78"/>
      <c r="I25" s="76"/>
      <c r="J25" s="76"/>
      <c r="K25" s="76"/>
      <c r="L25" s="76"/>
      <c r="M25" s="76"/>
      <c r="N25" s="55" t="str">
        <f>IF(OR($B25="", $I25="", $J25="", $K25="", $L25="", $M25=""),"",ROUND(($I25*Lists!$AN$2)+($J25*Lists!$AN$3)+($K25*Lists!$AN$4)+($L25*Lists!$AN$5)+($M25*Lists!$AN$6),2))</f>
        <v/>
      </c>
      <c r="O25" s="55"/>
      <c r="P25" s="76"/>
      <c r="Q25" s="76"/>
      <c r="R25" s="76"/>
      <c r="S25" s="76"/>
      <c r="T25" s="55" t="str">
        <f>IF(OR($B25="", $P25="", $Q25="", $R25="", $S25=""),"",ROUND(($P25*Lists!$AN$7)+($Q25*Lists!$AN$8)+($R25*Lists!$AN$9)+($S25*Lists!$AN$10),2))</f>
        <v/>
      </c>
      <c r="U25" s="76"/>
      <c r="V25" s="76"/>
      <c r="W25" s="76"/>
      <c r="X25" s="76"/>
      <c r="Y25" s="76"/>
      <c r="Z25" s="55" t="str">
        <f>IF(OR($B25="", $U25="", $V25="", $W25="", $X25="", $Y25=""),"",ROUND(($U25*Lists!$AN$11)+($V25*Lists!$AN$12)+($W25*Lists!$AN$13)+($X25*Lists!$AN$14)+($Y25*Lists!$AN$15),2))</f>
        <v/>
      </c>
      <c r="AA25" s="55" t="str">
        <f>IF(OR($B25="", $N25="", $O25="", $T25="", $Z25=""),"",ROUND(($N25*Lists!$AN$16)-($O25*Lists!$AN$17)-($T25*Lists!$AN$18)+($Z25*Lists!$AN$19),2))</f>
        <v/>
      </c>
      <c r="AB25" s="67"/>
      <c r="AC25" s="67"/>
      <c r="AD25" s="67"/>
      <c r="AE25" s="67"/>
      <c r="AF25" s="78"/>
      <c r="AG25" s="78"/>
      <c r="AH25" s="78"/>
      <c r="AI25" s="78"/>
      <c r="AJ25" s="78"/>
      <c r="AK25" s="78"/>
      <c r="AL25" s="78"/>
      <c r="AM25" s="78"/>
      <c r="AN25" s="78"/>
      <c r="AO25" s="78"/>
      <c r="AP25" s="78"/>
      <c r="AQ25" s="79"/>
    </row>
    <row r="26" spans="1:43" ht="28.5" customHeight="1" x14ac:dyDescent="0.2">
      <c r="A26" s="67"/>
      <c r="B26" s="75"/>
      <c r="C26" s="75"/>
      <c r="D26" s="75"/>
      <c r="E26" s="75"/>
      <c r="F26" s="75"/>
      <c r="G26" s="75"/>
      <c r="H26" s="75"/>
      <c r="I26" s="76"/>
      <c r="J26" s="76"/>
      <c r="K26" s="76"/>
      <c r="L26" s="76"/>
      <c r="M26" s="76"/>
      <c r="N26" s="55" t="str">
        <f>IF(OR($B26="", $I26="", $J26="", $K26="", $L26="", $M26=""),"",ROUND(($I26*Lists!$AN$2)+($J26*Lists!$AN$3)+($K26*Lists!$AN$4)+($L26*Lists!$AN$5)+($M26*Lists!$AN$6),2))</f>
        <v/>
      </c>
      <c r="O26" s="55"/>
      <c r="P26" s="76"/>
      <c r="Q26" s="76"/>
      <c r="R26" s="76"/>
      <c r="S26" s="76"/>
      <c r="T26" s="55" t="str">
        <f>IF(OR($B26="", $P26="", $Q26="", $R26="", $S26=""),"",ROUND(($P26*Lists!$AN$7)+($Q26*Lists!$AN$8)+($R26*Lists!$AN$9)+($S26*Lists!$AN$10),2))</f>
        <v/>
      </c>
      <c r="U26" s="76"/>
      <c r="V26" s="76"/>
      <c r="W26" s="76"/>
      <c r="X26" s="76"/>
      <c r="Y26" s="76"/>
      <c r="Z26" s="55" t="str">
        <f>IF(OR($B26="", $U26="", $V26="", $W26="", $X26="", $Y26=""),"",ROUND(($U26*Lists!$AN$11)+($V26*Lists!$AN$12)+($W26*Lists!$AN$13)+($X26*Lists!$AN$14)+($Y26*Lists!$AN$15),2))</f>
        <v/>
      </c>
      <c r="AA26" s="55" t="str">
        <f>IF(OR($B26="", $N26="", $O26="", $T26="", $Z26=""),"",ROUND(($N26*Lists!$AN$16)-($O26*Lists!$AN$17)-($T26*Lists!$AN$18)+($Z26*Lists!$AN$19),2))</f>
        <v/>
      </c>
      <c r="AB26" s="67"/>
      <c r="AC26" s="67"/>
      <c r="AD26" s="67"/>
      <c r="AE26" s="67"/>
      <c r="AF26" s="75"/>
      <c r="AG26" s="75"/>
      <c r="AH26" s="75"/>
      <c r="AI26" s="75"/>
      <c r="AJ26" s="75"/>
      <c r="AK26" s="75"/>
      <c r="AL26" s="75"/>
      <c r="AM26" s="75"/>
      <c r="AN26" s="75"/>
      <c r="AO26" s="75"/>
      <c r="AP26" s="75"/>
      <c r="AQ26" s="77"/>
    </row>
    <row r="27" spans="1:43" x14ac:dyDescent="0.2">
      <c r="A27" s="67"/>
      <c r="B27" s="78"/>
      <c r="C27" s="78"/>
      <c r="D27" s="78"/>
      <c r="E27" s="78"/>
      <c r="F27" s="78"/>
      <c r="G27" s="78"/>
      <c r="H27" s="78"/>
      <c r="I27" s="76"/>
      <c r="J27" s="76"/>
      <c r="K27" s="76"/>
      <c r="L27" s="76"/>
      <c r="M27" s="76"/>
      <c r="N27" s="55" t="str">
        <f>IF(OR($B27="", $I27="", $J27="", $K27="", $L27="", $M27=""),"",ROUND(($I27*Lists!$AN$2)+($J27*Lists!$AN$3)+($K27*Lists!$AN$4)+($L27*Lists!$AN$5)+($M27*Lists!$AN$6),2))</f>
        <v/>
      </c>
      <c r="O27" s="55"/>
      <c r="P27" s="76"/>
      <c r="Q27" s="76"/>
      <c r="R27" s="76"/>
      <c r="S27" s="76"/>
      <c r="T27" s="55" t="str">
        <f>IF(OR($B27="", $P27="", $Q27="", $R27="", $S27=""),"",ROUND(($P27*Lists!$AN$7)+($Q27*Lists!$AN$8)+($R27*Lists!$AN$9)+($S27*Lists!$AN$10),2))</f>
        <v/>
      </c>
      <c r="U27" s="76"/>
      <c r="V27" s="76"/>
      <c r="W27" s="76"/>
      <c r="X27" s="76"/>
      <c r="Y27" s="76"/>
      <c r="Z27" s="55" t="str">
        <f>IF(OR($B27="", $U27="", $V27="", $W27="", $X27="", $Y27=""),"",ROUND(($U27*Lists!$AN$11)+($V27*Lists!$AN$12)+($W27*Lists!$AN$13)+($X27*Lists!$AN$14)+($Y27*Lists!$AN$15),2))</f>
        <v/>
      </c>
      <c r="AA27" s="55" t="str">
        <f>IF(OR($B27="", $N27="", $O27="", $T27="", $Z27=""),"",ROUND(($N27*Lists!$AN$16)-($O27*Lists!$AN$17)-($T27*Lists!$AN$18)+($Z27*Lists!$AN$19),2))</f>
        <v/>
      </c>
      <c r="AB27" s="67"/>
      <c r="AC27" s="67"/>
      <c r="AD27" s="67"/>
      <c r="AE27" s="67"/>
      <c r="AF27" s="78"/>
      <c r="AG27" s="78"/>
      <c r="AH27" s="78"/>
      <c r="AI27" s="78"/>
      <c r="AJ27" s="78"/>
      <c r="AK27" s="78"/>
      <c r="AL27" s="78"/>
      <c r="AM27" s="78"/>
      <c r="AN27" s="78"/>
      <c r="AO27" s="78"/>
      <c r="AP27" s="78"/>
      <c r="AQ27" s="79"/>
    </row>
    <row r="28" spans="1:43" x14ac:dyDescent="0.2">
      <c r="A28" s="67"/>
      <c r="B28" s="75"/>
      <c r="C28" s="75"/>
      <c r="D28" s="75"/>
      <c r="E28" s="75"/>
      <c r="F28" s="75"/>
      <c r="G28" s="75"/>
      <c r="H28" s="75"/>
      <c r="I28" s="76"/>
      <c r="J28" s="76"/>
      <c r="K28" s="76"/>
      <c r="L28" s="76"/>
      <c r="M28" s="76"/>
      <c r="N28" s="55" t="str">
        <f>IF(OR($B28="", $I28="", $J28="", $K28="", $L28="", $M28=""),"",ROUND(($I28*Lists!$AN$2)+($J28*Lists!$AN$3)+($K28*Lists!$AN$4)+($L28*Lists!$AN$5)+($M28*Lists!$AN$6),2))</f>
        <v/>
      </c>
      <c r="O28" s="55"/>
      <c r="P28" s="76"/>
      <c r="Q28" s="76"/>
      <c r="R28" s="76"/>
      <c r="S28" s="76"/>
      <c r="T28" s="55" t="str">
        <f>IF(OR($B28="", $P28="", $Q28="", $R28="", $S28=""),"",ROUND(($P28*Lists!$AN$7)+($Q28*Lists!$AN$8)+($R28*Lists!$AN$9)+($S28*Lists!$AN$10),2))</f>
        <v/>
      </c>
      <c r="U28" s="76"/>
      <c r="V28" s="76"/>
      <c r="W28" s="76"/>
      <c r="X28" s="76"/>
      <c r="Y28" s="76"/>
      <c r="Z28" s="55" t="str">
        <f>IF(OR($B28="", $U28="", $V28="", $W28="", $X28="", $Y28=""),"",ROUND(($U28*Lists!$AN$11)+($V28*Lists!$AN$12)+($W28*Lists!$AN$13)+($X28*Lists!$AN$14)+($Y28*Lists!$AN$15),2))</f>
        <v/>
      </c>
      <c r="AA28" s="55" t="str">
        <f>IF(OR($B28="", $N28="", $O28="", $T28="", $Z28=""),"",ROUND(($N28*Lists!$AN$16)-($O28*Lists!$AN$17)-($T28*Lists!$AN$18)+($Z28*Lists!$AN$19),2))</f>
        <v/>
      </c>
      <c r="AB28" s="67"/>
      <c r="AC28" s="67"/>
      <c r="AD28" s="67"/>
      <c r="AE28" s="67"/>
      <c r="AF28" s="75"/>
      <c r="AG28" s="75"/>
      <c r="AH28" s="75"/>
      <c r="AI28" s="75"/>
      <c r="AJ28" s="75"/>
      <c r="AK28" s="75"/>
      <c r="AL28" s="75"/>
      <c r="AM28" s="75"/>
      <c r="AN28" s="75"/>
      <c r="AO28" s="75"/>
      <c r="AP28" s="75"/>
      <c r="AQ28" s="77"/>
    </row>
    <row r="29" spans="1:43" ht="28.5" customHeight="1" x14ac:dyDescent="0.2">
      <c r="A29" s="67"/>
      <c r="B29" s="78"/>
      <c r="C29" s="78"/>
      <c r="D29" s="78"/>
      <c r="E29" s="78"/>
      <c r="F29" s="78"/>
      <c r="G29" s="78"/>
      <c r="H29" s="78"/>
      <c r="I29" s="76"/>
      <c r="J29" s="76"/>
      <c r="K29" s="76"/>
      <c r="L29" s="76"/>
      <c r="M29" s="76"/>
      <c r="N29" s="55" t="str">
        <f>IF(OR($B29="", $I29="", $J29="", $K29="", $L29="", $M29=""),"",ROUND(($I29*Lists!$AN$2)+($J29*Lists!$AN$3)+($K29*Lists!$AN$4)+($L29*Lists!$AN$5)+($M29*Lists!$AN$6),2))</f>
        <v/>
      </c>
      <c r="O29" s="55"/>
      <c r="P29" s="76"/>
      <c r="Q29" s="76"/>
      <c r="R29" s="76"/>
      <c r="S29" s="76"/>
      <c r="T29" s="55" t="str">
        <f>IF(OR($B29="", $P29="", $Q29="", $R29="", $S29=""),"",ROUND(($P29*Lists!$AN$7)+($Q29*Lists!$AN$8)+($R29*Lists!$AN$9)+($S29*Lists!$AN$10),2))</f>
        <v/>
      </c>
      <c r="U29" s="76"/>
      <c r="V29" s="76"/>
      <c r="W29" s="76"/>
      <c r="X29" s="76"/>
      <c r="Y29" s="76"/>
      <c r="Z29" s="55" t="str">
        <f>IF(OR($B29="", $U29="", $V29="", $W29="", $X29="", $Y29=""),"",ROUND(($U29*Lists!$AN$11)+($V29*Lists!$AN$12)+($W29*Lists!$AN$13)+($X29*Lists!$AN$14)+($Y29*Lists!$AN$15),2))</f>
        <v/>
      </c>
      <c r="AA29" s="55" t="str">
        <f>IF(OR($B29="", $N29="", $O29="", $T29="", $Z29=""),"",ROUND(($N29*Lists!$AN$16)-($O29*Lists!$AN$17)-($T29*Lists!$AN$18)+($Z29*Lists!$AN$19),2))</f>
        <v/>
      </c>
      <c r="AB29" s="67"/>
      <c r="AC29" s="67"/>
      <c r="AD29" s="67"/>
      <c r="AE29" s="67"/>
      <c r="AF29" s="78"/>
      <c r="AG29" s="78"/>
      <c r="AH29" s="78"/>
      <c r="AI29" s="78"/>
      <c r="AJ29" s="78"/>
      <c r="AK29" s="78"/>
      <c r="AL29" s="78"/>
      <c r="AM29" s="78"/>
      <c r="AN29" s="78"/>
      <c r="AO29" s="78"/>
      <c r="AP29" s="78"/>
      <c r="AQ29" s="79"/>
    </row>
    <row r="30" spans="1:43" ht="28.5" customHeight="1" x14ac:dyDescent="0.2">
      <c r="A30" s="67"/>
      <c r="B30" s="75"/>
      <c r="C30" s="75"/>
      <c r="D30" s="75"/>
      <c r="E30" s="75"/>
      <c r="F30" s="75"/>
      <c r="G30" s="75"/>
      <c r="H30" s="75"/>
      <c r="I30" s="76"/>
      <c r="J30" s="76"/>
      <c r="K30" s="76"/>
      <c r="L30" s="76"/>
      <c r="M30" s="76"/>
      <c r="N30" s="55" t="str">
        <f>IF(OR($B30="", $I30="", $J30="", $K30="", $L30="", $M30=""),"",ROUND(($I30*Lists!$AN$2)+($J30*Lists!$AN$3)+($K30*Lists!$AN$4)+($L30*Lists!$AN$5)+($M30*Lists!$AN$6),2))</f>
        <v/>
      </c>
      <c r="O30" s="55"/>
      <c r="P30" s="76"/>
      <c r="Q30" s="76"/>
      <c r="R30" s="76"/>
      <c r="S30" s="76"/>
      <c r="T30" s="55" t="str">
        <f>IF(OR($B30="", $P30="", $Q30="", $R30="", $S30=""),"",ROUND(($P30*Lists!$AN$7)+($Q30*Lists!$AN$8)+($R30*Lists!$AN$9)+($S30*Lists!$AN$10),2))</f>
        <v/>
      </c>
      <c r="U30" s="76"/>
      <c r="V30" s="76"/>
      <c r="W30" s="76"/>
      <c r="X30" s="76"/>
      <c r="Y30" s="76"/>
      <c r="Z30" s="55" t="str">
        <f>IF(OR($B30="", $U30="", $V30="", $W30="", $X30="", $Y30=""),"",ROUND(($U30*Lists!$AN$11)+($V30*Lists!$AN$12)+($W30*Lists!$AN$13)+($X30*Lists!$AN$14)+($Y30*Lists!$AN$15),2))</f>
        <v/>
      </c>
      <c r="AA30" s="55" t="str">
        <f>IF(OR($B30="", $N30="", $O30="", $T30="", $Z30=""),"",ROUND(($N30*Lists!$AN$16)-($O30*Lists!$AN$17)-($T30*Lists!$AN$18)+($Z30*Lists!$AN$19),2))</f>
        <v/>
      </c>
      <c r="AB30" s="67"/>
      <c r="AC30" s="67"/>
      <c r="AD30" s="67"/>
      <c r="AE30" s="67"/>
      <c r="AF30" s="75"/>
      <c r="AG30" s="75"/>
      <c r="AH30" s="75"/>
      <c r="AI30" s="75"/>
      <c r="AJ30" s="75"/>
      <c r="AK30" s="75"/>
      <c r="AL30" s="75"/>
      <c r="AM30" s="75"/>
      <c r="AN30" s="75"/>
      <c r="AO30" s="75"/>
      <c r="AP30" s="75"/>
      <c r="AQ30" s="77"/>
    </row>
    <row r="31" spans="1:43" x14ac:dyDescent="0.2">
      <c r="A31" s="67"/>
      <c r="B31" s="78"/>
      <c r="C31" s="78"/>
      <c r="D31" s="78"/>
      <c r="E31" s="78"/>
      <c r="F31" s="78"/>
      <c r="G31" s="78"/>
      <c r="H31" s="78"/>
      <c r="I31" s="76"/>
      <c r="J31" s="76"/>
      <c r="K31" s="76"/>
      <c r="L31" s="76"/>
      <c r="M31" s="76"/>
      <c r="N31" s="55" t="str">
        <f>IF(OR($B31="", $I31="", $J31="", $K31="", $L31="", $M31=""),"",ROUND(($I31*Lists!$AN$2)+($J31*Lists!$AN$3)+($K31*Lists!$AN$4)+($L31*Lists!$AN$5)+($M31*Lists!$AN$6),2))</f>
        <v/>
      </c>
      <c r="O31" s="55"/>
      <c r="P31" s="76"/>
      <c r="Q31" s="76"/>
      <c r="R31" s="76"/>
      <c r="S31" s="76"/>
      <c r="T31" s="55" t="str">
        <f>IF(OR($B31="", $P31="", $Q31="", $R31="", $S31=""),"",ROUND(($P31*Lists!$AN$7)+($Q31*Lists!$AN$8)+($R31*Lists!$AN$9)+($S31*Lists!$AN$10),2))</f>
        <v/>
      </c>
      <c r="U31" s="76"/>
      <c r="V31" s="76"/>
      <c r="W31" s="76"/>
      <c r="X31" s="76"/>
      <c r="Y31" s="76"/>
      <c r="Z31" s="55" t="str">
        <f>IF(OR($B31="", $U31="", $V31="", $W31="", $X31="", $Y31=""),"",ROUND(($U31*Lists!$AN$11)+($V31*Lists!$AN$12)+($W31*Lists!$AN$13)+($X31*Lists!$AN$14)+($Y31*Lists!$AN$15),2))</f>
        <v/>
      </c>
      <c r="AA31" s="55" t="str">
        <f>IF(OR($B31="", $N31="", $O31="", $T31="", $Z31=""),"",ROUND(($N31*Lists!$AN$16)-($O31*Lists!$AN$17)-($T31*Lists!$AN$18)+($Z31*Lists!$AN$19),2))</f>
        <v/>
      </c>
      <c r="AB31" s="67"/>
      <c r="AC31" s="67"/>
      <c r="AD31" s="67"/>
      <c r="AE31" s="67"/>
      <c r="AF31" s="78"/>
      <c r="AG31" s="78"/>
      <c r="AH31" s="78"/>
      <c r="AI31" s="78"/>
      <c r="AJ31" s="78"/>
      <c r="AK31" s="78"/>
      <c r="AL31" s="78"/>
      <c r="AM31" s="78"/>
      <c r="AN31" s="78"/>
      <c r="AO31" s="78"/>
      <c r="AP31" s="78"/>
      <c r="AQ31" s="79"/>
    </row>
    <row r="32" spans="1:43" x14ac:dyDescent="0.2">
      <c r="A32" s="67"/>
      <c r="B32" s="75"/>
      <c r="C32" s="75"/>
      <c r="D32" s="75"/>
      <c r="E32" s="75"/>
      <c r="F32" s="75"/>
      <c r="G32" s="75"/>
      <c r="H32" s="75"/>
      <c r="I32" s="76"/>
      <c r="J32" s="76"/>
      <c r="K32" s="76"/>
      <c r="L32" s="76"/>
      <c r="M32" s="76"/>
      <c r="N32" s="55" t="str">
        <f>IF(OR($B32="", $I32="", $J32="", $K32="", $L32="", $M32=""),"",ROUND(($I32*Lists!$AN$2)+($J32*Lists!$AN$3)+($K32*Lists!$AN$4)+($L32*Lists!$AN$5)+($M32*Lists!$AN$6),2))</f>
        <v/>
      </c>
      <c r="O32" s="55"/>
      <c r="P32" s="76"/>
      <c r="Q32" s="76"/>
      <c r="R32" s="76"/>
      <c r="S32" s="76"/>
      <c r="T32" s="55" t="str">
        <f>IF(OR($B32="", $P32="", $Q32="", $R32="", $S32=""),"",ROUND(($P32*Lists!$AN$7)+($Q32*Lists!$AN$8)+($R32*Lists!$AN$9)+($S32*Lists!$AN$10),2))</f>
        <v/>
      </c>
      <c r="U32" s="76"/>
      <c r="V32" s="76"/>
      <c r="W32" s="76"/>
      <c r="X32" s="76"/>
      <c r="Y32" s="76"/>
      <c r="Z32" s="55" t="str">
        <f>IF(OR($B32="", $U32="", $V32="", $W32="", $X32="", $Y32=""),"",ROUND(($U32*Lists!$AN$11)+($V32*Lists!$AN$12)+($W32*Lists!$AN$13)+($X32*Lists!$AN$14)+($Y32*Lists!$AN$15),2))</f>
        <v/>
      </c>
      <c r="AA32" s="55" t="str">
        <f>IF(OR($B32="", $N32="", $O32="", $T32="", $Z32=""),"",ROUND(($N32*Lists!$AN$16)-($O32*Lists!$AN$17)-($T32*Lists!$AN$18)+($Z32*Lists!$AN$19),2))</f>
        <v/>
      </c>
      <c r="AB32" s="67"/>
      <c r="AC32" s="67"/>
      <c r="AD32" s="67"/>
      <c r="AE32" s="67"/>
      <c r="AF32" s="75"/>
      <c r="AG32" s="75"/>
      <c r="AH32" s="75"/>
      <c r="AI32" s="75"/>
      <c r="AJ32" s="75"/>
      <c r="AK32" s="75"/>
      <c r="AL32" s="75"/>
      <c r="AM32" s="75"/>
      <c r="AN32" s="75"/>
      <c r="AO32" s="75"/>
      <c r="AP32" s="75"/>
      <c r="AQ32" s="77"/>
    </row>
    <row r="33" spans="1:43" x14ac:dyDescent="0.2">
      <c r="A33" s="67"/>
      <c r="B33" s="78"/>
      <c r="C33" s="78"/>
      <c r="D33" s="78"/>
      <c r="E33" s="78"/>
      <c r="F33" s="78"/>
      <c r="G33" s="78"/>
      <c r="H33" s="78"/>
      <c r="I33" s="76"/>
      <c r="J33" s="76"/>
      <c r="K33" s="76"/>
      <c r="L33" s="76"/>
      <c r="M33" s="76"/>
      <c r="N33" s="55" t="str">
        <f>IF(OR($B33="", $I33="", $J33="", $K33="", $L33="", $M33=""),"",ROUND(($I33*Lists!$AN$2)+($J33*Lists!$AN$3)+($K33*Lists!$AN$4)+($L33*Lists!$AN$5)+($M33*Lists!$AN$6),2))</f>
        <v/>
      </c>
      <c r="O33" s="55"/>
      <c r="P33" s="76"/>
      <c r="Q33" s="76"/>
      <c r="R33" s="76"/>
      <c r="S33" s="76"/>
      <c r="T33" s="55" t="str">
        <f>IF(OR($B33="", $P33="", $Q33="", $R33="", $S33=""),"",ROUND(($P33*Lists!$AN$7)+($Q33*Lists!$AN$8)+($R33*Lists!$AN$9)+($S33*Lists!$AN$10),2))</f>
        <v/>
      </c>
      <c r="U33" s="76"/>
      <c r="V33" s="76"/>
      <c r="W33" s="76"/>
      <c r="X33" s="76"/>
      <c r="Y33" s="76"/>
      <c r="Z33" s="55" t="str">
        <f>IF(OR($B33="", $U33="", $V33="", $W33="", $X33="", $Y33=""),"",ROUND(($U33*Lists!$AN$11)+($V33*Lists!$AN$12)+($W33*Lists!$AN$13)+($X33*Lists!$AN$14)+($Y33*Lists!$AN$15),2))</f>
        <v/>
      </c>
      <c r="AA33" s="55" t="str">
        <f>IF(OR($B33="", $N33="", $O33="", $T33="", $Z33=""),"",ROUND(($N33*Lists!$AN$16)-($O33*Lists!$AN$17)-($T33*Lists!$AN$18)+($Z33*Lists!$AN$19),2))</f>
        <v/>
      </c>
      <c r="AB33" s="67"/>
      <c r="AC33" s="67"/>
      <c r="AD33" s="67"/>
      <c r="AE33" s="67"/>
      <c r="AF33" s="78"/>
      <c r="AG33" s="78"/>
      <c r="AH33" s="78"/>
      <c r="AI33" s="78"/>
      <c r="AJ33" s="78"/>
      <c r="AK33" s="78"/>
      <c r="AL33" s="78"/>
      <c r="AM33" s="78"/>
      <c r="AN33" s="78"/>
      <c r="AO33" s="78"/>
      <c r="AP33" s="78"/>
      <c r="AQ33" s="79"/>
    </row>
    <row r="34" spans="1:43" x14ac:dyDescent="0.2">
      <c r="A34" s="67"/>
      <c r="B34" s="75"/>
      <c r="C34" s="75"/>
      <c r="D34" s="75"/>
      <c r="E34" s="75"/>
      <c r="F34" s="75"/>
      <c r="G34" s="75"/>
      <c r="H34" s="75"/>
      <c r="I34" s="76"/>
      <c r="J34" s="76"/>
      <c r="K34" s="76"/>
      <c r="L34" s="76"/>
      <c r="M34" s="76"/>
      <c r="N34" s="55" t="str">
        <f>IF(OR($B34="", $I34="", $J34="", $K34="", $L34="", $M34=""),"",ROUND(($I34*Lists!$AN$2)+($J34*Lists!$AN$3)+($K34*Lists!$AN$4)+($L34*Lists!$AN$5)+($M34*Lists!$AN$6),2))</f>
        <v/>
      </c>
      <c r="O34" s="55"/>
      <c r="P34" s="76"/>
      <c r="Q34" s="76"/>
      <c r="R34" s="76"/>
      <c r="S34" s="76"/>
      <c r="T34" s="55" t="str">
        <f>IF(OR($B34="", $P34="", $Q34="", $R34="", $S34=""),"",ROUND(($P34*Lists!$AN$7)+($Q34*Lists!$AN$8)+($R34*Lists!$AN$9)+($S34*Lists!$AN$10),2))</f>
        <v/>
      </c>
      <c r="U34" s="76"/>
      <c r="V34" s="76"/>
      <c r="W34" s="76"/>
      <c r="X34" s="76"/>
      <c r="Y34" s="76"/>
      <c r="Z34" s="55" t="str">
        <f>IF(OR($B34="", $U34="", $V34="", $W34="", $X34="", $Y34=""),"",ROUND(($U34*Lists!$AN$11)+($V34*Lists!$AN$12)+($W34*Lists!$AN$13)+($X34*Lists!$AN$14)+($Y34*Lists!$AN$15),2))</f>
        <v/>
      </c>
      <c r="AA34" s="55" t="str">
        <f>IF(OR($B34="", $N34="", $O34="", $T34="", $Z34=""),"",ROUND(($N34*Lists!$AN$16)-($O34*Lists!$AN$17)-($T34*Lists!$AN$18)+($Z34*Lists!$AN$19),2))</f>
        <v/>
      </c>
      <c r="AB34" s="67"/>
      <c r="AC34" s="67"/>
      <c r="AD34" s="67"/>
      <c r="AE34" s="67"/>
      <c r="AF34" s="75"/>
      <c r="AG34" s="75"/>
      <c r="AH34" s="75"/>
      <c r="AI34" s="75"/>
      <c r="AJ34" s="75"/>
      <c r="AK34" s="75"/>
      <c r="AL34" s="75"/>
      <c r="AM34" s="75"/>
      <c r="AN34" s="75"/>
      <c r="AO34" s="75"/>
      <c r="AP34" s="75"/>
      <c r="AQ34" s="77"/>
    </row>
    <row r="35" spans="1:43" x14ac:dyDescent="0.2">
      <c r="A35" s="67"/>
      <c r="B35" s="78"/>
      <c r="C35" s="78"/>
      <c r="D35" s="78"/>
      <c r="E35" s="78"/>
      <c r="F35" s="78"/>
      <c r="G35" s="78"/>
      <c r="H35" s="78"/>
      <c r="I35" s="76"/>
      <c r="J35" s="76"/>
      <c r="K35" s="76"/>
      <c r="L35" s="76"/>
      <c r="M35" s="76"/>
      <c r="N35" s="55" t="str">
        <f>IF(OR($B35="", $I35="", $J35="", $K35="", $L35="", $M35=""),"",ROUND(($I35*Lists!$AN$2)+($J35*Lists!$AN$3)+($K35*Lists!$AN$4)+($L35*Lists!$AN$5)+($M35*Lists!$AN$6),2))</f>
        <v/>
      </c>
      <c r="O35" s="55"/>
      <c r="P35" s="76"/>
      <c r="Q35" s="76"/>
      <c r="R35" s="76"/>
      <c r="S35" s="76"/>
      <c r="T35" s="55" t="str">
        <f>IF(OR($B35="", $P35="", $Q35="", $R35="", $S35=""),"",ROUND(($P35*Lists!$AN$7)+($Q35*Lists!$AN$8)+($R35*Lists!$AN$9)+($S35*Lists!$AN$10),2))</f>
        <v/>
      </c>
      <c r="U35" s="76"/>
      <c r="V35" s="76"/>
      <c r="W35" s="76"/>
      <c r="X35" s="76"/>
      <c r="Y35" s="76"/>
      <c r="Z35" s="55" t="str">
        <f>IF(OR($B35="", $U35="", $V35="", $W35="", $X35="", $Y35=""),"",ROUND(($U35*Lists!$AN$11)+($V35*Lists!$AN$12)+($W35*Lists!$AN$13)+($X35*Lists!$AN$14)+($Y35*Lists!$AN$15),2))</f>
        <v/>
      </c>
      <c r="AA35" s="55" t="str">
        <f>IF(OR($B35="", $N35="", $O35="", $T35="", $Z35=""),"",ROUND(($N35*Lists!$AN$16)-($O35*Lists!$AN$17)-($T35*Lists!$AN$18)+($Z35*Lists!$AN$19),2))</f>
        <v/>
      </c>
      <c r="AB35" s="67"/>
      <c r="AC35" s="67"/>
      <c r="AD35" s="67"/>
      <c r="AE35" s="67"/>
      <c r="AF35" s="78"/>
      <c r="AG35" s="78"/>
      <c r="AH35" s="78"/>
      <c r="AI35" s="78"/>
      <c r="AJ35" s="78"/>
      <c r="AK35" s="78"/>
      <c r="AL35" s="78"/>
      <c r="AM35" s="78"/>
      <c r="AN35" s="78"/>
      <c r="AO35" s="78"/>
      <c r="AP35" s="78"/>
      <c r="AQ35" s="79"/>
    </row>
    <row r="36" spans="1:43" x14ac:dyDescent="0.2">
      <c r="A36" s="67"/>
      <c r="B36" s="75"/>
      <c r="C36" s="75"/>
      <c r="D36" s="75"/>
      <c r="E36" s="75"/>
      <c r="F36" s="75"/>
      <c r="G36" s="75"/>
      <c r="H36" s="75"/>
      <c r="I36" s="76"/>
      <c r="J36" s="76"/>
      <c r="K36" s="76"/>
      <c r="L36" s="76"/>
      <c r="M36" s="76"/>
      <c r="N36" s="55" t="str">
        <f>IF(OR($B36="", $I36="", $J36="", $K36="", $L36="", $M36=""),"",ROUND(($I36*Lists!$AN$2)+($J36*Lists!$AN$3)+($K36*Lists!$AN$4)+($L36*Lists!$AN$5)+($M36*Lists!$AN$6),2))</f>
        <v/>
      </c>
      <c r="O36" s="55"/>
      <c r="P36" s="76"/>
      <c r="Q36" s="76"/>
      <c r="R36" s="76"/>
      <c r="S36" s="76"/>
      <c r="T36" s="55" t="str">
        <f>IF(OR($B36="", $P36="", $Q36="", $R36="", $S36=""),"",ROUND(($P36*Lists!$AN$7)+($Q36*Lists!$AN$8)+($R36*Lists!$AN$9)+($S36*Lists!$AN$10),2))</f>
        <v/>
      </c>
      <c r="U36" s="76"/>
      <c r="V36" s="76"/>
      <c r="W36" s="76"/>
      <c r="X36" s="76"/>
      <c r="Y36" s="76"/>
      <c r="Z36" s="55" t="str">
        <f>IF(OR($B36="", $U36="", $V36="", $W36="", $X36="", $Y36=""),"",ROUND(($U36*Lists!$AN$11)+($V36*Lists!$AN$12)+($W36*Lists!$AN$13)+($X36*Lists!$AN$14)+($Y36*Lists!$AN$15),2))</f>
        <v/>
      </c>
      <c r="AA36" s="55" t="str">
        <f>IF(OR($B36="", $N36="", $O36="", $T36="", $Z36=""),"",ROUND(($N36*Lists!$AN$16)-($O36*Lists!$AN$17)-($T36*Lists!$AN$18)+($Z36*Lists!$AN$19),2))</f>
        <v/>
      </c>
      <c r="AB36" s="67"/>
      <c r="AC36" s="67"/>
      <c r="AD36" s="67"/>
      <c r="AE36" s="67"/>
      <c r="AF36" s="75"/>
      <c r="AG36" s="75"/>
      <c r="AH36" s="75"/>
      <c r="AI36" s="75"/>
      <c r="AJ36" s="75"/>
      <c r="AK36" s="75"/>
      <c r="AL36" s="75"/>
      <c r="AM36" s="75"/>
      <c r="AN36" s="75"/>
      <c r="AO36" s="75"/>
      <c r="AP36" s="75"/>
      <c r="AQ36" s="77"/>
    </row>
    <row r="37" spans="1:43" x14ac:dyDescent="0.2">
      <c r="A37" s="67"/>
      <c r="B37" s="78"/>
      <c r="C37" s="78"/>
      <c r="D37" s="78"/>
      <c r="E37" s="78"/>
      <c r="F37" s="78"/>
      <c r="G37" s="78"/>
      <c r="H37" s="78"/>
      <c r="I37" s="76"/>
      <c r="J37" s="76"/>
      <c r="K37" s="76"/>
      <c r="L37" s="76"/>
      <c r="M37" s="76"/>
      <c r="N37" s="55" t="str">
        <f>IF(OR($B37="", $I37="", $J37="", $K37="", $L37="", $M37=""),"",ROUND(($I37*Lists!$AN$2)+($J37*Lists!$AN$3)+($K37*Lists!$AN$4)+($L37*Lists!$AN$5)+($M37*Lists!$AN$6),2))</f>
        <v/>
      </c>
      <c r="O37" s="55"/>
      <c r="P37" s="76"/>
      <c r="Q37" s="76"/>
      <c r="R37" s="76"/>
      <c r="S37" s="76"/>
      <c r="T37" s="55" t="str">
        <f>IF(OR($B37="", $P37="", $Q37="", $R37="", $S37=""),"",ROUND(($P37*Lists!$AN$7)+($Q37*Lists!$AN$8)+($R37*Lists!$AN$9)+($S37*Lists!$AN$10),2))</f>
        <v/>
      </c>
      <c r="U37" s="76"/>
      <c r="V37" s="76"/>
      <c r="W37" s="76"/>
      <c r="X37" s="76"/>
      <c r="Y37" s="76"/>
      <c r="Z37" s="55" t="str">
        <f>IF(OR($B37="", $U37="", $V37="", $W37="", $X37="", $Y37=""),"",ROUND(($U37*Lists!$AN$11)+($V37*Lists!$AN$12)+($W37*Lists!$AN$13)+($X37*Lists!$AN$14)+($Y37*Lists!$AN$15),2))</f>
        <v/>
      </c>
      <c r="AA37" s="55" t="str">
        <f>IF(OR($B37="", $N37="", $O37="", $T37="", $Z37=""),"",ROUND(($N37*Lists!$AN$16)-($O37*Lists!$AN$17)-($T37*Lists!$AN$18)+($Z37*Lists!$AN$19),2))</f>
        <v/>
      </c>
      <c r="AB37" s="67"/>
      <c r="AC37" s="67"/>
      <c r="AD37" s="67"/>
      <c r="AE37" s="67"/>
      <c r="AF37" s="78"/>
      <c r="AG37" s="78"/>
      <c r="AH37" s="78"/>
      <c r="AI37" s="78"/>
      <c r="AJ37" s="78"/>
      <c r="AK37" s="78"/>
      <c r="AL37" s="78"/>
      <c r="AM37" s="78"/>
      <c r="AN37" s="78"/>
      <c r="AO37" s="78"/>
      <c r="AP37" s="78"/>
      <c r="AQ37" s="79"/>
    </row>
    <row r="38" spans="1:43" x14ac:dyDescent="0.2">
      <c r="A38" s="67"/>
      <c r="B38" s="75"/>
      <c r="C38" s="75"/>
      <c r="D38" s="75"/>
      <c r="E38" s="75"/>
      <c r="F38" s="75"/>
      <c r="G38" s="75"/>
      <c r="H38" s="75"/>
      <c r="I38" s="76"/>
      <c r="J38" s="76"/>
      <c r="K38" s="76"/>
      <c r="L38" s="76"/>
      <c r="M38" s="76"/>
      <c r="N38" s="55" t="str">
        <f>IF(OR($B38="", $I38="", $J38="", $K38="", $L38="", $M38=""),"",ROUND(($I38*Lists!$AN$2)+($J38*Lists!$AN$3)+($K38*Lists!$AN$4)+($L38*Lists!$AN$5)+($M38*Lists!$AN$6),2))</f>
        <v/>
      </c>
      <c r="O38" s="55"/>
      <c r="P38" s="76"/>
      <c r="Q38" s="76"/>
      <c r="R38" s="76"/>
      <c r="S38" s="76"/>
      <c r="T38" s="55" t="str">
        <f>IF(OR($B38="", $P38="", $Q38="", $R38="", $S38=""),"",ROUND(($P38*Lists!$AN$7)+($Q38*Lists!$AN$8)+($R38*Lists!$AN$9)+($S38*Lists!$AN$10),2))</f>
        <v/>
      </c>
      <c r="U38" s="76"/>
      <c r="V38" s="76"/>
      <c r="W38" s="76"/>
      <c r="X38" s="76"/>
      <c r="Y38" s="76"/>
      <c r="Z38" s="55" t="str">
        <f>IF(OR($B38="", $U38="", $V38="", $W38="", $X38="", $Y38=""),"",ROUND(($U38*Lists!$AN$11)+($V38*Lists!$AN$12)+($W38*Lists!$AN$13)+($X38*Lists!$AN$14)+($Y38*Lists!$AN$15),2))</f>
        <v/>
      </c>
      <c r="AA38" s="55" t="str">
        <f>IF(OR($B38="", $N38="", $O38="", $T38="", $Z38=""),"",ROUND(($N38*Lists!$AN$16)-($O38*Lists!$AN$17)-($T38*Lists!$AN$18)+($Z38*Lists!$AN$19),2))</f>
        <v/>
      </c>
      <c r="AB38" s="67"/>
      <c r="AC38" s="67"/>
      <c r="AD38" s="67"/>
      <c r="AE38" s="67"/>
      <c r="AF38" s="75"/>
      <c r="AG38" s="75"/>
      <c r="AH38" s="75"/>
      <c r="AI38" s="75"/>
      <c r="AJ38" s="75"/>
      <c r="AK38" s="75"/>
      <c r="AL38" s="75"/>
      <c r="AM38" s="75"/>
      <c r="AN38" s="75"/>
      <c r="AO38" s="75"/>
      <c r="AP38" s="75"/>
      <c r="AQ38" s="77"/>
    </row>
    <row r="39" spans="1:43" x14ac:dyDescent="0.2">
      <c r="A39" s="67"/>
      <c r="B39" s="78"/>
      <c r="C39" s="78"/>
      <c r="D39" s="78"/>
      <c r="E39" s="78"/>
      <c r="F39" s="78"/>
      <c r="G39" s="78"/>
      <c r="H39" s="78"/>
      <c r="I39" s="76"/>
      <c r="J39" s="76"/>
      <c r="K39" s="76"/>
      <c r="L39" s="76"/>
      <c r="M39" s="76"/>
      <c r="N39" s="55" t="str">
        <f>IF(OR($B39="", $I39="", $J39="", $K39="", $L39="", $M39=""),"",ROUND(($I39*Lists!$AN$2)+($J39*Lists!$AN$3)+($K39*Lists!$AN$4)+($L39*Lists!$AN$5)+($M39*Lists!$AN$6),2))</f>
        <v/>
      </c>
      <c r="O39" s="55"/>
      <c r="P39" s="76"/>
      <c r="Q39" s="76"/>
      <c r="R39" s="76"/>
      <c r="S39" s="76"/>
      <c r="T39" s="55" t="str">
        <f>IF(OR($B39="", $P39="", $Q39="", $R39="", $S39=""),"",ROUND(($P39*Lists!$AN$7)+($Q39*Lists!$AN$8)+($R39*Lists!$AN$9)+($S39*Lists!$AN$10),2))</f>
        <v/>
      </c>
      <c r="U39" s="76"/>
      <c r="V39" s="76"/>
      <c r="W39" s="76"/>
      <c r="X39" s="76"/>
      <c r="Y39" s="76"/>
      <c r="Z39" s="55" t="str">
        <f>IF(OR($B39="", $U39="", $V39="", $W39="", $X39="", $Y39=""),"",ROUND(($U39*Lists!$AN$11)+($V39*Lists!$AN$12)+($W39*Lists!$AN$13)+($X39*Lists!$AN$14)+($Y39*Lists!$AN$15),2))</f>
        <v/>
      </c>
      <c r="AA39" s="55" t="str">
        <f>IF(OR($B39="", $N39="", $O39="", $T39="", $Z39=""),"",ROUND(($N39*Lists!$AN$16)-($O39*Lists!$AN$17)-($T39*Lists!$AN$18)+($Z39*Lists!$AN$19),2))</f>
        <v/>
      </c>
      <c r="AB39" s="67"/>
      <c r="AC39" s="67"/>
      <c r="AD39" s="67"/>
      <c r="AE39" s="67"/>
      <c r="AF39" s="78"/>
      <c r="AG39" s="78"/>
      <c r="AH39" s="78"/>
      <c r="AI39" s="78"/>
      <c r="AJ39" s="78"/>
      <c r="AK39" s="78"/>
      <c r="AL39" s="78"/>
      <c r="AM39" s="78"/>
      <c r="AN39" s="78"/>
      <c r="AO39" s="78"/>
      <c r="AP39" s="78"/>
      <c r="AQ39" s="79"/>
    </row>
    <row r="40" spans="1:43" x14ac:dyDescent="0.2">
      <c r="A40" s="67"/>
      <c r="B40" s="75"/>
      <c r="C40" s="75"/>
      <c r="D40" s="75"/>
      <c r="E40" s="75"/>
      <c r="F40" s="75"/>
      <c r="G40" s="75"/>
      <c r="H40" s="75"/>
      <c r="I40" s="76"/>
      <c r="J40" s="76"/>
      <c r="K40" s="76"/>
      <c r="L40" s="76"/>
      <c r="M40" s="76"/>
      <c r="N40" s="55" t="str">
        <f>IF(OR($B40="", $I40="", $J40="", $K40="", $L40="", $M40=""),"",ROUND(($I40*Lists!$AN$2)+($J40*Lists!$AN$3)+($K40*Lists!$AN$4)+($L40*Lists!$AN$5)+($M40*Lists!$AN$6),2))</f>
        <v/>
      </c>
      <c r="O40" s="55"/>
      <c r="P40" s="76"/>
      <c r="Q40" s="76"/>
      <c r="R40" s="76"/>
      <c r="S40" s="76"/>
      <c r="T40" s="55" t="str">
        <f>IF(OR($B40="", $P40="", $Q40="", $R40="", $S40=""),"",ROUND(($P40*Lists!$AN$7)+($Q40*Lists!$AN$8)+($R40*Lists!$AN$9)+($S40*Lists!$AN$10),2))</f>
        <v/>
      </c>
      <c r="U40" s="76"/>
      <c r="V40" s="76"/>
      <c r="W40" s="76"/>
      <c r="X40" s="76"/>
      <c r="Y40" s="76"/>
      <c r="Z40" s="55" t="str">
        <f>IF(OR($B40="", $U40="", $V40="", $W40="", $X40="", $Y40=""),"",ROUND(($U40*Lists!$AN$11)+($V40*Lists!$AN$12)+($W40*Lists!$AN$13)+($X40*Lists!$AN$14)+($Y40*Lists!$AN$15),2))</f>
        <v/>
      </c>
      <c r="AA40" s="55" t="str">
        <f>IF(OR($B40="", $N40="", $O40="", $T40="", $Z40=""),"",ROUND(($N40*Lists!$AN$16)-($O40*Lists!$AN$17)-($T40*Lists!$AN$18)+($Z40*Lists!$AN$19),2))</f>
        <v/>
      </c>
      <c r="AB40" s="67"/>
      <c r="AC40" s="67"/>
      <c r="AD40" s="67"/>
      <c r="AE40" s="67"/>
      <c r="AF40" s="75"/>
      <c r="AG40" s="75"/>
      <c r="AH40" s="75"/>
      <c r="AI40" s="75"/>
      <c r="AJ40" s="75"/>
      <c r="AK40" s="75"/>
      <c r="AL40" s="75"/>
      <c r="AM40" s="75"/>
      <c r="AN40" s="75"/>
      <c r="AO40" s="75"/>
      <c r="AP40" s="75"/>
      <c r="AQ40" s="77"/>
    </row>
    <row r="41" spans="1:43" x14ac:dyDescent="0.2">
      <c r="A41" s="67"/>
      <c r="B41" s="78"/>
      <c r="C41" s="78"/>
      <c r="D41" s="78"/>
      <c r="E41" s="78"/>
      <c r="F41" s="78"/>
      <c r="G41" s="78"/>
      <c r="H41" s="78"/>
      <c r="I41" s="76"/>
      <c r="J41" s="76"/>
      <c r="K41" s="76"/>
      <c r="L41" s="76"/>
      <c r="M41" s="76"/>
      <c r="N41" s="55" t="str">
        <f>IF(OR($B41="", $I41="", $J41="", $K41="", $L41="", $M41=""),"",ROUND(($I41*Lists!$AN$2)+($J41*Lists!$AN$3)+($K41*Lists!$AN$4)+($L41*Lists!$AN$5)+($M41*Lists!$AN$6),2))</f>
        <v/>
      </c>
      <c r="O41" s="55"/>
      <c r="P41" s="76"/>
      <c r="Q41" s="76"/>
      <c r="R41" s="76"/>
      <c r="S41" s="76"/>
      <c r="T41" s="55" t="str">
        <f>IF(OR($B41="", $P41="", $Q41="", $R41="", $S41=""),"",ROUND(($P41*Lists!$AN$7)+($Q41*Lists!$AN$8)+($R41*Lists!$AN$9)+($S41*Lists!$AN$10),2))</f>
        <v/>
      </c>
      <c r="U41" s="76"/>
      <c r="V41" s="76"/>
      <c r="W41" s="76"/>
      <c r="X41" s="76"/>
      <c r="Y41" s="76"/>
      <c r="Z41" s="55" t="str">
        <f>IF(OR($B41="", $U41="", $V41="", $W41="", $X41="", $Y41=""),"",ROUND(($U41*Lists!$AN$11)+($V41*Lists!$AN$12)+($W41*Lists!$AN$13)+($X41*Lists!$AN$14)+($Y41*Lists!$AN$15),2))</f>
        <v/>
      </c>
      <c r="AA41" s="55" t="str">
        <f>IF(OR($B41="", $N41="", $O41="", $T41="", $Z41=""),"",ROUND(($N41*Lists!$AN$16)-($O41*Lists!$AN$17)-($T41*Lists!$AN$18)+($Z41*Lists!$AN$19),2))</f>
        <v/>
      </c>
      <c r="AB41" s="67"/>
      <c r="AC41" s="67"/>
      <c r="AD41" s="67"/>
      <c r="AE41" s="67"/>
      <c r="AF41" s="78"/>
      <c r="AG41" s="78"/>
      <c r="AH41" s="78"/>
      <c r="AI41" s="78"/>
      <c r="AJ41" s="78"/>
      <c r="AK41" s="78"/>
      <c r="AL41" s="78"/>
      <c r="AM41" s="78"/>
      <c r="AN41" s="78"/>
      <c r="AO41" s="78"/>
      <c r="AP41" s="78"/>
      <c r="AQ41" s="79"/>
    </row>
    <row r="42" spans="1:43" x14ac:dyDescent="0.2">
      <c r="A42" s="67"/>
      <c r="B42" s="75"/>
      <c r="C42" s="75"/>
      <c r="D42" s="75"/>
      <c r="E42" s="75"/>
      <c r="F42" s="75"/>
      <c r="G42" s="75"/>
      <c r="H42" s="75"/>
      <c r="I42" s="76"/>
      <c r="J42" s="76"/>
      <c r="K42" s="76"/>
      <c r="L42" s="76"/>
      <c r="M42" s="76"/>
      <c r="N42" s="55" t="str">
        <f>IF(OR($B42="", $I42="", $J42="", $K42="", $L42="", $M42=""),"",ROUND(($I42*Lists!$AN$2)+($J42*Lists!$AN$3)+($K42*Lists!$AN$4)+($L42*Lists!$AN$5)+($M42*Lists!$AN$6),2))</f>
        <v/>
      </c>
      <c r="O42" s="55"/>
      <c r="P42" s="76"/>
      <c r="Q42" s="76"/>
      <c r="R42" s="76"/>
      <c r="S42" s="76"/>
      <c r="T42" s="55" t="str">
        <f>IF(OR($B42="", $P42="", $Q42="", $R42="", $S42=""),"",ROUND(($P42*Lists!$AN$7)+($Q42*Lists!$AN$8)+($R42*Lists!$AN$9)+($S42*Lists!$AN$10),2))</f>
        <v/>
      </c>
      <c r="U42" s="76"/>
      <c r="V42" s="76"/>
      <c r="W42" s="76"/>
      <c r="X42" s="76"/>
      <c r="Y42" s="76"/>
      <c r="Z42" s="55" t="str">
        <f>IF(OR($B42="", $U42="", $V42="", $W42="", $X42="", $Y42=""),"",ROUND(($U42*Lists!$AN$11)+($V42*Lists!$AN$12)+($W42*Lists!$AN$13)+($X42*Lists!$AN$14)+($Y42*Lists!$AN$15),2))</f>
        <v/>
      </c>
      <c r="AA42" s="55" t="str">
        <f>IF(OR($B42="", $N42="", $O42="", $T42="", $Z42=""),"",ROUND(($N42*Lists!$AN$16)-($O42*Lists!$AN$17)-($T42*Lists!$AN$18)+($Z42*Lists!$AN$19),2))</f>
        <v/>
      </c>
      <c r="AB42" s="67"/>
      <c r="AC42" s="67"/>
      <c r="AD42" s="67"/>
      <c r="AE42" s="67"/>
      <c r="AF42" s="75"/>
      <c r="AG42" s="75"/>
      <c r="AH42" s="75"/>
      <c r="AI42" s="75"/>
      <c r="AJ42" s="75"/>
      <c r="AK42" s="75"/>
      <c r="AL42" s="75"/>
      <c r="AM42" s="75"/>
      <c r="AN42" s="75"/>
      <c r="AO42" s="75"/>
      <c r="AP42" s="75"/>
      <c r="AQ42" s="77"/>
    </row>
    <row r="43" spans="1:43" x14ac:dyDescent="0.2">
      <c r="A43" s="67"/>
      <c r="B43" s="78"/>
      <c r="C43" s="78"/>
      <c r="D43" s="78"/>
      <c r="E43" s="78"/>
      <c r="F43" s="78"/>
      <c r="G43" s="78"/>
      <c r="H43" s="78"/>
      <c r="I43" s="76"/>
      <c r="J43" s="76"/>
      <c r="K43" s="76"/>
      <c r="L43" s="76"/>
      <c r="M43" s="76"/>
      <c r="N43" s="55" t="str">
        <f>IF(OR($B43="", $I43="", $J43="", $K43="", $L43="", $M43=""),"",ROUND(($I43*Lists!$AN$2)+($J43*Lists!$AN$3)+($K43*Lists!$AN$4)+($L43*Lists!$AN$5)+($M43*Lists!$AN$6),2))</f>
        <v/>
      </c>
      <c r="O43" s="55"/>
      <c r="P43" s="76"/>
      <c r="Q43" s="76"/>
      <c r="R43" s="76"/>
      <c r="S43" s="76"/>
      <c r="T43" s="55" t="str">
        <f>IF(OR($B43="", $P43="", $Q43="", $R43="", $S43=""),"",ROUND(($P43*Lists!$AN$7)+($Q43*Lists!$AN$8)+($R43*Lists!$AN$9)+($S43*Lists!$AN$10),2))</f>
        <v/>
      </c>
      <c r="U43" s="76"/>
      <c r="V43" s="76"/>
      <c r="W43" s="76"/>
      <c r="X43" s="76"/>
      <c r="Y43" s="76"/>
      <c r="Z43" s="55" t="str">
        <f>IF(OR($B43="", $U43="", $V43="", $W43="", $X43="", $Y43=""),"",ROUND(($U43*Lists!$AN$11)+($V43*Lists!$AN$12)+($W43*Lists!$AN$13)+($X43*Lists!$AN$14)+($Y43*Lists!$AN$15),2))</f>
        <v/>
      </c>
      <c r="AA43" s="55" t="str">
        <f>IF(OR($B43="", $N43="", $O43="", $T43="", $Z43=""),"",ROUND(($N43*Lists!$AN$16)-($O43*Lists!$AN$17)-($T43*Lists!$AN$18)+($Z43*Lists!$AN$19),2))</f>
        <v/>
      </c>
      <c r="AB43" s="67"/>
      <c r="AC43" s="67"/>
      <c r="AD43" s="67"/>
      <c r="AE43" s="67"/>
      <c r="AF43" s="78"/>
      <c r="AG43" s="78"/>
      <c r="AH43" s="78"/>
      <c r="AI43" s="78"/>
      <c r="AJ43" s="78"/>
      <c r="AK43" s="78"/>
      <c r="AL43" s="78"/>
      <c r="AM43" s="78"/>
      <c r="AN43" s="78"/>
      <c r="AO43" s="78"/>
      <c r="AP43" s="78"/>
      <c r="AQ43" s="79"/>
    </row>
    <row r="44" spans="1:43" x14ac:dyDescent="0.2">
      <c r="A44" s="67"/>
      <c r="B44" s="75"/>
      <c r="C44" s="75"/>
      <c r="D44" s="75"/>
      <c r="E44" s="75"/>
      <c r="F44" s="75"/>
      <c r="G44" s="75"/>
      <c r="H44" s="75"/>
      <c r="I44" s="76"/>
      <c r="J44" s="76"/>
      <c r="K44" s="76"/>
      <c r="L44" s="76"/>
      <c r="M44" s="76"/>
      <c r="N44" s="55" t="str">
        <f>IF(OR($B44="", $I44="", $J44="", $K44="", $L44="", $M44=""),"",ROUND(($I44*Lists!$AN$2)+($J44*Lists!$AN$3)+($K44*Lists!$AN$4)+($L44*Lists!$AN$5)+($M44*Lists!$AN$6),2))</f>
        <v/>
      </c>
      <c r="O44" s="55"/>
      <c r="P44" s="76"/>
      <c r="Q44" s="76"/>
      <c r="R44" s="76"/>
      <c r="S44" s="76"/>
      <c r="T44" s="55" t="str">
        <f>IF(OR($B44="", $P44="", $Q44="", $R44="", $S44=""),"",ROUND(($P44*Lists!$AN$7)+($Q44*Lists!$AN$8)+($R44*Lists!$AN$9)+($S44*Lists!$AN$10),2))</f>
        <v/>
      </c>
      <c r="U44" s="76"/>
      <c r="V44" s="76"/>
      <c r="W44" s="76"/>
      <c r="X44" s="76"/>
      <c r="Y44" s="76"/>
      <c r="Z44" s="55" t="str">
        <f>IF(OR($B44="", $U44="", $V44="", $W44="", $X44="", $Y44=""),"",ROUND(($U44*Lists!$AN$11)+($V44*Lists!$AN$12)+($W44*Lists!$AN$13)+($X44*Lists!$AN$14)+($Y44*Lists!$AN$15),2))</f>
        <v/>
      </c>
      <c r="AA44" s="55" t="str">
        <f>IF(OR($B44="", $N44="", $O44="", $T44="", $Z44=""),"",ROUND(($N44*Lists!$AN$16)-($O44*Lists!$AN$17)-($T44*Lists!$AN$18)+($Z44*Lists!$AN$19),2))</f>
        <v/>
      </c>
      <c r="AB44" s="67"/>
      <c r="AC44" s="67"/>
      <c r="AD44" s="67"/>
      <c r="AE44" s="67"/>
      <c r="AF44" s="75"/>
      <c r="AG44" s="75"/>
      <c r="AH44" s="75"/>
      <c r="AI44" s="75"/>
      <c r="AJ44" s="75"/>
      <c r="AK44" s="75"/>
      <c r="AL44" s="75"/>
      <c r="AM44" s="75"/>
      <c r="AN44" s="75"/>
      <c r="AO44" s="75"/>
      <c r="AP44" s="75"/>
      <c r="AQ44" s="77"/>
    </row>
    <row r="45" spans="1:43" x14ac:dyDescent="0.2">
      <c r="A45" s="67"/>
      <c r="B45" s="78"/>
      <c r="C45" s="78"/>
      <c r="D45" s="78"/>
      <c r="E45" s="78"/>
      <c r="F45" s="78"/>
      <c r="G45" s="78"/>
      <c r="H45" s="78"/>
      <c r="I45" s="76"/>
      <c r="J45" s="76"/>
      <c r="K45" s="76"/>
      <c r="L45" s="76"/>
      <c r="M45" s="76"/>
      <c r="N45" s="55" t="str">
        <f>IF(OR($B45="", $I45="", $J45="", $K45="", $L45="", $M45=""),"",ROUND(($I45*Lists!$AN$2)+($J45*Lists!$AN$3)+($K45*Lists!$AN$4)+($L45*Lists!$AN$5)+($M45*Lists!$AN$6),2))</f>
        <v/>
      </c>
      <c r="O45" s="55"/>
      <c r="P45" s="76"/>
      <c r="Q45" s="76"/>
      <c r="R45" s="76"/>
      <c r="S45" s="76"/>
      <c r="T45" s="55" t="str">
        <f>IF(OR($B45="", $P45="", $Q45="", $R45="", $S45=""),"",ROUND(($P45*Lists!$AN$7)+($Q45*Lists!$AN$8)+($R45*Lists!$AN$9)+($S45*Lists!$AN$10),2))</f>
        <v/>
      </c>
      <c r="U45" s="76"/>
      <c r="V45" s="76"/>
      <c r="W45" s="76"/>
      <c r="X45" s="76"/>
      <c r="Y45" s="76"/>
      <c r="Z45" s="55" t="str">
        <f>IF(OR($B45="", $U45="", $V45="", $W45="", $X45="", $Y45=""),"",ROUND(($U45*Lists!$AN$11)+($V45*Lists!$AN$12)+($W45*Lists!$AN$13)+($X45*Lists!$AN$14)+($Y45*Lists!$AN$15),2))</f>
        <v/>
      </c>
      <c r="AA45" s="55" t="str">
        <f>IF(OR($B45="", $N45="", $O45="", $T45="", $Z45=""),"",ROUND(($N45*Lists!$AN$16)-($O45*Lists!$AN$17)-($T45*Lists!$AN$18)+($Z45*Lists!$AN$19),2))</f>
        <v/>
      </c>
      <c r="AB45" s="67"/>
      <c r="AC45" s="67"/>
      <c r="AD45" s="67"/>
      <c r="AE45" s="67"/>
      <c r="AF45" s="78"/>
      <c r="AG45" s="78"/>
      <c r="AH45" s="78"/>
      <c r="AI45" s="78"/>
      <c r="AJ45" s="78"/>
      <c r="AK45" s="78"/>
      <c r="AL45" s="78"/>
      <c r="AM45" s="78"/>
      <c r="AN45" s="78"/>
      <c r="AO45" s="78"/>
      <c r="AP45" s="78"/>
      <c r="AQ45" s="79"/>
    </row>
    <row r="46" spans="1:43" x14ac:dyDescent="0.2">
      <c r="A46" s="67"/>
      <c r="B46" s="75"/>
      <c r="C46" s="75"/>
      <c r="D46" s="75"/>
      <c r="E46" s="75"/>
      <c r="F46" s="75"/>
      <c r="G46" s="75"/>
      <c r="H46" s="75"/>
      <c r="I46" s="76"/>
      <c r="J46" s="76"/>
      <c r="K46" s="76"/>
      <c r="L46" s="76"/>
      <c r="M46" s="76"/>
      <c r="N46" s="55" t="str">
        <f>IF(OR($B46="", $I46="", $J46="", $K46="", $L46="", $M46=""),"",ROUND(($I46*Lists!$AN$2)+($J46*Lists!$AN$3)+($K46*Lists!$AN$4)+($L46*Lists!$AN$5)+($M46*Lists!$AN$6),2))</f>
        <v/>
      </c>
      <c r="O46" s="55"/>
      <c r="P46" s="76"/>
      <c r="Q46" s="76"/>
      <c r="R46" s="76"/>
      <c r="S46" s="76"/>
      <c r="T46" s="55" t="str">
        <f>IF(OR($B46="", $P46="", $Q46="", $R46="", $S46=""),"",ROUND(($P46*Lists!$AN$7)+($Q46*Lists!$AN$8)+($R46*Lists!$AN$9)+($S46*Lists!$AN$10),2))</f>
        <v/>
      </c>
      <c r="U46" s="76"/>
      <c r="V46" s="76"/>
      <c r="W46" s="76"/>
      <c r="X46" s="76"/>
      <c r="Y46" s="76"/>
      <c r="Z46" s="55" t="str">
        <f>IF(OR($B46="", $U46="", $V46="", $W46="", $X46="", $Y46=""),"",ROUND(($U46*Lists!$AN$11)+($V46*Lists!$AN$12)+($W46*Lists!$AN$13)+($X46*Lists!$AN$14)+($Y46*Lists!$AN$15),2))</f>
        <v/>
      </c>
      <c r="AA46" s="55" t="str">
        <f>IF(OR($B46="", $N46="", $O46="", $T46="", $Z46=""),"",ROUND(($N46*Lists!$AN$16)-($O46*Lists!$AN$17)-($T46*Lists!$AN$18)+($Z46*Lists!$AN$19),2))</f>
        <v/>
      </c>
      <c r="AB46" s="67"/>
      <c r="AC46" s="67"/>
      <c r="AD46" s="67"/>
      <c r="AE46" s="67"/>
      <c r="AF46" s="75"/>
      <c r="AG46" s="75"/>
      <c r="AH46" s="75"/>
      <c r="AI46" s="75"/>
      <c r="AJ46" s="75"/>
      <c r="AK46" s="75"/>
      <c r="AL46" s="75"/>
      <c r="AM46" s="75"/>
      <c r="AN46" s="75"/>
      <c r="AO46" s="75"/>
      <c r="AP46" s="75"/>
      <c r="AQ46" s="77"/>
    </row>
    <row r="47" spans="1:43" x14ac:dyDescent="0.2">
      <c r="A47" s="67"/>
      <c r="B47" s="78"/>
      <c r="C47" s="78"/>
      <c r="D47" s="78"/>
      <c r="E47" s="78"/>
      <c r="F47" s="78"/>
      <c r="G47" s="78"/>
      <c r="H47" s="78"/>
      <c r="I47" s="76"/>
      <c r="J47" s="76"/>
      <c r="K47" s="76"/>
      <c r="L47" s="76"/>
      <c r="M47" s="76"/>
      <c r="N47" s="55" t="str">
        <f>IF(OR($B47="", $I47="", $J47="", $K47="", $L47="", $M47=""),"",ROUND(($I47*Lists!$AN$2)+($J47*Lists!$AN$3)+($K47*Lists!$AN$4)+($L47*Lists!$AN$5)+($M47*Lists!$AN$6),2))</f>
        <v/>
      </c>
      <c r="O47" s="55"/>
      <c r="P47" s="76"/>
      <c r="Q47" s="76"/>
      <c r="R47" s="76"/>
      <c r="S47" s="76"/>
      <c r="T47" s="55" t="str">
        <f>IF(OR($B47="", $P47="", $Q47="", $R47="", $S47=""),"",ROUND(($P47*Lists!$AN$7)+($Q47*Lists!$AN$8)+($R47*Lists!$AN$9)+($S47*Lists!$AN$10),2))</f>
        <v/>
      </c>
      <c r="U47" s="76"/>
      <c r="V47" s="76"/>
      <c r="W47" s="76"/>
      <c r="X47" s="76"/>
      <c r="Y47" s="76"/>
      <c r="Z47" s="55" t="str">
        <f>IF(OR($B47="", $U47="", $V47="", $W47="", $X47="", $Y47=""),"",ROUND(($U47*Lists!$AN$11)+($V47*Lists!$AN$12)+($W47*Lists!$AN$13)+($X47*Lists!$AN$14)+($Y47*Lists!$AN$15),2))</f>
        <v/>
      </c>
      <c r="AA47" s="55" t="str">
        <f>IF(OR($B47="", $N47="", $O47="", $T47="", $Z47=""),"",ROUND(($N47*Lists!$AN$16)-($O47*Lists!$AN$17)-($T47*Lists!$AN$18)+($Z47*Lists!$AN$19),2))</f>
        <v/>
      </c>
      <c r="AB47" s="67"/>
      <c r="AC47" s="67"/>
      <c r="AD47" s="67"/>
      <c r="AE47" s="67"/>
      <c r="AF47" s="78"/>
      <c r="AG47" s="78"/>
      <c r="AH47" s="78"/>
      <c r="AI47" s="78"/>
      <c r="AJ47" s="78"/>
      <c r="AK47" s="78"/>
      <c r="AL47" s="78"/>
      <c r="AM47" s="78"/>
      <c r="AN47" s="78"/>
      <c r="AO47" s="78"/>
      <c r="AP47" s="78"/>
      <c r="AQ47" s="79"/>
    </row>
    <row r="48" spans="1:43" x14ac:dyDescent="0.2">
      <c r="A48" s="67"/>
      <c r="B48" s="75"/>
      <c r="C48" s="75"/>
      <c r="D48" s="75"/>
      <c r="E48" s="75"/>
      <c r="F48" s="75"/>
      <c r="G48" s="75"/>
      <c r="H48" s="75"/>
      <c r="I48" s="76"/>
      <c r="J48" s="76"/>
      <c r="K48" s="76"/>
      <c r="L48" s="76"/>
      <c r="M48" s="76"/>
      <c r="N48" s="55" t="str">
        <f>IF(OR($B48="", $I48="", $J48="", $K48="", $L48="", $M48=""),"",ROUND(($I48*Lists!$AN$2)+($J48*Lists!$AN$3)+($K48*Lists!$AN$4)+($L48*Lists!$AN$5)+($M48*Lists!$AN$6),2))</f>
        <v/>
      </c>
      <c r="O48" s="55"/>
      <c r="P48" s="76"/>
      <c r="Q48" s="76"/>
      <c r="R48" s="76"/>
      <c r="S48" s="76"/>
      <c r="T48" s="55" t="str">
        <f>IF(OR($B48="", $P48="", $Q48="", $R48="", $S48=""),"",ROUND(($P48*Lists!$AN$7)+($Q48*Lists!$AN$8)+($R48*Lists!$AN$9)+($S48*Lists!$AN$10),2))</f>
        <v/>
      </c>
      <c r="U48" s="76"/>
      <c r="V48" s="76"/>
      <c r="W48" s="76"/>
      <c r="X48" s="76"/>
      <c r="Y48" s="76"/>
      <c r="Z48" s="55" t="str">
        <f>IF(OR($B48="", $U48="", $V48="", $W48="", $X48="", $Y48=""),"",ROUND(($U48*Lists!$AN$11)+($V48*Lists!$AN$12)+($W48*Lists!$AN$13)+($X48*Lists!$AN$14)+($Y48*Lists!$AN$15),2))</f>
        <v/>
      </c>
      <c r="AA48" s="55" t="str">
        <f>IF(OR($B48="", $N48="", $O48="", $T48="", $Z48=""),"",ROUND(($N48*Lists!$AN$16)-($O48*Lists!$AN$17)-($T48*Lists!$AN$18)+($Z48*Lists!$AN$19),2))</f>
        <v/>
      </c>
      <c r="AB48" s="67"/>
      <c r="AC48" s="67"/>
      <c r="AD48" s="67"/>
      <c r="AE48" s="67"/>
      <c r="AF48" s="75"/>
      <c r="AG48" s="75"/>
      <c r="AH48" s="75"/>
      <c r="AI48" s="75"/>
      <c r="AJ48" s="75"/>
      <c r="AK48" s="75"/>
      <c r="AL48" s="75"/>
      <c r="AM48" s="75"/>
      <c r="AN48" s="75"/>
      <c r="AO48" s="75"/>
      <c r="AP48" s="75"/>
      <c r="AQ48" s="77"/>
    </row>
    <row r="49" spans="1:43" x14ac:dyDescent="0.2">
      <c r="A49" s="67"/>
      <c r="B49" s="78"/>
      <c r="C49" s="78"/>
      <c r="D49" s="78"/>
      <c r="E49" s="78"/>
      <c r="F49" s="78"/>
      <c r="G49" s="78"/>
      <c r="H49" s="78"/>
      <c r="I49" s="76"/>
      <c r="J49" s="76"/>
      <c r="K49" s="76"/>
      <c r="L49" s="76"/>
      <c r="M49" s="76"/>
      <c r="N49" s="55" t="str">
        <f>IF(OR($B49="", $I49="", $J49="", $K49="", $L49="", $M49=""),"",ROUND(($I49*Lists!$AN$2)+($J49*Lists!$AN$3)+($K49*Lists!$AN$4)+($L49*Lists!$AN$5)+($M49*Lists!$AN$6),2))</f>
        <v/>
      </c>
      <c r="O49" s="55"/>
      <c r="P49" s="76"/>
      <c r="Q49" s="76"/>
      <c r="R49" s="76"/>
      <c r="S49" s="76"/>
      <c r="T49" s="55" t="str">
        <f>IF(OR($B49="", $P49="", $Q49="", $R49="", $S49=""),"",ROUND(($P49*Lists!$AN$7)+($Q49*Lists!$AN$8)+($R49*Lists!$AN$9)+($S49*Lists!$AN$10),2))</f>
        <v/>
      </c>
      <c r="U49" s="76"/>
      <c r="V49" s="76"/>
      <c r="W49" s="76"/>
      <c r="X49" s="76"/>
      <c r="Y49" s="76"/>
      <c r="Z49" s="55" t="str">
        <f>IF(OR($B49="", $U49="", $V49="", $W49="", $X49="", $Y49=""),"",ROUND(($U49*Lists!$AN$11)+($V49*Lists!$AN$12)+($W49*Lists!$AN$13)+($X49*Lists!$AN$14)+($Y49*Lists!$AN$15),2))</f>
        <v/>
      </c>
      <c r="AA49" s="55" t="str">
        <f>IF(OR($B49="", $N49="", $O49="", $T49="", $Z49=""),"",ROUND(($N49*Lists!$AN$16)-($O49*Lists!$AN$17)-($T49*Lists!$AN$18)+($Z49*Lists!$AN$19),2))</f>
        <v/>
      </c>
      <c r="AB49" s="67"/>
      <c r="AC49" s="67"/>
      <c r="AD49" s="67"/>
      <c r="AE49" s="67"/>
      <c r="AF49" s="78"/>
      <c r="AG49" s="78"/>
      <c r="AH49" s="78"/>
      <c r="AI49" s="78"/>
      <c r="AJ49" s="78"/>
      <c r="AK49" s="78"/>
      <c r="AL49" s="78"/>
      <c r="AM49" s="78"/>
      <c r="AN49" s="78"/>
      <c r="AO49" s="78"/>
      <c r="AP49" s="78"/>
      <c r="AQ49" s="79"/>
    </row>
    <row r="50" spans="1:43" x14ac:dyDescent="0.2">
      <c r="A50" s="67"/>
      <c r="B50" s="75"/>
      <c r="C50" s="75"/>
      <c r="D50" s="75"/>
      <c r="E50" s="75"/>
      <c r="F50" s="75"/>
      <c r="G50" s="75"/>
      <c r="H50" s="75"/>
      <c r="I50" s="76"/>
      <c r="J50" s="76"/>
      <c r="K50" s="76"/>
      <c r="L50" s="76"/>
      <c r="M50" s="76"/>
      <c r="N50" s="55" t="str">
        <f>IF(OR($B50="", $I50="", $J50="", $K50="", $L50="", $M50=""),"",ROUND(($I50*Lists!$AN$2)+($J50*Lists!$AN$3)+($K50*Lists!$AN$4)+($L50*Lists!$AN$5)+($M50*Lists!$AN$6),2))</f>
        <v/>
      </c>
      <c r="O50" s="55"/>
      <c r="P50" s="76"/>
      <c r="Q50" s="76"/>
      <c r="R50" s="76"/>
      <c r="S50" s="76"/>
      <c r="T50" s="55" t="str">
        <f>IF(OR($B50="", $P50="", $Q50="", $R50="", $S50=""),"",ROUND(($P50*Lists!$AN$7)+($Q50*Lists!$AN$8)+($R50*Lists!$AN$9)+($S50*Lists!$AN$10),2))</f>
        <v/>
      </c>
      <c r="U50" s="76"/>
      <c r="V50" s="76"/>
      <c r="W50" s="76"/>
      <c r="X50" s="76"/>
      <c r="Y50" s="76"/>
      <c r="Z50" s="55" t="str">
        <f>IF(OR($B50="", $U50="", $V50="", $W50="", $X50="", $Y50=""),"",ROUND(($U50*Lists!$AN$11)+($V50*Lists!$AN$12)+($W50*Lists!$AN$13)+($X50*Lists!$AN$14)+($Y50*Lists!$AN$15),2))</f>
        <v/>
      </c>
      <c r="AA50" s="55" t="str">
        <f>IF(OR($B50="", $N50="", $O50="", $T50="", $Z50=""),"",ROUND(($N50*Lists!$AN$16)-($O50*Lists!$AN$17)-($T50*Lists!$AN$18)+($Z50*Lists!$AN$19),2))</f>
        <v/>
      </c>
      <c r="AB50" s="67"/>
      <c r="AC50" s="67"/>
      <c r="AD50" s="67"/>
      <c r="AE50" s="67"/>
      <c r="AF50" s="75"/>
      <c r="AG50" s="75"/>
      <c r="AH50" s="75"/>
      <c r="AI50" s="75"/>
      <c r="AJ50" s="75"/>
      <c r="AK50" s="75"/>
      <c r="AL50" s="75"/>
      <c r="AM50" s="75"/>
      <c r="AN50" s="75"/>
      <c r="AO50" s="75"/>
      <c r="AP50" s="75"/>
      <c r="AQ50" s="77"/>
    </row>
    <row r="51" spans="1:43" x14ac:dyDescent="0.2">
      <c r="A51" s="67"/>
      <c r="B51" s="78"/>
      <c r="C51" s="78"/>
      <c r="D51" s="78"/>
      <c r="E51" s="78"/>
      <c r="F51" s="78"/>
      <c r="G51" s="78"/>
      <c r="H51" s="78"/>
      <c r="I51" s="76"/>
      <c r="J51" s="76"/>
      <c r="K51" s="76"/>
      <c r="L51" s="76"/>
      <c r="M51" s="76"/>
      <c r="N51" s="55" t="str">
        <f>IF(OR($B51="", $I51="", $J51="", $K51="", $L51="", $M51=""),"",ROUND(($I51*Lists!$AN$2)+($J51*Lists!$AN$3)+($K51*Lists!$AN$4)+($L51*Lists!$AN$5)+($M51*Lists!$AN$6),2))</f>
        <v/>
      </c>
      <c r="O51" s="55"/>
      <c r="P51" s="76"/>
      <c r="Q51" s="76"/>
      <c r="R51" s="76"/>
      <c r="S51" s="76"/>
      <c r="T51" s="55" t="str">
        <f>IF(OR($B51="", $P51="", $Q51="", $R51="", $S51=""),"",ROUND(($P51*Lists!$AN$7)+($Q51*Lists!$AN$8)+($R51*Lists!$AN$9)+($S51*Lists!$AN$10),2))</f>
        <v/>
      </c>
      <c r="U51" s="76"/>
      <c r="V51" s="76"/>
      <c r="W51" s="76"/>
      <c r="X51" s="76"/>
      <c r="Y51" s="76"/>
      <c r="Z51" s="55" t="str">
        <f>IF(OR($B51="", $U51="", $V51="", $W51="", $X51="", $Y51=""),"",ROUND(($U51*Lists!$AN$11)+($V51*Lists!$AN$12)+($W51*Lists!$AN$13)+($X51*Lists!$AN$14)+($Y51*Lists!$AN$15),2))</f>
        <v/>
      </c>
      <c r="AA51" s="55" t="str">
        <f>IF(OR($B51="", $N51="", $O51="", $T51="", $Z51=""),"",ROUND(($N51*Lists!$AN$16)-($O51*Lists!$AN$17)-($T51*Lists!$AN$18)+($Z51*Lists!$AN$19),2))</f>
        <v/>
      </c>
      <c r="AB51" s="67"/>
      <c r="AC51" s="67"/>
      <c r="AD51" s="67"/>
      <c r="AE51" s="67"/>
      <c r="AF51" s="78"/>
      <c r="AG51" s="78"/>
      <c r="AH51" s="78"/>
      <c r="AI51" s="78"/>
      <c r="AJ51" s="78"/>
      <c r="AK51" s="78"/>
      <c r="AL51" s="78"/>
      <c r="AM51" s="78"/>
      <c r="AN51" s="78"/>
      <c r="AO51" s="78"/>
      <c r="AP51" s="78"/>
      <c r="AQ51" s="79"/>
    </row>
    <row r="52" spans="1:43" x14ac:dyDescent="0.2">
      <c r="A52" s="67"/>
      <c r="B52" s="75"/>
      <c r="C52" s="75"/>
      <c r="D52" s="75"/>
      <c r="E52" s="75"/>
      <c r="F52" s="75"/>
      <c r="G52" s="75"/>
      <c r="H52" s="75"/>
      <c r="I52" s="76"/>
      <c r="J52" s="76"/>
      <c r="K52" s="76"/>
      <c r="L52" s="76"/>
      <c r="M52" s="76"/>
      <c r="N52" s="55" t="str">
        <f>IF(OR($B52="", $I52="", $J52="", $K52="", $L52="", $M52=""),"",ROUND(($I52*Lists!$AN$2)+($J52*Lists!$AN$3)+($K52*Lists!$AN$4)+($L52*Lists!$AN$5)+($M52*Lists!$AN$6),2))</f>
        <v/>
      </c>
      <c r="O52" s="55"/>
      <c r="P52" s="76"/>
      <c r="Q52" s="76"/>
      <c r="R52" s="76"/>
      <c r="S52" s="76"/>
      <c r="T52" s="55" t="str">
        <f>IF(OR($B52="", $P52="", $Q52="", $R52="", $S52=""),"",ROUND(($P52*Lists!$AN$7)+($Q52*Lists!$AN$8)+($R52*Lists!$AN$9)+($S52*Lists!$AN$10),2))</f>
        <v/>
      </c>
      <c r="U52" s="76"/>
      <c r="V52" s="76"/>
      <c r="W52" s="76"/>
      <c r="X52" s="76"/>
      <c r="Y52" s="76"/>
      <c r="Z52" s="55" t="str">
        <f>IF(OR($B52="", $U52="", $V52="", $W52="", $X52="", $Y52=""),"",ROUND(($U52*Lists!$AN$11)+($V52*Lists!$AN$12)+($W52*Lists!$AN$13)+($X52*Lists!$AN$14)+($Y52*Lists!$AN$15),2))</f>
        <v/>
      </c>
      <c r="AA52" s="55" t="str">
        <f>IF(OR($B52="", $N52="", $O52="", $T52="", $Z52=""),"",ROUND(($N52*Lists!$AN$16)-($O52*Lists!$AN$17)-($T52*Lists!$AN$18)+($Z52*Lists!$AN$19),2))</f>
        <v/>
      </c>
      <c r="AB52" s="67"/>
      <c r="AC52" s="67"/>
      <c r="AD52" s="67"/>
      <c r="AE52" s="67"/>
      <c r="AF52" s="75"/>
      <c r="AG52" s="75"/>
      <c r="AH52" s="75"/>
      <c r="AI52" s="75"/>
      <c r="AJ52" s="75"/>
      <c r="AK52" s="75"/>
      <c r="AL52" s="75"/>
      <c r="AM52" s="75"/>
      <c r="AN52" s="75"/>
      <c r="AO52" s="75"/>
      <c r="AP52" s="75"/>
      <c r="AQ52" s="77"/>
    </row>
    <row r="53" spans="1:43" x14ac:dyDescent="0.2">
      <c r="A53" s="67"/>
      <c r="B53" s="78"/>
      <c r="C53" s="78"/>
      <c r="D53" s="78"/>
      <c r="E53" s="78"/>
      <c r="F53" s="78"/>
      <c r="G53" s="78"/>
      <c r="H53" s="78"/>
      <c r="I53" s="76"/>
      <c r="J53" s="76"/>
      <c r="K53" s="76"/>
      <c r="L53" s="76"/>
      <c r="M53" s="76"/>
      <c r="N53" s="55" t="str">
        <f>IF(OR($B53="", $I53="", $J53="", $K53="", $L53="", $M53=""),"",ROUND(($I53*Lists!$AN$2)+($J53*Lists!$AN$3)+($K53*Lists!$AN$4)+($L53*Lists!$AN$5)+($M53*Lists!$AN$6),2))</f>
        <v/>
      </c>
      <c r="O53" s="55"/>
      <c r="P53" s="76"/>
      <c r="Q53" s="76"/>
      <c r="R53" s="76"/>
      <c r="S53" s="76"/>
      <c r="T53" s="55" t="str">
        <f>IF(OR($B53="", $P53="", $Q53="", $R53="", $S53=""),"",ROUND(($P53*Lists!$AN$7)+($Q53*Lists!$AN$8)+($R53*Lists!$AN$9)+($S53*Lists!$AN$10),2))</f>
        <v/>
      </c>
      <c r="U53" s="76"/>
      <c r="V53" s="76"/>
      <c r="W53" s="76"/>
      <c r="X53" s="76"/>
      <c r="Y53" s="76"/>
      <c r="Z53" s="55" t="str">
        <f>IF(OR($B53="", $U53="", $V53="", $W53="", $X53="", $Y53=""),"",ROUND(($U53*Lists!$AN$11)+($V53*Lists!$AN$12)+($W53*Lists!$AN$13)+($X53*Lists!$AN$14)+($Y53*Lists!$AN$15),2))</f>
        <v/>
      </c>
      <c r="AA53" s="55" t="str">
        <f>IF(OR($B53="", $N53="", $O53="", $T53="", $Z53=""),"",ROUND(($N53*Lists!$AN$16)-($O53*Lists!$AN$17)-($T53*Lists!$AN$18)+($Z53*Lists!$AN$19),2))</f>
        <v/>
      </c>
      <c r="AB53" s="67"/>
      <c r="AC53" s="67"/>
      <c r="AD53" s="67"/>
      <c r="AE53" s="67"/>
      <c r="AF53" s="78"/>
      <c r="AG53" s="78"/>
      <c r="AH53" s="78"/>
      <c r="AI53" s="78"/>
      <c r="AJ53" s="78"/>
      <c r="AK53" s="78"/>
      <c r="AL53" s="78"/>
      <c r="AM53" s="78"/>
      <c r="AN53" s="78"/>
      <c r="AO53" s="78"/>
      <c r="AP53" s="78"/>
      <c r="AQ53" s="79"/>
    </row>
    <row r="54" spans="1:43" x14ac:dyDescent="0.2">
      <c r="A54" s="67"/>
      <c r="B54" s="75"/>
      <c r="C54" s="75"/>
      <c r="D54" s="75"/>
      <c r="E54" s="75"/>
      <c r="F54" s="75"/>
      <c r="G54" s="75"/>
      <c r="H54" s="75"/>
      <c r="I54" s="76"/>
      <c r="J54" s="76"/>
      <c r="K54" s="76"/>
      <c r="L54" s="76"/>
      <c r="M54" s="76"/>
      <c r="N54" s="55" t="str">
        <f>IF(OR($B54="", $I54="", $J54="", $K54="", $L54="", $M54=""),"",ROUND(($I54*Lists!$AN$2)+($J54*Lists!$AN$3)+($K54*Lists!$AN$4)+($L54*Lists!$AN$5)+($M54*Lists!$AN$6),2))</f>
        <v/>
      </c>
      <c r="O54" s="55"/>
      <c r="P54" s="76"/>
      <c r="Q54" s="76"/>
      <c r="R54" s="76"/>
      <c r="S54" s="76"/>
      <c r="T54" s="55" t="str">
        <f>IF(OR($B54="", $P54="", $Q54="", $R54="", $S54=""),"",ROUND(($P54*Lists!$AN$7)+($Q54*Lists!$AN$8)+($R54*Lists!$AN$9)+($S54*Lists!$AN$10),2))</f>
        <v/>
      </c>
      <c r="U54" s="76"/>
      <c r="V54" s="76"/>
      <c r="W54" s="76"/>
      <c r="X54" s="76"/>
      <c r="Y54" s="76"/>
      <c r="Z54" s="55" t="str">
        <f>IF(OR($B54="", $U54="", $V54="", $W54="", $X54="", $Y54=""),"",ROUND(($U54*Lists!$AN$11)+($V54*Lists!$AN$12)+($W54*Lists!$AN$13)+($X54*Lists!$AN$14)+($Y54*Lists!$AN$15),2))</f>
        <v/>
      </c>
      <c r="AA54" s="55" t="str">
        <f>IF(OR($B54="", $N54="", $O54="", $T54="", $Z54=""),"",ROUND(($N54*Lists!$AN$16)-($O54*Lists!$AN$17)-($T54*Lists!$AN$18)+($Z54*Lists!$AN$19),2))</f>
        <v/>
      </c>
      <c r="AB54" s="67"/>
      <c r="AC54" s="67"/>
      <c r="AD54" s="67"/>
      <c r="AE54" s="67"/>
      <c r="AF54" s="75"/>
      <c r="AG54" s="75"/>
      <c r="AH54" s="75"/>
      <c r="AI54" s="75"/>
      <c r="AJ54" s="75"/>
      <c r="AK54" s="75"/>
      <c r="AL54" s="75"/>
      <c r="AM54" s="75"/>
      <c r="AN54" s="75"/>
      <c r="AO54" s="75"/>
      <c r="AP54" s="75"/>
      <c r="AQ54" s="77"/>
    </row>
    <row r="55" spans="1:43" x14ac:dyDescent="0.2">
      <c r="A55" s="67"/>
      <c r="B55" s="78"/>
      <c r="C55" s="78"/>
      <c r="D55" s="78"/>
      <c r="E55" s="78"/>
      <c r="F55" s="78"/>
      <c r="G55" s="78"/>
      <c r="H55" s="78"/>
      <c r="I55" s="76"/>
      <c r="J55" s="76"/>
      <c r="K55" s="76"/>
      <c r="L55" s="76"/>
      <c r="M55" s="76"/>
      <c r="N55" s="55" t="str">
        <f>IF(OR($B55="", $I55="", $J55="", $K55="", $L55="", $M55=""),"",ROUND(($I55*Lists!$AN$2)+($J55*Lists!$AN$3)+($K55*Lists!$AN$4)+($L55*Lists!$AN$5)+($M55*Lists!$AN$6),2))</f>
        <v/>
      </c>
      <c r="O55" s="55"/>
      <c r="P55" s="76"/>
      <c r="Q55" s="76"/>
      <c r="R55" s="76"/>
      <c r="S55" s="76"/>
      <c r="T55" s="55" t="str">
        <f>IF(OR($B55="", $P55="", $Q55="", $R55="", $S55=""),"",ROUND(($P55*Lists!$AN$7)+($Q55*Lists!$AN$8)+($R55*Lists!$AN$9)+($S55*Lists!$AN$10),2))</f>
        <v/>
      </c>
      <c r="U55" s="76"/>
      <c r="V55" s="76"/>
      <c r="W55" s="76"/>
      <c r="X55" s="76"/>
      <c r="Y55" s="76"/>
      <c r="Z55" s="55" t="str">
        <f>IF(OR($B55="", $U55="", $V55="", $W55="", $X55="", $Y55=""),"",ROUND(($U55*Lists!$AN$11)+($V55*Lists!$AN$12)+($W55*Lists!$AN$13)+($X55*Lists!$AN$14)+($Y55*Lists!$AN$15),2))</f>
        <v/>
      </c>
      <c r="AA55" s="55" t="str">
        <f>IF(OR($B55="", $N55="", $O55="", $T55="", $Z55=""),"",ROUND(($N55*Lists!$AN$16)-($O55*Lists!$AN$17)-($T55*Lists!$AN$18)+($Z55*Lists!$AN$19),2))</f>
        <v/>
      </c>
      <c r="AB55" s="67"/>
      <c r="AC55" s="67"/>
      <c r="AD55" s="67"/>
      <c r="AE55" s="67"/>
      <c r="AF55" s="78"/>
      <c r="AG55" s="78"/>
      <c r="AH55" s="78"/>
      <c r="AI55" s="78"/>
      <c r="AJ55" s="78"/>
      <c r="AK55" s="78"/>
      <c r="AL55" s="78"/>
      <c r="AM55" s="78"/>
      <c r="AN55" s="78"/>
      <c r="AO55" s="78"/>
      <c r="AP55" s="78"/>
      <c r="AQ55" s="79"/>
    </row>
    <row r="56" spans="1:43" x14ac:dyDescent="0.2">
      <c r="A56" s="67"/>
      <c r="B56" s="75"/>
      <c r="C56" s="75"/>
      <c r="D56" s="75"/>
      <c r="E56" s="75"/>
      <c r="F56" s="75"/>
      <c r="G56" s="75"/>
      <c r="H56" s="75"/>
      <c r="I56" s="76"/>
      <c r="J56" s="76"/>
      <c r="K56" s="76"/>
      <c r="L56" s="76"/>
      <c r="M56" s="76"/>
      <c r="N56" s="55" t="str">
        <f>IF(OR($B56="", $I56="", $J56="", $K56="", $L56="", $M56=""),"",ROUND(($I56*Lists!$AN$2)+($J56*Lists!$AN$3)+($K56*Lists!$AN$4)+($L56*Lists!$AN$5)+($M56*Lists!$AN$6),2))</f>
        <v/>
      </c>
      <c r="O56" s="55"/>
      <c r="P56" s="76"/>
      <c r="Q56" s="76"/>
      <c r="R56" s="76"/>
      <c r="S56" s="76"/>
      <c r="T56" s="55" t="str">
        <f>IF(OR($B56="", $P56="", $Q56="", $R56="", $S56=""),"",ROUND(($P56*Lists!$AN$7)+($Q56*Lists!$AN$8)+($R56*Lists!$AN$9)+($S56*Lists!$AN$10),2))</f>
        <v/>
      </c>
      <c r="U56" s="76"/>
      <c r="V56" s="76"/>
      <c r="W56" s="76"/>
      <c r="X56" s="76"/>
      <c r="Y56" s="76"/>
      <c r="Z56" s="55" t="str">
        <f>IF(OR($B56="", $U56="", $V56="", $W56="", $X56="", $Y56=""),"",ROUND(($U56*Lists!$AN$11)+($V56*Lists!$AN$12)+($W56*Lists!$AN$13)+($X56*Lists!$AN$14)+($Y56*Lists!$AN$15),2))</f>
        <v/>
      </c>
      <c r="AA56" s="55" t="str">
        <f>IF(OR($B56="", $N56="", $O56="", $T56="", $Z56=""),"",ROUND(($N56*Lists!$AN$16)-($O56*Lists!$AN$17)-($T56*Lists!$AN$18)+($Z56*Lists!$AN$19),2))</f>
        <v/>
      </c>
      <c r="AB56" s="67"/>
      <c r="AC56" s="67"/>
      <c r="AD56" s="67"/>
      <c r="AE56" s="67"/>
      <c r="AF56" s="75"/>
      <c r="AG56" s="75"/>
      <c r="AH56" s="75"/>
      <c r="AI56" s="75"/>
      <c r="AJ56" s="75"/>
      <c r="AK56" s="75"/>
      <c r="AL56" s="75"/>
      <c r="AM56" s="75"/>
      <c r="AN56" s="75"/>
      <c r="AO56" s="75"/>
      <c r="AP56" s="75"/>
      <c r="AQ56" s="77"/>
    </row>
    <row r="57" spans="1:43" x14ac:dyDescent="0.2">
      <c r="A57" s="67"/>
      <c r="B57" s="78"/>
      <c r="C57" s="78"/>
      <c r="D57" s="78"/>
      <c r="E57" s="78"/>
      <c r="F57" s="78"/>
      <c r="G57" s="78"/>
      <c r="H57" s="78"/>
      <c r="I57" s="76"/>
      <c r="J57" s="76"/>
      <c r="K57" s="76"/>
      <c r="L57" s="76"/>
      <c r="M57" s="76"/>
      <c r="N57" s="55" t="str">
        <f>IF(OR($B57="", $I57="", $J57="", $K57="", $L57="", $M57=""),"",ROUND(($I57*Lists!$AN$2)+($J57*Lists!$AN$3)+($K57*Lists!$AN$4)+($L57*Lists!$AN$5)+($M57*Lists!$AN$6),2))</f>
        <v/>
      </c>
      <c r="O57" s="55"/>
      <c r="P57" s="76"/>
      <c r="Q57" s="76"/>
      <c r="R57" s="76"/>
      <c r="S57" s="76"/>
      <c r="T57" s="55" t="str">
        <f>IF(OR($B57="", $P57="", $Q57="", $R57="", $S57=""),"",ROUND(($P57*Lists!$AN$7)+($Q57*Lists!$AN$8)+($R57*Lists!$AN$9)+($S57*Lists!$AN$10),2))</f>
        <v/>
      </c>
      <c r="U57" s="76"/>
      <c r="V57" s="76"/>
      <c r="W57" s="76"/>
      <c r="X57" s="76"/>
      <c r="Y57" s="76"/>
      <c r="Z57" s="55" t="str">
        <f>IF(OR($B57="", $U57="", $V57="", $W57="", $X57="", $Y57=""),"",ROUND(($U57*Lists!$AN$11)+($V57*Lists!$AN$12)+($W57*Lists!$AN$13)+($X57*Lists!$AN$14)+($Y57*Lists!$AN$15),2))</f>
        <v/>
      </c>
      <c r="AA57" s="55" t="str">
        <f>IF(OR($B57="", $N57="", $O57="", $T57="", $Z57=""),"",ROUND(($N57*Lists!$AN$16)-($O57*Lists!$AN$17)-($T57*Lists!$AN$18)+($Z57*Lists!$AN$19),2))</f>
        <v/>
      </c>
      <c r="AB57" s="67"/>
      <c r="AC57" s="67"/>
      <c r="AD57" s="67"/>
      <c r="AE57" s="67"/>
      <c r="AF57" s="78"/>
      <c r="AG57" s="78"/>
      <c r="AH57" s="78"/>
      <c r="AI57" s="78"/>
      <c r="AJ57" s="78"/>
      <c r="AK57" s="78"/>
      <c r="AL57" s="78"/>
      <c r="AM57" s="78"/>
      <c r="AN57" s="78"/>
      <c r="AO57" s="78"/>
      <c r="AP57" s="78"/>
      <c r="AQ57" s="79"/>
    </row>
    <row r="58" spans="1:43" x14ac:dyDescent="0.2">
      <c r="A58" s="67"/>
      <c r="B58" s="75"/>
      <c r="C58" s="75"/>
      <c r="D58" s="75"/>
      <c r="E58" s="75"/>
      <c r="F58" s="75"/>
      <c r="G58" s="75"/>
      <c r="H58" s="75"/>
      <c r="I58" s="76"/>
      <c r="J58" s="76"/>
      <c r="K58" s="76"/>
      <c r="L58" s="76"/>
      <c r="M58" s="76"/>
      <c r="N58" s="55" t="str">
        <f>IF(OR($B58="", $I58="", $J58="", $K58="", $L58="", $M58=""),"",ROUND(($I58*Lists!$AN$2)+($J58*Lists!$AN$3)+($K58*Lists!$AN$4)+($L58*Lists!$AN$5)+($M58*Lists!$AN$6),2))</f>
        <v/>
      </c>
      <c r="O58" s="55"/>
      <c r="P58" s="76"/>
      <c r="Q58" s="76"/>
      <c r="R58" s="76"/>
      <c r="S58" s="76"/>
      <c r="T58" s="55" t="str">
        <f>IF(OR($B58="", $P58="", $Q58="", $R58="", $S58=""),"",ROUND(($P58*Lists!$AN$7)+($Q58*Lists!$AN$8)+($R58*Lists!$AN$9)+($S58*Lists!$AN$10),2))</f>
        <v/>
      </c>
      <c r="U58" s="76"/>
      <c r="V58" s="76"/>
      <c r="W58" s="76"/>
      <c r="X58" s="76"/>
      <c r="Y58" s="76"/>
      <c r="Z58" s="55" t="str">
        <f>IF(OR($B58="", $U58="", $V58="", $W58="", $X58="", $Y58=""),"",ROUND(($U58*Lists!$AN$11)+($V58*Lists!$AN$12)+($W58*Lists!$AN$13)+($X58*Lists!$AN$14)+($Y58*Lists!$AN$15),2))</f>
        <v/>
      </c>
      <c r="AA58" s="55" t="str">
        <f>IF(OR($B58="", $N58="", $O58="", $T58="", $Z58=""),"",ROUND(($N58*Lists!$AN$16)-($O58*Lists!$AN$17)-($T58*Lists!$AN$18)+($Z58*Lists!$AN$19),2))</f>
        <v/>
      </c>
      <c r="AB58" s="67"/>
      <c r="AC58" s="67"/>
      <c r="AD58" s="67"/>
      <c r="AE58" s="67"/>
      <c r="AF58" s="75"/>
      <c r="AG58" s="75"/>
      <c r="AH58" s="75"/>
      <c r="AI58" s="75"/>
      <c r="AJ58" s="75"/>
      <c r="AK58" s="75"/>
      <c r="AL58" s="75"/>
      <c r="AM58" s="75"/>
      <c r="AN58" s="75"/>
      <c r="AO58" s="75"/>
      <c r="AP58" s="75"/>
      <c r="AQ58" s="77"/>
    </row>
    <row r="59" spans="1:43" x14ac:dyDescent="0.2">
      <c r="A59" s="67"/>
      <c r="B59" s="78"/>
      <c r="C59" s="78"/>
      <c r="D59" s="78"/>
      <c r="E59" s="78"/>
      <c r="F59" s="78"/>
      <c r="G59" s="78"/>
      <c r="H59" s="78"/>
      <c r="I59" s="76"/>
      <c r="J59" s="76"/>
      <c r="K59" s="76"/>
      <c r="L59" s="76"/>
      <c r="M59" s="76"/>
      <c r="N59" s="55" t="str">
        <f>IF(OR($B59="", $I59="", $J59="", $K59="", $L59="", $M59=""),"",ROUND(($I59*Lists!$AN$2)+($J59*Lists!$AN$3)+($K59*Lists!$AN$4)+($L59*Lists!$AN$5)+($M59*Lists!$AN$6),2))</f>
        <v/>
      </c>
      <c r="O59" s="55"/>
      <c r="P59" s="76"/>
      <c r="Q59" s="76"/>
      <c r="R59" s="76"/>
      <c r="S59" s="76"/>
      <c r="T59" s="55" t="str">
        <f>IF(OR($B59="", $P59="", $Q59="", $R59="", $S59=""),"",ROUND(($P59*Lists!$AN$7)+($Q59*Lists!$AN$8)+($R59*Lists!$AN$9)+($S59*Lists!$AN$10),2))</f>
        <v/>
      </c>
      <c r="U59" s="76"/>
      <c r="V59" s="76"/>
      <c r="W59" s="76"/>
      <c r="X59" s="76"/>
      <c r="Y59" s="76"/>
      <c r="Z59" s="55" t="str">
        <f>IF(OR($B59="", $U59="", $V59="", $W59="", $X59="", $Y59=""),"",ROUND(($U59*Lists!$AN$11)+($V59*Lists!$AN$12)+($W59*Lists!$AN$13)+($X59*Lists!$AN$14)+($Y59*Lists!$AN$15),2))</f>
        <v/>
      </c>
      <c r="AA59" s="55" t="str">
        <f>IF(OR($B59="", $N59="", $O59="", $T59="", $Z59=""),"",ROUND(($N59*Lists!$AN$16)-($O59*Lists!$AN$17)-($T59*Lists!$AN$18)+($Z59*Lists!$AN$19),2))</f>
        <v/>
      </c>
      <c r="AB59" s="67"/>
      <c r="AC59" s="67"/>
      <c r="AD59" s="67"/>
      <c r="AE59" s="67"/>
      <c r="AF59" s="78"/>
      <c r="AG59" s="78"/>
      <c r="AH59" s="78"/>
      <c r="AI59" s="78"/>
      <c r="AJ59" s="78"/>
      <c r="AK59" s="78"/>
      <c r="AL59" s="78"/>
      <c r="AM59" s="78"/>
      <c r="AN59" s="78"/>
      <c r="AO59" s="78"/>
      <c r="AP59" s="78"/>
      <c r="AQ59" s="79"/>
    </row>
    <row r="60" spans="1:43" ht="16" x14ac:dyDescent="0.2">
      <c r="A60" s="63"/>
      <c r="B60" s="62"/>
      <c r="C60" s="62"/>
      <c r="D60" s="62"/>
      <c r="E60" s="62"/>
      <c r="F60" s="62"/>
      <c r="G60" s="62"/>
      <c r="H60" s="62"/>
      <c r="I60" s="66"/>
      <c r="J60" s="66"/>
      <c r="K60" s="66"/>
      <c r="L60" s="66"/>
      <c r="M60" s="66"/>
      <c r="N60" s="64" t="str">
        <f>IF(OR($B60="", $I60="", $J60="", $K60="", $L60="", $M60=""),"",ROUND(($I60*Lists!$AN$2)+($J60*Lists!$AN$3)+($K60*Lists!$AN$4)+($L60*Lists!$AN$5)+($M60*Lists!$AN$6),2))</f>
        <v/>
      </c>
      <c r="O60" s="64"/>
      <c r="P60" s="66"/>
      <c r="Q60" s="66"/>
      <c r="R60" s="66"/>
      <c r="S60" s="66"/>
      <c r="T60" s="64" t="str">
        <f>IF(OR($B60="", $P60="", $Q60="", $R60="", $S60=""),"",ROUND(($P60*Lists!$AN$7)+($Q60*Lists!$AN$8)+($R60*Lists!$AN$9)+($S60*Lists!$AN$10),2))</f>
        <v/>
      </c>
      <c r="U60" s="66"/>
      <c r="V60" s="66"/>
      <c r="W60" s="66"/>
      <c r="X60" s="66"/>
      <c r="Y60" s="66"/>
      <c r="Z60" s="64" t="str">
        <f>IF(OR($B60="", $U60="", $V60="", $W60="", $X60="", $Y60=""),"",ROUND(($U60*Lists!$AN$11)+($V60*Lists!$AN$12)+($W60*Lists!$AN$13)+($X60*Lists!$AN$14)+($Y60*Lists!$AN$15),2))</f>
        <v/>
      </c>
      <c r="AA60" s="64" t="str">
        <f>IF(OR($B60="", $N60="", $O60="", $T60="", $Z60=""),"",ROUND(($N60*Lists!$AN$16)-($O60*Lists!$AN$17)-($T60*Lists!$AN$18)+($Z60*Lists!$AN$19),2))</f>
        <v/>
      </c>
      <c r="AB60" s="63"/>
      <c r="AC60" s="63"/>
      <c r="AD60" s="63"/>
      <c r="AE60" s="63"/>
      <c r="AF60" s="62"/>
      <c r="AG60" s="62"/>
      <c r="AH60" s="62"/>
      <c r="AI60" s="62"/>
      <c r="AJ60" s="62"/>
      <c r="AK60" s="62"/>
      <c r="AL60" s="62"/>
      <c r="AM60" s="62"/>
      <c r="AN60" s="62"/>
      <c r="AO60" s="62"/>
      <c r="AP60" s="62"/>
      <c r="AQ60" s="80"/>
    </row>
    <row r="61" spans="1:43" ht="16" x14ac:dyDescent="0.2">
      <c r="A61" s="63"/>
      <c r="B61" s="62"/>
      <c r="C61" s="62"/>
      <c r="D61" s="62"/>
      <c r="E61" s="62"/>
      <c r="F61" s="62"/>
      <c r="G61" s="62"/>
      <c r="H61" s="62"/>
      <c r="I61" s="66"/>
      <c r="J61" s="66"/>
      <c r="K61" s="66"/>
      <c r="L61" s="66"/>
      <c r="M61" s="66"/>
      <c r="N61" s="64" t="str">
        <f>IF(OR($B61="", $I61="", $J61="", $K61="", $L61="", $M61=""),"",ROUND(($I61*Lists!$AN$2)+($J61*Lists!$AN$3)+($K61*Lists!$AN$4)+($L61*Lists!$AN$5)+($M61*Lists!$AN$6),2))</f>
        <v/>
      </c>
      <c r="O61" s="64"/>
      <c r="P61" s="66"/>
      <c r="Q61" s="66"/>
      <c r="R61" s="66"/>
      <c r="S61" s="66"/>
      <c r="T61" s="64" t="str">
        <f>IF(OR($B61="", $P61="", $Q61="", $R61="", $S61=""),"",ROUND(($P61*Lists!$AN$7)+($Q61*Lists!$AN$8)+($R61*Lists!$AN$9)+($S61*Lists!$AN$10),2))</f>
        <v/>
      </c>
      <c r="U61" s="66"/>
      <c r="V61" s="66"/>
      <c r="W61" s="66"/>
      <c r="X61" s="66"/>
      <c r="Y61" s="66"/>
      <c r="Z61" s="64" t="str">
        <f>IF(OR($B61="", $U61="", $V61="", $W61="", $X61="", $Y61=""),"",ROUND(($U61*Lists!$AN$11)+($V61*Lists!$AN$12)+($W61*Lists!$AN$13)+($X61*Lists!$AN$14)+($Y61*Lists!$AN$15),2))</f>
        <v/>
      </c>
      <c r="AA61" s="64" t="str">
        <f>IF(OR($B61="", $N61="", $O61="", $T61="", $Z61=""),"",ROUND(($N61*Lists!$AN$16)-($O61*Lists!$AN$17)-($T61*Lists!$AN$18)+($Z61*Lists!$AN$19),2))</f>
        <v/>
      </c>
      <c r="AB61" s="63"/>
      <c r="AC61" s="63"/>
      <c r="AD61" s="63"/>
      <c r="AE61" s="63"/>
      <c r="AF61" s="62"/>
      <c r="AG61" s="62"/>
      <c r="AH61" s="62"/>
      <c r="AI61" s="62"/>
      <c r="AJ61" s="62"/>
      <c r="AK61" s="62"/>
      <c r="AL61" s="62"/>
      <c r="AM61" s="62"/>
      <c r="AN61" s="62"/>
      <c r="AO61" s="62"/>
      <c r="AP61" s="62"/>
      <c r="AQ61" s="80"/>
    </row>
    <row r="62" spans="1:43" ht="16" x14ac:dyDescent="0.2">
      <c r="A62" s="63"/>
      <c r="B62" s="62"/>
      <c r="C62" s="62"/>
      <c r="D62" s="62"/>
      <c r="E62" s="62"/>
      <c r="F62" s="62"/>
      <c r="G62" s="62"/>
      <c r="H62" s="62"/>
      <c r="I62" s="66"/>
      <c r="J62" s="66"/>
      <c r="K62" s="66"/>
      <c r="L62" s="66"/>
      <c r="M62" s="66"/>
      <c r="N62" s="64" t="str">
        <f>IF(OR($B62="", $I62="", $J62="", $K62="", $L62="", $M62=""),"",ROUND(($I62*Lists!$AN$2)+($J62*Lists!$AN$3)+($K62*Lists!$AN$4)+($L62*Lists!$AN$5)+($M62*Lists!$AN$6),2))</f>
        <v/>
      </c>
      <c r="O62" s="64"/>
      <c r="P62" s="66"/>
      <c r="Q62" s="66"/>
      <c r="R62" s="66"/>
      <c r="S62" s="66"/>
      <c r="T62" s="64" t="str">
        <f>IF(OR($B62="", $P62="", $Q62="", $R62="", $S62=""),"",ROUND(($P62*Lists!$AN$7)+($Q62*Lists!$AN$8)+($R62*Lists!$AN$9)+($S62*Lists!$AN$10),2))</f>
        <v/>
      </c>
      <c r="U62" s="66"/>
      <c r="V62" s="66"/>
      <c r="W62" s="66"/>
      <c r="X62" s="66"/>
      <c r="Y62" s="66"/>
      <c r="Z62" s="64" t="str">
        <f>IF(OR($B62="", $U62="", $V62="", $W62="", $X62="", $Y62=""),"",ROUND(($U62*Lists!$AN$11)+($V62*Lists!$AN$12)+($W62*Lists!$AN$13)+($X62*Lists!$AN$14)+($Y62*Lists!$AN$15),2))</f>
        <v/>
      </c>
      <c r="AA62" s="64" t="str">
        <f>IF(OR($B62="", $N62="", $O62="", $T62="", $Z62=""),"",ROUND(($N62*Lists!$AN$16)-($O62*Lists!$AN$17)-($T62*Lists!$AN$18)+($Z62*Lists!$AN$19),2))</f>
        <v/>
      </c>
      <c r="AB62" s="63"/>
      <c r="AC62" s="63"/>
      <c r="AD62" s="63"/>
      <c r="AE62" s="63"/>
      <c r="AF62" s="62"/>
      <c r="AG62" s="62"/>
      <c r="AH62" s="62"/>
      <c r="AI62" s="62"/>
      <c r="AJ62" s="62"/>
      <c r="AK62" s="62"/>
      <c r="AL62" s="62"/>
      <c r="AM62" s="62"/>
      <c r="AN62" s="62"/>
      <c r="AO62" s="62"/>
      <c r="AP62" s="62"/>
      <c r="AQ62" s="80"/>
    </row>
    <row r="63" spans="1:43" ht="16" x14ac:dyDescent="0.2">
      <c r="A63" s="63"/>
      <c r="B63" s="62"/>
      <c r="C63" s="62"/>
      <c r="D63" s="62"/>
      <c r="E63" s="62"/>
      <c r="F63" s="62"/>
      <c r="G63" s="62"/>
      <c r="H63" s="62"/>
      <c r="I63" s="66"/>
      <c r="J63" s="66"/>
      <c r="K63" s="66"/>
      <c r="L63" s="66"/>
      <c r="M63" s="66"/>
      <c r="N63" s="64" t="str">
        <f>IF(OR($B63="", $I63="", $J63="", $K63="", $L63="", $M63=""),"",ROUND(($I63*Lists!$AN$2)+($J63*Lists!$AN$3)+($K63*Lists!$AN$4)+($L63*Lists!$AN$5)+($M63*Lists!$AN$6),2))</f>
        <v/>
      </c>
      <c r="O63" s="64"/>
      <c r="P63" s="66"/>
      <c r="Q63" s="66"/>
      <c r="R63" s="66"/>
      <c r="S63" s="66"/>
      <c r="T63" s="64" t="str">
        <f>IF(OR($B63="", $P63="", $Q63="", $R63="", $S63=""),"",ROUND(($P63*Lists!$AN$7)+($Q63*Lists!$AN$8)+($R63*Lists!$AN$9)+($S63*Lists!$AN$10),2))</f>
        <v/>
      </c>
      <c r="U63" s="66"/>
      <c r="V63" s="66"/>
      <c r="W63" s="66"/>
      <c r="X63" s="66"/>
      <c r="Y63" s="66"/>
      <c r="Z63" s="64" t="str">
        <f>IF(OR($B63="", $U63="", $V63="", $W63="", $X63="", $Y63=""),"",ROUND(($U63*Lists!$AN$11)+($V63*Lists!$AN$12)+($W63*Lists!$AN$13)+($X63*Lists!$AN$14)+($Y63*Lists!$AN$15),2))</f>
        <v/>
      </c>
      <c r="AA63" s="64" t="str">
        <f>IF(OR($B63="", $N63="", $O63="", $T63="", $Z63=""),"",ROUND(($N63*Lists!$AN$16)-($O63*Lists!$AN$17)-($T63*Lists!$AN$18)+($Z63*Lists!$AN$19),2))</f>
        <v/>
      </c>
      <c r="AB63" s="63"/>
      <c r="AC63" s="63"/>
      <c r="AD63" s="63"/>
      <c r="AE63" s="63"/>
      <c r="AF63" s="62"/>
      <c r="AG63" s="62"/>
      <c r="AH63" s="62"/>
      <c r="AI63" s="62"/>
      <c r="AJ63" s="62"/>
      <c r="AK63" s="62"/>
      <c r="AL63" s="62"/>
      <c r="AM63" s="62"/>
      <c r="AN63" s="62"/>
      <c r="AO63" s="62"/>
      <c r="AP63" s="62"/>
      <c r="AQ63" s="80"/>
    </row>
    <row r="64" spans="1:43" ht="16" x14ac:dyDescent="0.2">
      <c r="A64" s="63"/>
      <c r="B64" s="62"/>
      <c r="C64" s="62"/>
      <c r="D64" s="62"/>
      <c r="E64" s="62"/>
      <c r="F64" s="62"/>
      <c r="G64" s="62"/>
      <c r="H64" s="62"/>
      <c r="I64" s="66"/>
      <c r="J64" s="66"/>
      <c r="K64" s="66"/>
      <c r="L64" s="66"/>
      <c r="M64" s="66"/>
      <c r="N64" s="64" t="str">
        <f>IF(OR($B64="", $I64="", $J64="", $K64="", $L64="", $M64=""),"",ROUND(($I64*Lists!$AN$2)+($J64*Lists!$AN$3)+($K64*Lists!$AN$4)+($L64*Lists!$AN$5)+($M64*Lists!$AN$6),2))</f>
        <v/>
      </c>
      <c r="O64" s="64"/>
      <c r="P64" s="66"/>
      <c r="Q64" s="66"/>
      <c r="R64" s="66"/>
      <c r="S64" s="66"/>
      <c r="T64" s="64" t="str">
        <f>IF(OR($B64="", $P64="", $Q64="", $R64="", $S64=""),"",ROUND(($P64*Lists!$AN$7)+($Q64*Lists!$AN$8)+($R64*Lists!$AN$9)+($S64*Lists!$AN$10),2))</f>
        <v/>
      </c>
      <c r="U64" s="66"/>
      <c r="V64" s="66"/>
      <c r="W64" s="66"/>
      <c r="X64" s="66"/>
      <c r="Y64" s="66"/>
      <c r="Z64" s="64" t="str">
        <f>IF(OR($B64="", $U64="", $V64="", $W64="", $X64="", $Y64=""),"",ROUND(($U64*Lists!$AN$11)+($V64*Lists!$AN$12)+($W64*Lists!$AN$13)+($X64*Lists!$AN$14)+($Y64*Lists!$AN$15),2))</f>
        <v/>
      </c>
      <c r="AA64" s="64" t="str">
        <f>IF(OR($B64="", $N64="", $O64="", $T64="", $Z64=""),"",ROUND(($N64*Lists!$AN$16)-($O64*Lists!$AN$17)-($T64*Lists!$AN$18)+($Z64*Lists!$AN$19),2))</f>
        <v/>
      </c>
      <c r="AB64" s="63"/>
      <c r="AC64" s="63"/>
      <c r="AD64" s="63"/>
      <c r="AE64" s="63"/>
      <c r="AF64" s="62"/>
      <c r="AG64" s="62"/>
      <c r="AH64" s="62"/>
      <c r="AI64" s="62"/>
      <c r="AJ64" s="62"/>
      <c r="AK64" s="62"/>
      <c r="AL64" s="62"/>
      <c r="AM64" s="62"/>
      <c r="AN64" s="62"/>
      <c r="AO64" s="62"/>
      <c r="AP64" s="62"/>
      <c r="AQ64" s="80"/>
    </row>
    <row r="65" spans="1:43" ht="16" x14ac:dyDescent="0.2">
      <c r="A65" s="63"/>
      <c r="B65" s="62"/>
      <c r="C65" s="62"/>
      <c r="D65" s="62"/>
      <c r="E65" s="62"/>
      <c r="F65" s="62"/>
      <c r="G65" s="62"/>
      <c r="H65" s="62"/>
      <c r="I65" s="66"/>
      <c r="J65" s="66"/>
      <c r="K65" s="66"/>
      <c r="L65" s="66"/>
      <c r="M65" s="66"/>
      <c r="N65" s="64" t="str">
        <f>IF(OR($B65="", $I65="", $J65="", $K65="", $L65="", $M65=""),"",ROUND(($I65*Lists!$AN$2)+($J65*Lists!$AN$3)+($K65*Lists!$AN$4)+($L65*Lists!$AN$5)+($M65*Lists!$AN$6),2))</f>
        <v/>
      </c>
      <c r="O65" s="64"/>
      <c r="P65" s="66"/>
      <c r="Q65" s="66"/>
      <c r="R65" s="66"/>
      <c r="S65" s="66"/>
      <c r="T65" s="64" t="str">
        <f>IF(OR($B65="", $P65="", $Q65="", $R65="", $S65=""),"",ROUND(($P65*Lists!$AN$7)+($Q65*Lists!$AN$8)+($R65*Lists!$AN$9)+($S65*Lists!$AN$10),2))</f>
        <v/>
      </c>
      <c r="U65" s="66"/>
      <c r="V65" s="66"/>
      <c r="W65" s="66"/>
      <c r="X65" s="66"/>
      <c r="Y65" s="66"/>
      <c r="Z65" s="64" t="str">
        <f>IF(OR($B65="", $U65="", $V65="", $W65="", $X65="", $Y65=""),"",ROUND(($U65*Lists!$AN$11)+($V65*Lists!$AN$12)+($W65*Lists!$AN$13)+($X65*Lists!$AN$14)+($Y65*Lists!$AN$15),2))</f>
        <v/>
      </c>
      <c r="AA65" s="64" t="str">
        <f>IF(OR($B65="", $N65="", $O65="", $T65="", $Z65=""),"",ROUND(($N65*Lists!$AN$16)-($O65*Lists!$AN$17)-($T65*Lists!$AN$18)+($Z65*Lists!$AN$19),2))</f>
        <v/>
      </c>
      <c r="AB65" s="63"/>
      <c r="AC65" s="63"/>
      <c r="AD65" s="63"/>
      <c r="AE65" s="63"/>
      <c r="AF65" s="62"/>
      <c r="AG65" s="62"/>
      <c r="AH65" s="62"/>
      <c r="AI65" s="62"/>
      <c r="AJ65" s="62"/>
      <c r="AK65" s="62"/>
      <c r="AL65" s="62"/>
      <c r="AM65" s="62"/>
      <c r="AN65" s="62"/>
      <c r="AO65" s="62"/>
      <c r="AP65" s="62"/>
      <c r="AQ65" s="80"/>
    </row>
    <row r="66" spans="1:43" ht="16" x14ac:dyDescent="0.2">
      <c r="A66" s="63"/>
      <c r="B66" s="62"/>
      <c r="C66" s="62"/>
      <c r="D66" s="62"/>
      <c r="E66" s="62"/>
      <c r="F66" s="62"/>
      <c r="G66" s="62"/>
      <c r="H66" s="62"/>
      <c r="I66" s="66"/>
      <c r="J66" s="66"/>
      <c r="K66" s="66"/>
      <c r="L66" s="66"/>
      <c r="M66" s="66"/>
      <c r="N66" s="64" t="str">
        <f>IF(OR($B66="", $I66="", $J66="", $K66="", $L66="", $M66=""),"",ROUND(($I66*Lists!$AN$2)+($J66*Lists!$AN$3)+($K66*Lists!$AN$4)+($L66*Lists!$AN$5)+($M66*Lists!$AN$6),2))</f>
        <v/>
      </c>
      <c r="O66" s="64"/>
      <c r="P66" s="66"/>
      <c r="Q66" s="66"/>
      <c r="R66" s="66"/>
      <c r="S66" s="66"/>
      <c r="T66" s="64" t="str">
        <f>IF(OR($B66="", $P66="", $Q66="", $R66="", $S66=""),"",ROUND(($P66*Lists!$AN$7)+($Q66*Lists!$AN$8)+($R66*Lists!$AN$9)+($S66*Lists!$AN$10),2))</f>
        <v/>
      </c>
      <c r="U66" s="66"/>
      <c r="V66" s="66"/>
      <c r="W66" s="66"/>
      <c r="X66" s="66"/>
      <c r="Y66" s="66"/>
      <c r="Z66" s="64" t="str">
        <f>IF(OR($B66="", $U66="", $V66="", $W66="", $X66="", $Y66=""),"",ROUND(($U66*Lists!$AN$11)+($V66*Lists!$AN$12)+($W66*Lists!$AN$13)+($X66*Lists!$AN$14)+($Y66*Lists!$AN$15),2))</f>
        <v/>
      </c>
      <c r="AA66" s="64" t="str">
        <f>IF(OR($B66="", $N66="", $O66="", $T66="", $Z66=""),"",ROUND(($N66*Lists!$AN$16)-($O66*Lists!$AN$17)-($T66*Lists!$AN$18)+($Z66*Lists!$AN$19),2))</f>
        <v/>
      </c>
      <c r="AB66" s="63"/>
      <c r="AC66" s="63"/>
      <c r="AD66" s="63"/>
      <c r="AE66" s="63"/>
      <c r="AF66" s="62"/>
      <c r="AG66" s="62"/>
      <c r="AH66" s="62"/>
      <c r="AI66" s="62"/>
      <c r="AJ66" s="62"/>
      <c r="AK66" s="62"/>
      <c r="AL66" s="62"/>
      <c r="AM66" s="62"/>
      <c r="AN66" s="62"/>
      <c r="AO66" s="62"/>
      <c r="AP66" s="62"/>
      <c r="AQ66" s="80"/>
    </row>
    <row r="67" spans="1:43" ht="16" x14ac:dyDescent="0.2">
      <c r="A67" s="63"/>
      <c r="B67" s="62"/>
      <c r="C67" s="62"/>
      <c r="D67" s="62"/>
      <c r="E67" s="62"/>
      <c r="F67" s="62"/>
      <c r="G67" s="62"/>
      <c r="H67" s="62"/>
      <c r="I67" s="66"/>
      <c r="J67" s="66"/>
      <c r="K67" s="66"/>
      <c r="L67" s="66"/>
      <c r="M67" s="66"/>
      <c r="N67" s="64" t="str">
        <f>IF(OR($B67="", $I67="", $J67="", $K67="", $L67="", $M67=""),"",ROUND(($I67*Lists!$AN$2)+($J67*Lists!$AN$3)+($K67*Lists!$AN$4)+($L67*Lists!$AN$5)+($M67*Lists!$AN$6),2))</f>
        <v/>
      </c>
      <c r="O67" s="64"/>
      <c r="P67" s="66"/>
      <c r="Q67" s="66"/>
      <c r="R67" s="66"/>
      <c r="S67" s="66"/>
      <c r="T67" s="64" t="str">
        <f>IF(OR($B67="", $P67="", $Q67="", $R67="", $S67=""),"",ROUND(($P67*Lists!$AN$7)+($Q67*Lists!$AN$8)+($R67*Lists!$AN$9)+($S67*Lists!$AN$10),2))</f>
        <v/>
      </c>
      <c r="U67" s="66"/>
      <c r="V67" s="66"/>
      <c r="W67" s="66"/>
      <c r="X67" s="66"/>
      <c r="Y67" s="66"/>
      <c r="Z67" s="64" t="str">
        <f>IF(OR($B67="", $U67="", $V67="", $W67="", $X67="", $Y67=""),"",ROUND(($U67*Lists!$AN$11)+($V67*Lists!$AN$12)+($W67*Lists!$AN$13)+($X67*Lists!$AN$14)+($Y67*Lists!$AN$15),2))</f>
        <v/>
      </c>
      <c r="AA67" s="64" t="str">
        <f>IF(OR($B67="", $N67="", $O67="", $T67="", $Z67=""),"",ROUND(($N67*Lists!$AN$16)-($O67*Lists!$AN$17)-($T67*Lists!$AN$18)+($Z67*Lists!$AN$19),2))</f>
        <v/>
      </c>
      <c r="AB67" s="63"/>
      <c r="AC67" s="63"/>
      <c r="AD67" s="63"/>
      <c r="AE67" s="63"/>
      <c r="AF67" s="62"/>
      <c r="AG67" s="62"/>
      <c r="AH67" s="62"/>
      <c r="AI67" s="62"/>
      <c r="AJ67" s="62"/>
      <c r="AK67" s="62"/>
      <c r="AL67" s="62"/>
      <c r="AM67" s="62"/>
      <c r="AN67" s="62"/>
      <c r="AO67" s="62"/>
      <c r="AP67" s="62"/>
      <c r="AQ67" s="80"/>
    </row>
    <row r="68" spans="1:43" ht="16" x14ac:dyDescent="0.2">
      <c r="A68" s="63"/>
      <c r="B68" s="62"/>
      <c r="C68" s="62"/>
      <c r="D68" s="62"/>
      <c r="E68" s="62"/>
      <c r="F68" s="62"/>
      <c r="G68" s="62"/>
      <c r="H68" s="62"/>
      <c r="I68" s="66"/>
      <c r="J68" s="66"/>
      <c r="K68" s="66"/>
      <c r="L68" s="66"/>
      <c r="M68" s="66"/>
      <c r="N68" s="64" t="str">
        <f>IF(OR($B68="", $I68="", $J68="", $K68="", $L68="", $M68=""),"",ROUND(($I68*Lists!$AN$2)+($J68*Lists!$AN$3)+($K68*Lists!$AN$4)+($L68*Lists!$AN$5)+($M68*Lists!$AN$6),2))</f>
        <v/>
      </c>
      <c r="O68" s="64"/>
      <c r="P68" s="66"/>
      <c r="Q68" s="66"/>
      <c r="R68" s="66"/>
      <c r="S68" s="66"/>
      <c r="T68" s="64" t="str">
        <f>IF(OR($B68="", $P68="", $Q68="", $R68="", $S68=""),"",ROUND(($P68*Lists!$AN$7)+($Q68*Lists!$AN$8)+($R68*Lists!$AN$9)+($S68*Lists!$AN$10),2))</f>
        <v/>
      </c>
      <c r="U68" s="66"/>
      <c r="V68" s="66"/>
      <c r="W68" s="66"/>
      <c r="X68" s="66"/>
      <c r="Y68" s="66"/>
      <c r="Z68" s="64" t="str">
        <f>IF(OR($B68="", $U68="", $V68="", $W68="", $X68="", $Y68=""),"",ROUND(($U68*Lists!$AN$11)+($V68*Lists!$AN$12)+($W68*Lists!$AN$13)+($X68*Lists!$AN$14)+($Y68*Lists!$AN$15),2))</f>
        <v/>
      </c>
      <c r="AA68" s="64" t="str">
        <f>IF(OR($B68="", $N68="", $O68="", $T68="", $Z68=""),"",ROUND(($N68*Lists!$AN$16)-($O68*Lists!$AN$17)-($T68*Lists!$AN$18)+($Z68*Lists!$AN$19),2))</f>
        <v/>
      </c>
      <c r="AB68" s="63"/>
      <c r="AC68" s="63"/>
      <c r="AD68" s="63"/>
      <c r="AE68" s="63"/>
      <c r="AF68" s="62"/>
      <c r="AG68" s="62"/>
      <c r="AH68" s="62"/>
      <c r="AI68" s="62"/>
      <c r="AJ68" s="62"/>
      <c r="AK68" s="62"/>
      <c r="AL68" s="62"/>
      <c r="AM68" s="62"/>
      <c r="AN68" s="62"/>
      <c r="AO68" s="62"/>
      <c r="AP68" s="62"/>
      <c r="AQ68" s="80"/>
    </row>
    <row r="69" spans="1:43" ht="16" x14ac:dyDescent="0.2">
      <c r="A69" s="63"/>
      <c r="B69" s="62"/>
      <c r="C69" s="62"/>
      <c r="D69" s="62"/>
      <c r="E69" s="62"/>
      <c r="F69" s="62"/>
      <c r="G69" s="62"/>
      <c r="H69" s="62"/>
      <c r="I69" s="66"/>
      <c r="J69" s="66"/>
      <c r="K69" s="66"/>
      <c r="L69" s="66"/>
      <c r="M69" s="66"/>
      <c r="N69" s="64" t="str">
        <f>IF(OR($B69="", $I69="", $J69="", $K69="", $L69="", $M69=""),"",ROUND(($I69*Lists!$AN$2)+($J69*Lists!$AN$3)+($K69*Lists!$AN$4)+($L69*Lists!$AN$5)+($M69*Lists!$AN$6),2))</f>
        <v/>
      </c>
      <c r="O69" s="64"/>
      <c r="P69" s="66"/>
      <c r="Q69" s="66"/>
      <c r="R69" s="66"/>
      <c r="S69" s="66"/>
      <c r="T69" s="64" t="str">
        <f>IF(OR($B69="", $P69="", $Q69="", $R69="", $S69=""),"",ROUND(($P69*Lists!$AN$7)+($Q69*Lists!$AN$8)+($R69*Lists!$AN$9)+($S69*Lists!$AN$10),2))</f>
        <v/>
      </c>
      <c r="U69" s="66"/>
      <c r="V69" s="66"/>
      <c r="W69" s="66"/>
      <c r="X69" s="66"/>
      <c r="Y69" s="66"/>
      <c r="Z69" s="64" t="str">
        <f>IF(OR($B69="", $U69="", $V69="", $W69="", $X69="", $Y69=""),"",ROUND(($U69*Lists!$AN$11)+($V69*Lists!$AN$12)+($W69*Lists!$AN$13)+($X69*Lists!$AN$14)+($Y69*Lists!$AN$15),2))</f>
        <v/>
      </c>
      <c r="AA69" s="64" t="str">
        <f>IF(OR($B69="", $N69="", $O69="", $T69="", $Z69=""),"",ROUND(($N69*Lists!$AN$16)-($O69*Lists!$AN$17)-($T69*Lists!$AN$18)+($Z69*Lists!$AN$19),2))</f>
        <v/>
      </c>
      <c r="AB69" s="63"/>
      <c r="AC69" s="63"/>
      <c r="AD69" s="63"/>
      <c r="AE69" s="63"/>
      <c r="AF69" s="62"/>
      <c r="AG69" s="62"/>
      <c r="AH69" s="62"/>
      <c r="AI69" s="62"/>
      <c r="AJ69" s="62"/>
      <c r="AK69" s="62"/>
      <c r="AL69" s="62"/>
      <c r="AM69" s="62"/>
      <c r="AN69" s="62"/>
      <c r="AO69" s="62"/>
      <c r="AP69" s="62"/>
      <c r="AQ69" s="80"/>
    </row>
    <row r="70" spans="1:43" ht="16" x14ac:dyDescent="0.2">
      <c r="A70" s="63"/>
      <c r="B70" s="62"/>
      <c r="C70" s="62"/>
      <c r="D70" s="62"/>
      <c r="E70" s="62"/>
      <c r="F70" s="62"/>
      <c r="G70" s="62"/>
      <c r="H70" s="62"/>
      <c r="I70" s="66"/>
      <c r="J70" s="66"/>
      <c r="K70" s="66"/>
      <c r="L70" s="66"/>
      <c r="M70" s="66"/>
      <c r="N70" s="64" t="str">
        <f>IF(OR($B70="", $I70="", $J70="", $K70="", $L70="", $M70=""),"",ROUND(($I70*Lists!$AN$2)+($J70*Lists!$AN$3)+($K70*Lists!$AN$4)+($L70*Lists!$AN$5)+($M70*Lists!$AN$6),2))</f>
        <v/>
      </c>
      <c r="O70" s="64"/>
      <c r="P70" s="66"/>
      <c r="Q70" s="66"/>
      <c r="R70" s="66"/>
      <c r="S70" s="66"/>
      <c r="T70" s="64" t="str">
        <f>IF(OR($B70="", $P70="", $Q70="", $R70="", $S70=""),"",ROUND(($P70*Lists!$AN$7)+($Q70*Lists!$AN$8)+($R70*Lists!$AN$9)+($S70*Lists!$AN$10),2))</f>
        <v/>
      </c>
      <c r="U70" s="66"/>
      <c r="V70" s="66"/>
      <c r="W70" s="66"/>
      <c r="X70" s="66"/>
      <c r="Y70" s="66"/>
      <c r="Z70" s="64" t="str">
        <f>IF(OR($B70="", $U70="", $V70="", $W70="", $X70="", $Y70=""),"",ROUND(($U70*Lists!$AN$11)+($V70*Lists!$AN$12)+($W70*Lists!$AN$13)+($X70*Lists!$AN$14)+($Y70*Lists!$AN$15),2))</f>
        <v/>
      </c>
      <c r="AA70" s="64" t="str">
        <f>IF(OR($B70="", $N70="", $O70="", $T70="", $Z70=""),"",ROUND(($N70*Lists!$AN$16)-($O70*Lists!$AN$17)-($T70*Lists!$AN$18)+($Z70*Lists!$AN$19),2))</f>
        <v/>
      </c>
      <c r="AB70" s="63"/>
      <c r="AC70" s="63"/>
      <c r="AD70" s="63"/>
      <c r="AE70" s="63"/>
      <c r="AF70" s="62"/>
      <c r="AG70" s="62"/>
      <c r="AH70" s="62"/>
      <c r="AI70" s="62"/>
      <c r="AJ70" s="62"/>
      <c r="AK70" s="62"/>
      <c r="AL70" s="62"/>
      <c r="AM70" s="62"/>
      <c r="AN70" s="62"/>
      <c r="AO70" s="62"/>
      <c r="AP70" s="62"/>
      <c r="AQ70" s="80"/>
    </row>
    <row r="71" spans="1:43" ht="16" x14ac:dyDescent="0.2">
      <c r="A71" s="63"/>
      <c r="B71" s="62"/>
      <c r="C71" s="62"/>
      <c r="D71" s="62"/>
      <c r="E71" s="62"/>
      <c r="F71" s="62"/>
      <c r="G71" s="62"/>
      <c r="H71" s="62"/>
      <c r="I71" s="66"/>
      <c r="J71" s="66"/>
      <c r="K71" s="66"/>
      <c r="L71" s="66"/>
      <c r="M71" s="66"/>
      <c r="N71" s="64" t="str">
        <f>IF(OR($B71="", $I71="", $J71="", $K71="", $L71="", $M71=""),"",ROUND(($I71*Lists!$AN$2)+($J71*Lists!$AN$3)+($K71*Lists!$AN$4)+($L71*Lists!$AN$5)+($M71*Lists!$AN$6),2))</f>
        <v/>
      </c>
      <c r="O71" s="64"/>
      <c r="P71" s="66"/>
      <c r="Q71" s="66"/>
      <c r="R71" s="66"/>
      <c r="S71" s="66"/>
      <c r="T71" s="64" t="str">
        <f>IF(OR($B71="", $P71="", $Q71="", $R71="", $S71=""),"",ROUND(($P71*Lists!$AN$7)+($Q71*Lists!$AN$8)+($R71*Lists!$AN$9)+($S71*Lists!$AN$10),2))</f>
        <v/>
      </c>
      <c r="U71" s="66"/>
      <c r="V71" s="66"/>
      <c r="W71" s="66"/>
      <c r="X71" s="66"/>
      <c r="Y71" s="66"/>
      <c r="Z71" s="64" t="str">
        <f>IF(OR($B71="", $U71="", $V71="", $W71="", $X71="", $Y71=""),"",ROUND(($U71*Lists!$AN$11)+($V71*Lists!$AN$12)+($W71*Lists!$AN$13)+($X71*Lists!$AN$14)+($Y71*Lists!$AN$15),2))</f>
        <v/>
      </c>
      <c r="AA71" s="64" t="str">
        <f>IF(OR($B71="", $N71="", $O71="", $T71="", $Z71=""),"",ROUND(($N71*Lists!$AN$16)-($O71*Lists!$AN$17)-($T71*Lists!$AN$18)+($Z71*Lists!$AN$19),2))</f>
        <v/>
      </c>
      <c r="AB71" s="63"/>
      <c r="AC71" s="63"/>
      <c r="AD71" s="63"/>
      <c r="AE71" s="63"/>
      <c r="AF71" s="62"/>
      <c r="AG71" s="62"/>
      <c r="AH71" s="62"/>
      <c r="AI71" s="62"/>
      <c r="AJ71" s="62"/>
      <c r="AK71" s="62"/>
      <c r="AL71" s="62"/>
      <c r="AM71" s="62"/>
      <c r="AN71" s="62"/>
      <c r="AO71" s="62"/>
      <c r="AP71" s="62"/>
      <c r="AQ71" s="80"/>
    </row>
    <row r="72" spans="1:43" ht="16" x14ac:dyDescent="0.2">
      <c r="A72" s="63"/>
      <c r="B72" s="62"/>
      <c r="C72" s="62"/>
      <c r="D72" s="62"/>
      <c r="E72" s="62"/>
      <c r="F72" s="62"/>
      <c r="G72" s="62"/>
      <c r="H72" s="62"/>
      <c r="I72" s="66"/>
      <c r="J72" s="66"/>
      <c r="K72" s="66"/>
      <c r="L72" s="66"/>
      <c r="M72" s="66"/>
      <c r="N72" s="64" t="str">
        <f>IF(OR($B72="", $I72="", $J72="", $K72="", $L72="", $M72=""),"",ROUND(($I72*Lists!$AN$2)+($J72*Lists!$AN$3)+($K72*Lists!$AN$4)+($L72*Lists!$AN$5)+($M72*Lists!$AN$6),2))</f>
        <v/>
      </c>
      <c r="O72" s="64"/>
      <c r="P72" s="66"/>
      <c r="Q72" s="66"/>
      <c r="R72" s="66"/>
      <c r="S72" s="66"/>
      <c r="T72" s="64" t="str">
        <f>IF(OR($B72="", $P72="", $Q72="", $R72="", $S72=""),"",ROUND(($P72*Lists!$AN$7)+($Q72*Lists!$AN$8)+($R72*Lists!$AN$9)+($S72*Lists!$AN$10),2))</f>
        <v/>
      </c>
      <c r="U72" s="66"/>
      <c r="V72" s="66"/>
      <c r="W72" s="66"/>
      <c r="X72" s="66"/>
      <c r="Y72" s="66"/>
      <c r="Z72" s="64" t="str">
        <f>IF(OR($B72="", $U72="", $V72="", $W72="", $X72="", $Y72=""),"",ROUND(($U72*Lists!$AN$11)+($V72*Lists!$AN$12)+($W72*Lists!$AN$13)+($X72*Lists!$AN$14)+($Y72*Lists!$AN$15),2))</f>
        <v/>
      </c>
      <c r="AA72" s="64" t="str">
        <f>IF(OR($B72="", $N72="", $O72="", $T72="", $Z72=""),"",ROUND(($N72*Lists!$AN$16)-($O72*Lists!$AN$17)-($T72*Lists!$AN$18)+($Z72*Lists!$AN$19),2))</f>
        <v/>
      </c>
      <c r="AB72" s="63"/>
      <c r="AC72" s="63"/>
      <c r="AD72" s="63"/>
      <c r="AE72" s="63"/>
      <c r="AF72" s="62"/>
      <c r="AG72" s="62"/>
      <c r="AH72" s="62"/>
      <c r="AI72" s="62"/>
      <c r="AJ72" s="62"/>
      <c r="AK72" s="62"/>
      <c r="AL72" s="62"/>
      <c r="AM72" s="62"/>
      <c r="AN72" s="62"/>
      <c r="AO72" s="62"/>
      <c r="AP72" s="62"/>
      <c r="AQ72" s="80"/>
    </row>
    <row r="73" spans="1:43" ht="16" x14ac:dyDescent="0.2">
      <c r="A73" s="63"/>
      <c r="B73" s="62"/>
      <c r="C73" s="62"/>
      <c r="D73" s="62"/>
      <c r="E73" s="62"/>
      <c r="F73" s="62"/>
      <c r="G73" s="62"/>
      <c r="H73" s="62"/>
      <c r="I73" s="66"/>
      <c r="J73" s="66"/>
      <c r="K73" s="66"/>
      <c r="L73" s="66"/>
      <c r="M73" s="66"/>
      <c r="N73" s="64" t="str">
        <f>IF(OR($B73="", $I73="", $J73="", $K73="", $L73="", $M73=""),"",ROUND(($I73*Lists!$AN$2)+($J73*Lists!$AN$3)+($K73*Lists!$AN$4)+($L73*Lists!$AN$5)+($M73*Lists!$AN$6),2))</f>
        <v/>
      </c>
      <c r="O73" s="64"/>
      <c r="P73" s="66"/>
      <c r="Q73" s="66"/>
      <c r="R73" s="66"/>
      <c r="S73" s="66"/>
      <c r="T73" s="64" t="str">
        <f>IF(OR($B73="", $P73="", $Q73="", $R73="", $S73=""),"",ROUND(($P73*Lists!$AN$7)+($Q73*Lists!$AN$8)+($R73*Lists!$AN$9)+($S73*Lists!$AN$10),2))</f>
        <v/>
      </c>
      <c r="U73" s="66"/>
      <c r="V73" s="66"/>
      <c r="W73" s="66"/>
      <c r="X73" s="66"/>
      <c r="Y73" s="66"/>
      <c r="Z73" s="64" t="str">
        <f>IF(OR($B73="", $U73="", $V73="", $W73="", $X73="", $Y73=""),"",ROUND(($U73*Lists!$AN$11)+($V73*Lists!$AN$12)+($W73*Lists!$AN$13)+($X73*Lists!$AN$14)+($Y73*Lists!$AN$15),2))</f>
        <v/>
      </c>
      <c r="AA73" s="64" t="str">
        <f>IF(OR($B73="", $N73="", $O73="", $T73="", $Z73=""),"",ROUND(($N73*Lists!$AN$16)-($O73*Lists!$AN$17)-($T73*Lists!$AN$18)+($Z73*Lists!$AN$19),2))</f>
        <v/>
      </c>
      <c r="AB73" s="63"/>
      <c r="AC73" s="63"/>
      <c r="AD73" s="63"/>
      <c r="AE73" s="63"/>
      <c r="AF73" s="62"/>
      <c r="AG73" s="62"/>
      <c r="AH73" s="62"/>
      <c r="AI73" s="62"/>
      <c r="AJ73" s="62"/>
      <c r="AK73" s="62"/>
      <c r="AL73" s="62"/>
      <c r="AM73" s="62"/>
      <c r="AN73" s="62"/>
      <c r="AO73" s="62"/>
      <c r="AP73" s="62"/>
      <c r="AQ73" s="80"/>
    </row>
    <row r="74" spans="1:43" ht="16" x14ac:dyDescent="0.2">
      <c r="A74" s="63"/>
      <c r="B74" s="62"/>
      <c r="C74" s="62"/>
      <c r="D74" s="62"/>
      <c r="E74" s="62"/>
      <c r="F74" s="62"/>
      <c r="G74" s="62"/>
      <c r="H74" s="62"/>
      <c r="I74" s="66"/>
      <c r="J74" s="66"/>
      <c r="K74" s="66"/>
      <c r="L74" s="66"/>
      <c r="M74" s="66"/>
      <c r="N74" s="64" t="str">
        <f>IF(OR($B74="", $I74="", $J74="", $K74="", $L74="", $M74=""),"",ROUND(($I74*Lists!$AN$2)+($J74*Lists!$AN$3)+($K74*Lists!$AN$4)+($L74*Lists!$AN$5)+($M74*Lists!$AN$6),2))</f>
        <v/>
      </c>
      <c r="O74" s="64"/>
      <c r="P74" s="66"/>
      <c r="Q74" s="66"/>
      <c r="R74" s="66"/>
      <c r="S74" s="66"/>
      <c r="T74" s="64" t="str">
        <f>IF(OR($B74="", $P74="", $Q74="", $R74="", $S74=""),"",ROUND(($P74*Lists!$AN$7)+($Q74*Lists!$AN$8)+($R74*Lists!$AN$9)+($S74*Lists!$AN$10),2))</f>
        <v/>
      </c>
      <c r="U74" s="66"/>
      <c r="V74" s="66"/>
      <c r="W74" s="66"/>
      <c r="X74" s="66"/>
      <c r="Y74" s="66"/>
      <c r="Z74" s="64" t="str">
        <f>IF(OR($B74="", $U74="", $V74="", $W74="", $X74="", $Y74=""),"",ROUND(($U74*Lists!$AN$11)+($V74*Lists!$AN$12)+($W74*Lists!$AN$13)+($X74*Lists!$AN$14)+($Y74*Lists!$AN$15),2))</f>
        <v/>
      </c>
      <c r="AA74" s="64" t="str">
        <f>IF(OR($B74="", $N74="", $O74="", $T74="", $Z74=""),"",ROUND(($N74*Lists!$AN$16)-($O74*Lists!$AN$17)-($T74*Lists!$AN$18)+($Z74*Lists!$AN$19),2))</f>
        <v/>
      </c>
      <c r="AB74" s="63"/>
      <c r="AC74" s="63"/>
      <c r="AD74" s="63"/>
      <c r="AE74" s="63"/>
      <c r="AF74" s="62"/>
      <c r="AG74" s="62"/>
      <c r="AH74" s="62"/>
      <c r="AI74" s="62"/>
      <c r="AJ74" s="62"/>
      <c r="AK74" s="62"/>
      <c r="AL74" s="62"/>
      <c r="AM74" s="62"/>
      <c r="AN74" s="62"/>
      <c r="AO74" s="62"/>
      <c r="AP74" s="62"/>
      <c r="AQ74" s="80"/>
    </row>
    <row r="75" spans="1:43" ht="16" x14ac:dyDescent="0.2">
      <c r="A75" s="63"/>
      <c r="B75" s="62"/>
      <c r="C75" s="62"/>
      <c r="D75" s="62"/>
      <c r="E75" s="62"/>
      <c r="F75" s="62"/>
      <c r="G75" s="62"/>
      <c r="H75" s="62"/>
      <c r="I75" s="66"/>
      <c r="J75" s="66"/>
      <c r="K75" s="66"/>
      <c r="L75" s="66"/>
      <c r="M75" s="66"/>
      <c r="N75" s="64" t="str">
        <f>IF(OR($B75="", $I75="", $J75="", $K75="", $L75="", $M75=""),"",ROUND(($I75*Lists!$AN$2)+($J75*Lists!$AN$3)+($K75*Lists!$AN$4)+($L75*Lists!$AN$5)+($M75*Lists!$AN$6),2))</f>
        <v/>
      </c>
      <c r="O75" s="64"/>
      <c r="P75" s="66"/>
      <c r="Q75" s="66"/>
      <c r="R75" s="66"/>
      <c r="S75" s="66"/>
      <c r="T75" s="64" t="str">
        <f>IF(OR($B75="", $P75="", $Q75="", $R75="", $S75=""),"",ROUND(($P75*Lists!$AN$7)+($Q75*Lists!$AN$8)+($R75*Lists!$AN$9)+($S75*Lists!$AN$10),2))</f>
        <v/>
      </c>
      <c r="U75" s="66"/>
      <c r="V75" s="66"/>
      <c r="W75" s="66"/>
      <c r="X75" s="66"/>
      <c r="Y75" s="66"/>
      <c r="Z75" s="64" t="str">
        <f>IF(OR($B75="", $U75="", $V75="", $W75="", $X75="", $Y75=""),"",ROUND(($U75*Lists!$AN$11)+($V75*Lists!$AN$12)+($W75*Lists!$AN$13)+($X75*Lists!$AN$14)+($Y75*Lists!$AN$15),2))</f>
        <v/>
      </c>
      <c r="AA75" s="64" t="str">
        <f>IF(OR($B75="", $N75="", $O75="", $T75="", $Z75=""),"",ROUND(($N75*Lists!$AN$16)-($O75*Lists!$AN$17)-($T75*Lists!$AN$18)+($Z75*Lists!$AN$19),2))</f>
        <v/>
      </c>
      <c r="AB75" s="63"/>
      <c r="AC75" s="63"/>
      <c r="AD75" s="63"/>
      <c r="AE75" s="63"/>
      <c r="AF75" s="62"/>
      <c r="AG75" s="62"/>
      <c r="AH75" s="62"/>
      <c r="AI75" s="62"/>
      <c r="AJ75" s="62"/>
      <c r="AK75" s="62"/>
      <c r="AL75" s="62"/>
      <c r="AM75" s="62"/>
      <c r="AN75" s="62"/>
      <c r="AO75" s="62"/>
      <c r="AP75" s="62"/>
      <c r="AQ75" s="80"/>
    </row>
    <row r="76" spans="1:43" ht="16" x14ac:dyDescent="0.2">
      <c r="A76" s="63"/>
      <c r="B76" s="62"/>
      <c r="C76" s="62"/>
      <c r="D76" s="62"/>
      <c r="E76" s="62"/>
      <c r="F76" s="62"/>
      <c r="G76" s="62"/>
      <c r="H76" s="62"/>
      <c r="I76" s="66"/>
      <c r="J76" s="66"/>
      <c r="K76" s="66"/>
      <c r="L76" s="66"/>
      <c r="M76" s="66"/>
      <c r="N76" s="64" t="str">
        <f>IF(OR($B76="", $I76="", $J76="", $K76="", $L76="", $M76=""),"",ROUND(($I76*Lists!$AN$2)+($J76*Lists!$AN$3)+($K76*Lists!$AN$4)+($L76*Lists!$AN$5)+($M76*Lists!$AN$6),2))</f>
        <v/>
      </c>
      <c r="O76" s="64"/>
      <c r="P76" s="66"/>
      <c r="Q76" s="66"/>
      <c r="R76" s="66"/>
      <c r="S76" s="66"/>
      <c r="T76" s="64" t="str">
        <f>IF(OR($B76="", $P76="", $Q76="", $R76="", $S76=""),"",ROUND(($P76*Lists!$AN$7)+($Q76*Lists!$AN$8)+($R76*Lists!$AN$9)+($S76*Lists!$AN$10),2))</f>
        <v/>
      </c>
      <c r="U76" s="66"/>
      <c r="V76" s="66"/>
      <c r="W76" s="66"/>
      <c r="X76" s="66"/>
      <c r="Y76" s="66"/>
      <c r="Z76" s="64" t="str">
        <f>IF(OR($B76="", $U76="", $V76="", $W76="", $X76="", $Y76=""),"",ROUND(($U76*Lists!$AN$11)+($V76*Lists!$AN$12)+($W76*Lists!$AN$13)+($X76*Lists!$AN$14)+($Y76*Lists!$AN$15),2))</f>
        <v/>
      </c>
      <c r="AA76" s="64" t="str">
        <f>IF(OR($B76="", $N76="", $O76="", $T76="", $Z76=""),"",ROUND(($N76*Lists!$AN$16)-($O76*Lists!$AN$17)-($T76*Lists!$AN$18)+($Z76*Lists!$AN$19),2))</f>
        <v/>
      </c>
      <c r="AB76" s="63"/>
      <c r="AC76" s="63"/>
      <c r="AD76" s="63"/>
      <c r="AE76" s="63"/>
      <c r="AF76" s="62"/>
      <c r="AG76" s="62"/>
      <c r="AH76" s="62"/>
      <c r="AI76" s="62"/>
      <c r="AJ76" s="62"/>
      <c r="AK76" s="62"/>
      <c r="AL76" s="62"/>
      <c r="AM76" s="62"/>
      <c r="AN76" s="62"/>
      <c r="AO76" s="62"/>
      <c r="AP76" s="62"/>
      <c r="AQ76" s="80"/>
    </row>
    <row r="77" spans="1:43" ht="16" x14ac:dyDescent="0.2">
      <c r="A77" s="63"/>
      <c r="B77" s="62"/>
      <c r="C77" s="62"/>
      <c r="D77" s="62"/>
      <c r="E77" s="62"/>
      <c r="F77" s="62"/>
      <c r="G77" s="62"/>
      <c r="H77" s="62"/>
      <c r="I77" s="66"/>
      <c r="J77" s="66"/>
      <c r="K77" s="66"/>
      <c r="L77" s="66"/>
      <c r="M77" s="66"/>
      <c r="N77" s="64" t="str">
        <f>IF(OR($B77="", $I77="", $J77="", $K77="", $L77="", $M77=""),"",ROUND(($I77*Lists!$AN$2)+($J77*Lists!$AN$3)+($K77*Lists!$AN$4)+($L77*Lists!$AN$5)+($M77*Lists!$AN$6),2))</f>
        <v/>
      </c>
      <c r="O77" s="64"/>
      <c r="P77" s="66"/>
      <c r="Q77" s="66"/>
      <c r="R77" s="66"/>
      <c r="S77" s="66"/>
      <c r="T77" s="64" t="str">
        <f>IF(OR($B77="", $P77="", $Q77="", $R77="", $S77=""),"",ROUND(($P77*Lists!$AN$7)+($Q77*Lists!$AN$8)+($R77*Lists!$AN$9)+($S77*Lists!$AN$10),2))</f>
        <v/>
      </c>
      <c r="U77" s="66"/>
      <c r="V77" s="66"/>
      <c r="W77" s="66"/>
      <c r="X77" s="66"/>
      <c r="Y77" s="66"/>
      <c r="Z77" s="64" t="str">
        <f>IF(OR($B77="", $U77="", $V77="", $W77="", $X77="", $Y77=""),"",ROUND(($U77*Lists!$AN$11)+($V77*Lists!$AN$12)+($W77*Lists!$AN$13)+($X77*Lists!$AN$14)+($Y77*Lists!$AN$15),2))</f>
        <v/>
      </c>
      <c r="AA77" s="64" t="str">
        <f>IF(OR($B77="", $N77="", $O77="", $T77="", $Z77=""),"",ROUND(($N77*Lists!$AN$16)-($O77*Lists!$AN$17)-($T77*Lists!$AN$18)+($Z77*Lists!$AN$19),2))</f>
        <v/>
      </c>
      <c r="AB77" s="63"/>
      <c r="AC77" s="63"/>
      <c r="AD77" s="63"/>
      <c r="AE77" s="63"/>
      <c r="AF77" s="62"/>
      <c r="AG77" s="62"/>
      <c r="AH77" s="62"/>
      <c r="AI77" s="62"/>
      <c r="AJ77" s="62"/>
      <c r="AK77" s="62"/>
      <c r="AL77" s="62"/>
      <c r="AM77" s="62"/>
      <c r="AN77" s="62"/>
      <c r="AO77" s="62"/>
      <c r="AP77" s="62"/>
      <c r="AQ77" s="80"/>
    </row>
    <row r="78" spans="1:43" ht="16" x14ac:dyDescent="0.2">
      <c r="A78" s="63"/>
      <c r="B78" s="62"/>
      <c r="C78" s="62"/>
      <c r="D78" s="62"/>
      <c r="E78" s="62"/>
      <c r="F78" s="62"/>
      <c r="G78" s="62"/>
      <c r="H78" s="62"/>
      <c r="I78" s="66"/>
      <c r="J78" s="66"/>
      <c r="K78" s="66"/>
      <c r="L78" s="66"/>
      <c r="M78" s="66"/>
      <c r="N78" s="64" t="str">
        <f>IF(OR($B78="", $I78="", $J78="", $K78="", $L78="", $M78=""),"",ROUND(($I78*Lists!$AN$2)+($J78*Lists!$AN$3)+($K78*Lists!$AN$4)+($L78*Lists!$AN$5)+($M78*Lists!$AN$6),2))</f>
        <v/>
      </c>
      <c r="O78" s="64"/>
      <c r="P78" s="66"/>
      <c r="Q78" s="66"/>
      <c r="R78" s="66"/>
      <c r="S78" s="66"/>
      <c r="T78" s="64" t="str">
        <f>IF(OR($B78="", $P78="", $Q78="", $R78="", $S78=""),"",ROUND(($P78*Lists!$AN$7)+($Q78*Lists!$AN$8)+($R78*Lists!$AN$9)+($S78*Lists!$AN$10),2))</f>
        <v/>
      </c>
      <c r="U78" s="66"/>
      <c r="V78" s="66"/>
      <c r="W78" s="66"/>
      <c r="X78" s="66"/>
      <c r="Y78" s="66"/>
      <c r="Z78" s="64" t="str">
        <f>IF(OR($B78="", $U78="", $V78="", $W78="", $X78="", $Y78=""),"",ROUND(($U78*Lists!$AN$11)+($V78*Lists!$AN$12)+($W78*Lists!$AN$13)+($X78*Lists!$AN$14)+($Y78*Lists!$AN$15),2))</f>
        <v/>
      </c>
      <c r="AA78" s="64" t="str">
        <f>IF(OR($B78="", $N78="", $O78="", $T78="", $Z78=""),"",ROUND(($N78*Lists!$AN$16)-($O78*Lists!$AN$17)-($T78*Lists!$AN$18)+($Z78*Lists!$AN$19),2))</f>
        <v/>
      </c>
      <c r="AB78" s="63"/>
      <c r="AC78" s="63"/>
      <c r="AD78" s="63"/>
      <c r="AE78" s="63"/>
      <c r="AF78" s="62"/>
      <c r="AG78" s="62"/>
      <c r="AH78" s="62"/>
      <c r="AI78" s="62"/>
      <c r="AJ78" s="62"/>
      <c r="AK78" s="62"/>
      <c r="AL78" s="62"/>
      <c r="AM78" s="62"/>
      <c r="AN78" s="62"/>
      <c r="AO78" s="62"/>
      <c r="AP78" s="62"/>
      <c r="AQ78" s="80"/>
    </row>
    <row r="79" spans="1:43" ht="16" x14ac:dyDescent="0.2">
      <c r="A79" s="63"/>
      <c r="B79" s="62"/>
      <c r="C79" s="62"/>
      <c r="D79" s="62"/>
      <c r="E79" s="62"/>
      <c r="F79" s="62"/>
      <c r="G79" s="62"/>
      <c r="H79" s="62"/>
      <c r="I79" s="66"/>
      <c r="J79" s="66"/>
      <c r="K79" s="66"/>
      <c r="L79" s="66"/>
      <c r="M79" s="66"/>
      <c r="N79" s="64" t="str">
        <f>IF(OR($B79="", $I79="", $J79="", $K79="", $L79="", $M79=""),"",ROUND(($I79*Lists!$AN$2)+($J79*Lists!$AN$3)+($K79*Lists!$AN$4)+($L79*Lists!$AN$5)+($M79*Lists!$AN$6),2))</f>
        <v/>
      </c>
      <c r="O79" s="64"/>
      <c r="P79" s="66"/>
      <c r="Q79" s="66"/>
      <c r="R79" s="66"/>
      <c r="S79" s="66"/>
      <c r="T79" s="64" t="str">
        <f>IF(OR($B79="", $P79="", $Q79="", $R79="", $S79=""),"",ROUND(($P79*Lists!$AN$7)+($Q79*Lists!$AN$8)+($R79*Lists!$AN$9)+($S79*Lists!$AN$10),2))</f>
        <v/>
      </c>
      <c r="U79" s="66"/>
      <c r="V79" s="66"/>
      <c r="W79" s="66"/>
      <c r="X79" s="66"/>
      <c r="Y79" s="66"/>
      <c r="Z79" s="64" t="str">
        <f>IF(OR($B79="", $U79="", $V79="", $W79="", $X79="", $Y79=""),"",ROUND(($U79*Lists!$AN$11)+($V79*Lists!$AN$12)+($W79*Lists!$AN$13)+($X79*Lists!$AN$14)+($Y79*Lists!$AN$15),2))</f>
        <v/>
      </c>
      <c r="AA79" s="64" t="str">
        <f>IF(OR($B79="", $N79="", $O79="", $T79="", $Z79=""),"",ROUND(($N79*Lists!$AN$16)-($O79*Lists!$AN$17)-($T79*Lists!$AN$18)+($Z79*Lists!$AN$19),2))</f>
        <v/>
      </c>
      <c r="AB79" s="63"/>
      <c r="AC79" s="63"/>
      <c r="AD79" s="63"/>
      <c r="AE79" s="63"/>
      <c r="AF79" s="62"/>
      <c r="AG79" s="62"/>
      <c r="AH79" s="62"/>
      <c r="AI79" s="62"/>
      <c r="AJ79" s="62"/>
      <c r="AK79" s="62"/>
      <c r="AL79" s="62"/>
      <c r="AM79" s="62"/>
      <c r="AN79" s="62"/>
      <c r="AO79" s="62"/>
      <c r="AP79" s="62"/>
      <c r="AQ79" s="80"/>
    </row>
    <row r="80" spans="1:43" ht="16" x14ac:dyDescent="0.2">
      <c r="A80" s="63"/>
      <c r="B80" s="62"/>
      <c r="C80" s="62"/>
      <c r="D80" s="62"/>
      <c r="E80" s="62"/>
      <c r="F80" s="62"/>
      <c r="G80" s="62"/>
      <c r="H80" s="62"/>
      <c r="I80" s="66"/>
      <c r="J80" s="66"/>
      <c r="K80" s="66"/>
      <c r="L80" s="66"/>
      <c r="M80" s="66"/>
      <c r="N80" s="64" t="str">
        <f>IF(OR($B80="", $I80="", $J80="", $K80="", $L80="", $M80=""),"",ROUND(($I80*Lists!$AN$2)+($J80*Lists!$AN$3)+($K80*Lists!$AN$4)+($L80*Lists!$AN$5)+($M80*Lists!$AN$6),2))</f>
        <v/>
      </c>
      <c r="O80" s="64"/>
      <c r="P80" s="66"/>
      <c r="Q80" s="66"/>
      <c r="R80" s="66"/>
      <c r="S80" s="66"/>
      <c r="T80" s="64" t="str">
        <f>IF(OR($B80="", $P80="", $Q80="", $R80="", $S80=""),"",ROUND(($P80*Lists!$AN$7)+($Q80*Lists!$AN$8)+($R80*Lists!$AN$9)+($S80*Lists!$AN$10),2))</f>
        <v/>
      </c>
      <c r="U80" s="66"/>
      <c r="V80" s="66"/>
      <c r="W80" s="66"/>
      <c r="X80" s="66"/>
      <c r="Y80" s="66"/>
      <c r="Z80" s="64" t="str">
        <f>IF(OR($B80="", $U80="", $V80="", $W80="", $X80="", $Y80=""),"",ROUND(($U80*Lists!$AN$11)+($V80*Lists!$AN$12)+($W80*Lists!$AN$13)+($X80*Lists!$AN$14)+($Y80*Lists!$AN$15),2))</f>
        <v/>
      </c>
      <c r="AA80" s="64" t="str">
        <f>IF(OR($B80="", $N80="", $O80="", $T80="", $Z80=""),"",ROUND(($N80*Lists!$AN$16)-($O80*Lists!$AN$17)-($T80*Lists!$AN$18)+($Z80*Lists!$AN$19),2))</f>
        <v/>
      </c>
      <c r="AB80" s="63"/>
      <c r="AC80" s="63"/>
      <c r="AD80" s="63"/>
      <c r="AE80" s="63"/>
      <c r="AF80" s="62"/>
      <c r="AG80" s="62"/>
      <c r="AH80" s="62"/>
      <c r="AI80" s="62"/>
      <c r="AJ80" s="62"/>
      <c r="AK80" s="62"/>
      <c r="AL80" s="62"/>
      <c r="AM80" s="62"/>
      <c r="AN80" s="62"/>
      <c r="AO80" s="62"/>
      <c r="AP80" s="62"/>
      <c r="AQ80" s="80"/>
    </row>
    <row r="81" spans="1:43" ht="16" x14ac:dyDescent="0.2">
      <c r="A81" s="63"/>
      <c r="B81" s="62"/>
      <c r="C81" s="62"/>
      <c r="D81" s="62"/>
      <c r="E81" s="62"/>
      <c r="F81" s="62"/>
      <c r="G81" s="62"/>
      <c r="H81" s="62"/>
      <c r="I81" s="66"/>
      <c r="J81" s="66"/>
      <c r="K81" s="66"/>
      <c r="L81" s="66"/>
      <c r="M81" s="66"/>
      <c r="N81" s="64" t="str">
        <f>IF(OR($B81="", $I81="", $J81="", $K81="", $L81="", $M81=""),"",ROUND(($I81*Lists!$AN$2)+($J81*Lists!$AN$3)+($K81*Lists!$AN$4)+($L81*Lists!$AN$5)+($M81*Lists!$AN$6),2))</f>
        <v/>
      </c>
      <c r="O81" s="64"/>
      <c r="P81" s="66"/>
      <c r="Q81" s="66"/>
      <c r="R81" s="66"/>
      <c r="S81" s="66"/>
      <c r="T81" s="64" t="str">
        <f>IF(OR($B81="", $P81="", $Q81="", $R81="", $S81=""),"",ROUND(($P81*Lists!$AN$7)+($Q81*Lists!$AN$8)+($R81*Lists!$AN$9)+($S81*Lists!$AN$10),2))</f>
        <v/>
      </c>
      <c r="U81" s="66"/>
      <c r="V81" s="66"/>
      <c r="W81" s="66"/>
      <c r="X81" s="66"/>
      <c r="Y81" s="66"/>
      <c r="Z81" s="64" t="str">
        <f>IF(OR($B81="", $U81="", $V81="", $W81="", $X81="", $Y81=""),"",ROUND(($U81*Lists!$AN$11)+($V81*Lists!$AN$12)+($W81*Lists!$AN$13)+($X81*Lists!$AN$14)+($Y81*Lists!$AN$15),2))</f>
        <v/>
      </c>
      <c r="AA81" s="64" t="str">
        <f>IF(OR($B81="", $N81="", $O81="", $T81="", $Z81=""),"",ROUND(($N81*Lists!$AN$16)-($O81*Lists!$AN$17)-($T81*Lists!$AN$18)+($Z81*Lists!$AN$19),2))</f>
        <v/>
      </c>
      <c r="AB81" s="63"/>
      <c r="AC81" s="63"/>
      <c r="AD81" s="63"/>
      <c r="AE81" s="63"/>
      <c r="AF81" s="62"/>
      <c r="AG81" s="62"/>
      <c r="AH81" s="62"/>
      <c r="AI81" s="62"/>
      <c r="AJ81" s="62"/>
      <c r="AK81" s="62"/>
      <c r="AL81" s="62"/>
      <c r="AM81" s="62"/>
      <c r="AN81" s="62"/>
      <c r="AO81" s="62"/>
      <c r="AP81" s="62"/>
      <c r="AQ81" s="80"/>
    </row>
    <row r="82" spans="1:43" ht="16" x14ac:dyDescent="0.2">
      <c r="A82" s="63"/>
      <c r="B82" s="62"/>
      <c r="C82" s="62"/>
      <c r="D82" s="62"/>
      <c r="E82" s="62"/>
      <c r="F82" s="62"/>
      <c r="G82" s="62"/>
      <c r="H82" s="62"/>
      <c r="I82" s="66"/>
      <c r="J82" s="66"/>
      <c r="K82" s="66"/>
      <c r="L82" s="66"/>
      <c r="M82" s="66"/>
      <c r="N82" s="64" t="str">
        <f>IF(OR($B82="", $I82="", $J82="", $K82="", $L82="", $M82=""),"",ROUND(($I82*Lists!$AN$2)+($J82*Lists!$AN$3)+($K82*Lists!$AN$4)+($L82*Lists!$AN$5)+($M82*Lists!$AN$6),2))</f>
        <v/>
      </c>
      <c r="O82" s="64"/>
      <c r="P82" s="66"/>
      <c r="Q82" s="66"/>
      <c r="R82" s="66"/>
      <c r="S82" s="66"/>
      <c r="T82" s="64" t="str">
        <f>IF(OR($B82="", $P82="", $Q82="", $R82="", $S82=""),"",ROUND(($P82*Lists!$AN$7)+($Q82*Lists!$AN$8)+($R82*Lists!$AN$9)+($S82*Lists!$AN$10),2))</f>
        <v/>
      </c>
      <c r="U82" s="66"/>
      <c r="V82" s="66"/>
      <c r="W82" s="66"/>
      <c r="X82" s="66"/>
      <c r="Y82" s="66"/>
      <c r="Z82" s="64" t="str">
        <f>IF(OR($B82="", $U82="", $V82="", $W82="", $X82="", $Y82=""),"",ROUND(($U82*Lists!$AN$11)+($V82*Lists!$AN$12)+($W82*Lists!$AN$13)+($X82*Lists!$AN$14)+($Y82*Lists!$AN$15),2))</f>
        <v/>
      </c>
      <c r="AA82" s="64" t="str">
        <f>IF(OR($B82="", $N82="", $O82="", $T82="", $Z82=""),"",ROUND(($N82*Lists!$AN$16)-($O82*Lists!$AN$17)-($T82*Lists!$AN$18)+($Z82*Lists!$AN$19),2))</f>
        <v/>
      </c>
      <c r="AB82" s="63"/>
      <c r="AC82" s="63"/>
      <c r="AD82" s="63"/>
      <c r="AE82" s="63"/>
      <c r="AF82" s="62"/>
      <c r="AG82" s="62"/>
      <c r="AH82" s="62"/>
      <c r="AI82" s="62"/>
      <c r="AJ82" s="62"/>
      <c r="AK82" s="62"/>
      <c r="AL82" s="62"/>
      <c r="AM82" s="62"/>
      <c r="AN82" s="62"/>
      <c r="AO82" s="62"/>
      <c r="AP82" s="62"/>
      <c r="AQ82" s="80"/>
    </row>
    <row r="83" spans="1:43" ht="16" x14ac:dyDescent="0.2">
      <c r="A83" s="63"/>
      <c r="B83" s="62"/>
      <c r="C83" s="62"/>
      <c r="D83" s="62"/>
      <c r="E83" s="62"/>
      <c r="F83" s="62"/>
      <c r="G83" s="62"/>
      <c r="H83" s="62"/>
      <c r="I83" s="66"/>
      <c r="J83" s="66"/>
      <c r="K83" s="66"/>
      <c r="L83" s="66"/>
      <c r="M83" s="66"/>
      <c r="N83" s="64" t="str">
        <f>IF(OR($B83="", $I83="", $J83="", $K83="", $L83="", $M83=""),"",ROUND(($I83*Lists!$AN$2)+($J83*Lists!$AN$3)+($K83*Lists!$AN$4)+($L83*Lists!$AN$5)+($M83*Lists!$AN$6),2))</f>
        <v/>
      </c>
      <c r="O83" s="64"/>
      <c r="P83" s="66"/>
      <c r="Q83" s="66"/>
      <c r="R83" s="66"/>
      <c r="S83" s="66"/>
      <c r="T83" s="64" t="str">
        <f>IF(OR($B83="", $P83="", $Q83="", $R83="", $S83=""),"",ROUND(($P83*Lists!$AN$7)+($Q83*Lists!$AN$8)+($R83*Lists!$AN$9)+($S83*Lists!$AN$10),2))</f>
        <v/>
      </c>
      <c r="U83" s="66"/>
      <c r="V83" s="66"/>
      <c r="W83" s="66"/>
      <c r="X83" s="66"/>
      <c r="Y83" s="66"/>
      <c r="Z83" s="64" t="str">
        <f>IF(OR($B83="", $U83="", $V83="", $W83="", $X83="", $Y83=""),"",ROUND(($U83*Lists!$AN$11)+($V83*Lists!$AN$12)+($W83*Lists!$AN$13)+($X83*Lists!$AN$14)+($Y83*Lists!$AN$15),2))</f>
        <v/>
      </c>
      <c r="AA83" s="64" t="str">
        <f>IF(OR($B83="", $N83="", $O83="", $T83="", $Z83=""),"",ROUND(($N83*Lists!$AN$16)-($O83*Lists!$AN$17)-($T83*Lists!$AN$18)+($Z83*Lists!$AN$19),2))</f>
        <v/>
      </c>
      <c r="AB83" s="63"/>
      <c r="AC83" s="63"/>
      <c r="AD83" s="63"/>
      <c r="AE83" s="63"/>
      <c r="AF83" s="62"/>
      <c r="AG83" s="62"/>
      <c r="AH83" s="62"/>
      <c r="AI83" s="62"/>
      <c r="AJ83" s="62"/>
      <c r="AK83" s="62"/>
      <c r="AL83" s="62"/>
      <c r="AM83" s="62"/>
      <c r="AN83" s="62"/>
      <c r="AO83" s="62"/>
      <c r="AP83" s="62"/>
      <c r="AQ83" s="80"/>
    </row>
    <row r="84" spans="1:43" ht="16" x14ac:dyDescent="0.2">
      <c r="A84" s="63"/>
      <c r="B84" s="62"/>
      <c r="C84" s="62"/>
      <c r="D84" s="62"/>
      <c r="E84" s="62"/>
      <c r="F84" s="62"/>
      <c r="G84" s="62"/>
      <c r="H84" s="62"/>
      <c r="I84" s="66"/>
      <c r="J84" s="66"/>
      <c r="K84" s="66"/>
      <c r="L84" s="66"/>
      <c r="M84" s="66"/>
      <c r="N84" s="64" t="str">
        <f>IF(OR($B84="", $I84="", $J84="", $K84="", $L84="", $M84=""),"",ROUND(($I84*Lists!$AN$2)+($J84*Lists!$AN$3)+($K84*Lists!$AN$4)+($L84*Lists!$AN$5)+($M84*Lists!$AN$6),2))</f>
        <v/>
      </c>
      <c r="O84" s="64"/>
      <c r="P84" s="66"/>
      <c r="Q84" s="66"/>
      <c r="R84" s="66"/>
      <c r="S84" s="66"/>
      <c r="T84" s="64" t="str">
        <f>IF(OR($B84="", $P84="", $Q84="", $R84="", $S84=""),"",ROUND(($P84*Lists!$AN$7)+($Q84*Lists!$AN$8)+($R84*Lists!$AN$9)+($S84*Lists!$AN$10),2))</f>
        <v/>
      </c>
      <c r="U84" s="66"/>
      <c r="V84" s="66"/>
      <c r="W84" s="66"/>
      <c r="X84" s="66"/>
      <c r="Y84" s="66"/>
      <c r="Z84" s="64" t="str">
        <f>IF(OR($B84="", $U84="", $V84="", $W84="", $X84="", $Y84=""),"",ROUND(($U84*Lists!$AN$11)+($V84*Lists!$AN$12)+($W84*Lists!$AN$13)+($X84*Lists!$AN$14)+($Y84*Lists!$AN$15),2))</f>
        <v/>
      </c>
      <c r="AA84" s="64" t="str">
        <f>IF(OR($B84="", $N84="", $O84="", $T84="", $Z84=""),"",ROUND(($N84*Lists!$AN$16)-($O84*Lists!$AN$17)-($T84*Lists!$AN$18)+($Z84*Lists!$AN$19),2))</f>
        <v/>
      </c>
      <c r="AB84" s="63"/>
      <c r="AC84" s="63"/>
      <c r="AD84" s="63"/>
      <c r="AE84" s="63"/>
      <c r="AF84" s="62"/>
      <c r="AG84" s="62"/>
      <c r="AH84" s="62"/>
      <c r="AI84" s="62"/>
      <c r="AJ84" s="62"/>
      <c r="AK84" s="62"/>
      <c r="AL84" s="62"/>
      <c r="AM84" s="62"/>
      <c r="AN84" s="62"/>
      <c r="AO84" s="62"/>
      <c r="AP84" s="62"/>
      <c r="AQ84" s="80"/>
    </row>
    <row r="85" spans="1:43" ht="16" x14ac:dyDescent="0.2">
      <c r="A85" s="63"/>
      <c r="B85" s="62"/>
      <c r="C85" s="62"/>
      <c r="D85" s="62"/>
      <c r="E85" s="62"/>
      <c r="F85" s="62"/>
      <c r="G85" s="62"/>
      <c r="H85" s="62"/>
      <c r="I85" s="66"/>
      <c r="J85" s="66"/>
      <c r="K85" s="66"/>
      <c r="L85" s="66"/>
      <c r="M85" s="66"/>
      <c r="N85" s="64" t="str">
        <f>IF(OR($B85="", $I85="", $J85="", $K85="", $L85="", $M85=""),"",ROUND(($I85*Lists!$AN$2)+($J85*Lists!$AN$3)+($K85*Lists!$AN$4)+($L85*Lists!$AN$5)+($M85*Lists!$AN$6),2))</f>
        <v/>
      </c>
      <c r="O85" s="64"/>
      <c r="P85" s="66"/>
      <c r="Q85" s="66"/>
      <c r="R85" s="66"/>
      <c r="S85" s="66"/>
      <c r="T85" s="64" t="str">
        <f>IF(OR($B85="", $P85="", $Q85="", $R85="", $S85=""),"",ROUND(($P85*Lists!$AN$7)+($Q85*Lists!$AN$8)+($R85*Lists!$AN$9)+($S85*Lists!$AN$10),2))</f>
        <v/>
      </c>
      <c r="U85" s="66"/>
      <c r="V85" s="66"/>
      <c r="W85" s="66"/>
      <c r="X85" s="66"/>
      <c r="Y85" s="66"/>
      <c r="Z85" s="64" t="str">
        <f>IF(OR($B85="", $U85="", $V85="", $W85="", $X85="", $Y85=""),"",ROUND(($U85*Lists!$AN$11)+($V85*Lists!$AN$12)+($W85*Lists!$AN$13)+($X85*Lists!$AN$14)+($Y85*Lists!$AN$15),2))</f>
        <v/>
      </c>
      <c r="AA85" s="64" t="str">
        <f>IF(OR($B85="", $N85="", $O85="", $T85="", $Z85=""),"",ROUND(($N85*Lists!$AN$16)-($O85*Lists!$AN$17)-($T85*Lists!$AN$18)+($Z85*Lists!$AN$19),2))</f>
        <v/>
      </c>
      <c r="AB85" s="63"/>
      <c r="AC85" s="63"/>
      <c r="AD85" s="63"/>
      <c r="AE85" s="63"/>
      <c r="AF85" s="62"/>
      <c r="AG85" s="62"/>
      <c r="AH85" s="62"/>
      <c r="AI85" s="62"/>
      <c r="AJ85" s="62"/>
      <c r="AK85" s="62"/>
      <c r="AL85" s="62"/>
      <c r="AM85" s="62"/>
      <c r="AN85" s="62"/>
      <c r="AO85" s="62"/>
      <c r="AP85" s="62"/>
      <c r="AQ85" s="80"/>
    </row>
    <row r="86" spans="1:43" ht="16" x14ac:dyDescent="0.2">
      <c r="A86" s="63"/>
      <c r="B86" s="62"/>
      <c r="C86" s="62"/>
      <c r="D86" s="62"/>
      <c r="E86" s="62"/>
      <c r="F86" s="62"/>
      <c r="G86" s="62"/>
      <c r="H86" s="62"/>
      <c r="I86" s="66"/>
      <c r="J86" s="66"/>
      <c r="K86" s="66"/>
      <c r="L86" s="66"/>
      <c r="M86" s="66"/>
      <c r="N86" s="64" t="str">
        <f>IF(OR($B86="", $I86="", $J86="", $K86="", $L86="", $M86=""),"",ROUND(($I86*Lists!$AN$2)+($J86*Lists!$AN$3)+($K86*Lists!$AN$4)+($L86*Lists!$AN$5)+($M86*Lists!$AN$6),2))</f>
        <v/>
      </c>
      <c r="O86" s="64"/>
      <c r="P86" s="66"/>
      <c r="Q86" s="66"/>
      <c r="R86" s="66"/>
      <c r="S86" s="66"/>
      <c r="T86" s="64" t="str">
        <f>IF(OR($B86="", $P86="", $Q86="", $R86="", $S86=""),"",ROUND(($P86*Lists!$AN$7)+($Q86*Lists!$AN$8)+($R86*Lists!$AN$9)+($S86*Lists!$AN$10),2))</f>
        <v/>
      </c>
      <c r="U86" s="66"/>
      <c r="V86" s="66"/>
      <c r="W86" s="66"/>
      <c r="X86" s="66"/>
      <c r="Y86" s="66"/>
      <c r="Z86" s="64" t="str">
        <f>IF(OR($B86="", $U86="", $V86="", $W86="", $X86="", $Y86=""),"",ROUND(($U86*Lists!$AN$11)+($V86*Lists!$AN$12)+($W86*Lists!$AN$13)+($X86*Lists!$AN$14)+($Y86*Lists!$AN$15),2))</f>
        <v/>
      </c>
      <c r="AA86" s="64" t="str">
        <f>IF(OR($B86="", $N86="", $O86="", $T86="", $Z86=""),"",ROUND(($N86*Lists!$AN$16)-($O86*Lists!$AN$17)-($T86*Lists!$AN$18)+($Z86*Lists!$AN$19),2))</f>
        <v/>
      </c>
      <c r="AB86" s="63"/>
      <c r="AC86" s="63"/>
      <c r="AD86" s="63"/>
      <c r="AE86" s="63"/>
      <c r="AF86" s="62"/>
      <c r="AG86" s="62"/>
      <c r="AH86" s="62"/>
      <c r="AI86" s="62"/>
      <c r="AJ86" s="62"/>
      <c r="AK86" s="62"/>
      <c r="AL86" s="62"/>
      <c r="AM86" s="62"/>
      <c r="AN86" s="62"/>
      <c r="AO86" s="62"/>
      <c r="AP86" s="62"/>
      <c r="AQ86" s="80"/>
    </row>
    <row r="87" spans="1:43" ht="15.75" customHeight="1" x14ac:dyDescent="0.2">
      <c r="A87" s="63" t="str">
        <f t="shared" ref="A87:A150" si="4">IF($B87="","", "APM-" &amp; RIGHT("0000"&amp;ROW()-1,4))</f>
        <v/>
      </c>
      <c r="B87" s="62"/>
      <c r="C87" s="62"/>
      <c r="D87" s="62"/>
      <c r="E87" s="62"/>
      <c r="F87" s="62"/>
      <c r="G87" s="62"/>
      <c r="H87" s="62"/>
      <c r="I87" s="66"/>
      <c r="J87" s="66"/>
      <c r="K87" s="66"/>
      <c r="L87" s="66"/>
      <c r="M87" s="66"/>
      <c r="N87" s="64" t="str">
        <f>IF(OR($B87="", $I87="", $J87="", $K87="", $L87="", $M87=""),"",ROUND(($I87*Lists!$AN$2)+($J87*Lists!$AN$3)+($K87*Lists!$AN$4)+($L87*Lists!$AN$5)+($M87*Lists!$AN$6),2))</f>
        <v/>
      </c>
      <c r="O87" s="64" t="str">
        <f>IF($A87="","",IFERROR(VLOOKUP($A87,'Risk Register'!$B$2:$I$1000,8,FALSE()),""))</f>
        <v/>
      </c>
      <c r="P87" s="66"/>
      <c r="Q87" s="66"/>
      <c r="R87" s="66"/>
      <c r="S87" s="66"/>
      <c r="T87" s="64" t="str">
        <f>IF(OR($B87="", $P87="", $Q87="", $R87="", $S87=""),"",ROUND(($P87*Lists!$AN$7)+($Q87*Lists!$AN$8)+($R87*Lists!$AN$9)+($S87*Lists!$AN$10),2))</f>
        <v/>
      </c>
      <c r="U87" s="66"/>
      <c r="V87" s="66"/>
      <c r="W87" s="66"/>
      <c r="X87" s="66"/>
      <c r="Y87" s="66"/>
      <c r="Z87" s="64" t="str">
        <f>IF(OR($B87="", $U87="", $V87="", $W87="", $X87="", $Y87=""),"",ROUND(($U87*Lists!$AN$11)+($V87*Lists!$AN$12)+($W87*Lists!$AN$13)+($X87*Lists!$AN$14)+($Y87*Lists!$AN$15),2))</f>
        <v/>
      </c>
      <c r="AA87" s="64" t="str">
        <f>IF(OR($B87="", $N87="", $O87="", $T87="", $Z87=""),"",ROUND(($N87*Lists!$AN$16)-($O87*Lists!$AN$17)-($T87*Lists!$AN$18)+($Z87*Lists!$AN$19),2))</f>
        <v/>
      </c>
      <c r="AB87" s="63" t="str">
        <f t="shared" ref="AB87:AB150" si="5">IF($AA87="","",IF($AA87&gt;=3.5,"INVEST",IF($AA87&gt;=2.5,"TOLERATE",IF($AA87&gt;=1.5,"MIGRATE / MODERNIZE","RETIRE"))))</f>
        <v/>
      </c>
      <c r="AC87" s="63" t="str">
        <f t="shared" ref="AC87:AC150" si="6">IF($B87="","",IF($J87&gt;=4,"Yes",""))</f>
        <v/>
      </c>
      <c r="AD87" s="63" t="str">
        <f>IF($A87="","",IFERROR(IF(VLOOKUP($A87,'Risk Register'!$B$2:$H$1000,4,FALSE())&gt;=4,"Yes",""),""))</f>
        <v/>
      </c>
      <c r="AE87" s="63" t="str">
        <f t="shared" ref="AE87:AE150" si="7">IF(OR($N87="", $O87=""),"",IF($N87&gt;=3.5,IF($O87&gt;=3.5,"High Value / High Risk","High Value / Low Risk"),IF($O87&gt;=3.5,"Low Value / High Risk","Low Value / Low Risk")))</f>
        <v/>
      </c>
      <c r="AF87" s="62"/>
      <c r="AG87" s="62"/>
      <c r="AH87" s="62"/>
      <c r="AI87" s="62"/>
      <c r="AJ87" s="62"/>
      <c r="AK87" s="62"/>
      <c r="AL87" s="62"/>
      <c r="AM87" s="62"/>
      <c r="AN87" s="62"/>
      <c r="AO87" s="62"/>
      <c r="AP87" s="62"/>
      <c r="AQ87" s="80"/>
    </row>
    <row r="88" spans="1:43" ht="15.75" customHeight="1" x14ac:dyDescent="0.2">
      <c r="A88" s="63" t="str">
        <f t="shared" si="4"/>
        <v/>
      </c>
      <c r="B88" s="62"/>
      <c r="C88" s="62"/>
      <c r="D88" s="62"/>
      <c r="E88" s="62"/>
      <c r="F88" s="62"/>
      <c r="G88" s="62"/>
      <c r="H88" s="62"/>
      <c r="I88" s="66"/>
      <c r="J88" s="66"/>
      <c r="K88" s="66"/>
      <c r="L88" s="66"/>
      <c r="M88" s="66"/>
      <c r="N88" s="64" t="str">
        <f>IF(OR($B88="", $I88="", $J88="", $K88="", $L88="", $M88=""),"",ROUND(($I88*Lists!$AN$2)+($J88*Lists!$AN$3)+($K88*Lists!$AN$4)+($L88*Lists!$AN$5)+($M88*Lists!$AN$6),2))</f>
        <v/>
      </c>
      <c r="O88" s="64" t="str">
        <f>IF($A88="","",IFERROR(VLOOKUP($A88,'Risk Register'!$B$2:$I$1000,8,FALSE()),""))</f>
        <v/>
      </c>
      <c r="P88" s="66"/>
      <c r="Q88" s="66"/>
      <c r="R88" s="66"/>
      <c r="S88" s="66"/>
      <c r="T88" s="64" t="str">
        <f>IF(OR($B88="", $P88="", $Q88="", $R88="", $S88=""),"",ROUND(($P88*Lists!$AN$7)+($Q88*Lists!$AN$8)+($R88*Lists!$AN$9)+($S88*Lists!$AN$10),2))</f>
        <v/>
      </c>
      <c r="U88" s="66"/>
      <c r="V88" s="66"/>
      <c r="W88" s="66"/>
      <c r="X88" s="66"/>
      <c r="Y88" s="66"/>
      <c r="Z88" s="64" t="str">
        <f>IF(OR($B88="", $U88="", $V88="", $W88="", $X88="", $Y88=""),"",ROUND(($U88*Lists!$AN$11)+($V88*Lists!$AN$12)+($W88*Lists!$AN$13)+($X88*Lists!$AN$14)+($Y88*Lists!$AN$15),2))</f>
        <v/>
      </c>
      <c r="AA88" s="64" t="str">
        <f>IF(OR($B88="", $N88="", $O88="", $T88="", $Z88=""),"",ROUND(($N88*Lists!$AN$16)-($O88*Lists!$AN$17)-($T88*Lists!$AN$18)+($Z88*Lists!$AN$19),2))</f>
        <v/>
      </c>
      <c r="AB88" s="63" t="str">
        <f t="shared" si="5"/>
        <v/>
      </c>
      <c r="AC88" s="63" t="str">
        <f t="shared" si="6"/>
        <v/>
      </c>
      <c r="AD88" s="63" t="str">
        <f>IF($A88="","",IFERROR(IF(VLOOKUP($A88,'Risk Register'!$B$2:$H$1000,4,FALSE())&gt;=4,"Yes",""),""))</f>
        <v/>
      </c>
      <c r="AE88" s="63" t="str">
        <f t="shared" si="7"/>
        <v/>
      </c>
      <c r="AF88" s="62"/>
      <c r="AG88" s="62"/>
      <c r="AH88" s="62"/>
      <c r="AI88" s="62"/>
      <c r="AJ88" s="62"/>
      <c r="AK88" s="62"/>
      <c r="AL88" s="62"/>
      <c r="AM88" s="62"/>
      <c r="AN88" s="62"/>
      <c r="AO88" s="62"/>
      <c r="AP88" s="62"/>
      <c r="AQ88" s="80"/>
    </row>
    <row r="89" spans="1:43" ht="15.75" customHeight="1" x14ac:dyDescent="0.2">
      <c r="A89" s="63" t="str">
        <f t="shared" si="4"/>
        <v/>
      </c>
      <c r="B89" s="62"/>
      <c r="C89" s="62"/>
      <c r="D89" s="62"/>
      <c r="E89" s="62"/>
      <c r="F89" s="62"/>
      <c r="G89" s="62"/>
      <c r="H89" s="62"/>
      <c r="I89" s="66"/>
      <c r="J89" s="66"/>
      <c r="K89" s="66"/>
      <c r="L89" s="66"/>
      <c r="M89" s="66"/>
      <c r="N89" s="64" t="str">
        <f>IF(OR($B89="", $I89="", $J89="", $K89="", $L89="", $M89=""),"",ROUND(($I89*Lists!$AN$2)+($J89*Lists!$AN$3)+($K89*Lists!$AN$4)+($L89*Lists!$AN$5)+($M89*Lists!$AN$6),2))</f>
        <v/>
      </c>
      <c r="O89" s="64" t="str">
        <f>IF($A89="","",IFERROR(VLOOKUP($A89,'Risk Register'!$B$2:$I$1000,8,FALSE()),""))</f>
        <v/>
      </c>
      <c r="P89" s="66"/>
      <c r="Q89" s="66"/>
      <c r="R89" s="66"/>
      <c r="S89" s="66"/>
      <c r="T89" s="64" t="str">
        <f>IF(OR($B89="", $P89="", $Q89="", $R89="", $S89=""),"",ROUND(($P89*Lists!$AN$7)+($Q89*Lists!$AN$8)+($R89*Lists!$AN$9)+($S89*Lists!$AN$10),2))</f>
        <v/>
      </c>
      <c r="U89" s="66"/>
      <c r="V89" s="66"/>
      <c r="W89" s="66"/>
      <c r="X89" s="66"/>
      <c r="Y89" s="66"/>
      <c r="Z89" s="64" t="str">
        <f>IF(OR($B89="", $U89="", $V89="", $W89="", $X89="", $Y89=""),"",ROUND(($U89*Lists!$AN$11)+($V89*Lists!$AN$12)+($W89*Lists!$AN$13)+($X89*Lists!$AN$14)+($Y89*Lists!$AN$15),2))</f>
        <v/>
      </c>
      <c r="AA89" s="64" t="str">
        <f>IF(OR($B89="", $N89="", $O89="", $T89="", $Z89=""),"",ROUND(($N89*Lists!$AN$16)-($O89*Lists!$AN$17)-($T89*Lists!$AN$18)+($Z89*Lists!$AN$19),2))</f>
        <v/>
      </c>
      <c r="AB89" s="63" t="str">
        <f t="shared" si="5"/>
        <v/>
      </c>
      <c r="AC89" s="63" t="str">
        <f t="shared" si="6"/>
        <v/>
      </c>
      <c r="AD89" s="63" t="str">
        <f>IF($A89="","",IFERROR(IF(VLOOKUP($A89,'Risk Register'!$B$2:$H$1000,4,FALSE())&gt;=4,"Yes",""),""))</f>
        <v/>
      </c>
      <c r="AE89" s="63" t="str">
        <f t="shared" si="7"/>
        <v/>
      </c>
      <c r="AF89" s="62"/>
      <c r="AG89" s="62"/>
      <c r="AH89" s="62"/>
      <c r="AI89" s="62"/>
      <c r="AJ89" s="62"/>
      <c r="AK89" s="62"/>
      <c r="AL89" s="62"/>
      <c r="AM89" s="62"/>
      <c r="AN89" s="62"/>
      <c r="AO89" s="62"/>
      <c r="AP89" s="62"/>
      <c r="AQ89" s="80"/>
    </row>
    <row r="90" spans="1:43" ht="15.75" customHeight="1" x14ac:dyDescent="0.2">
      <c r="A90" s="63" t="str">
        <f t="shared" si="4"/>
        <v/>
      </c>
      <c r="B90" s="62"/>
      <c r="C90" s="62"/>
      <c r="D90" s="62"/>
      <c r="E90" s="62"/>
      <c r="F90" s="62"/>
      <c r="G90" s="62"/>
      <c r="H90" s="62"/>
      <c r="I90" s="66"/>
      <c r="J90" s="66"/>
      <c r="K90" s="66"/>
      <c r="L90" s="66"/>
      <c r="M90" s="66"/>
      <c r="N90" s="64" t="str">
        <f>IF(OR($B90="", $I90="", $J90="", $K90="", $L90="", $M90=""),"",ROUND(($I90*Lists!$AN$2)+($J90*Lists!$AN$3)+($K90*Lists!$AN$4)+($L90*Lists!$AN$5)+($M90*Lists!$AN$6),2))</f>
        <v/>
      </c>
      <c r="O90" s="64" t="str">
        <f>IF($A90="","",IFERROR(VLOOKUP($A90,'Risk Register'!$B$2:$I$1000,8,FALSE()),""))</f>
        <v/>
      </c>
      <c r="P90" s="66"/>
      <c r="Q90" s="66"/>
      <c r="R90" s="66"/>
      <c r="S90" s="66"/>
      <c r="T90" s="64" t="str">
        <f>IF(OR($B90="", $P90="", $Q90="", $R90="", $S90=""),"",ROUND(($P90*Lists!$AN$7)+($Q90*Lists!$AN$8)+($R90*Lists!$AN$9)+($S90*Lists!$AN$10),2))</f>
        <v/>
      </c>
      <c r="U90" s="66"/>
      <c r="V90" s="66"/>
      <c r="W90" s="66"/>
      <c r="X90" s="66"/>
      <c r="Y90" s="66"/>
      <c r="Z90" s="64" t="str">
        <f>IF(OR($B90="", $U90="", $V90="", $W90="", $X90="", $Y90=""),"",ROUND(($U90*Lists!$AN$11)+($V90*Lists!$AN$12)+($W90*Lists!$AN$13)+($X90*Lists!$AN$14)+($Y90*Lists!$AN$15),2))</f>
        <v/>
      </c>
      <c r="AA90" s="64" t="str">
        <f>IF(OR($B90="", $N90="", $O90="", $T90="", $Z90=""),"",ROUND(($N90*Lists!$AN$16)-($O90*Lists!$AN$17)-($T90*Lists!$AN$18)+($Z90*Lists!$AN$19),2))</f>
        <v/>
      </c>
      <c r="AB90" s="63" t="str">
        <f t="shared" si="5"/>
        <v/>
      </c>
      <c r="AC90" s="63" t="str">
        <f t="shared" si="6"/>
        <v/>
      </c>
      <c r="AD90" s="63" t="str">
        <f>IF($A90="","",IFERROR(IF(VLOOKUP($A90,'Risk Register'!$B$2:$H$1000,4,FALSE())&gt;=4,"Yes",""),""))</f>
        <v/>
      </c>
      <c r="AE90" s="63" t="str">
        <f t="shared" si="7"/>
        <v/>
      </c>
      <c r="AF90" s="62"/>
      <c r="AG90" s="62"/>
      <c r="AH90" s="62"/>
      <c r="AI90" s="62"/>
      <c r="AJ90" s="62"/>
      <c r="AK90" s="62"/>
      <c r="AL90" s="62"/>
      <c r="AM90" s="62"/>
      <c r="AN90" s="62"/>
      <c r="AO90" s="62"/>
      <c r="AP90" s="62"/>
      <c r="AQ90" s="80"/>
    </row>
    <row r="91" spans="1:43" ht="15.75" customHeight="1" x14ac:dyDescent="0.2">
      <c r="A91" s="63" t="str">
        <f t="shared" si="4"/>
        <v/>
      </c>
      <c r="B91" s="62"/>
      <c r="C91" s="62"/>
      <c r="D91" s="62"/>
      <c r="E91" s="62"/>
      <c r="F91" s="62"/>
      <c r="G91" s="62"/>
      <c r="H91" s="62"/>
      <c r="I91" s="66"/>
      <c r="J91" s="66"/>
      <c r="K91" s="66"/>
      <c r="L91" s="66"/>
      <c r="M91" s="66"/>
      <c r="N91" s="64" t="str">
        <f>IF(OR($B91="", $I91="", $J91="", $K91="", $L91="", $M91=""),"",ROUND(($I91*Lists!$AN$2)+($J91*Lists!$AN$3)+($K91*Lists!$AN$4)+($L91*Lists!$AN$5)+($M91*Lists!$AN$6),2))</f>
        <v/>
      </c>
      <c r="O91" s="64" t="str">
        <f>IF($A91="","",IFERROR(VLOOKUP($A91,'Risk Register'!$B$2:$I$1000,8,FALSE()),""))</f>
        <v/>
      </c>
      <c r="P91" s="66"/>
      <c r="Q91" s="66"/>
      <c r="R91" s="66"/>
      <c r="S91" s="66"/>
      <c r="T91" s="64" t="str">
        <f>IF(OR($B91="", $P91="", $Q91="", $R91="", $S91=""),"",ROUND(($P91*Lists!$AN$7)+($Q91*Lists!$AN$8)+($R91*Lists!$AN$9)+($S91*Lists!$AN$10),2))</f>
        <v/>
      </c>
      <c r="U91" s="66"/>
      <c r="V91" s="66"/>
      <c r="W91" s="66"/>
      <c r="X91" s="66"/>
      <c r="Y91" s="66"/>
      <c r="Z91" s="64" t="str">
        <f>IF(OR($B91="", $U91="", $V91="", $W91="", $X91="", $Y91=""),"",ROUND(($U91*Lists!$AN$11)+($V91*Lists!$AN$12)+($W91*Lists!$AN$13)+($X91*Lists!$AN$14)+($Y91*Lists!$AN$15),2))</f>
        <v/>
      </c>
      <c r="AA91" s="64" t="str">
        <f>IF(OR($B91="", $N91="", $O91="", $T91="", $Z91=""),"",ROUND(($N91*Lists!$AN$16)-($O91*Lists!$AN$17)-($T91*Lists!$AN$18)+($Z91*Lists!$AN$19),2))</f>
        <v/>
      </c>
      <c r="AB91" s="63" t="str">
        <f t="shared" si="5"/>
        <v/>
      </c>
      <c r="AC91" s="63" t="str">
        <f t="shared" si="6"/>
        <v/>
      </c>
      <c r="AD91" s="63" t="str">
        <f>IF($A91="","",IFERROR(IF(VLOOKUP($A91,'Risk Register'!$B$2:$H$1000,4,FALSE())&gt;=4,"Yes",""),""))</f>
        <v/>
      </c>
      <c r="AE91" s="63" t="str">
        <f t="shared" si="7"/>
        <v/>
      </c>
      <c r="AF91" s="62"/>
      <c r="AG91" s="62"/>
      <c r="AH91" s="62"/>
      <c r="AI91" s="62"/>
      <c r="AJ91" s="62"/>
      <c r="AK91" s="62"/>
      <c r="AL91" s="62"/>
      <c r="AM91" s="62"/>
      <c r="AN91" s="62"/>
      <c r="AO91" s="62"/>
      <c r="AP91" s="62"/>
      <c r="AQ91" s="80"/>
    </row>
    <row r="92" spans="1:43" ht="15.75" customHeight="1" x14ac:dyDescent="0.2">
      <c r="A92" s="63" t="str">
        <f t="shared" si="4"/>
        <v/>
      </c>
      <c r="B92" s="62"/>
      <c r="C92" s="62"/>
      <c r="D92" s="62"/>
      <c r="E92" s="62"/>
      <c r="F92" s="62"/>
      <c r="G92" s="62"/>
      <c r="H92" s="62"/>
      <c r="I92" s="66"/>
      <c r="J92" s="66"/>
      <c r="K92" s="66"/>
      <c r="L92" s="66"/>
      <c r="M92" s="66"/>
      <c r="N92" s="64" t="str">
        <f>IF(OR($B92="", $I92="", $J92="", $K92="", $L92="", $M92=""),"",ROUND(($I92*Lists!$AN$2)+($J92*Lists!$AN$3)+($K92*Lists!$AN$4)+($L92*Lists!$AN$5)+($M92*Lists!$AN$6),2))</f>
        <v/>
      </c>
      <c r="O92" s="64" t="str">
        <f>IF($A92="","",IFERROR(VLOOKUP($A92,'Risk Register'!$B$2:$I$1000,8,FALSE()),""))</f>
        <v/>
      </c>
      <c r="P92" s="66"/>
      <c r="Q92" s="66"/>
      <c r="R92" s="66"/>
      <c r="S92" s="66"/>
      <c r="T92" s="64" t="str">
        <f>IF(OR($B92="", $P92="", $Q92="", $R92="", $S92=""),"",ROUND(($P92*Lists!$AN$7)+($Q92*Lists!$AN$8)+($R92*Lists!$AN$9)+($S92*Lists!$AN$10),2))</f>
        <v/>
      </c>
      <c r="U92" s="66"/>
      <c r="V92" s="66"/>
      <c r="W92" s="66"/>
      <c r="X92" s="66"/>
      <c r="Y92" s="66"/>
      <c r="Z92" s="64" t="str">
        <f>IF(OR($B92="", $U92="", $V92="", $W92="", $X92="", $Y92=""),"",ROUND(($U92*Lists!$AN$11)+($V92*Lists!$AN$12)+($W92*Lists!$AN$13)+($X92*Lists!$AN$14)+($Y92*Lists!$AN$15),2))</f>
        <v/>
      </c>
      <c r="AA92" s="64" t="str">
        <f>IF(OR($B92="", $N92="", $O92="", $T92="", $Z92=""),"",ROUND(($N92*Lists!$AN$16)-($O92*Lists!$AN$17)-($T92*Lists!$AN$18)+($Z92*Lists!$AN$19),2))</f>
        <v/>
      </c>
      <c r="AB92" s="63" t="str">
        <f t="shared" si="5"/>
        <v/>
      </c>
      <c r="AC92" s="63" t="str">
        <f t="shared" si="6"/>
        <v/>
      </c>
      <c r="AD92" s="63" t="str">
        <f>IF($A92="","",IFERROR(IF(VLOOKUP($A92,'Risk Register'!$B$2:$H$1000,4,FALSE())&gt;=4,"Yes",""),""))</f>
        <v/>
      </c>
      <c r="AE92" s="63" t="str">
        <f t="shared" si="7"/>
        <v/>
      </c>
      <c r="AF92" s="62"/>
      <c r="AG92" s="62"/>
      <c r="AH92" s="62"/>
      <c r="AI92" s="62"/>
      <c r="AJ92" s="62"/>
      <c r="AK92" s="62"/>
      <c r="AL92" s="62"/>
      <c r="AM92" s="62"/>
      <c r="AN92" s="62"/>
      <c r="AO92" s="62"/>
      <c r="AP92" s="62"/>
      <c r="AQ92" s="80"/>
    </row>
    <row r="93" spans="1:43" ht="15.75" customHeight="1" x14ac:dyDescent="0.2">
      <c r="A93" s="63" t="str">
        <f t="shared" si="4"/>
        <v/>
      </c>
      <c r="B93" s="62"/>
      <c r="C93" s="62"/>
      <c r="D93" s="62"/>
      <c r="E93" s="62"/>
      <c r="F93" s="62"/>
      <c r="G93" s="62"/>
      <c r="H93" s="62"/>
      <c r="I93" s="66"/>
      <c r="J93" s="66"/>
      <c r="K93" s="66"/>
      <c r="L93" s="66"/>
      <c r="M93" s="66"/>
      <c r="N93" s="64" t="str">
        <f>IF(OR($B93="", $I93="", $J93="", $K93="", $L93="", $M93=""),"",ROUND(($I93*Lists!$AN$2)+($J93*Lists!$AN$3)+($K93*Lists!$AN$4)+($L93*Lists!$AN$5)+($M93*Lists!$AN$6),2))</f>
        <v/>
      </c>
      <c r="O93" s="64" t="str">
        <f>IF($A93="","",IFERROR(VLOOKUP($A93,'Risk Register'!$B$2:$I$1000,8,FALSE()),""))</f>
        <v/>
      </c>
      <c r="P93" s="66"/>
      <c r="Q93" s="66"/>
      <c r="R93" s="66"/>
      <c r="S93" s="66"/>
      <c r="T93" s="64" t="str">
        <f>IF(OR($B93="", $P93="", $Q93="", $R93="", $S93=""),"",ROUND(($P93*Lists!$AN$7)+($Q93*Lists!$AN$8)+($R93*Lists!$AN$9)+($S93*Lists!$AN$10),2))</f>
        <v/>
      </c>
      <c r="U93" s="66"/>
      <c r="V93" s="66"/>
      <c r="W93" s="66"/>
      <c r="X93" s="66"/>
      <c r="Y93" s="66"/>
      <c r="Z93" s="64" t="str">
        <f>IF(OR($B93="", $U93="", $V93="", $W93="", $X93="", $Y93=""),"",ROUND(($U93*Lists!$AN$11)+($V93*Lists!$AN$12)+($W93*Lists!$AN$13)+($X93*Lists!$AN$14)+($Y93*Lists!$AN$15),2))</f>
        <v/>
      </c>
      <c r="AA93" s="64" t="str">
        <f>IF(OR($B93="", $N93="", $O93="", $T93="", $Z93=""),"",ROUND(($N93*Lists!$AN$16)-($O93*Lists!$AN$17)-($T93*Lists!$AN$18)+($Z93*Lists!$AN$19),2))</f>
        <v/>
      </c>
      <c r="AB93" s="63" t="str">
        <f t="shared" si="5"/>
        <v/>
      </c>
      <c r="AC93" s="63" t="str">
        <f t="shared" si="6"/>
        <v/>
      </c>
      <c r="AD93" s="63" t="str">
        <f>IF($A93="","",IFERROR(IF(VLOOKUP($A93,'Risk Register'!$B$2:$H$1000,4,FALSE())&gt;=4,"Yes",""),""))</f>
        <v/>
      </c>
      <c r="AE93" s="63" t="str">
        <f t="shared" si="7"/>
        <v/>
      </c>
      <c r="AF93" s="62"/>
      <c r="AG93" s="62"/>
      <c r="AH93" s="62"/>
      <c r="AI93" s="62"/>
      <c r="AJ93" s="62"/>
      <c r="AK93" s="62"/>
      <c r="AL93" s="62"/>
      <c r="AM93" s="62"/>
      <c r="AN93" s="62"/>
      <c r="AO93" s="62"/>
      <c r="AP93" s="62"/>
      <c r="AQ93" s="80"/>
    </row>
    <row r="94" spans="1:43" ht="15.75" customHeight="1" x14ac:dyDescent="0.2">
      <c r="A94" s="63" t="str">
        <f t="shared" si="4"/>
        <v/>
      </c>
      <c r="B94" s="62"/>
      <c r="C94" s="62"/>
      <c r="D94" s="62"/>
      <c r="E94" s="62"/>
      <c r="F94" s="62"/>
      <c r="G94" s="62"/>
      <c r="H94" s="62"/>
      <c r="I94" s="66"/>
      <c r="J94" s="66"/>
      <c r="K94" s="66"/>
      <c r="L94" s="66"/>
      <c r="M94" s="66"/>
      <c r="N94" s="64" t="str">
        <f>IF(OR($B94="", $I94="", $J94="", $K94="", $L94="", $M94=""),"",ROUND(($I94*Lists!$AN$2)+($J94*Lists!$AN$3)+($K94*Lists!$AN$4)+($L94*Lists!$AN$5)+($M94*Lists!$AN$6),2))</f>
        <v/>
      </c>
      <c r="O94" s="64" t="str">
        <f>IF($A94="","",IFERROR(VLOOKUP($A94,'Risk Register'!$B$2:$I$1000,8,FALSE()),""))</f>
        <v/>
      </c>
      <c r="P94" s="66"/>
      <c r="Q94" s="66"/>
      <c r="R94" s="66"/>
      <c r="S94" s="66"/>
      <c r="T94" s="64" t="str">
        <f>IF(OR($B94="", $P94="", $Q94="", $R94="", $S94=""),"",ROUND(($P94*Lists!$AN$7)+($Q94*Lists!$AN$8)+($R94*Lists!$AN$9)+($S94*Lists!$AN$10),2))</f>
        <v/>
      </c>
      <c r="U94" s="66"/>
      <c r="V94" s="66"/>
      <c r="W94" s="66"/>
      <c r="X94" s="66"/>
      <c r="Y94" s="66"/>
      <c r="Z94" s="64" t="str">
        <f>IF(OR($B94="", $U94="", $V94="", $W94="", $X94="", $Y94=""),"",ROUND(($U94*Lists!$AN$11)+($V94*Lists!$AN$12)+($W94*Lists!$AN$13)+($X94*Lists!$AN$14)+($Y94*Lists!$AN$15),2))</f>
        <v/>
      </c>
      <c r="AA94" s="64" t="str">
        <f>IF(OR($B94="", $N94="", $O94="", $T94="", $Z94=""),"",ROUND(($N94*Lists!$AN$16)-($O94*Lists!$AN$17)-($T94*Lists!$AN$18)+($Z94*Lists!$AN$19),2))</f>
        <v/>
      </c>
      <c r="AB94" s="63" t="str">
        <f t="shared" si="5"/>
        <v/>
      </c>
      <c r="AC94" s="63" t="str">
        <f t="shared" si="6"/>
        <v/>
      </c>
      <c r="AD94" s="63" t="str">
        <f>IF($A94="","",IFERROR(IF(VLOOKUP($A94,'Risk Register'!$B$2:$H$1000,4,FALSE())&gt;=4,"Yes",""),""))</f>
        <v/>
      </c>
      <c r="AE94" s="63" t="str">
        <f t="shared" si="7"/>
        <v/>
      </c>
      <c r="AF94" s="62"/>
      <c r="AG94" s="62"/>
      <c r="AH94" s="62"/>
      <c r="AI94" s="62"/>
      <c r="AJ94" s="62"/>
      <c r="AK94" s="62"/>
      <c r="AL94" s="62"/>
      <c r="AM94" s="62"/>
      <c r="AN94" s="62"/>
      <c r="AO94" s="62"/>
      <c r="AP94" s="62"/>
      <c r="AQ94" s="80"/>
    </row>
    <row r="95" spans="1:43" ht="15.75" customHeight="1" x14ac:dyDescent="0.2">
      <c r="A95" s="63" t="str">
        <f t="shared" si="4"/>
        <v/>
      </c>
      <c r="B95" s="62"/>
      <c r="C95" s="62"/>
      <c r="D95" s="62"/>
      <c r="E95" s="62"/>
      <c r="F95" s="62"/>
      <c r="G95" s="62"/>
      <c r="H95" s="62"/>
      <c r="I95" s="66"/>
      <c r="J95" s="66"/>
      <c r="K95" s="66"/>
      <c r="L95" s="66"/>
      <c r="M95" s="66"/>
      <c r="N95" s="64" t="str">
        <f>IF(OR($B95="", $I95="", $J95="", $K95="", $L95="", $M95=""),"",ROUND(($I95*Lists!$AN$2)+($J95*Lists!$AN$3)+($K95*Lists!$AN$4)+($L95*Lists!$AN$5)+($M95*Lists!$AN$6),2))</f>
        <v/>
      </c>
      <c r="O95" s="64" t="str">
        <f>IF($A95="","",IFERROR(VLOOKUP($A95,'Risk Register'!$B$2:$I$1000,8,FALSE()),""))</f>
        <v/>
      </c>
      <c r="P95" s="66"/>
      <c r="Q95" s="66"/>
      <c r="R95" s="66"/>
      <c r="S95" s="66"/>
      <c r="T95" s="64" t="str">
        <f>IF(OR($B95="", $P95="", $Q95="", $R95="", $S95=""),"",ROUND(($P95*Lists!$AN$7)+($Q95*Lists!$AN$8)+($R95*Lists!$AN$9)+($S95*Lists!$AN$10),2))</f>
        <v/>
      </c>
      <c r="U95" s="66"/>
      <c r="V95" s="66"/>
      <c r="W95" s="66"/>
      <c r="X95" s="66"/>
      <c r="Y95" s="66"/>
      <c r="Z95" s="64" t="str">
        <f>IF(OR($B95="", $U95="", $V95="", $W95="", $X95="", $Y95=""),"",ROUND(($U95*Lists!$AN$11)+($V95*Lists!$AN$12)+($W95*Lists!$AN$13)+($X95*Lists!$AN$14)+($Y95*Lists!$AN$15),2))</f>
        <v/>
      </c>
      <c r="AA95" s="64" t="str">
        <f>IF(OR($B95="", $N95="", $O95="", $T95="", $Z95=""),"",ROUND(($N95*Lists!$AN$16)-($O95*Lists!$AN$17)-($T95*Lists!$AN$18)+($Z95*Lists!$AN$19),2))</f>
        <v/>
      </c>
      <c r="AB95" s="63" t="str">
        <f t="shared" si="5"/>
        <v/>
      </c>
      <c r="AC95" s="63" t="str">
        <f t="shared" si="6"/>
        <v/>
      </c>
      <c r="AD95" s="63" t="str">
        <f>IF($A95="","",IFERROR(IF(VLOOKUP($A95,'Risk Register'!$B$2:$H$1000,4,FALSE())&gt;=4,"Yes",""),""))</f>
        <v/>
      </c>
      <c r="AE95" s="63" t="str">
        <f t="shared" si="7"/>
        <v/>
      </c>
      <c r="AF95" s="62"/>
      <c r="AG95" s="62"/>
      <c r="AH95" s="62"/>
      <c r="AI95" s="62"/>
      <c r="AJ95" s="62"/>
      <c r="AK95" s="62"/>
      <c r="AL95" s="62"/>
      <c r="AM95" s="62"/>
      <c r="AN95" s="62"/>
      <c r="AO95" s="62"/>
      <c r="AP95" s="62"/>
      <c r="AQ95" s="80"/>
    </row>
    <row r="96" spans="1:43" ht="15.75" customHeight="1" x14ac:dyDescent="0.2">
      <c r="A96" s="63" t="str">
        <f t="shared" si="4"/>
        <v/>
      </c>
      <c r="B96" s="62"/>
      <c r="C96" s="62"/>
      <c r="D96" s="62"/>
      <c r="E96" s="62"/>
      <c r="F96" s="62"/>
      <c r="G96" s="62"/>
      <c r="H96" s="62"/>
      <c r="I96" s="66"/>
      <c r="J96" s="66"/>
      <c r="K96" s="66"/>
      <c r="L96" s="66"/>
      <c r="M96" s="66"/>
      <c r="N96" s="64" t="str">
        <f>IF(OR($B96="", $I96="", $J96="", $K96="", $L96="", $M96=""),"",ROUND(($I96*Lists!$AN$2)+($J96*Lists!$AN$3)+($K96*Lists!$AN$4)+($L96*Lists!$AN$5)+($M96*Lists!$AN$6),2))</f>
        <v/>
      </c>
      <c r="O96" s="64" t="str">
        <f>IF($A96="","",IFERROR(VLOOKUP($A96,'Risk Register'!$B$2:$I$1000,8,FALSE()),""))</f>
        <v/>
      </c>
      <c r="P96" s="66"/>
      <c r="Q96" s="66"/>
      <c r="R96" s="66"/>
      <c r="S96" s="66"/>
      <c r="T96" s="64" t="str">
        <f>IF(OR($B96="", $P96="", $Q96="", $R96="", $S96=""),"",ROUND(($P96*Lists!$AN$7)+($Q96*Lists!$AN$8)+($R96*Lists!$AN$9)+($S96*Lists!$AN$10),2))</f>
        <v/>
      </c>
      <c r="U96" s="66"/>
      <c r="V96" s="66"/>
      <c r="W96" s="66"/>
      <c r="X96" s="66"/>
      <c r="Y96" s="66"/>
      <c r="Z96" s="64" t="str">
        <f>IF(OR($B96="", $U96="", $V96="", $W96="", $X96="", $Y96=""),"",ROUND(($U96*Lists!$AN$11)+($V96*Lists!$AN$12)+($W96*Lists!$AN$13)+($X96*Lists!$AN$14)+($Y96*Lists!$AN$15),2))</f>
        <v/>
      </c>
      <c r="AA96" s="64" t="str">
        <f>IF(OR($B96="", $N96="", $O96="", $T96="", $Z96=""),"",ROUND(($N96*Lists!$AN$16)-($O96*Lists!$AN$17)-($T96*Lists!$AN$18)+($Z96*Lists!$AN$19),2))</f>
        <v/>
      </c>
      <c r="AB96" s="63" t="str">
        <f t="shared" si="5"/>
        <v/>
      </c>
      <c r="AC96" s="63" t="str">
        <f t="shared" si="6"/>
        <v/>
      </c>
      <c r="AD96" s="63" t="str">
        <f>IF($A96="","",IFERROR(IF(VLOOKUP($A96,'Risk Register'!$B$2:$H$1000,4,FALSE())&gt;=4,"Yes",""),""))</f>
        <v/>
      </c>
      <c r="AE96" s="63" t="str">
        <f t="shared" si="7"/>
        <v/>
      </c>
      <c r="AF96" s="62"/>
      <c r="AG96" s="62"/>
      <c r="AH96" s="62"/>
      <c r="AI96" s="62"/>
      <c r="AJ96" s="62"/>
      <c r="AK96" s="62"/>
      <c r="AL96" s="62"/>
      <c r="AM96" s="62"/>
      <c r="AN96" s="62"/>
      <c r="AO96" s="62"/>
      <c r="AP96" s="62"/>
      <c r="AQ96" s="80"/>
    </row>
    <row r="97" spans="1:43" ht="15.75" customHeight="1" x14ac:dyDescent="0.2">
      <c r="A97" s="63" t="str">
        <f t="shared" si="4"/>
        <v/>
      </c>
      <c r="B97" s="62"/>
      <c r="C97" s="62"/>
      <c r="D97" s="62"/>
      <c r="E97" s="62"/>
      <c r="F97" s="62"/>
      <c r="G97" s="62"/>
      <c r="H97" s="62"/>
      <c r="I97" s="66"/>
      <c r="J97" s="66"/>
      <c r="K97" s="66"/>
      <c r="L97" s="66"/>
      <c r="M97" s="66"/>
      <c r="N97" s="64" t="str">
        <f>IF(OR($B97="", $I97="", $J97="", $K97="", $L97="", $M97=""),"",ROUND(($I97*Lists!$AN$2)+($J97*Lists!$AN$3)+($K97*Lists!$AN$4)+($L97*Lists!$AN$5)+($M97*Lists!$AN$6),2))</f>
        <v/>
      </c>
      <c r="O97" s="64" t="str">
        <f>IF($A97="","",IFERROR(VLOOKUP($A97,'Risk Register'!$B$2:$I$1000,8,FALSE()),""))</f>
        <v/>
      </c>
      <c r="P97" s="66"/>
      <c r="Q97" s="66"/>
      <c r="R97" s="66"/>
      <c r="S97" s="66"/>
      <c r="T97" s="64" t="str">
        <f>IF(OR($B97="", $P97="", $Q97="", $R97="", $S97=""),"",ROUND(($P97*Lists!$AN$7)+($Q97*Lists!$AN$8)+($R97*Lists!$AN$9)+($S97*Lists!$AN$10),2))</f>
        <v/>
      </c>
      <c r="U97" s="66"/>
      <c r="V97" s="66"/>
      <c r="W97" s="66"/>
      <c r="X97" s="66"/>
      <c r="Y97" s="66"/>
      <c r="Z97" s="64" t="str">
        <f>IF(OR($B97="", $U97="", $V97="", $W97="", $X97="", $Y97=""),"",ROUND(($U97*Lists!$AN$11)+($V97*Lists!$AN$12)+($W97*Lists!$AN$13)+($X97*Lists!$AN$14)+($Y97*Lists!$AN$15),2))</f>
        <v/>
      </c>
      <c r="AA97" s="64" t="str">
        <f>IF(OR($B97="", $N97="", $O97="", $T97="", $Z97=""),"",ROUND(($N97*Lists!$AN$16)-($O97*Lists!$AN$17)-($T97*Lists!$AN$18)+($Z97*Lists!$AN$19),2))</f>
        <v/>
      </c>
      <c r="AB97" s="63" t="str">
        <f t="shared" si="5"/>
        <v/>
      </c>
      <c r="AC97" s="63" t="str">
        <f t="shared" si="6"/>
        <v/>
      </c>
      <c r="AD97" s="63" t="str">
        <f>IF($A97="","",IFERROR(IF(VLOOKUP($A97,'Risk Register'!$B$2:$H$1000,4,FALSE())&gt;=4,"Yes",""),""))</f>
        <v/>
      </c>
      <c r="AE97" s="63" t="str">
        <f t="shared" si="7"/>
        <v/>
      </c>
      <c r="AF97" s="62"/>
      <c r="AG97" s="62"/>
      <c r="AH97" s="62"/>
      <c r="AI97" s="62"/>
      <c r="AJ97" s="62"/>
      <c r="AK97" s="62"/>
      <c r="AL97" s="62"/>
      <c r="AM97" s="62"/>
      <c r="AN97" s="62"/>
      <c r="AO97" s="62"/>
      <c r="AP97" s="62"/>
      <c r="AQ97" s="80"/>
    </row>
    <row r="98" spans="1:43" ht="15.75" customHeight="1" x14ac:dyDescent="0.2">
      <c r="A98" s="63" t="str">
        <f t="shared" si="4"/>
        <v/>
      </c>
      <c r="B98" s="62"/>
      <c r="C98" s="62"/>
      <c r="D98" s="62"/>
      <c r="E98" s="62"/>
      <c r="F98" s="62"/>
      <c r="G98" s="62"/>
      <c r="H98" s="62"/>
      <c r="I98" s="66"/>
      <c r="J98" s="66"/>
      <c r="K98" s="66"/>
      <c r="L98" s="66"/>
      <c r="M98" s="66"/>
      <c r="N98" s="64" t="str">
        <f>IF(OR($B98="", $I98="", $J98="", $K98="", $L98="", $M98=""),"",ROUND(($I98*Lists!$AN$2)+($J98*Lists!$AN$3)+($K98*Lists!$AN$4)+($L98*Lists!$AN$5)+($M98*Lists!$AN$6),2))</f>
        <v/>
      </c>
      <c r="O98" s="64" t="str">
        <f>IF($A98="","",IFERROR(VLOOKUP($A98,'Risk Register'!$B$2:$I$1000,8,FALSE()),""))</f>
        <v/>
      </c>
      <c r="P98" s="66"/>
      <c r="Q98" s="66"/>
      <c r="R98" s="66"/>
      <c r="S98" s="66"/>
      <c r="T98" s="64" t="str">
        <f>IF(OR($B98="", $P98="", $Q98="", $R98="", $S98=""),"",ROUND(($P98*Lists!$AN$7)+($Q98*Lists!$AN$8)+($R98*Lists!$AN$9)+($S98*Lists!$AN$10),2))</f>
        <v/>
      </c>
      <c r="U98" s="66"/>
      <c r="V98" s="66"/>
      <c r="W98" s="66"/>
      <c r="X98" s="66"/>
      <c r="Y98" s="66"/>
      <c r="Z98" s="64" t="str">
        <f>IF(OR($B98="", $U98="", $V98="", $W98="", $X98="", $Y98=""),"",ROUND(($U98*Lists!$AN$11)+($V98*Lists!$AN$12)+($W98*Lists!$AN$13)+($X98*Lists!$AN$14)+($Y98*Lists!$AN$15),2))</f>
        <v/>
      </c>
      <c r="AA98" s="64" t="str">
        <f>IF(OR($B98="", $N98="", $O98="", $T98="", $Z98=""),"",ROUND(($N98*Lists!$AN$16)-($O98*Lists!$AN$17)-($T98*Lists!$AN$18)+($Z98*Lists!$AN$19),2))</f>
        <v/>
      </c>
      <c r="AB98" s="63" t="str">
        <f t="shared" si="5"/>
        <v/>
      </c>
      <c r="AC98" s="63" t="str">
        <f t="shared" si="6"/>
        <v/>
      </c>
      <c r="AD98" s="63" t="str">
        <f>IF($A98="","",IFERROR(IF(VLOOKUP($A98,'Risk Register'!$B$2:$H$1000,4,FALSE())&gt;=4,"Yes",""),""))</f>
        <v/>
      </c>
      <c r="AE98" s="63" t="str">
        <f t="shared" si="7"/>
        <v/>
      </c>
      <c r="AF98" s="62"/>
      <c r="AG98" s="62"/>
      <c r="AH98" s="62"/>
      <c r="AI98" s="62"/>
      <c r="AJ98" s="62"/>
      <c r="AK98" s="62"/>
      <c r="AL98" s="62"/>
      <c r="AM98" s="62"/>
      <c r="AN98" s="62"/>
      <c r="AO98" s="62"/>
      <c r="AP98" s="62"/>
      <c r="AQ98" s="80"/>
    </row>
    <row r="99" spans="1:43" ht="15.75" customHeight="1" x14ac:dyDescent="0.2">
      <c r="A99" s="63" t="str">
        <f t="shared" si="4"/>
        <v/>
      </c>
      <c r="B99" s="62"/>
      <c r="C99" s="62"/>
      <c r="D99" s="62"/>
      <c r="E99" s="62"/>
      <c r="F99" s="62"/>
      <c r="G99" s="62"/>
      <c r="H99" s="62"/>
      <c r="I99" s="66"/>
      <c r="J99" s="66"/>
      <c r="K99" s="66"/>
      <c r="L99" s="66"/>
      <c r="M99" s="66"/>
      <c r="N99" s="64" t="str">
        <f>IF(OR($B99="", $I99="", $J99="", $K99="", $L99="", $M99=""),"",ROUND(($I99*Lists!$AN$2)+($J99*Lists!$AN$3)+($K99*Lists!$AN$4)+($L99*Lists!$AN$5)+($M99*Lists!$AN$6),2))</f>
        <v/>
      </c>
      <c r="O99" s="64" t="str">
        <f>IF($A99="","",IFERROR(VLOOKUP($A99,'Risk Register'!$B$2:$I$1000,8,FALSE()),""))</f>
        <v/>
      </c>
      <c r="P99" s="66"/>
      <c r="Q99" s="66"/>
      <c r="R99" s="66"/>
      <c r="S99" s="66"/>
      <c r="T99" s="64" t="str">
        <f>IF(OR($B99="", $P99="", $Q99="", $R99="", $S99=""),"",ROUND(($P99*Lists!$AN$7)+($Q99*Lists!$AN$8)+($R99*Lists!$AN$9)+($S99*Lists!$AN$10),2))</f>
        <v/>
      </c>
      <c r="U99" s="66"/>
      <c r="V99" s="66"/>
      <c r="W99" s="66"/>
      <c r="X99" s="66"/>
      <c r="Y99" s="66"/>
      <c r="Z99" s="64" t="str">
        <f>IF(OR($B99="", $U99="", $V99="", $W99="", $X99="", $Y99=""),"",ROUND(($U99*Lists!$AN$11)+($V99*Lists!$AN$12)+($W99*Lists!$AN$13)+($X99*Lists!$AN$14)+($Y99*Lists!$AN$15),2))</f>
        <v/>
      </c>
      <c r="AA99" s="64" t="str">
        <f>IF(OR($B99="", $N99="", $O99="", $T99="", $Z99=""),"",ROUND(($N99*Lists!$AN$16)-($O99*Lists!$AN$17)-($T99*Lists!$AN$18)+($Z99*Lists!$AN$19),2))</f>
        <v/>
      </c>
      <c r="AB99" s="63" t="str">
        <f t="shared" si="5"/>
        <v/>
      </c>
      <c r="AC99" s="63" t="str">
        <f t="shared" si="6"/>
        <v/>
      </c>
      <c r="AD99" s="63" t="str">
        <f>IF($A99="","",IFERROR(IF(VLOOKUP($A99,'Risk Register'!$B$2:$H$1000,4,FALSE())&gt;=4,"Yes",""),""))</f>
        <v/>
      </c>
      <c r="AE99" s="63" t="str">
        <f t="shared" si="7"/>
        <v/>
      </c>
      <c r="AF99" s="62"/>
      <c r="AG99" s="62"/>
      <c r="AH99" s="62"/>
      <c r="AI99" s="62"/>
      <c r="AJ99" s="62"/>
      <c r="AK99" s="62"/>
      <c r="AL99" s="62"/>
      <c r="AM99" s="62"/>
      <c r="AN99" s="62"/>
      <c r="AO99" s="62"/>
      <c r="AP99" s="62"/>
      <c r="AQ99" s="80"/>
    </row>
    <row r="100" spans="1:43" ht="15.75" customHeight="1" x14ac:dyDescent="0.2">
      <c r="A100" s="63" t="str">
        <f t="shared" si="4"/>
        <v/>
      </c>
      <c r="B100" s="62"/>
      <c r="C100" s="62"/>
      <c r="D100" s="62"/>
      <c r="E100" s="62"/>
      <c r="F100" s="62"/>
      <c r="G100" s="62"/>
      <c r="H100" s="62"/>
      <c r="I100" s="66"/>
      <c r="J100" s="66"/>
      <c r="K100" s="66"/>
      <c r="L100" s="66"/>
      <c r="M100" s="66"/>
      <c r="N100" s="64" t="str">
        <f>IF(OR($B100="", $I100="", $J100="", $K100="", $L100="", $M100=""),"",ROUND(($I100*Lists!$AN$2)+($J100*Lists!$AN$3)+($K100*Lists!$AN$4)+($L100*Lists!$AN$5)+($M100*Lists!$AN$6),2))</f>
        <v/>
      </c>
      <c r="O100" s="64" t="str">
        <f>IF($A100="","",IFERROR(VLOOKUP($A100,'Risk Register'!$B$2:$I$1000,8,FALSE()),""))</f>
        <v/>
      </c>
      <c r="P100" s="66"/>
      <c r="Q100" s="66"/>
      <c r="R100" s="66"/>
      <c r="S100" s="66"/>
      <c r="T100" s="64" t="str">
        <f>IF(OR($B100="", $P100="", $Q100="", $R100="", $S100=""),"",ROUND(($P100*Lists!$AN$7)+($Q100*Lists!$AN$8)+($R100*Lists!$AN$9)+($S100*Lists!$AN$10),2))</f>
        <v/>
      </c>
      <c r="U100" s="66"/>
      <c r="V100" s="66"/>
      <c r="W100" s="66"/>
      <c r="X100" s="66"/>
      <c r="Y100" s="66"/>
      <c r="Z100" s="64" t="str">
        <f>IF(OR($B100="", $U100="", $V100="", $W100="", $X100="", $Y100=""),"",ROUND(($U100*Lists!$AN$11)+($V100*Lists!$AN$12)+($W100*Lists!$AN$13)+($X100*Lists!$AN$14)+($Y100*Lists!$AN$15),2))</f>
        <v/>
      </c>
      <c r="AA100" s="64" t="str">
        <f>IF(OR($B100="", $N100="", $O100="", $T100="", $Z100=""),"",ROUND(($N100*Lists!$AN$16)-($O100*Lists!$AN$17)-($T100*Lists!$AN$18)+($Z100*Lists!$AN$19),2))</f>
        <v/>
      </c>
      <c r="AB100" s="63" t="str">
        <f t="shared" si="5"/>
        <v/>
      </c>
      <c r="AC100" s="63" t="str">
        <f t="shared" si="6"/>
        <v/>
      </c>
      <c r="AD100" s="63" t="str">
        <f>IF($A100="","",IFERROR(IF(VLOOKUP($A100,'Risk Register'!$B$2:$H$1000,4,FALSE())&gt;=4,"Yes",""),""))</f>
        <v/>
      </c>
      <c r="AE100" s="63" t="str">
        <f t="shared" si="7"/>
        <v/>
      </c>
      <c r="AF100" s="62"/>
      <c r="AG100" s="62"/>
      <c r="AH100" s="62"/>
      <c r="AI100" s="62"/>
      <c r="AJ100" s="62"/>
      <c r="AK100" s="62"/>
      <c r="AL100" s="62"/>
      <c r="AM100" s="62"/>
      <c r="AN100" s="62"/>
      <c r="AO100" s="62"/>
      <c r="AP100" s="62"/>
      <c r="AQ100" s="80"/>
    </row>
    <row r="101" spans="1:43" ht="15.75" customHeight="1" x14ac:dyDescent="0.2">
      <c r="A101" s="63" t="str">
        <f t="shared" si="4"/>
        <v/>
      </c>
      <c r="B101" s="62"/>
      <c r="C101" s="62"/>
      <c r="D101" s="62"/>
      <c r="E101" s="62"/>
      <c r="F101" s="62"/>
      <c r="G101" s="62"/>
      <c r="H101" s="62"/>
      <c r="I101" s="66"/>
      <c r="J101" s="66"/>
      <c r="K101" s="66"/>
      <c r="L101" s="66"/>
      <c r="M101" s="66"/>
      <c r="N101" s="64" t="str">
        <f>IF(OR($B101="", $I101="", $J101="", $K101="", $L101="", $M101=""),"",ROUND(($I101*Lists!$AN$2)+($J101*Lists!$AN$3)+($K101*Lists!$AN$4)+($L101*Lists!$AN$5)+($M101*Lists!$AN$6),2))</f>
        <v/>
      </c>
      <c r="O101" s="64" t="str">
        <f>IF($A101="","",IFERROR(VLOOKUP($A101,'Risk Register'!$B$2:$I$1000,8,FALSE()),""))</f>
        <v/>
      </c>
      <c r="P101" s="66"/>
      <c r="Q101" s="66"/>
      <c r="R101" s="66"/>
      <c r="S101" s="66"/>
      <c r="T101" s="64" t="str">
        <f>IF(OR($B101="", $P101="", $Q101="", $R101="", $S101=""),"",ROUND(($P101*Lists!$AN$7)+($Q101*Lists!$AN$8)+($R101*Lists!$AN$9)+($S101*Lists!$AN$10),2))</f>
        <v/>
      </c>
      <c r="U101" s="66"/>
      <c r="V101" s="66"/>
      <c r="W101" s="66"/>
      <c r="X101" s="66"/>
      <c r="Y101" s="66"/>
      <c r="Z101" s="64" t="str">
        <f>IF(OR($B101="", $U101="", $V101="", $W101="", $X101="", $Y101=""),"",ROUND(($U101*Lists!$AN$11)+($V101*Lists!$AN$12)+($W101*Lists!$AN$13)+($X101*Lists!$AN$14)+($Y101*Lists!$AN$15),2))</f>
        <v/>
      </c>
      <c r="AA101" s="64" t="str">
        <f>IF(OR($B101="", $N101="", $O101="", $T101="", $Z101=""),"",ROUND(($N101*Lists!$AN$16)-($O101*Lists!$AN$17)-($T101*Lists!$AN$18)+($Z101*Lists!$AN$19),2))</f>
        <v/>
      </c>
      <c r="AB101" s="63" t="str">
        <f t="shared" si="5"/>
        <v/>
      </c>
      <c r="AC101" s="63" t="str">
        <f t="shared" si="6"/>
        <v/>
      </c>
      <c r="AD101" s="63" t="str">
        <f>IF($A101="","",IFERROR(IF(VLOOKUP($A101,'Risk Register'!$B$2:$H$1000,4,FALSE())&gt;=4,"Yes",""),""))</f>
        <v/>
      </c>
      <c r="AE101" s="63" t="str">
        <f t="shared" si="7"/>
        <v/>
      </c>
      <c r="AF101" s="62"/>
      <c r="AG101" s="62"/>
      <c r="AH101" s="62"/>
      <c r="AI101" s="62"/>
      <c r="AJ101" s="62"/>
      <c r="AK101" s="62"/>
      <c r="AL101" s="62"/>
      <c r="AM101" s="62"/>
      <c r="AN101" s="62"/>
      <c r="AO101" s="62"/>
      <c r="AP101" s="62"/>
      <c r="AQ101" s="80"/>
    </row>
    <row r="102" spans="1:43" ht="15.75" customHeight="1" x14ac:dyDescent="0.2">
      <c r="A102" s="63" t="str">
        <f t="shared" si="4"/>
        <v/>
      </c>
      <c r="B102" s="62"/>
      <c r="C102" s="62"/>
      <c r="D102" s="62"/>
      <c r="E102" s="62"/>
      <c r="F102" s="62"/>
      <c r="G102" s="62"/>
      <c r="H102" s="62"/>
      <c r="I102" s="66"/>
      <c r="J102" s="66"/>
      <c r="K102" s="66"/>
      <c r="L102" s="66"/>
      <c r="M102" s="66"/>
      <c r="N102" s="64" t="str">
        <f>IF(OR($B102="", $I102="", $J102="", $K102="", $L102="", $M102=""),"",ROUND(($I102*Lists!$AN$2)+($J102*Lists!$AN$3)+($K102*Lists!$AN$4)+($L102*Lists!$AN$5)+($M102*Lists!$AN$6),2))</f>
        <v/>
      </c>
      <c r="O102" s="64" t="str">
        <f>IF($A102="","",IFERROR(VLOOKUP($A102,'Risk Register'!$B$2:$I$1000,8,FALSE()),""))</f>
        <v/>
      </c>
      <c r="P102" s="66"/>
      <c r="Q102" s="66"/>
      <c r="R102" s="66"/>
      <c r="S102" s="66"/>
      <c r="T102" s="64" t="str">
        <f>IF(OR($B102="", $P102="", $Q102="", $R102="", $S102=""),"",ROUND(($P102*Lists!$AN$7)+($Q102*Lists!$AN$8)+($R102*Lists!$AN$9)+($S102*Lists!$AN$10),2))</f>
        <v/>
      </c>
      <c r="U102" s="66"/>
      <c r="V102" s="66"/>
      <c r="W102" s="66"/>
      <c r="X102" s="66"/>
      <c r="Y102" s="66"/>
      <c r="Z102" s="64" t="str">
        <f>IF(OR($B102="", $U102="", $V102="", $W102="", $X102="", $Y102=""),"",ROUND(($U102*Lists!$AN$11)+($V102*Lists!$AN$12)+($W102*Lists!$AN$13)+($X102*Lists!$AN$14)+($Y102*Lists!$AN$15),2))</f>
        <v/>
      </c>
      <c r="AA102" s="64" t="str">
        <f>IF(OR($B102="", $N102="", $O102="", $T102="", $Z102=""),"",ROUND(($N102*Lists!$AN$16)-($O102*Lists!$AN$17)-($T102*Lists!$AN$18)+($Z102*Lists!$AN$19),2))</f>
        <v/>
      </c>
      <c r="AB102" s="63" t="str">
        <f t="shared" si="5"/>
        <v/>
      </c>
      <c r="AC102" s="63" t="str">
        <f t="shared" si="6"/>
        <v/>
      </c>
      <c r="AD102" s="63" t="str">
        <f>IF($A102="","",IFERROR(IF(VLOOKUP($A102,'Risk Register'!$B$2:$H$1000,4,FALSE())&gt;=4,"Yes",""),""))</f>
        <v/>
      </c>
      <c r="AE102" s="63" t="str">
        <f t="shared" si="7"/>
        <v/>
      </c>
      <c r="AF102" s="62"/>
      <c r="AG102" s="62"/>
      <c r="AH102" s="62"/>
      <c r="AI102" s="62"/>
      <c r="AJ102" s="62"/>
      <c r="AK102" s="62"/>
      <c r="AL102" s="62"/>
      <c r="AM102" s="62"/>
      <c r="AN102" s="62"/>
      <c r="AO102" s="62"/>
      <c r="AP102" s="62"/>
      <c r="AQ102" s="80"/>
    </row>
    <row r="103" spans="1:43" ht="15.75" customHeight="1" x14ac:dyDescent="0.2">
      <c r="A103" s="63" t="str">
        <f t="shared" si="4"/>
        <v/>
      </c>
      <c r="B103" s="62"/>
      <c r="C103" s="62"/>
      <c r="D103" s="62"/>
      <c r="E103" s="62"/>
      <c r="F103" s="62"/>
      <c r="G103" s="62"/>
      <c r="H103" s="62"/>
      <c r="I103" s="66"/>
      <c r="J103" s="66"/>
      <c r="K103" s="66"/>
      <c r="L103" s="66"/>
      <c r="M103" s="66"/>
      <c r="N103" s="64" t="str">
        <f>IF(OR($B103="", $I103="", $J103="", $K103="", $L103="", $M103=""),"",ROUND(($I103*Lists!$AN$2)+($J103*Lists!$AN$3)+($K103*Lists!$AN$4)+($L103*Lists!$AN$5)+($M103*Lists!$AN$6),2))</f>
        <v/>
      </c>
      <c r="O103" s="64" t="str">
        <f>IF($A103="","",IFERROR(VLOOKUP($A103,'Risk Register'!$B$2:$I$1000,8,FALSE()),""))</f>
        <v/>
      </c>
      <c r="P103" s="66"/>
      <c r="Q103" s="66"/>
      <c r="R103" s="66"/>
      <c r="S103" s="66"/>
      <c r="T103" s="64" t="str">
        <f>IF(OR($B103="", $P103="", $Q103="", $R103="", $S103=""),"",ROUND(($P103*Lists!$AN$7)+($Q103*Lists!$AN$8)+($R103*Lists!$AN$9)+($S103*Lists!$AN$10),2))</f>
        <v/>
      </c>
      <c r="U103" s="66"/>
      <c r="V103" s="66"/>
      <c r="W103" s="66"/>
      <c r="X103" s="66"/>
      <c r="Y103" s="66"/>
      <c r="Z103" s="64" t="str">
        <f>IF(OR($B103="", $U103="", $V103="", $W103="", $X103="", $Y103=""),"",ROUND(($U103*Lists!$AN$11)+($V103*Lists!$AN$12)+($W103*Lists!$AN$13)+($X103*Lists!$AN$14)+($Y103*Lists!$AN$15),2))</f>
        <v/>
      </c>
      <c r="AA103" s="64" t="str">
        <f>IF(OR($B103="", $N103="", $O103="", $T103="", $Z103=""),"",ROUND(($N103*Lists!$AN$16)-($O103*Lists!$AN$17)-($T103*Lists!$AN$18)+($Z103*Lists!$AN$19),2))</f>
        <v/>
      </c>
      <c r="AB103" s="63" t="str">
        <f t="shared" si="5"/>
        <v/>
      </c>
      <c r="AC103" s="63" t="str">
        <f t="shared" si="6"/>
        <v/>
      </c>
      <c r="AD103" s="63" t="str">
        <f>IF($A103="","",IFERROR(IF(VLOOKUP($A103,'Risk Register'!$B$2:$H$1000,4,FALSE())&gt;=4,"Yes",""),""))</f>
        <v/>
      </c>
      <c r="AE103" s="63" t="str">
        <f t="shared" si="7"/>
        <v/>
      </c>
      <c r="AF103" s="62"/>
      <c r="AG103" s="62"/>
      <c r="AH103" s="62"/>
      <c r="AI103" s="62"/>
      <c r="AJ103" s="62"/>
      <c r="AK103" s="62"/>
      <c r="AL103" s="62"/>
      <c r="AM103" s="62"/>
      <c r="AN103" s="62"/>
      <c r="AO103" s="62"/>
      <c r="AP103" s="62"/>
      <c r="AQ103" s="80"/>
    </row>
    <row r="104" spans="1:43" ht="15.75" customHeight="1" x14ac:dyDescent="0.2">
      <c r="A104" s="63" t="str">
        <f t="shared" si="4"/>
        <v/>
      </c>
      <c r="B104" s="62"/>
      <c r="C104" s="62"/>
      <c r="D104" s="62"/>
      <c r="E104" s="62"/>
      <c r="F104" s="62"/>
      <c r="G104" s="62"/>
      <c r="H104" s="62"/>
      <c r="I104" s="66"/>
      <c r="J104" s="66"/>
      <c r="K104" s="66"/>
      <c r="L104" s="66"/>
      <c r="M104" s="66"/>
      <c r="N104" s="64" t="str">
        <f>IF(OR($B104="", $I104="", $J104="", $K104="", $L104="", $M104=""),"",ROUND(($I104*Lists!$AN$2)+($J104*Lists!$AN$3)+($K104*Lists!$AN$4)+($L104*Lists!$AN$5)+($M104*Lists!$AN$6),2))</f>
        <v/>
      </c>
      <c r="O104" s="64" t="str">
        <f>IF($A104="","",IFERROR(VLOOKUP($A104,'Risk Register'!$B$2:$I$1000,8,FALSE()),""))</f>
        <v/>
      </c>
      <c r="P104" s="66"/>
      <c r="Q104" s="66"/>
      <c r="R104" s="66"/>
      <c r="S104" s="66"/>
      <c r="T104" s="64" t="str">
        <f>IF(OR($B104="", $P104="", $Q104="", $R104="", $S104=""),"",ROUND(($P104*Lists!$AN$7)+($Q104*Lists!$AN$8)+($R104*Lists!$AN$9)+($S104*Lists!$AN$10),2))</f>
        <v/>
      </c>
      <c r="U104" s="66"/>
      <c r="V104" s="66"/>
      <c r="W104" s="66"/>
      <c r="X104" s="66"/>
      <c r="Y104" s="66"/>
      <c r="Z104" s="64" t="str">
        <f>IF(OR($B104="", $U104="", $V104="", $W104="", $X104="", $Y104=""),"",ROUND(($U104*Lists!$AN$11)+($V104*Lists!$AN$12)+($W104*Lists!$AN$13)+($X104*Lists!$AN$14)+($Y104*Lists!$AN$15),2))</f>
        <v/>
      </c>
      <c r="AA104" s="64" t="str">
        <f>IF(OR($B104="", $N104="", $O104="", $T104="", $Z104=""),"",ROUND(($N104*Lists!$AN$16)-($O104*Lists!$AN$17)-($T104*Lists!$AN$18)+($Z104*Lists!$AN$19),2))</f>
        <v/>
      </c>
      <c r="AB104" s="63" t="str">
        <f t="shared" si="5"/>
        <v/>
      </c>
      <c r="AC104" s="63" t="str">
        <f t="shared" si="6"/>
        <v/>
      </c>
      <c r="AD104" s="63" t="str">
        <f>IF($A104="","",IFERROR(IF(VLOOKUP($A104,'Risk Register'!$B$2:$H$1000,4,FALSE())&gt;=4,"Yes",""),""))</f>
        <v/>
      </c>
      <c r="AE104" s="63" t="str">
        <f t="shared" si="7"/>
        <v/>
      </c>
      <c r="AF104" s="62"/>
      <c r="AG104" s="62"/>
      <c r="AH104" s="62"/>
      <c r="AI104" s="62"/>
      <c r="AJ104" s="62"/>
      <c r="AK104" s="62"/>
      <c r="AL104" s="62"/>
      <c r="AM104" s="62"/>
      <c r="AN104" s="62"/>
      <c r="AO104" s="62"/>
      <c r="AP104" s="62"/>
      <c r="AQ104" s="80"/>
    </row>
    <row r="105" spans="1:43" ht="15.75" customHeight="1" x14ac:dyDescent="0.2">
      <c r="A105" s="63" t="str">
        <f t="shared" si="4"/>
        <v/>
      </c>
      <c r="B105" s="62"/>
      <c r="C105" s="62"/>
      <c r="D105" s="62"/>
      <c r="E105" s="62"/>
      <c r="F105" s="62"/>
      <c r="G105" s="62"/>
      <c r="H105" s="62"/>
      <c r="I105" s="66"/>
      <c r="J105" s="66"/>
      <c r="K105" s="66"/>
      <c r="L105" s="66"/>
      <c r="M105" s="66"/>
      <c r="N105" s="64" t="str">
        <f>IF(OR($B105="", $I105="", $J105="", $K105="", $L105="", $M105=""),"",ROUND(($I105*Lists!$AN$2)+($J105*Lists!$AN$3)+($K105*Lists!$AN$4)+($L105*Lists!$AN$5)+($M105*Lists!$AN$6),2))</f>
        <v/>
      </c>
      <c r="O105" s="64" t="str">
        <f>IF($A105="","",IFERROR(VLOOKUP($A105,'Risk Register'!$B$2:$I$1000,8,FALSE()),""))</f>
        <v/>
      </c>
      <c r="P105" s="66"/>
      <c r="Q105" s="66"/>
      <c r="R105" s="66"/>
      <c r="S105" s="66"/>
      <c r="T105" s="64" t="str">
        <f>IF(OR($B105="", $P105="", $Q105="", $R105="", $S105=""),"",ROUND(($P105*Lists!$AN$7)+($Q105*Lists!$AN$8)+($R105*Lists!$AN$9)+($S105*Lists!$AN$10),2))</f>
        <v/>
      </c>
      <c r="U105" s="66"/>
      <c r="V105" s="66"/>
      <c r="W105" s="66"/>
      <c r="X105" s="66"/>
      <c r="Y105" s="66"/>
      <c r="Z105" s="64" t="str">
        <f>IF(OR($B105="", $U105="", $V105="", $W105="", $X105="", $Y105=""),"",ROUND(($U105*Lists!$AN$11)+($V105*Lists!$AN$12)+($W105*Lists!$AN$13)+($X105*Lists!$AN$14)+($Y105*Lists!$AN$15),2))</f>
        <v/>
      </c>
      <c r="AA105" s="64" t="str">
        <f>IF(OR($B105="", $N105="", $O105="", $T105="", $Z105=""),"",ROUND(($N105*Lists!$AN$16)-($O105*Lists!$AN$17)-($T105*Lists!$AN$18)+($Z105*Lists!$AN$19),2))</f>
        <v/>
      </c>
      <c r="AB105" s="63" t="str">
        <f t="shared" si="5"/>
        <v/>
      </c>
      <c r="AC105" s="63" t="str">
        <f t="shared" si="6"/>
        <v/>
      </c>
      <c r="AD105" s="63" t="str">
        <f>IF($A105="","",IFERROR(IF(VLOOKUP($A105,'Risk Register'!$B$2:$H$1000,4,FALSE())&gt;=4,"Yes",""),""))</f>
        <v/>
      </c>
      <c r="AE105" s="63" t="str">
        <f t="shared" si="7"/>
        <v/>
      </c>
      <c r="AF105" s="62"/>
      <c r="AG105" s="62"/>
      <c r="AH105" s="62"/>
      <c r="AI105" s="62"/>
      <c r="AJ105" s="62"/>
      <c r="AK105" s="62"/>
      <c r="AL105" s="62"/>
      <c r="AM105" s="62"/>
      <c r="AN105" s="62"/>
      <c r="AO105" s="62"/>
      <c r="AP105" s="62"/>
      <c r="AQ105" s="80"/>
    </row>
    <row r="106" spans="1:43" ht="15.75" customHeight="1" x14ac:dyDescent="0.2">
      <c r="A106" s="63" t="str">
        <f t="shared" si="4"/>
        <v/>
      </c>
      <c r="B106" s="62"/>
      <c r="C106" s="62"/>
      <c r="D106" s="62"/>
      <c r="E106" s="62"/>
      <c r="F106" s="62"/>
      <c r="G106" s="62"/>
      <c r="H106" s="62"/>
      <c r="I106" s="66"/>
      <c r="J106" s="66"/>
      <c r="K106" s="66"/>
      <c r="L106" s="66"/>
      <c r="M106" s="66"/>
      <c r="N106" s="64" t="str">
        <f>IF(OR($B106="", $I106="", $J106="", $K106="", $L106="", $M106=""),"",ROUND(($I106*Lists!$AN$2)+($J106*Lists!$AN$3)+($K106*Lists!$AN$4)+($L106*Lists!$AN$5)+($M106*Lists!$AN$6),2))</f>
        <v/>
      </c>
      <c r="O106" s="64" t="str">
        <f>IF($A106="","",IFERROR(VLOOKUP($A106,'Risk Register'!$B$2:$I$1000,8,FALSE()),""))</f>
        <v/>
      </c>
      <c r="P106" s="66"/>
      <c r="Q106" s="66"/>
      <c r="R106" s="66"/>
      <c r="S106" s="66"/>
      <c r="T106" s="64" t="str">
        <f>IF(OR($B106="", $P106="", $Q106="", $R106="", $S106=""),"",ROUND(($P106*Lists!$AN$7)+($Q106*Lists!$AN$8)+($R106*Lists!$AN$9)+($S106*Lists!$AN$10),2))</f>
        <v/>
      </c>
      <c r="U106" s="66"/>
      <c r="V106" s="66"/>
      <c r="W106" s="66"/>
      <c r="X106" s="66"/>
      <c r="Y106" s="66"/>
      <c r="Z106" s="64" t="str">
        <f>IF(OR($B106="", $U106="", $V106="", $W106="", $X106="", $Y106=""),"",ROUND(($U106*Lists!$AN$11)+($V106*Lists!$AN$12)+($W106*Lists!$AN$13)+($X106*Lists!$AN$14)+($Y106*Lists!$AN$15),2))</f>
        <v/>
      </c>
      <c r="AA106" s="64" t="str">
        <f>IF(OR($B106="", $N106="", $O106="", $T106="", $Z106=""),"",ROUND(($N106*Lists!$AN$16)-($O106*Lists!$AN$17)-($T106*Lists!$AN$18)+($Z106*Lists!$AN$19),2))</f>
        <v/>
      </c>
      <c r="AB106" s="63" t="str">
        <f t="shared" si="5"/>
        <v/>
      </c>
      <c r="AC106" s="63" t="str">
        <f t="shared" si="6"/>
        <v/>
      </c>
      <c r="AD106" s="63" t="str">
        <f>IF($A106="","",IFERROR(IF(VLOOKUP($A106,'Risk Register'!$B$2:$H$1000,4,FALSE())&gt;=4,"Yes",""),""))</f>
        <v/>
      </c>
      <c r="AE106" s="63" t="str">
        <f t="shared" si="7"/>
        <v/>
      </c>
      <c r="AF106" s="62"/>
      <c r="AG106" s="62"/>
      <c r="AH106" s="62"/>
      <c r="AI106" s="62"/>
      <c r="AJ106" s="62"/>
      <c r="AK106" s="62"/>
      <c r="AL106" s="62"/>
      <c r="AM106" s="62"/>
      <c r="AN106" s="62"/>
      <c r="AO106" s="62"/>
      <c r="AP106" s="62"/>
      <c r="AQ106" s="80"/>
    </row>
    <row r="107" spans="1:43" ht="15.75" customHeight="1" x14ac:dyDescent="0.2">
      <c r="A107" s="63" t="str">
        <f t="shared" si="4"/>
        <v/>
      </c>
      <c r="B107" s="62"/>
      <c r="C107" s="62"/>
      <c r="D107" s="62"/>
      <c r="E107" s="62"/>
      <c r="F107" s="62"/>
      <c r="G107" s="62"/>
      <c r="H107" s="62"/>
      <c r="I107" s="66"/>
      <c r="J107" s="66"/>
      <c r="K107" s="66"/>
      <c r="L107" s="66"/>
      <c r="M107" s="66"/>
      <c r="N107" s="64" t="str">
        <f>IF(OR($B107="", $I107="", $J107="", $K107="", $L107="", $M107=""),"",ROUND(($I107*Lists!$AN$2)+($J107*Lists!$AN$3)+($K107*Lists!$AN$4)+($L107*Lists!$AN$5)+($M107*Lists!$AN$6),2))</f>
        <v/>
      </c>
      <c r="O107" s="64" t="str">
        <f>IF($A107="","",IFERROR(VLOOKUP($A107,'Risk Register'!$B$2:$I$1000,8,FALSE()),""))</f>
        <v/>
      </c>
      <c r="P107" s="66"/>
      <c r="Q107" s="66"/>
      <c r="R107" s="66"/>
      <c r="S107" s="66"/>
      <c r="T107" s="64" t="str">
        <f>IF(OR($B107="", $P107="", $Q107="", $R107="", $S107=""),"",ROUND(($P107*Lists!$AN$7)+($Q107*Lists!$AN$8)+($R107*Lists!$AN$9)+($S107*Lists!$AN$10),2))</f>
        <v/>
      </c>
      <c r="U107" s="66"/>
      <c r="V107" s="66"/>
      <c r="W107" s="66"/>
      <c r="X107" s="66"/>
      <c r="Y107" s="66"/>
      <c r="Z107" s="64" t="str">
        <f>IF(OR($B107="", $U107="", $V107="", $W107="", $X107="", $Y107=""),"",ROUND(($U107*Lists!$AN$11)+($V107*Lists!$AN$12)+($W107*Lists!$AN$13)+($X107*Lists!$AN$14)+($Y107*Lists!$AN$15),2))</f>
        <v/>
      </c>
      <c r="AA107" s="64" t="str">
        <f>IF(OR($B107="", $N107="", $O107="", $T107="", $Z107=""),"",ROUND(($N107*Lists!$AN$16)-($O107*Lists!$AN$17)-($T107*Lists!$AN$18)+($Z107*Lists!$AN$19),2))</f>
        <v/>
      </c>
      <c r="AB107" s="63" t="str">
        <f t="shared" si="5"/>
        <v/>
      </c>
      <c r="AC107" s="63" t="str">
        <f t="shared" si="6"/>
        <v/>
      </c>
      <c r="AD107" s="63" t="str">
        <f>IF($A107="","",IFERROR(IF(VLOOKUP($A107,'Risk Register'!$B$2:$H$1000,4,FALSE())&gt;=4,"Yes",""),""))</f>
        <v/>
      </c>
      <c r="AE107" s="63" t="str">
        <f t="shared" si="7"/>
        <v/>
      </c>
      <c r="AF107" s="62"/>
      <c r="AG107" s="62"/>
      <c r="AH107" s="62"/>
      <c r="AI107" s="62"/>
      <c r="AJ107" s="62"/>
      <c r="AK107" s="62"/>
      <c r="AL107" s="62"/>
      <c r="AM107" s="62"/>
      <c r="AN107" s="62"/>
      <c r="AO107" s="62"/>
      <c r="AP107" s="62"/>
      <c r="AQ107" s="80"/>
    </row>
    <row r="108" spans="1:43" ht="15.75" customHeight="1" x14ac:dyDescent="0.2">
      <c r="A108" s="63" t="str">
        <f t="shared" si="4"/>
        <v/>
      </c>
      <c r="B108" s="62"/>
      <c r="C108" s="62"/>
      <c r="D108" s="62"/>
      <c r="E108" s="62"/>
      <c r="F108" s="62"/>
      <c r="G108" s="62"/>
      <c r="H108" s="62"/>
      <c r="I108" s="66"/>
      <c r="J108" s="66"/>
      <c r="K108" s="66"/>
      <c r="L108" s="66"/>
      <c r="M108" s="66"/>
      <c r="N108" s="64" t="str">
        <f>IF(OR($B108="", $I108="", $J108="", $K108="", $L108="", $M108=""),"",ROUND(($I108*Lists!$AN$2)+($J108*Lists!$AN$3)+($K108*Lists!$AN$4)+($L108*Lists!$AN$5)+($M108*Lists!$AN$6),2))</f>
        <v/>
      </c>
      <c r="O108" s="64" t="str">
        <f>IF($A108="","",IFERROR(VLOOKUP($A108,'Risk Register'!$B$2:$I$1000,8,FALSE()),""))</f>
        <v/>
      </c>
      <c r="P108" s="66"/>
      <c r="Q108" s="66"/>
      <c r="R108" s="66"/>
      <c r="S108" s="66"/>
      <c r="T108" s="64" t="str">
        <f>IF(OR($B108="", $P108="", $Q108="", $R108="", $S108=""),"",ROUND(($P108*Lists!$AN$7)+($Q108*Lists!$AN$8)+($R108*Lists!$AN$9)+($S108*Lists!$AN$10),2))</f>
        <v/>
      </c>
      <c r="U108" s="66"/>
      <c r="V108" s="66"/>
      <c r="W108" s="66"/>
      <c r="X108" s="66"/>
      <c r="Y108" s="66"/>
      <c r="Z108" s="64" t="str">
        <f>IF(OR($B108="", $U108="", $V108="", $W108="", $X108="", $Y108=""),"",ROUND(($U108*Lists!$AN$11)+($V108*Lists!$AN$12)+($W108*Lists!$AN$13)+($X108*Lists!$AN$14)+($Y108*Lists!$AN$15),2))</f>
        <v/>
      </c>
      <c r="AA108" s="64" t="str">
        <f>IF(OR($B108="", $N108="", $O108="", $T108="", $Z108=""),"",ROUND(($N108*Lists!$AN$16)-($O108*Lists!$AN$17)-($T108*Lists!$AN$18)+($Z108*Lists!$AN$19),2))</f>
        <v/>
      </c>
      <c r="AB108" s="63" t="str">
        <f t="shared" si="5"/>
        <v/>
      </c>
      <c r="AC108" s="63" t="str">
        <f t="shared" si="6"/>
        <v/>
      </c>
      <c r="AD108" s="63" t="str">
        <f>IF($A108="","",IFERROR(IF(VLOOKUP($A108,'Risk Register'!$B$2:$H$1000,4,FALSE())&gt;=4,"Yes",""),""))</f>
        <v/>
      </c>
      <c r="AE108" s="63" t="str">
        <f t="shared" si="7"/>
        <v/>
      </c>
      <c r="AF108" s="62"/>
      <c r="AG108" s="62"/>
      <c r="AH108" s="62"/>
      <c r="AI108" s="62"/>
      <c r="AJ108" s="62"/>
      <c r="AK108" s="62"/>
      <c r="AL108" s="62"/>
      <c r="AM108" s="62"/>
      <c r="AN108" s="62"/>
      <c r="AO108" s="62"/>
      <c r="AP108" s="62"/>
      <c r="AQ108" s="80"/>
    </row>
    <row r="109" spans="1:43" ht="15.75" customHeight="1" x14ac:dyDescent="0.2">
      <c r="A109" s="63" t="str">
        <f t="shared" si="4"/>
        <v/>
      </c>
      <c r="B109" s="62"/>
      <c r="C109" s="62"/>
      <c r="D109" s="62"/>
      <c r="E109" s="62"/>
      <c r="F109" s="62"/>
      <c r="G109" s="62"/>
      <c r="H109" s="62"/>
      <c r="I109" s="66"/>
      <c r="J109" s="66"/>
      <c r="K109" s="66"/>
      <c r="L109" s="66"/>
      <c r="M109" s="66"/>
      <c r="N109" s="64" t="str">
        <f>IF(OR($B109="", $I109="", $J109="", $K109="", $L109="", $M109=""),"",ROUND(($I109*Lists!$AN$2)+($J109*Lists!$AN$3)+($K109*Lists!$AN$4)+($L109*Lists!$AN$5)+($M109*Lists!$AN$6),2))</f>
        <v/>
      </c>
      <c r="O109" s="64" t="str">
        <f>IF($A109="","",IFERROR(VLOOKUP($A109,'Risk Register'!$B$2:$I$1000,8,FALSE()),""))</f>
        <v/>
      </c>
      <c r="P109" s="66"/>
      <c r="Q109" s="66"/>
      <c r="R109" s="66"/>
      <c r="S109" s="66"/>
      <c r="T109" s="64" t="str">
        <f>IF(OR($B109="", $P109="", $Q109="", $R109="", $S109=""),"",ROUND(($P109*Lists!$AN$7)+($Q109*Lists!$AN$8)+($R109*Lists!$AN$9)+($S109*Lists!$AN$10),2))</f>
        <v/>
      </c>
      <c r="U109" s="66"/>
      <c r="V109" s="66"/>
      <c r="W109" s="66"/>
      <c r="X109" s="66"/>
      <c r="Y109" s="66"/>
      <c r="Z109" s="64" t="str">
        <f>IF(OR($B109="", $U109="", $V109="", $W109="", $X109="", $Y109=""),"",ROUND(($U109*Lists!$AN$11)+($V109*Lists!$AN$12)+($W109*Lists!$AN$13)+($X109*Lists!$AN$14)+($Y109*Lists!$AN$15),2))</f>
        <v/>
      </c>
      <c r="AA109" s="64" t="str">
        <f>IF(OR($B109="", $N109="", $O109="", $T109="", $Z109=""),"",ROUND(($N109*Lists!$AN$16)-($O109*Lists!$AN$17)-($T109*Lists!$AN$18)+($Z109*Lists!$AN$19),2))</f>
        <v/>
      </c>
      <c r="AB109" s="63" t="str">
        <f t="shared" si="5"/>
        <v/>
      </c>
      <c r="AC109" s="63" t="str">
        <f t="shared" si="6"/>
        <v/>
      </c>
      <c r="AD109" s="63" t="str">
        <f>IF($A109="","",IFERROR(IF(VLOOKUP($A109,'Risk Register'!$B$2:$H$1000,4,FALSE())&gt;=4,"Yes",""),""))</f>
        <v/>
      </c>
      <c r="AE109" s="63" t="str">
        <f t="shared" si="7"/>
        <v/>
      </c>
      <c r="AF109" s="62"/>
      <c r="AG109" s="62"/>
      <c r="AH109" s="62"/>
      <c r="AI109" s="62"/>
      <c r="AJ109" s="62"/>
      <c r="AK109" s="62"/>
      <c r="AL109" s="62"/>
      <c r="AM109" s="62"/>
      <c r="AN109" s="62"/>
      <c r="AO109" s="62"/>
      <c r="AP109" s="62"/>
      <c r="AQ109" s="80"/>
    </row>
    <row r="110" spans="1:43" ht="15.75" customHeight="1" x14ac:dyDescent="0.2">
      <c r="A110" s="63" t="str">
        <f t="shared" si="4"/>
        <v/>
      </c>
      <c r="B110" s="62"/>
      <c r="C110" s="62"/>
      <c r="D110" s="62"/>
      <c r="E110" s="62"/>
      <c r="F110" s="62"/>
      <c r="G110" s="62"/>
      <c r="H110" s="62"/>
      <c r="I110" s="66"/>
      <c r="J110" s="66"/>
      <c r="K110" s="66"/>
      <c r="L110" s="66"/>
      <c r="M110" s="66"/>
      <c r="N110" s="64" t="str">
        <f>IF(OR($B110="", $I110="", $J110="", $K110="", $L110="", $M110=""),"",ROUND(($I110*Lists!$AN$2)+($J110*Lists!$AN$3)+($K110*Lists!$AN$4)+($L110*Lists!$AN$5)+($M110*Lists!$AN$6),2))</f>
        <v/>
      </c>
      <c r="O110" s="64" t="str">
        <f>IF($A110="","",IFERROR(VLOOKUP($A110,'Risk Register'!$B$2:$I$1000,8,FALSE()),""))</f>
        <v/>
      </c>
      <c r="P110" s="66"/>
      <c r="Q110" s="66"/>
      <c r="R110" s="66"/>
      <c r="S110" s="66"/>
      <c r="T110" s="64" t="str">
        <f>IF(OR($B110="", $P110="", $Q110="", $R110="", $S110=""),"",ROUND(($P110*Lists!$AN$7)+($Q110*Lists!$AN$8)+($R110*Lists!$AN$9)+($S110*Lists!$AN$10),2))</f>
        <v/>
      </c>
      <c r="U110" s="66"/>
      <c r="V110" s="66"/>
      <c r="W110" s="66"/>
      <c r="X110" s="66"/>
      <c r="Y110" s="66"/>
      <c r="Z110" s="64" t="str">
        <f>IF(OR($B110="", $U110="", $V110="", $W110="", $X110="", $Y110=""),"",ROUND(($U110*Lists!$AN$11)+($V110*Lists!$AN$12)+($W110*Lists!$AN$13)+($X110*Lists!$AN$14)+($Y110*Lists!$AN$15),2))</f>
        <v/>
      </c>
      <c r="AA110" s="64" t="str">
        <f>IF(OR($B110="", $N110="", $O110="", $T110="", $Z110=""),"",ROUND(($N110*Lists!$AN$16)-($O110*Lists!$AN$17)-($T110*Lists!$AN$18)+($Z110*Lists!$AN$19),2))</f>
        <v/>
      </c>
      <c r="AB110" s="63" t="str">
        <f t="shared" si="5"/>
        <v/>
      </c>
      <c r="AC110" s="63" t="str">
        <f t="shared" si="6"/>
        <v/>
      </c>
      <c r="AD110" s="63" t="str">
        <f>IF($A110="","",IFERROR(IF(VLOOKUP($A110,'Risk Register'!$B$2:$H$1000,4,FALSE())&gt;=4,"Yes",""),""))</f>
        <v/>
      </c>
      <c r="AE110" s="63" t="str">
        <f t="shared" si="7"/>
        <v/>
      </c>
      <c r="AF110" s="62"/>
      <c r="AG110" s="62"/>
      <c r="AH110" s="62"/>
      <c r="AI110" s="62"/>
      <c r="AJ110" s="62"/>
      <c r="AK110" s="62"/>
      <c r="AL110" s="62"/>
      <c r="AM110" s="62"/>
      <c r="AN110" s="62"/>
      <c r="AO110" s="62"/>
      <c r="AP110" s="62"/>
      <c r="AQ110" s="80"/>
    </row>
    <row r="111" spans="1:43" ht="15.75" customHeight="1" x14ac:dyDescent="0.2">
      <c r="A111" s="63" t="str">
        <f t="shared" si="4"/>
        <v/>
      </c>
      <c r="B111" s="62"/>
      <c r="C111" s="62"/>
      <c r="D111" s="62"/>
      <c r="E111" s="62"/>
      <c r="F111" s="62"/>
      <c r="G111" s="62"/>
      <c r="H111" s="62"/>
      <c r="I111" s="66"/>
      <c r="J111" s="66"/>
      <c r="K111" s="66"/>
      <c r="L111" s="66"/>
      <c r="M111" s="66"/>
      <c r="N111" s="64" t="str">
        <f>IF(OR($B111="", $I111="", $J111="", $K111="", $L111="", $M111=""),"",ROUND(($I111*Lists!$AN$2)+($J111*Lists!$AN$3)+($K111*Lists!$AN$4)+($L111*Lists!$AN$5)+($M111*Lists!$AN$6),2))</f>
        <v/>
      </c>
      <c r="O111" s="64" t="str">
        <f>IF($A111="","",IFERROR(VLOOKUP($A111,'Risk Register'!$B$2:$I$1000,8,FALSE()),""))</f>
        <v/>
      </c>
      <c r="P111" s="66"/>
      <c r="Q111" s="66"/>
      <c r="R111" s="66"/>
      <c r="S111" s="66"/>
      <c r="T111" s="64" t="str">
        <f>IF(OR($B111="", $P111="", $Q111="", $R111="", $S111=""),"",ROUND(($P111*Lists!$AN$7)+($Q111*Lists!$AN$8)+($R111*Lists!$AN$9)+($S111*Lists!$AN$10),2))</f>
        <v/>
      </c>
      <c r="U111" s="66"/>
      <c r="V111" s="66"/>
      <c r="W111" s="66"/>
      <c r="X111" s="66"/>
      <c r="Y111" s="66"/>
      <c r="Z111" s="64" t="str">
        <f>IF(OR($B111="", $U111="", $V111="", $W111="", $X111="", $Y111=""),"",ROUND(($U111*Lists!$AN$11)+($V111*Lists!$AN$12)+($W111*Lists!$AN$13)+($X111*Lists!$AN$14)+($Y111*Lists!$AN$15),2))</f>
        <v/>
      </c>
      <c r="AA111" s="64" t="str">
        <f>IF(OR($B111="", $N111="", $O111="", $T111="", $Z111=""),"",ROUND(($N111*Lists!$AN$16)-($O111*Lists!$AN$17)-($T111*Lists!$AN$18)+($Z111*Lists!$AN$19),2))</f>
        <v/>
      </c>
      <c r="AB111" s="63" t="str">
        <f t="shared" si="5"/>
        <v/>
      </c>
      <c r="AC111" s="63" t="str">
        <f t="shared" si="6"/>
        <v/>
      </c>
      <c r="AD111" s="63" t="str">
        <f>IF($A111="","",IFERROR(IF(VLOOKUP($A111,'Risk Register'!$B$2:$H$1000,4,FALSE())&gt;=4,"Yes",""),""))</f>
        <v/>
      </c>
      <c r="AE111" s="63" t="str">
        <f t="shared" si="7"/>
        <v/>
      </c>
      <c r="AF111" s="62"/>
      <c r="AG111" s="62"/>
      <c r="AH111" s="62"/>
      <c r="AI111" s="62"/>
      <c r="AJ111" s="62"/>
      <c r="AK111" s="62"/>
      <c r="AL111" s="62"/>
      <c r="AM111" s="62"/>
      <c r="AN111" s="62"/>
      <c r="AO111" s="62"/>
      <c r="AP111" s="62"/>
      <c r="AQ111" s="80"/>
    </row>
    <row r="112" spans="1:43" ht="15.75" customHeight="1" x14ac:dyDescent="0.2">
      <c r="A112" s="63" t="str">
        <f t="shared" si="4"/>
        <v/>
      </c>
      <c r="B112" s="62"/>
      <c r="C112" s="62"/>
      <c r="D112" s="62"/>
      <c r="E112" s="62"/>
      <c r="F112" s="62"/>
      <c r="G112" s="62"/>
      <c r="H112" s="62"/>
      <c r="I112" s="66"/>
      <c r="J112" s="66"/>
      <c r="K112" s="66"/>
      <c r="L112" s="66"/>
      <c r="M112" s="66"/>
      <c r="N112" s="64" t="str">
        <f>IF(OR($B112="", $I112="", $J112="", $K112="", $L112="", $M112=""),"",ROUND(($I112*Lists!$AN$2)+($J112*Lists!$AN$3)+($K112*Lists!$AN$4)+($L112*Lists!$AN$5)+($M112*Lists!$AN$6),2))</f>
        <v/>
      </c>
      <c r="O112" s="64" t="str">
        <f>IF($A112="","",IFERROR(VLOOKUP($A112,'Risk Register'!$B$2:$I$1000,8,FALSE()),""))</f>
        <v/>
      </c>
      <c r="P112" s="66"/>
      <c r="Q112" s="66"/>
      <c r="R112" s="66"/>
      <c r="S112" s="66"/>
      <c r="T112" s="64" t="str">
        <f>IF(OR($B112="", $P112="", $Q112="", $R112="", $S112=""),"",ROUND(($P112*Lists!$AN$7)+($Q112*Lists!$AN$8)+($R112*Lists!$AN$9)+($S112*Lists!$AN$10),2))</f>
        <v/>
      </c>
      <c r="U112" s="66"/>
      <c r="V112" s="66"/>
      <c r="W112" s="66"/>
      <c r="X112" s="66"/>
      <c r="Y112" s="66"/>
      <c r="Z112" s="64" t="str">
        <f>IF(OR($B112="", $U112="", $V112="", $W112="", $X112="", $Y112=""),"",ROUND(($U112*Lists!$AN$11)+($V112*Lists!$AN$12)+($W112*Lists!$AN$13)+($X112*Lists!$AN$14)+($Y112*Lists!$AN$15),2))</f>
        <v/>
      </c>
      <c r="AA112" s="64" t="str">
        <f>IF(OR($B112="", $N112="", $O112="", $T112="", $Z112=""),"",ROUND(($N112*Lists!$AN$16)-($O112*Lists!$AN$17)-($T112*Lists!$AN$18)+($Z112*Lists!$AN$19),2))</f>
        <v/>
      </c>
      <c r="AB112" s="63" t="str">
        <f t="shared" si="5"/>
        <v/>
      </c>
      <c r="AC112" s="63" t="str">
        <f t="shared" si="6"/>
        <v/>
      </c>
      <c r="AD112" s="63" t="str">
        <f>IF($A112="","",IFERROR(IF(VLOOKUP($A112,'Risk Register'!$B$2:$H$1000,4,FALSE())&gt;=4,"Yes",""),""))</f>
        <v/>
      </c>
      <c r="AE112" s="63" t="str">
        <f t="shared" si="7"/>
        <v/>
      </c>
      <c r="AF112" s="62"/>
      <c r="AG112" s="62"/>
      <c r="AH112" s="62"/>
      <c r="AI112" s="62"/>
      <c r="AJ112" s="62"/>
      <c r="AK112" s="62"/>
      <c r="AL112" s="62"/>
      <c r="AM112" s="62"/>
      <c r="AN112" s="62"/>
      <c r="AO112" s="62"/>
      <c r="AP112" s="62"/>
      <c r="AQ112" s="80"/>
    </row>
    <row r="113" spans="1:43" ht="15.75" customHeight="1" x14ac:dyDescent="0.2">
      <c r="A113" s="63" t="str">
        <f t="shared" si="4"/>
        <v/>
      </c>
      <c r="B113" s="62"/>
      <c r="C113" s="62"/>
      <c r="D113" s="62"/>
      <c r="E113" s="62"/>
      <c r="F113" s="62"/>
      <c r="G113" s="62"/>
      <c r="H113" s="62"/>
      <c r="I113" s="66"/>
      <c r="J113" s="66"/>
      <c r="K113" s="66"/>
      <c r="L113" s="66"/>
      <c r="M113" s="66"/>
      <c r="N113" s="64" t="str">
        <f>IF(OR($B113="", $I113="", $J113="", $K113="", $L113="", $M113=""),"",ROUND(($I113*Lists!$AN$2)+($J113*Lists!$AN$3)+($K113*Lists!$AN$4)+($L113*Lists!$AN$5)+($M113*Lists!$AN$6),2))</f>
        <v/>
      </c>
      <c r="O113" s="64" t="str">
        <f>IF($A113="","",IFERROR(VLOOKUP($A113,'Risk Register'!$B$2:$I$1000,8,FALSE()),""))</f>
        <v/>
      </c>
      <c r="P113" s="66"/>
      <c r="Q113" s="66"/>
      <c r="R113" s="66"/>
      <c r="S113" s="66"/>
      <c r="T113" s="64" t="str">
        <f>IF(OR($B113="", $P113="", $Q113="", $R113="", $S113=""),"",ROUND(($P113*Lists!$AN$7)+($Q113*Lists!$AN$8)+($R113*Lists!$AN$9)+($S113*Lists!$AN$10),2))</f>
        <v/>
      </c>
      <c r="U113" s="66"/>
      <c r="V113" s="66"/>
      <c r="W113" s="66"/>
      <c r="X113" s="66"/>
      <c r="Y113" s="66"/>
      <c r="Z113" s="64" t="str">
        <f>IF(OR($B113="", $U113="", $V113="", $W113="", $X113="", $Y113=""),"",ROUND(($U113*Lists!$AN$11)+($V113*Lists!$AN$12)+($W113*Lists!$AN$13)+($X113*Lists!$AN$14)+($Y113*Lists!$AN$15),2))</f>
        <v/>
      </c>
      <c r="AA113" s="64" t="str">
        <f>IF(OR($B113="", $N113="", $O113="", $T113="", $Z113=""),"",ROUND(($N113*Lists!$AN$16)-($O113*Lists!$AN$17)-($T113*Lists!$AN$18)+($Z113*Lists!$AN$19),2))</f>
        <v/>
      </c>
      <c r="AB113" s="63" t="str">
        <f t="shared" si="5"/>
        <v/>
      </c>
      <c r="AC113" s="63" t="str">
        <f t="shared" si="6"/>
        <v/>
      </c>
      <c r="AD113" s="63" t="str">
        <f>IF($A113="","",IFERROR(IF(VLOOKUP($A113,'Risk Register'!$B$2:$H$1000,4,FALSE())&gt;=4,"Yes",""),""))</f>
        <v/>
      </c>
      <c r="AE113" s="63" t="str">
        <f t="shared" si="7"/>
        <v/>
      </c>
      <c r="AF113" s="62"/>
      <c r="AG113" s="62"/>
      <c r="AH113" s="62"/>
      <c r="AI113" s="62"/>
      <c r="AJ113" s="62"/>
      <c r="AK113" s="62"/>
      <c r="AL113" s="62"/>
      <c r="AM113" s="62"/>
      <c r="AN113" s="62"/>
      <c r="AO113" s="62"/>
      <c r="AP113" s="62"/>
      <c r="AQ113" s="80"/>
    </row>
    <row r="114" spans="1:43" ht="15.75" customHeight="1" x14ac:dyDescent="0.2">
      <c r="A114" s="63" t="str">
        <f t="shared" si="4"/>
        <v/>
      </c>
      <c r="B114" s="62"/>
      <c r="C114" s="62"/>
      <c r="D114" s="62"/>
      <c r="E114" s="62"/>
      <c r="F114" s="62"/>
      <c r="G114" s="62"/>
      <c r="H114" s="62"/>
      <c r="I114" s="66"/>
      <c r="J114" s="66"/>
      <c r="K114" s="66"/>
      <c r="L114" s="66"/>
      <c r="M114" s="66"/>
      <c r="N114" s="64" t="str">
        <f>IF(OR($B114="", $I114="", $J114="", $K114="", $L114="", $M114=""),"",ROUND(($I114*Lists!$AN$2)+($J114*Lists!$AN$3)+($K114*Lists!$AN$4)+($L114*Lists!$AN$5)+($M114*Lists!$AN$6),2))</f>
        <v/>
      </c>
      <c r="O114" s="64" t="str">
        <f>IF($A114="","",IFERROR(VLOOKUP($A114,'Risk Register'!$B$2:$I$1000,8,FALSE()),""))</f>
        <v/>
      </c>
      <c r="P114" s="66"/>
      <c r="Q114" s="66"/>
      <c r="R114" s="66"/>
      <c r="S114" s="66"/>
      <c r="T114" s="64" t="str">
        <f>IF(OR($B114="", $P114="", $Q114="", $R114="", $S114=""),"",ROUND(($P114*Lists!$AN$7)+($Q114*Lists!$AN$8)+($R114*Lists!$AN$9)+($S114*Lists!$AN$10),2))</f>
        <v/>
      </c>
      <c r="U114" s="66"/>
      <c r="V114" s="66"/>
      <c r="W114" s="66"/>
      <c r="X114" s="66"/>
      <c r="Y114" s="66"/>
      <c r="Z114" s="64" t="str">
        <f>IF(OR($B114="", $U114="", $V114="", $W114="", $X114="", $Y114=""),"",ROUND(($U114*Lists!$AN$11)+($V114*Lists!$AN$12)+($W114*Lists!$AN$13)+($X114*Lists!$AN$14)+($Y114*Lists!$AN$15),2))</f>
        <v/>
      </c>
      <c r="AA114" s="64" t="str">
        <f>IF(OR($B114="", $N114="", $O114="", $T114="", $Z114=""),"",ROUND(($N114*Lists!$AN$16)-($O114*Lists!$AN$17)-($T114*Lists!$AN$18)+($Z114*Lists!$AN$19),2))</f>
        <v/>
      </c>
      <c r="AB114" s="63" t="str">
        <f t="shared" si="5"/>
        <v/>
      </c>
      <c r="AC114" s="63" t="str">
        <f t="shared" si="6"/>
        <v/>
      </c>
      <c r="AD114" s="63" t="str">
        <f>IF($A114="","",IFERROR(IF(VLOOKUP($A114,'Risk Register'!$B$2:$H$1000,4,FALSE())&gt;=4,"Yes",""),""))</f>
        <v/>
      </c>
      <c r="AE114" s="63" t="str">
        <f t="shared" si="7"/>
        <v/>
      </c>
      <c r="AF114" s="62"/>
      <c r="AG114" s="62"/>
      <c r="AH114" s="62"/>
      <c r="AI114" s="62"/>
      <c r="AJ114" s="62"/>
      <c r="AK114" s="62"/>
      <c r="AL114" s="62"/>
      <c r="AM114" s="62"/>
      <c r="AN114" s="62"/>
      <c r="AO114" s="62"/>
      <c r="AP114" s="62"/>
      <c r="AQ114" s="80"/>
    </row>
    <row r="115" spans="1:43" ht="15.75" customHeight="1" x14ac:dyDescent="0.2">
      <c r="A115" s="63" t="str">
        <f t="shared" si="4"/>
        <v/>
      </c>
      <c r="B115" s="62"/>
      <c r="C115" s="62"/>
      <c r="D115" s="62"/>
      <c r="E115" s="62"/>
      <c r="F115" s="62"/>
      <c r="G115" s="62"/>
      <c r="H115" s="62"/>
      <c r="I115" s="66"/>
      <c r="J115" s="66"/>
      <c r="K115" s="66"/>
      <c r="L115" s="66"/>
      <c r="M115" s="66"/>
      <c r="N115" s="64" t="str">
        <f>IF(OR($B115="", $I115="", $J115="", $K115="", $L115="", $M115=""),"",ROUND(($I115*Lists!$AN$2)+($J115*Lists!$AN$3)+($K115*Lists!$AN$4)+($L115*Lists!$AN$5)+($M115*Lists!$AN$6),2))</f>
        <v/>
      </c>
      <c r="O115" s="64" t="str">
        <f>IF($A115="","",IFERROR(VLOOKUP($A115,'Risk Register'!$B$2:$I$1000,8,FALSE()),""))</f>
        <v/>
      </c>
      <c r="P115" s="66"/>
      <c r="Q115" s="66"/>
      <c r="R115" s="66"/>
      <c r="S115" s="66"/>
      <c r="T115" s="64" t="str">
        <f>IF(OR($B115="", $P115="", $Q115="", $R115="", $S115=""),"",ROUND(($P115*Lists!$AN$7)+($Q115*Lists!$AN$8)+($R115*Lists!$AN$9)+($S115*Lists!$AN$10),2))</f>
        <v/>
      </c>
      <c r="U115" s="66"/>
      <c r="V115" s="66"/>
      <c r="W115" s="66"/>
      <c r="X115" s="66"/>
      <c r="Y115" s="66"/>
      <c r="Z115" s="64" t="str">
        <f>IF(OR($B115="", $U115="", $V115="", $W115="", $X115="", $Y115=""),"",ROUND(($U115*Lists!$AN$11)+($V115*Lists!$AN$12)+($W115*Lists!$AN$13)+($X115*Lists!$AN$14)+($Y115*Lists!$AN$15),2))</f>
        <v/>
      </c>
      <c r="AA115" s="64" t="str">
        <f>IF(OR($B115="", $N115="", $O115="", $T115="", $Z115=""),"",ROUND(($N115*Lists!$AN$16)-($O115*Lists!$AN$17)-($T115*Lists!$AN$18)+($Z115*Lists!$AN$19),2))</f>
        <v/>
      </c>
      <c r="AB115" s="63" t="str">
        <f t="shared" si="5"/>
        <v/>
      </c>
      <c r="AC115" s="63" t="str">
        <f t="shared" si="6"/>
        <v/>
      </c>
      <c r="AD115" s="63" t="str">
        <f>IF($A115="","",IFERROR(IF(VLOOKUP($A115,'Risk Register'!$B$2:$H$1000,4,FALSE())&gt;=4,"Yes",""),""))</f>
        <v/>
      </c>
      <c r="AE115" s="63" t="str">
        <f t="shared" si="7"/>
        <v/>
      </c>
      <c r="AF115" s="62"/>
      <c r="AG115" s="62"/>
      <c r="AH115" s="62"/>
      <c r="AI115" s="62"/>
      <c r="AJ115" s="62"/>
      <c r="AK115" s="62"/>
      <c r="AL115" s="62"/>
      <c r="AM115" s="62"/>
      <c r="AN115" s="62"/>
      <c r="AO115" s="62"/>
      <c r="AP115" s="62"/>
      <c r="AQ115" s="80"/>
    </row>
    <row r="116" spans="1:43" ht="15.75" customHeight="1" x14ac:dyDescent="0.2">
      <c r="A116" s="63" t="str">
        <f t="shared" si="4"/>
        <v/>
      </c>
      <c r="B116" s="62"/>
      <c r="C116" s="62"/>
      <c r="D116" s="62"/>
      <c r="E116" s="62"/>
      <c r="F116" s="62"/>
      <c r="G116" s="62"/>
      <c r="H116" s="62"/>
      <c r="I116" s="66"/>
      <c r="J116" s="66"/>
      <c r="K116" s="66"/>
      <c r="L116" s="66"/>
      <c r="M116" s="66"/>
      <c r="N116" s="64" t="str">
        <f>IF(OR($B116="", $I116="", $J116="", $K116="", $L116="", $M116=""),"",ROUND(($I116*Lists!$AN$2)+($J116*Lists!$AN$3)+($K116*Lists!$AN$4)+($L116*Lists!$AN$5)+($M116*Lists!$AN$6),2))</f>
        <v/>
      </c>
      <c r="O116" s="64" t="str">
        <f>IF($A116="","",IFERROR(VLOOKUP($A116,'Risk Register'!$B$2:$I$1000,8,FALSE()),""))</f>
        <v/>
      </c>
      <c r="P116" s="66"/>
      <c r="Q116" s="66"/>
      <c r="R116" s="66"/>
      <c r="S116" s="66"/>
      <c r="T116" s="64" t="str">
        <f>IF(OR($B116="", $P116="", $Q116="", $R116="", $S116=""),"",ROUND(($P116*Lists!$AN$7)+($Q116*Lists!$AN$8)+($R116*Lists!$AN$9)+($S116*Lists!$AN$10),2))</f>
        <v/>
      </c>
      <c r="U116" s="66"/>
      <c r="V116" s="66"/>
      <c r="W116" s="66"/>
      <c r="X116" s="66"/>
      <c r="Y116" s="66"/>
      <c r="Z116" s="64" t="str">
        <f>IF(OR($B116="", $U116="", $V116="", $W116="", $X116="", $Y116=""),"",ROUND(($U116*Lists!$AN$11)+($V116*Lists!$AN$12)+($W116*Lists!$AN$13)+($X116*Lists!$AN$14)+($Y116*Lists!$AN$15),2))</f>
        <v/>
      </c>
      <c r="AA116" s="64" t="str">
        <f>IF(OR($B116="", $N116="", $O116="", $T116="", $Z116=""),"",ROUND(($N116*Lists!$AN$16)-($O116*Lists!$AN$17)-($T116*Lists!$AN$18)+($Z116*Lists!$AN$19),2))</f>
        <v/>
      </c>
      <c r="AB116" s="63" t="str">
        <f t="shared" si="5"/>
        <v/>
      </c>
      <c r="AC116" s="63" t="str">
        <f t="shared" si="6"/>
        <v/>
      </c>
      <c r="AD116" s="63" t="str">
        <f>IF($A116="","",IFERROR(IF(VLOOKUP($A116,'Risk Register'!$B$2:$H$1000,4,FALSE())&gt;=4,"Yes",""),""))</f>
        <v/>
      </c>
      <c r="AE116" s="63" t="str">
        <f t="shared" si="7"/>
        <v/>
      </c>
      <c r="AF116" s="62"/>
      <c r="AG116" s="62"/>
      <c r="AH116" s="62"/>
      <c r="AI116" s="62"/>
      <c r="AJ116" s="62"/>
      <c r="AK116" s="62"/>
      <c r="AL116" s="62"/>
      <c r="AM116" s="62"/>
      <c r="AN116" s="62"/>
      <c r="AO116" s="62"/>
      <c r="AP116" s="62"/>
      <c r="AQ116" s="80"/>
    </row>
    <row r="117" spans="1:43" ht="15.75" customHeight="1" x14ac:dyDescent="0.2">
      <c r="A117" s="63" t="str">
        <f t="shared" si="4"/>
        <v/>
      </c>
      <c r="B117" s="62"/>
      <c r="C117" s="62"/>
      <c r="D117" s="62"/>
      <c r="E117" s="62"/>
      <c r="F117" s="62"/>
      <c r="G117" s="62"/>
      <c r="H117" s="62"/>
      <c r="I117" s="66"/>
      <c r="J117" s="66"/>
      <c r="K117" s="66"/>
      <c r="L117" s="66"/>
      <c r="M117" s="66"/>
      <c r="N117" s="64" t="str">
        <f>IF(OR($B117="", $I117="", $J117="", $K117="", $L117="", $M117=""),"",ROUND(($I117*Lists!$AN$2)+($J117*Lists!$AN$3)+($K117*Lists!$AN$4)+($L117*Lists!$AN$5)+($M117*Lists!$AN$6),2))</f>
        <v/>
      </c>
      <c r="O117" s="64" t="str">
        <f>IF($A117="","",IFERROR(VLOOKUP($A117,'Risk Register'!$B$2:$I$1000,8,FALSE()),""))</f>
        <v/>
      </c>
      <c r="P117" s="66"/>
      <c r="Q117" s="66"/>
      <c r="R117" s="66"/>
      <c r="S117" s="66"/>
      <c r="T117" s="64" t="str">
        <f>IF(OR($B117="", $P117="", $Q117="", $R117="", $S117=""),"",ROUND(($P117*Lists!$AN$7)+($Q117*Lists!$AN$8)+($R117*Lists!$AN$9)+($S117*Lists!$AN$10),2))</f>
        <v/>
      </c>
      <c r="U117" s="66"/>
      <c r="V117" s="66"/>
      <c r="W117" s="66"/>
      <c r="X117" s="66"/>
      <c r="Y117" s="66"/>
      <c r="Z117" s="64" t="str">
        <f>IF(OR($B117="", $U117="", $V117="", $W117="", $X117="", $Y117=""),"",ROUND(($U117*Lists!$AN$11)+($V117*Lists!$AN$12)+($W117*Lists!$AN$13)+($X117*Lists!$AN$14)+($Y117*Lists!$AN$15),2))</f>
        <v/>
      </c>
      <c r="AA117" s="64" t="str">
        <f>IF(OR($B117="", $N117="", $O117="", $T117="", $Z117=""),"",ROUND(($N117*Lists!$AN$16)-($O117*Lists!$AN$17)-($T117*Lists!$AN$18)+($Z117*Lists!$AN$19),2))</f>
        <v/>
      </c>
      <c r="AB117" s="63" t="str">
        <f t="shared" si="5"/>
        <v/>
      </c>
      <c r="AC117" s="63" t="str">
        <f t="shared" si="6"/>
        <v/>
      </c>
      <c r="AD117" s="63" t="str">
        <f>IF($A117="","",IFERROR(IF(VLOOKUP($A117,'Risk Register'!$B$2:$H$1000,4,FALSE())&gt;=4,"Yes",""),""))</f>
        <v/>
      </c>
      <c r="AE117" s="63" t="str">
        <f t="shared" si="7"/>
        <v/>
      </c>
      <c r="AF117" s="62"/>
      <c r="AG117" s="62"/>
      <c r="AH117" s="62"/>
      <c r="AI117" s="62"/>
      <c r="AJ117" s="62"/>
      <c r="AK117" s="62"/>
      <c r="AL117" s="62"/>
      <c r="AM117" s="62"/>
      <c r="AN117" s="62"/>
      <c r="AO117" s="62"/>
      <c r="AP117" s="62"/>
      <c r="AQ117" s="80"/>
    </row>
    <row r="118" spans="1:43" ht="15.75" customHeight="1" x14ac:dyDescent="0.2">
      <c r="A118" s="63" t="str">
        <f t="shared" si="4"/>
        <v/>
      </c>
      <c r="B118" s="62"/>
      <c r="C118" s="62"/>
      <c r="D118" s="62"/>
      <c r="E118" s="62"/>
      <c r="F118" s="62"/>
      <c r="G118" s="62"/>
      <c r="H118" s="62"/>
      <c r="I118" s="66"/>
      <c r="J118" s="66"/>
      <c r="K118" s="66"/>
      <c r="L118" s="66"/>
      <c r="M118" s="66"/>
      <c r="N118" s="64" t="str">
        <f>IF(OR($B118="", $I118="", $J118="", $K118="", $L118="", $M118=""),"",ROUND(($I118*Lists!$AN$2)+($J118*Lists!$AN$3)+($K118*Lists!$AN$4)+($L118*Lists!$AN$5)+($M118*Lists!$AN$6),2))</f>
        <v/>
      </c>
      <c r="O118" s="64" t="str">
        <f>IF($A118="","",IFERROR(VLOOKUP($A118,'Risk Register'!$B$2:$I$1000,8,FALSE()),""))</f>
        <v/>
      </c>
      <c r="P118" s="66"/>
      <c r="Q118" s="66"/>
      <c r="R118" s="66"/>
      <c r="S118" s="66"/>
      <c r="T118" s="64" t="str">
        <f>IF(OR($B118="", $P118="", $Q118="", $R118="", $S118=""),"",ROUND(($P118*Lists!$AN$7)+($Q118*Lists!$AN$8)+($R118*Lists!$AN$9)+($S118*Lists!$AN$10),2))</f>
        <v/>
      </c>
      <c r="U118" s="66"/>
      <c r="V118" s="66"/>
      <c r="W118" s="66"/>
      <c r="X118" s="66"/>
      <c r="Y118" s="66"/>
      <c r="Z118" s="64" t="str">
        <f>IF(OR($B118="", $U118="", $V118="", $W118="", $X118="", $Y118=""),"",ROUND(($U118*Lists!$AN$11)+($V118*Lists!$AN$12)+($W118*Lists!$AN$13)+($X118*Lists!$AN$14)+($Y118*Lists!$AN$15),2))</f>
        <v/>
      </c>
      <c r="AA118" s="64" t="str">
        <f>IF(OR($B118="", $N118="", $O118="", $T118="", $Z118=""),"",ROUND(($N118*Lists!$AN$16)-($O118*Lists!$AN$17)-($T118*Lists!$AN$18)+($Z118*Lists!$AN$19),2))</f>
        <v/>
      </c>
      <c r="AB118" s="63" t="str">
        <f t="shared" si="5"/>
        <v/>
      </c>
      <c r="AC118" s="63" t="str">
        <f t="shared" si="6"/>
        <v/>
      </c>
      <c r="AD118" s="63" t="str">
        <f>IF($A118="","",IFERROR(IF(VLOOKUP($A118,'Risk Register'!$B$2:$H$1000,4,FALSE())&gt;=4,"Yes",""),""))</f>
        <v/>
      </c>
      <c r="AE118" s="63" t="str">
        <f t="shared" si="7"/>
        <v/>
      </c>
      <c r="AF118" s="62"/>
      <c r="AG118" s="62"/>
      <c r="AH118" s="62"/>
      <c r="AI118" s="62"/>
      <c r="AJ118" s="62"/>
      <c r="AK118" s="62"/>
      <c r="AL118" s="62"/>
      <c r="AM118" s="62"/>
      <c r="AN118" s="62"/>
      <c r="AO118" s="62"/>
      <c r="AP118" s="62"/>
      <c r="AQ118" s="80"/>
    </row>
    <row r="119" spans="1:43" ht="15.75" customHeight="1" x14ac:dyDescent="0.2">
      <c r="A119" s="63" t="str">
        <f t="shared" si="4"/>
        <v/>
      </c>
      <c r="B119" s="62"/>
      <c r="C119" s="62"/>
      <c r="D119" s="62"/>
      <c r="E119" s="62"/>
      <c r="F119" s="62"/>
      <c r="G119" s="62"/>
      <c r="H119" s="62"/>
      <c r="I119" s="66"/>
      <c r="J119" s="66"/>
      <c r="K119" s="66"/>
      <c r="L119" s="66"/>
      <c r="M119" s="66"/>
      <c r="N119" s="64" t="str">
        <f>IF(OR($B119="", $I119="", $J119="", $K119="", $L119="", $M119=""),"",ROUND(($I119*Lists!$AN$2)+($J119*Lists!$AN$3)+($K119*Lists!$AN$4)+($L119*Lists!$AN$5)+($M119*Lists!$AN$6),2))</f>
        <v/>
      </c>
      <c r="O119" s="64" t="str">
        <f>IF($A119="","",IFERROR(VLOOKUP($A119,'Risk Register'!$B$2:$I$1000,8,FALSE()),""))</f>
        <v/>
      </c>
      <c r="P119" s="66"/>
      <c r="Q119" s="66"/>
      <c r="R119" s="66"/>
      <c r="S119" s="66"/>
      <c r="T119" s="64" t="str">
        <f>IF(OR($B119="", $P119="", $Q119="", $R119="", $S119=""),"",ROUND(($P119*Lists!$AN$7)+($Q119*Lists!$AN$8)+($R119*Lists!$AN$9)+($S119*Lists!$AN$10),2))</f>
        <v/>
      </c>
      <c r="U119" s="66"/>
      <c r="V119" s="66"/>
      <c r="W119" s="66"/>
      <c r="X119" s="66"/>
      <c r="Y119" s="66"/>
      <c r="Z119" s="64" t="str">
        <f>IF(OR($B119="", $U119="", $V119="", $W119="", $X119="", $Y119=""),"",ROUND(($U119*Lists!$AN$11)+($V119*Lists!$AN$12)+($W119*Lists!$AN$13)+($X119*Lists!$AN$14)+($Y119*Lists!$AN$15),2))</f>
        <v/>
      </c>
      <c r="AA119" s="64" t="str">
        <f>IF(OR($B119="", $N119="", $O119="", $T119="", $Z119=""),"",ROUND(($N119*Lists!$AN$16)-($O119*Lists!$AN$17)-($T119*Lists!$AN$18)+($Z119*Lists!$AN$19),2))</f>
        <v/>
      </c>
      <c r="AB119" s="63" t="str">
        <f t="shared" si="5"/>
        <v/>
      </c>
      <c r="AC119" s="63" t="str">
        <f t="shared" si="6"/>
        <v/>
      </c>
      <c r="AD119" s="63" t="str">
        <f>IF($A119="","",IFERROR(IF(VLOOKUP($A119,'Risk Register'!$B$2:$H$1000,4,FALSE())&gt;=4,"Yes",""),""))</f>
        <v/>
      </c>
      <c r="AE119" s="63" t="str">
        <f t="shared" si="7"/>
        <v/>
      </c>
      <c r="AF119" s="62"/>
      <c r="AG119" s="62"/>
      <c r="AH119" s="62"/>
      <c r="AI119" s="62"/>
      <c r="AJ119" s="62"/>
      <c r="AK119" s="62"/>
      <c r="AL119" s="62"/>
      <c r="AM119" s="62"/>
      <c r="AN119" s="62"/>
      <c r="AO119" s="62"/>
      <c r="AP119" s="62"/>
      <c r="AQ119" s="80"/>
    </row>
    <row r="120" spans="1:43" ht="15.75" customHeight="1" x14ac:dyDescent="0.2">
      <c r="A120" s="63" t="str">
        <f t="shared" si="4"/>
        <v/>
      </c>
      <c r="B120" s="62"/>
      <c r="C120" s="62"/>
      <c r="D120" s="62"/>
      <c r="E120" s="62"/>
      <c r="F120" s="62"/>
      <c r="G120" s="62"/>
      <c r="H120" s="62"/>
      <c r="I120" s="66"/>
      <c r="J120" s="66"/>
      <c r="K120" s="66"/>
      <c r="L120" s="66"/>
      <c r="M120" s="66"/>
      <c r="N120" s="64" t="str">
        <f>IF(OR($B120="", $I120="", $J120="", $K120="", $L120="", $M120=""),"",ROUND(($I120*Lists!$AN$2)+($J120*Lists!$AN$3)+($K120*Lists!$AN$4)+($L120*Lists!$AN$5)+($M120*Lists!$AN$6),2))</f>
        <v/>
      </c>
      <c r="O120" s="64" t="str">
        <f>IF($A120="","",IFERROR(VLOOKUP($A120,'Risk Register'!$B$2:$I$1000,8,FALSE()),""))</f>
        <v/>
      </c>
      <c r="P120" s="66"/>
      <c r="Q120" s="66"/>
      <c r="R120" s="66"/>
      <c r="S120" s="66"/>
      <c r="T120" s="64" t="str">
        <f>IF(OR($B120="", $P120="", $Q120="", $R120="", $S120=""),"",ROUND(($P120*Lists!$AN$7)+($Q120*Lists!$AN$8)+($R120*Lists!$AN$9)+($S120*Lists!$AN$10),2))</f>
        <v/>
      </c>
      <c r="U120" s="66"/>
      <c r="V120" s="66"/>
      <c r="W120" s="66"/>
      <c r="X120" s="66"/>
      <c r="Y120" s="66"/>
      <c r="Z120" s="64" t="str">
        <f>IF(OR($B120="", $U120="", $V120="", $W120="", $X120="", $Y120=""),"",ROUND(($U120*Lists!$AN$11)+($V120*Lists!$AN$12)+($W120*Lists!$AN$13)+($X120*Lists!$AN$14)+($Y120*Lists!$AN$15),2))</f>
        <v/>
      </c>
      <c r="AA120" s="64" t="str">
        <f>IF(OR($B120="", $N120="", $O120="", $T120="", $Z120=""),"",ROUND(($N120*Lists!$AN$16)-($O120*Lists!$AN$17)-($T120*Lists!$AN$18)+($Z120*Lists!$AN$19),2))</f>
        <v/>
      </c>
      <c r="AB120" s="63" t="str">
        <f t="shared" si="5"/>
        <v/>
      </c>
      <c r="AC120" s="63" t="str">
        <f t="shared" si="6"/>
        <v/>
      </c>
      <c r="AD120" s="63" t="str">
        <f>IF($A120="","",IFERROR(IF(VLOOKUP($A120,'Risk Register'!$B$2:$H$1000,4,FALSE())&gt;=4,"Yes",""),""))</f>
        <v/>
      </c>
      <c r="AE120" s="63" t="str">
        <f t="shared" si="7"/>
        <v/>
      </c>
      <c r="AF120" s="62"/>
      <c r="AG120" s="62"/>
      <c r="AH120" s="62"/>
      <c r="AI120" s="62"/>
      <c r="AJ120" s="62"/>
      <c r="AK120" s="62"/>
      <c r="AL120" s="62"/>
      <c r="AM120" s="62"/>
      <c r="AN120" s="62"/>
      <c r="AO120" s="62"/>
      <c r="AP120" s="62"/>
      <c r="AQ120" s="80"/>
    </row>
    <row r="121" spans="1:43" ht="15.75" customHeight="1" x14ac:dyDescent="0.2">
      <c r="A121" s="63" t="str">
        <f t="shared" si="4"/>
        <v/>
      </c>
      <c r="B121" s="62"/>
      <c r="C121" s="62"/>
      <c r="D121" s="62"/>
      <c r="E121" s="62"/>
      <c r="F121" s="62"/>
      <c r="G121" s="62"/>
      <c r="H121" s="62"/>
      <c r="I121" s="66"/>
      <c r="J121" s="66"/>
      <c r="K121" s="66"/>
      <c r="L121" s="66"/>
      <c r="M121" s="66"/>
      <c r="N121" s="64" t="str">
        <f>IF(OR($B121="", $I121="", $J121="", $K121="", $L121="", $M121=""),"",ROUND(($I121*Lists!$AN$2)+($J121*Lists!$AN$3)+($K121*Lists!$AN$4)+($L121*Lists!$AN$5)+($M121*Lists!$AN$6),2))</f>
        <v/>
      </c>
      <c r="O121" s="64" t="str">
        <f>IF($A121="","",IFERROR(VLOOKUP($A121,'Risk Register'!$B$2:$I$1000,8,FALSE()),""))</f>
        <v/>
      </c>
      <c r="P121" s="66"/>
      <c r="Q121" s="66"/>
      <c r="R121" s="66"/>
      <c r="S121" s="66"/>
      <c r="T121" s="64" t="str">
        <f>IF(OR($B121="", $P121="", $Q121="", $R121="", $S121=""),"",ROUND(($P121*Lists!$AN$7)+($Q121*Lists!$AN$8)+($R121*Lists!$AN$9)+($S121*Lists!$AN$10),2))</f>
        <v/>
      </c>
      <c r="U121" s="66"/>
      <c r="V121" s="66"/>
      <c r="W121" s="66"/>
      <c r="X121" s="66"/>
      <c r="Y121" s="66"/>
      <c r="Z121" s="64" t="str">
        <f>IF(OR($B121="", $U121="", $V121="", $W121="", $X121="", $Y121=""),"",ROUND(($U121*Lists!$AN$11)+($V121*Lists!$AN$12)+($W121*Lists!$AN$13)+($X121*Lists!$AN$14)+($Y121*Lists!$AN$15),2))</f>
        <v/>
      </c>
      <c r="AA121" s="64" t="str">
        <f>IF(OR($B121="", $N121="", $O121="", $T121="", $Z121=""),"",ROUND(($N121*Lists!$AN$16)-($O121*Lists!$AN$17)-($T121*Lists!$AN$18)+($Z121*Lists!$AN$19),2))</f>
        <v/>
      </c>
      <c r="AB121" s="63" t="str">
        <f t="shared" si="5"/>
        <v/>
      </c>
      <c r="AC121" s="63" t="str">
        <f t="shared" si="6"/>
        <v/>
      </c>
      <c r="AD121" s="63" t="str">
        <f>IF($A121="","",IFERROR(IF(VLOOKUP($A121,'Risk Register'!$B$2:$H$1000,4,FALSE())&gt;=4,"Yes",""),""))</f>
        <v/>
      </c>
      <c r="AE121" s="63" t="str">
        <f t="shared" si="7"/>
        <v/>
      </c>
      <c r="AF121" s="62"/>
      <c r="AG121" s="62"/>
      <c r="AH121" s="62"/>
      <c r="AI121" s="62"/>
      <c r="AJ121" s="62"/>
      <c r="AK121" s="62"/>
      <c r="AL121" s="62"/>
      <c r="AM121" s="62"/>
      <c r="AN121" s="62"/>
      <c r="AO121" s="62"/>
      <c r="AP121" s="62"/>
      <c r="AQ121" s="80"/>
    </row>
    <row r="122" spans="1:43" ht="15.75" customHeight="1" x14ac:dyDescent="0.2">
      <c r="A122" s="63" t="str">
        <f t="shared" si="4"/>
        <v/>
      </c>
      <c r="B122" s="62"/>
      <c r="C122" s="62"/>
      <c r="D122" s="62"/>
      <c r="E122" s="62"/>
      <c r="F122" s="62"/>
      <c r="G122" s="62"/>
      <c r="H122" s="62"/>
      <c r="I122" s="66"/>
      <c r="J122" s="66"/>
      <c r="K122" s="66"/>
      <c r="L122" s="66"/>
      <c r="M122" s="66"/>
      <c r="N122" s="64" t="str">
        <f>IF(OR($B122="", $I122="", $J122="", $K122="", $L122="", $M122=""),"",ROUND(($I122*Lists!$AN$2)+($J122*Lists!$AN$3)+($K122*Lists!$AN$4)+($L122*Lists!$AN$5)+($M122*Lists!$AN$6),2))</f>
        <v/>
      </c>
      <c r="O122" s="64" t="str">
        <f>IF($A122="","",IFERROR(VLOOKUP($A122,'Risk Register'!$B$2:$I$1000,8,FALSE()),""))</f>
        <v/>
      </c>
      <c r="P122" s="66"/>
      <c r="Q122" s="66"/>
      <c r="R122" s="66"/>
      <c r="S122" s="66"/>
      <c r="T122" s="64" t="str">
        <f>IF(OR($B122="", $P122="", $Q122="", $R122="", $S122=""),"",ROUND(($P122*Lists!$AN$7)+($Q122*Lists!$AN$8)+($R122*Lists!$AN$9)+($S122*Lists!$AN$10),2))</f>
        <v/>
      </c>
      <c r="U122" s="66"/>
      <c r="V122" s="66"/>
      <c r="W122" s="66"/>
      <c r="X122" s="66"/>
      <c r="Y122" s="66"/>
      <c r="Z122" s="64" t="str">
        <f>IF(OR($B122="", $U122="", $V122="", $W122="", $X122="", $Y122=""),"",ROUND(($U122*Lists!$AN$11)+($V122*Lists!$AN$12)+($W122*Lists!$AN$13)+($X122*Lists!$AN$14)+($Y122*Lists!$AN$15),2))</f>
        <v/>
      </c>
      <c r="AA122" s="64" t="str">
        <f>IF(OR($B122="", $N122="", $O122="", $T122="", $Z122=""),"",ROUND(($N122*Lists!$AN$16)-($O122*Lists!$AN$17)-($T122*Lists!$AN$18)+($Z122*Lists!$AN$19),2))</f>
        <v/>
      </c>
      <c r="AB122" s="63" t="str">
        <f t="shared" si="5"/>
        <v/>
      </c>
      <c r="AC122" s="63" t="str">
        <f t="shared" si="6"/>
        <v/>
      </c>
      <c r="AD122" s="63" t="str">
        <f>IF($A122="","",IFERROR(IF(VLOOKUP($A122,'Risk Register'!$B$2:$H$1000,4,FALSE())&gt;=4,"Yes",""),""))</f>
        <v/>
      </c>
      <c r="AE122" s="63" t="str">
        <f t="shared" si="7"/>
        <v/>
      </c>
      <c r="AF122" s="62"/>
      <c r="AG122" s="62"/>
      <c r="AH122" s="62"/>
      <c r="AI122" s="62"/>
      <c r="AJ122" s="62"/>
      <c r="AK122" s="62"/>
      <c r="AL122" s="62"/>
      <c r="AM122" s="62"/>
      <c r="AN122" s="62"/>
      <c r="AO122" s="62"/>
      <c r="AP122" s="62"/>
      <c r="AQ122" s="80"/>
    </row>
    <row r="123" spans="1:43" ht="15.75" customHeight="1" x14ac:dyDescent="0.2">
      <c r="A123" s="63" t="str">
        <f t="shared" si="4"/>
        <v/>
      </c>
      <c r="B123" s="62"/>
      <c r="C123" s="62"/>
      <c r="D123" s="62"/>
      <c r="E123" s="62"/>
      <c r="F123" s="62"/>
      <c r="G123" s="62"/>
      <c r="H123" s="62"/>
      <c r="I123" s="66"/>
      <c r="J123" s="66"/>
      <c r="K123" s="66"/>
      <c r="L123" s="66"/>
      <c r="M123" s="66"/>
      <c r="N123" s="64" t="str">
        <f>IF(OR($B123="", $I123="", $J123="", $K123="", $L123="", $M123=""),"",ROUND(($I123*Lists!$AN$2)+($J123*Lists!$AN$3)+($K123*Lists!$AN$4)+($L123*Lists!$AN$5)+($M123*Lists!$AN$6),2))</f>
        <v/>
      </c>
      <c r="O123" s="64" t="str">
        <f>IF($A123="","",IFERROR(VLOOKUP($A123,'Risk Register'!$B$2:$I$1000,8,FALSE()),""))</f>
        <v/>
      </c>
      <c r="P123" s="66"/>
      <c r="Q123" s="66"/>
      <c r="R123" s="66"/>
      <c r="S123" s="66"/>
      <c r="T123" s="64" t="str">
        <f>IF(OR($B123="", $P123="", $Q123="", $R123="", $S123=""),"",ROUND(($P123*Lists!$AN$7)+($Q123*Lists!$AN$8)+($R123*Lists!$AN$9)+($S123*Lists!$AN$10),2))</f>
        <v/>
      </c>
      <c r="U123" s="66"/>
      <c r="V123" s="66"/>
      <c r="W123" s="66"/>
      <c r="X123" s="66"/>
      <c r="Y123" s="66"/>
      <c r="Z123" s="64" t="str">
        <f>IF(OR($B123="", $U123="", $V123="", $W123="", $X123="", $Y123=""),"",ROUND(($U123*Lists!$AN$11)+($V123*Lists!$AN$12)+($W123*Lists!$AN$13)+($X123*Lists!$AN$14)+($Y123*Lists!$AN$15),2))</f>
        <v/>
      </c>
      <c r="AA123" s="64" t="str">
        <f>IF(OR($B123="", $N123="", $O123="", $T123="", $Z123=""),"",ROUND(($N123*Lists!$AN$16)-($O123*Lists!$AN$17)-($T123*Lists!$AN$18)+($Z123*Lists!$AN$19),2))</f>
        <v/>
      </c>
      <c r="AB123" s="63" t="str">
        <f t="shared" si="5"/>
        <v/>
      </c>
      <c r="AC123" s="63" t="str">
        <f t="shared" si="6"/>
        <v/>
      </c>
      <c r="AD123" s="63" t="str">
        <f>IF($A123="","",IFERROR(IF(VLOOKUP($A123,'Risk Register'!$B$2:$H$1000,4,FALSE())&gt;=4,"Yes",""),""))</f>
        <v/>
      </c>
      <c r="AE123" s="63" t="str">
        <f t="shared" si="7"/>
        <v/>
      </c>
      <c r="AF123" s="62"/>
      <c r="AG123" s="62"/>
      <c r="AH123" s="62"/>
      <c r="AI123" s="62"/>
      <c r="AJ123" s="62"/>
      <c r="AK123" s="62"/>
      <c r="AL123" s="62"/>
      <c r="AM123" s="62"/>
      <c r="AN123" s="62"/>
      <c r="AO123" s="62"/>
      <c r="AP123" s="62"/>
      <c r="AQ123" s="80"/>
    </row>
    <row r="124" spans="1:43" ht="15.75" customHeight="1" x14ac:dyDescent="0.2">
      <c r="A124" s="63" t="str">
        <f t="shared" si="4"/>
        <v/>
      </c>
      <c r="B124" s="62"/>
      <c r="C124" s="62"/>
      <c r="D124" s="62"/>
      <c r="E124" s="62"/>
      <c r="F124" s="62"/>
      <c r="G124" s="62"/>
      <c r="H124" s="62"/>
      <c r="I124" s="66"/>
      <c r="J124" s="66"/>
      <c r="K124" s="66"/>
      <c r="L124" s="66"/>
      <c r="M124" s="66"/>
      <c r="N124" s="64" t="str">
        <f>IF(OR($B124="", $I124="", $J124="", $K124="", $L124="", $M124=""),"",ROUND(($I124*Lists!$AN$2)+($J124*Lists!$AN$3)+($K124*Lists!$AN$4)+($L124*Lists!$AN$5)+($M124*Lists!$AN$6),2))</f>
        <v/>
      </c>
      <c r="O124" s="64" t="str">
        <f>IF($A124="","",IFERROR(VLOOKUP($A124,'Risk Register'!$B$2:$I$1000,8,FALSE()),""))</f>
        <v/>
      </c>
      <c r="P124" s="66"/>
      <c r="Q124" s="66"/>
      <c r="R124" s="66"/>
      <c r="S124" s="66"/>
      <c r="T124" s="64" t="str">
        <f>IF(OR($B124="", $P124="", $Q124="", $R124="", $S124=""),"",ROUND(($P124*Lists!$AN$7)+($Q124*Lists!$AN$8)+($R124*Lists!$AN$9)+($S124*Lists!$AN$10),2))</f>
        <v/>
      </c>
      <c r="U124" s="66"/>
      <c r="V124" s="66"/>
      <c r="W124" s="66"/>
      <c r="X124" s="66"/>
      <c r="Y124" s="66"/>
      <c r="Z124" s="64" t="str">
        <f>IF(OR($B124="", $U124="", $V124="", $W124="", $X124="", $Y124=""),"",ROUND(($U124*Lists!$AN$11)+($V124*Lists!$AN$12)+($W124*Lists!$AN$13)+($X124*Lists!$AN$14)+($Y124*Lists!$AN$15),2))</f>
        <v/>
      </c>
      <c r="AA124" s="64" t="str">
        <f>IF(OR($B124="", $N124="", $O124="", $T124="", $Z124=""),"",ROUND(($N124*Lists!$AN$16)-($O124*Lists!$AN$17)-($T124*Lists!$AN$18)+($Z124*Lists!$AN$19),2))</f>
        <v/>
      </c>
      <c r="AB124" s="63" t="str">
        <f t="shared" si="5"/>
        <v/>
      </c>
      <c r="AC124" s="63" t="str">
        <f t="shared" si="6"/>
        <v/>
      </c>
      <c r="AD124" s="63" t="str">
        <f>IF($A124="","",IFERROR(IF(VLOOKUP($A124,'Risk Register'!$B$2:$H$1000,4,FALSE())&gt;=4,"Yes",""),""))</f>
        <v/>
      </c>
      <c r="AE124" s="63" t="str">
        <f t="shared" si="7"/>
        <v/>
      </c>
      <c r="AF124" s="62"/>
      <c r="AG124" s="62"/>
      <c r="AH124" s="62"/>
      <c r="AI124" s="62"/>
      <c r="AJ124" s="62"/>
      <c r="AK124" s="62"/>
      <c r="AL124" s="62"/>
      <c r="AM124" s="62"/>
      <c r="AN124" s="62"/>
      <c r="AO124" s="62"/>
      <c r="AP124" s="62"/>
      <c r="AQ124" s="80"/>
    </row>
    <row r="125" spans="1:43" ht="15.75" customHeight="1" x14ac:dyDescent="0.2">
      <c r="A125" s="63" t="str">
        <f t="shared" si="4"/>
        <v/>
      </c>
      <c r="B125" s="62"/>
      <c r="C125" s="62"/>
      <c r="D125" s="62"/>
      <c r="E125" s="62"/>
      <c r="F125" s="62"/>
      <c r="G125" s="62"/>
      <c r="H125" s="62"/>
      <c r="I125" s="66"/>
      <c r="J125" s="66"/>
      <c r="K125" s="66"/>
      <c r="L125" s="66"/>
      <c r="M125" s="66"/>
      <c r="N125" s="64" t="str">
        <f>IF(OR($B125="", $I125="", $J125="", $K125="", $L125="", $M125=""),"",ROUND(($I125*Lists!$AN$2)+($J125*Lists!$AN$3)+($K125*Lists!$AN$4)+($L125*Lists!$AN$5)+($M125*Lists!$AN$6),2))</f>
        <v/>
      </c>
      <c r="O125" s="64" t="str">
        <f>IF($A125="","",IFERROR(VLOOKUP($A125,'Risk Register'!$B$2:$I$1000,8,FALSE()),""))</f>
        <v/>
      </c>
      <c r="P125" s="66"/>
      <c r="Q125" s="66"/>
      <c r="R125" s="66"/>
      <c r="S125" s="66"/>
      <c r="T125" s="64" t="str">
        <f>IF(OR($B125="", $P125="", $Q125="", $R125="", $S125=""),"",ROUND(($P125*Lists!$AN$7)+($Q125*Lists!$AN$8)+($R125*Lists!$AN$9)+($S125*Lists!$AN$10),2))</f>
        <v/>
      </c>
      <c r="U125" s="66"/>
      <c r="V125" s="66"/>
      <c r="W125" s="66"/>
      <c r="X125" s="66"/>
      <c r="Y125" s="66"/>
      <c r="Z125" s="64" t="str">
        <f>IF(OR($B125="", $U125="", $V125="", $W125="", $X125="", $Y125=""),"",ROUND(($U125*Lists!$AN$11)+($V125*Lists!$AN$12)+($W125*Lists!$AN$13)+($X125*Lists!$AN$14)+($Y125*Lists!$AN$15),2))</f>
        <v/>
      </c>
      <c r="AA125" s="64" t="str">
        <f>IF(OR($B125="", $N125="", $O125="", $T125="", $Z125=""),"",ROUND(($N125*Lists!$AN$16)-($O125*Lists!$AN$17)-($T125*Lists!$AN$18)+($Z125*Lists!$AN$19),2))</f>
        <v/>
      </c>
      <c r="AB125" s="63" t="str">
        <f t="shared" si="5"/>
        <v/>
      </c>
      <c r="AC125" s="63" t="str">
        <f t="shared" si="6"/>
        <v/>
      </c>
      <c r="AD125" s="63" t="str">
        <f>IF($A125="","",IFERROR(IF(VLOOKUP($A125,'Risk Register'!$B$2:$H$1000,4,FALSE())&gt;=4,"Yes",""),""))</f>
        <v/>
      </c>
      <c r="AE125" s="63" t="str">
        <f t="shared" si="7"/>
        <v/>
      </c>
      <c r="AF125" s="62"/>
      <c r="AG125" s="62"/>
      <c r="AH125" s="62"/>
      <c r="AI125" s="62"/>
      <c r="AJ125" s="62"/>
      <c r="AK125" s="62"/>
      <c r="AL125" s="62"/>
      <c r="AM125" s="62"/>
      <c r="AN125" s="62"/>
      <c r="AO125" s="62"/>
      <c r="AP125" s="62"/>
      <c r="AQ125" s="80"/>
    </row>
    <row r="126" spans="1:43" ht="15.75" customHeight="1" x14ac:dyDescent="0.2">
      <c r="A126" s="63" t="str">
        <f t="shared" si="4"/>
        <v/>
      </c>
      <c r="B126" s="62"/>
      <c r="C126" s="62"/>
      <c r="D126" s="62"/>
      <c r="E126" s="62"/>
      <c r="F126" s="62"/>
      <c r="G126" s="62"/>
      <c r="H126" s="62"/>
      <c r="I126" s="66"/>
      <c r="J126" s="66"/>
      <c r="K126" s="66"/>
      <c r="L126" s="66"/>
      <c r="M126" s="66"/>
      <c r="N126" s="64" t="str">
        <f>IF(OR($B126="", $I126="", $J126="", $K126="", $L126="", $M126=""),"",ROUND(($I126*Lists!$AN$2)+($J126*Lists!$AN$3)+($K126*Lists!$AN$4)+($L126*Lists!$AN$5)+($M126*Lists!$AN$6),2))</f>
        <v/>
      </c>
      <c r="O126" s="64" t="str">
        <f>IF($A126="","",IFERROR(VLOOKUP($A126,'Risk Register'!$B$2:$I$1000,8,FALSE()),""))</f>
        <v/>
      </c>
      <c r="P126" s="66"/>
      <c r="Q126" s="66"/>
      <c r="R126" s="66"/>
      <c r="S126" s="66"/>
      <c r="T126" s="64" t="str">
        <f>IF(OR($B126="", $P126="", $Q126="", $R126="", $S126=""),"",ROUND(($P126*Lists!$AN$7)+($Q126*Lists!$AN$8)+($R126*Lists!$AN$9)+($S126*Lists!$AN$10),2))</f>
        <v/>
      </c>
      <c r="U126" s="66"/>
      <c r="V126" s="66"/>
      <c r="W126" s="66"/>
      <c r="X126" s="66"/>
      <c r="Y126" s="66"/>
      <c r="Z126" s="64" t="str">
        <f>IF(OR($B126="", $U126="", $V126="", $W126="", $X126="", $Y126=""),"",ROUND(($U126*Lists!$AN$11)+($V126*Lists!$AN$12)+($W126*Lists!$AN$13)+($X126*Lists!$AN$14)+($Y126*Lists!$AN$15),2))</f>
        <v/>
      </c>
      <c r="AA126" s="64" t="str">
        <f>IF(OR($B126="", $N126="", $O126="", $T126="", $Z126=""),"",ROUND(($N126*Lists!$AN$16)-($O126*Lists!$AN$17)-($T126*Lists!$AN$18)+($Z126*Lists!$AN$19),2))</f>
        <v/>
      </c>
      <c r="AB126" s="63" t="str">
        <f t="shared" si="5"/>
        <v/>
      </c>
      <c r="AC126" s="63" t="str">
        <f t="shared" si="6"/>
        <v/>
      </c>
      <c r="AD126" s="63" t="str">
        <f>IF($A126="","",IFERROR(IF(VLOOKUP($A126,'Risk Register'!$B$2:$H$1000,4,FALSE())&gt;=4,"Yes",""),""))</f>
        <v/>
      </c>
      <c r="AE126" s="63" t="str">
        <f t="shared" si="7"/>
        <v/>
      </c>
      <c r="AF126" s="62"/>
      <c r="AG126" s="62"/>
      <c r="AH126" s="62"/>
      <c r="AI126" s="62"/>
      <c r="AJ126" s="62"/>
      <c r="AK126" s="62"/>
      <c r="AL126" s="62"/>
      <c r="AM126" s="62"/>
      <c r="AN126" s="62"/>
      <c r="AO126" s="62"/>
      <c r="AP126" s="62"/>
      <c r="AQ126" s="80"/>
    </row>
    <row r="127" spans="1:43" ht="15.75" customHeight="1" x14ac:dyDescent="0.2">
      <c r="A127" s="63" t="str">
        <f t="shared" si="4"/>
        <v/>
      </c>
      <c r="B127" s="62"/>
      <c r="C127" s="62"/>
      <c r="D127" s="62"/>
      <c r="E127" s="62"/>
      <c r="F127" s="62"/>
      <c r="G127" s="62"/>
      <c r="H127" s="62"/>
      <c r="I127" s="66"/>
      <c r="J127" s="66"/>
      <c r="K127" s="66"/>
      <c r="L127" s="66"/>
      <c r="M127" s="66"/>
      <c r="N127" s="64" t="str">
        <f>IF(OR($B127="", $I127="", $J127="", $K127="", $L127="", $M127=""),"",ROUND(($I127*Lists!$AN$2)+($J127*Lists!$AN$3)+($K127*Lists!$AN$4)+($L127*Lists!$AN$5)+($M127*Lists!$AN$6),2))</f>
        <v/>
      </c>
      <c r="O127" s="64" t="str">
        <f>IF($A127="","",IFERROR(VLOOKUP($A127,'Risk Register'!$B$2:$I$1000,8,FALSE()),""))</f>
        <v/>
      </c>
      <c r="P127" s="66"/>
      <c r="Q127" s="66"/>
      <c r="R127" s="66"/>
      <c r="S127" s="66"/>
      <c r="T127" s="64" t="str">
        <f>IF(OR($B127="", $P127="", $Q127="", $R127="", $S127=""),"",ROUND(($P127*Lists!$AN$7)+($Q127*Lists!$AN$8)+($R127*Lists!$AN$9)+($S127*Lists!$AN$10),2))</f>
        <v/>
      </c>
      <c r="U127" s="66"/>
      <c r="V127" s="66"/>
      <c r="W127" s="66"/>
      <c r="X127" s="66"/>
      <c r="Y127" s="66"/>
      <c r="Z127" s="64" t="str">
        <f>IF(OR($B127="", $U127="", $V127="", $W127="", $X127="", $Y127=""),"",ROUND(($U127*Lists!$AN$11)+($V127*Lists!$AN$12)+($W127*Lists!$AN$13)+($X127*Lists!$AN$14)+($Y127*Lists!$AN$15),2))</f>
        <v/>
      </c>
      <c r="AA127" s="64" t="str">
        <f>IF(OR($B127="", $N127="", $O127="", $T127="", $Z127=""),"",ROUND(($N127*Lists!$AN$16)-($O127*Lists!$AN$17)-($T127*Lists!$AN$18)+($Z127*Lists!$AN$19),2))</f>
        <v/>
      </c>
      <c r="AB127" s="63" t="str">
        <f t="shared" si="5"/>
        <v/>
      </c>
      <c r="AC127" s="63" t="str">
        <f t="shared" si="6"/>
        <v/>
      </c>
      <c r="AD127" s="63" t="str">
        <f>IF($A127="","",IFERROR(IF(VLOOKUP($A127,'Risk Register'!$B$2:$H$1000,4,FALSE())&gt;=4,"Yes",""),""))</f>
        <v/>
      </c>
      <c r="AE127" s="63" t="str">
        <f t="shared" si="7"/>
        <v/>
      </c>
      <c r="AF127" s="62"/>
      <c r="AG127" s="62"/>
      <c r="AH127" s="62"/>
      <c r="AI127" s="62"/>
      <c r="AJ127" s="62"/>
      <c r="AK127" s="62"/>
      <c r="AL127" s="62"/>
      <c r="AM127" s="62"/>
      <c r="AN127" s="62"/>
      <c r="AO127" s="62"/>
      <c r="AP127" s="62"/>
      <c r="AQ127" s="80"/>
    </row>
    <row r="128" spans="1:43" ht="15.75" customHeight="1" x14ac:dyDescent="0.2">
      <c r="A128" s="63" t="str">
        <f t="shared" si="4"/>
        <v/>
      </c>
      <c r="B128" s="62"/>
      <c r="C128" s="62"/>
      <c r="D128" s="62"/>
      <c r="E128" s="62"/>
      <c r="F128" s="62"/>
      <c r="G128" s="62"/>
      <c r="H128" s="62"/>
      <c r="I128" s="66"/>
      <c r="J128" s="66"/>
      <c r="K128" s="66"/>
      <c r="L128" s="66"/>
      <c r="M128" s="66"/>
      <c r="N128" s="64" t="str">
        <f>IF(OR($B128="", $I128="", $J128="", $K128="", $L128="", $M128=""),"",ROUND(($I128*Lists!$AN$2)+($J128*Lists!$AN$3)+($K128*Lists!$AN$4)+($L128*Lists!$AN$5)+($M128*Lists!$AN$6),2))</f>
        <v/>
      </c>
      <c r="O128" s="64" t="str">
        <f>IF($A128="","",IFERROR(VLOOKUP($A128,'Risk Register'!$B$2:$I$1000,8,FALSE()),""))</f>
        <v/>
      </c>
      <c r="P128" s="66"/>
      <c r="Q128" s="66"/>
      <c r="R128" s="66"/>
      <c r="S128" s="66"/>
      <c r="T128" s="64" t="str">
        <f>IF(OR($B128="", $P128="", $Q128="", $R128="", $S128=""),"",ROUND(($P128*Lists!$AN$7)+($Q128*Lists!$AN$8)+($R128*Lists!$AN$9)+($S128*Lists!$AN$10),2))</f>
        <v/>
      </c>
      <c r="U128" s="66"/>
      <c r="V128" s="66"/>
      <c r="W128" s="66"/>
      <c r="X128" s="66"/>
      <c r="Y128" s="66"/>
      <c r="Z128" s="64" t="str">
        <f>IF(OR($B128="", $U128="", $V128="", $W128="", $X128="", $Y128=""),"",ROUND(($U128*Lists!$AN$11)+($V128*Lists!$AN$12)+($W128*Lists!$AN$13)+($X128*Lists!$AN$14)+($Y128*Lists!$AN$15),2))</f>
        <v/>
      </c>
      <c r="AA128" s="64" t="str">
        <f>IF(OR($B128="", $N128="", $O128="", $T128="", $Z128=""),"",ROUND(($N128*Lists!$AN$16)-($O128*Lists!$AN$17)-($T128*Lists!$AN$18)+($Z128*Lists!$AN$19),2))</f>
        <v/>
      </c>
      <c r="AB128" s="63" t="str">
        <f t="shared" si="5"/>
        <v/>
      </c>
      <c r="AC128" s="63" t="str">
        <f t="shared" si="6"/>
        <v/>
      </c>
      <c r="AD128" s="63" t="str">
        <f>IF($A128="","",IFERROR(IF(VLOOKUP($A128,'Risk Register'!$B$2:$H$1000,4,FALSE())&gt;=4,"Yes",""),""))</f>
        <v/>
      </c>
      <c r="AE128" s="63" t="str">
        <f t="shared" si="7"/>
        <v/>
      </c>
      <c r="AF128" s="62"/>
      <c r="AG128" s="62"/>
      <c r="AH128" s="62"/>
      <c r="AI128" s="62"/>
      <c r="AJ128" s="62"/>
      <c r="AK128" s="62"/>
      <c r="AL128" s="62"/>
      <c r="AM128" s="62"/>
      <c r="AN128" s="62"/>
      <c r="AO128" s="62"/>
      <c r="AP128" s="62"/>
      <c r="AQ128" s="80"/>
    </row>
    <row r="129" spans="1:43" ht="15.75" customHeight="1" x14ac:dyDescent="0.2">
      <c r="A129" s="63" t="str">
        <f t="shared" si="4"/>
        <v/>
      </c>
      <c r="B129" s="62"/>
      <c r="C129" s="62"/>
      <c r="D129" s="62"/>
      <c r="E129" s="62"/>
      <c r="F129" s="62"/>
      <c r="G129" s="62"/>
      <c r="H129" s="62"/>
      <c r="I129" s="66"/>
      <c r="J129" s="66"/>
      <c r="K129" s="66"/>
      <c r="L129" s="66"/>
      <c r="M129" s="66"/>
      <c r="N129" s="64" t="str">
        <f>IF(OR($B129="", $I129="", $J129="", $K129="", $L129="", $M129=""),"",ROUND(($I129*Lists!$AN$2)+($J129*Lists!$AN$3)+($K129*Lists!$AN$4)+($L129*Lists!$AN$5)+($M129*Lists!$AN$6),2))</f>
        <v/>
      </c>
      <c r="O129" s="64" t="str">
        <f>IF($A129="","",IFERROR(VLOOKUP($A129,'Risk Register'!$B$2:$I$1000,8,FALSE()),""))</f>
        <v/>
      </c>
      <c r="P129" s="66"/>
      <c r="Q129" s="66"/>
      <c r="R129" s="66"/>
      <c r="S129" s="66"/>
      <c r="T129" s="64" t="str">
        <f>IF(OR($B129="", $P129="", $Q129="", $R129="", $S129=""),"",ROUND(($P129*Lists!$AN$7)+($Q129*Lists!$AN$8)+($R129*Lists!$AN$9)+($S129*Lists!$AN$10),2))</f>
        <v/>
      </c>
      <c r="U129" s="66"/>
      <c r="V129" s="66"/>
      <c r="W129" s="66"/>
      <c r="X129" s="66"/>
      <c r="Y129" s="66"/>
      <c r="Z129" s="64" t="str">
        <f>IF(OR($B129="", $U129="", $V129="", $W129="", $X129="", $Y129=""),"",ROUND(($U129*Lists!$AN$11)+($V129*Lists!$AN$12)+($W129*Lists!$AN$13)+($X129*Lists!$AN$14)+($Y129*Lists!$AN$15),2))</f>
        <v/>
      </c>
      <c r="AA129" s="64" t="str">
        <f>IF(OR($B129="", $N129="", $O129="", $T129="", $Z129=""),"",ROUND(($N129*Lists!$AN$16)-($O129*Lists!$AN$17)-($T129*Lists!$AN$18)+($Z129*Lists!$AN$19),2))</f>
        <v/>
      </c>
      <c r="AB129" s="63" t="str">
        <f t="shared" si="5"/>
        <v/>
      </c>
      <c r="AC129" s="63" t="str">
        <f t="shared" si="6"/>
        <v/>
      </c>
      <c r="AD129" s="63" t="str">
        <f>IF($A129="","",IFERROR(IF(VLOOKUP($A129,'Risk Register'!$B$2:$H$1000,4,FALSE())&gt;=4,"Yes",""),""))</f>
        <v/>
      </c>
      <c r="AE129" s="63" t="str">
        <f t="shared" si="7"/>
        <v/>
      </c>
      <c r="AF129" s="62"/>
      <c r="AG129" s="62"/>
      <c r="AH129" s="62"/>
      <c r="AI129" s="62"/>
      <c r="AJ129" s="62"/>
      <c r="AK129" s="62"/>
      <c r="AL129" s="62"/>
      <c r="AM129" s="62"/>
      <c r="AN129" s="62"/>
      <c r="AO129" s="62"/>
      <c r="AP129" s="62"/>
      <c r="AQ129" s="80"/>
    </row>
    <row r="130" spans="1:43" ht="15.75" customHeight="1" x14ac:dyDescent="0.2">
      <c r="A130" s="63" t="str">
        <f t="shared" si="4"/>
        <v/>
      </c>
      <c r="B130" s="62"/>
      <c r="C130" s="62"/>
      <c r="D130" s="62"/>
      <c r="E130" s="62"/>
      <c r="F130" s="62"/>
      <c r="G130" s="62"/>
      <c r="H130" s="62"/>
      <c r="I130" s="66"/>
      <c r="J130" s="66"/>
      <c r="K130" s="66"/>
      <c r="L130" s="66"/>
      <c r="M130" s="66"/>
      <c r="N130" s="64" t="str">
        <f>IF(OR($B130="", $I130="", $J130="", $K130="", $L130="", $M130=""),"",ROUND(($I130*Lists!$AN$2)+($J130*Lists!$AN$3)+($K130*Lists!$AN$4)+($L130*Lists!$AN$5)+($M130*Lists!$AN$6),2))</f>
        <v/>
      </c>
      <c r="O130" s="64" t="str">
        <f>IF($A130="","",IFERROR(VLOOKUP($A130,'Risk Register'!$B$2:$I$1000,8,FALSE()),""))</f>
        <v/>
      </c>
      <c r="P130" s="66"/>
      <c r="Q130" s="66"/>
      <c r="R130" s="66"/>
      <c r="S130" s="66"/>
      <c r="T130" s="64" t="str">
        <f>IF(OR($B130="", $P130="", $Q130="", $R130="", $S130=""),"",ROUND(($P130*Lists!$AN$7)+($Q130*Lists!$AN$8)+($R130*Lists!$AN$9)+($S130*Lists!$AN$10),2))</f>
        <v/>
      </c>
      <c r="U130" s="66"/>
      <c r="V130" s="66"/>
      <c r="W130" s="66"/>
      <c r="X130" s="66"/>
      <c r="Y130" s="66"/>
      <c r="Z130" s="64" t="str">
        <f>IF(OR($B130="", $U130="", $V130="", $W130="", $X130="", $Y130=""),"",ROUND(($U130*Lists!$AN$11)+($V130*Lists!$AN$12)+($W130*Lists!$AN$13)+($X130*Lists!$AN$14)+($Y130*Lists!$AN$15),2))</f>
        <v/>
      </c>
      <c r="AA130" s="64" t="str">
        <f>IF(OR($B130="", $N130="", $O130="", $T130="", $Z130=""),"",ROUND(($N130*Lists!$AN$16)-($O130*Lists!$AN$17)-($T130*Lists!$AN$18)+($Z130*Lists!$AN$19),2))</f>
        <v/>
      </c>
      <c r="AB130" s="63" t="str">
        <f t="shared" si="5"/>
        <v/>
      </c>
      <c r="AC130" s="63" t="str">
        <f t="shared" si="6"/>
        <v/>
      </c>
      <c r="AD130" s="63" t="str">
        <f>IF($A130="","",IFERROR(IF(VLOOKUP($A130,'Risk Register'!$B$2:$H$1000,4,FALSE())&gt;=4,"Yes",""),""))</f>
        <v/>
      </c>
      <c r="AE130" s="63" t="str">
        <f t="shared" si="7"/>
        <v/>
      </c>
      <c r="AF130" s="62"/>
      <c r="AG130" s="62"/>
      <c r="AH130" s="62"/>
      <c r="AI130" s="62"/>
      <c r="AJ130" s="62"/>
      <c r="AK130" s="62"/>
      <c r="AL130" s="62"/>
      <c r="AM130" s="62"/>
      <c r="AN130" s="62"/>
      <c r="AO130" s="62"/>
      <c r="AP130" s="62"/>
      <c r="AQ130" s="80"/>
    </row>
    <row r="131" spans="1:43" ht="15.75" customHeight="1" x14ac:dyDescent="0.2">
      <c r="A131" s="63" t="str">
        <f t="shared" si="4"/>
        <v/>
      </c>
      <c r="B131" s="62"/>
      <c r="C131" s="62"/>
      <c r="D131" s="62"/>
      <c r="E131" s="62"/>
      <c r="F131" s="62"/>
      <c r="G131" s="62"/>
      <c r="H131" s="62"/>
      <c r="I131" s="66"/>
      <c r="J131" s="66"/>
      <c r="K131" s="66"/>
      <c r="L131" s="66"/>
      <c r="M131" s="66"/>
      <c r="N131" s="64" t="str">
        <f>IF(OR($B131="", $I131="", $J131="", $K131="", $L131="", $M131=""),"",ROUND(($I131*Lists!$AN$2)+($J131*Lists!$AN$3)+($K131*Lists!$AN$4)+($L131*Lists!$AN$5)+($M131*Lists!$AN$6),2))</f>
        <v/>
      </c>
      <c r="O131" s="64" t="str">
        <f>IF($A131="","",IFERROR(VLOOKUP($A131,'Risk Register'!$B$2:$I$1000,8,FALSE()),""))</f>
        <v/>
      </c>
      <c r="P131" s="66"/>
      <c r="Q131" s="66"/>
      <c r="R131" s="66"/>
      <c r="S131" s="66"/>
      <c r="T131" s="64" t="str">
        <f>IF(OR($B131="", $P131="", $Q131="", $R131="", $S131=""),"",ROUND(($P131*Lists!$AN$7)+($Q131*Lists!$AN$8)+($R131*Lists!$AN$9)+($S131*Lists!$AN$10),2))</f>
        <v/>
      </c>
      <c r="U131" s="66"/>
      <c r="V131" s="66"/>
      <c r="W131" s="66"/>
      <c r="X131" s="66"/>
      <c r="Y131" s="66"/>
      <c r="Z131" s="64" t="str">
        <f>IF(OR($B131="", $U131="", $V131="", $W131="", $X131="", $Y131=""),"",ROUND(($U131*Lists!$AN$11)+($V131*Lists!$AN$12)+($W131*Lists!$AN$13)+($X131*Lists!$AN$14)+($Y131*Lists!$AN$15),2))</f>
        <v/>
      </c>
      <c r="AA131" s="64" t="str">
        <f>IF(OR($B131="", $N131="", $O131="", $T131="", $Z131=""),"",ROUND(($N131*Lists!$AN$16)-($O131*Lists!$AN$17)-($T131*Lists!$AN$18)+($Z131*Lists!$AN$19),2))</f>
        <v/>
      </c>
      <c r="AB131" s="63" t="str">
        <f t="shared" si="5"/>
        <v/>
      </c>
      <c r="AC131" s="63" t="str">
        <f t="shared" si="6"/>
        <v/>
      </c>
      <c r="AD131" s="63" t="str">
        <f>IF($A131="","",IFERROR(IF(VLOOKUP($A131,'Risk Register'!$B$2:$H$1000,4,FALSE())&gt;=4,"Yes",""),""))</f>
        <v/>
      </c>
      <c r="AE131" s="63" t="str">
        <f t="shared" si="7"/>
        <v/>
      </c>
      <c r="AF131" s="62"/>
      <c r="AG131" s="62"/>
      <c r="AH131" s="62"/>
      <c r="AI131" s="62"/>
      <c r="AJ131" s="62"/>
      <c r="AK131" s="62"/>
      <c r="AL131" s="62"/>
      <c r="AM131" s="62"/>
      <c r="AN131" s="62"/>
      <c r="AO131" s="62"/>
      <c r="AP131" s="62"/>
      <c r="AQ131" s="80"/>
    </row>
    <row r="132" spans="1:43" ht="15.75" customHeight="1" x14ac:dyDescent="0.2">
      <c r="A132" s="63" t="str">
        <f t="shared" si="4"/>
        <v/>
      </c>
      <c r="B132" s="62"/>
      <c r="C132" s="62"/>
      <c r="D132" s="62"/>
      <c r="E132" s="62"/>
      <c r="F132" s="62"/>
      <c r="G132" s="62"/>
      <c r="H132" s="62"/>
      <c r="I132" s="66"/>
      <c r="J132" s="66"/>
      <c r="K132" s="66"/>
      <c r="L132" s="66"/>
      <c r="M132" s="66"/>
      <c r="N132" s="64" t="str">
        <f>IF(OR($B132="", $I132="", $J132="", $K132="", $L132="", $M132=""),"",ROUND(($I132*Lists!$AN$2)+($J132*Lists!$AN$3)+($K132*Lists!$AN$4)+($L132*Lists!$AN$5)+($M132*Lists!$AN$6),2))</f>
        <v/>
      </c>
      <c r="O132" s="64" t="str">
        <f>IF($A132="","",IFERROR(VLOOKUP($A132,'Risk Register'!$B$2:$I$1000,8,FALSE()),""))</f>
        <v/>
      </c>
      <c r="P132" s="66"/>
      <c r="Q132" s="66"/>
      <c r="R132" s="66"/>
      <c r="S132" s="66"/>
      <c r="T132" s="64" t="str">
        <f>IF(OR($B132="", $P132="", $Q132="", $R132="", $S132=""),"",ROUND(($P132*Lists!$AN$7)+($Q132*Lists!$AN$8)+($R132*Lists!$AN$9)+($S132*Lists!$AN$10),2))</f>
        <v/>
      </c>
      <c r="U132" s="66"/>
      <c r="V132" s="66"/>
      <c r="W132" s="66"/>
      <c r="X132" s="66"/>
      <c r="Y132" s="66"/>
      <c r="Z132" s="64" t="str">
        <f>IF(OR($B132="", $U132="", $V132="", $W132="", $X132="", $Y132=""),"",ROUND(($U132*Lists!$AN$11)+($V132*Lists!$AN$12)+($W132*Lists!$AN$13)+($X132*Lists!$AN$14)+($Y132*Lists!$AN$15),2))</f>
        <v/>
      </c>
      <c r="AA132" s="64" t="str">
        <f>IF(OR($B132="", $N132="", $O132="", $T132="", $Z132=""),"",ROUND(($N132*Lists!$AN$16)-($O132*Lists!$AN$17)-($T132*Lists!$AN$18)+($Z132*Lists!$AN$19),2))</f>
        <v/>
      </c>
      <c r="AB132" s="63" t="str">
        <f t="shared" si="5"/>
        <v/>
      </c>
      <c r="AC132" s="63" t="str">
        <f t="shared" si="6"/>
        <v/>
      </c>
      <c r="AD132" s="63" t="str">
        <f>IF($A132="","",IFERROR(IF(VLOOKUP($A132,'Risk Register'!$B$2:$H$1000,4,FALSE())&gt;=4,"Yes",""),""))</f>
        <v/>
      </c>
      <c r="AE132" s="63" t="str">
        <f t="shared" si="7"/>
        <v/>
      </c>
      <c r="AF132" s="62"/>
      <c r="AG132" s="62"/>
      <c r="AH132" s="62"/>
      <c r="AI132" s="62"/>
      <c r="AJ132" s="62"/>
      <c r="AK132" s="62"/>
      <c r="AL132" s="62"/>
      <c r="AM132" s="62"/>
      <c r="AN132" s="62"/>
      <c r="AO132" s="62"/>
      <c r="AP132" s="62"/>
      <c r="AQ132" s="80"/>
    </row>
    <row r="133" spans="1:43" ht="15.75" customHeight="1" x14ac:dyDescent="0.2">
      <c r="A133" s="63" t="str">
        <f t="shared" si="4"/>
        <v/>
      </c>
      <c r="B133" s="62"/>
      <c r="C133" s="62"/>
      <c r="D133" s="62"/>
      <c r="E133" s="62"/>
      <c r="F133" s="62"/>
      <c r="G133" s="62"/>
      <c r="H133" s="62"/>
      <c r="I133" s="66"/>
      <c r="J133" s="66"/>
      <c r="K133" s="66"/>
      <c r="L133" s="66"/>
      <c r="M133" s="66"/>
      <c r="N133" s="64" t="str">
        <f>IF(OR($B133="", $I133="", $J133="", $K133="", $L133="", $M133=""),"",ROUND(($I133*Lists!$AN$2)+($J133*Lists!$AN$3)+($K133*Lists!$AN$4)+($L133*Lists!$AN$5)+($M133*Lists!$AN$6),2))</f>
        <v/>
      </c>
      <c r="O133" s="64" t="str">
        <f>IF($A133="","",IFERROR(VLOOKUP($A133,'Risk Register'!$B$2:$I$1000,8,FALSE()),""))</f>
        <v/>
      </c>
      <c r="P133" s="66"/>
      <c r="Q133" s="66"/>
      <c r="R133" s="66"/>
      <c r="S133" s="66"/>
      <c r="T133" s="64" t="str">
        <f>IF(OR($B133="", $P133="", $Q133="", $R133="", $S133=""),"",ROUND(($P133*Lists!$AN$7)+($Q133*Lists!$AN$8)+($R133*Lists!$AN$9)+($S133*Lists!$AN$10),2))</f>
        <v/>
      </c>
      <c r="U133" s="66"/>
      <c r="V133" s="66"/>
      <c r="W133" s="66"/>
      <c r="X133" s="66"/>
      <c r="Y133" s="66"/>
      <c r="Z133" s="64" t="str">
        <f>IF(OR($B133="", $U133="", $V133="", $W133="", $X133="", $Y133=""),"",ROUND(($U133*Lists!$AN$11)+($V133*Lists!$AN$12)+($W133*Lists!$AN$13)+($X133*Lists!$AN$14)+($Y133*Lists!$AN$15),2))</f>
        <v/>
      </c>
      <c r="AA133" s="64" t="str">
        <f>IF(OR($B133="", $N133="", $O133="", $T133="", $Z133=""),"",ROUND(($N133*Lists!$AN$16)-($O133*Lists!$AN$17)-($T133*Lists!$AN$18)+($Z133*Lists!$AN$19),2))</f>
        <v/>
      </c>
      <c r="AB133" s="63" t="str">
        <f t="shared" si="5"/>
        <v/>
      </c>
      <c r="AC133" s="63" t="str">
        <f t="shared" si="6"/>
        <v/>
      </c>
      <c r="AD133" s="63" t="str">
        <f>IF($A133="","",IFERROR(IF(VLOOKUP($A133,'Risk Register'!$B$2:$H$1000,4,FALSE())&gt;=4,"Yes",""),""))</f>
        <v/>
      </c>
      <c r="AE133" s="63" t="str">
        <f t="shared" si="7"/>
        <v/>
      </c>
      <c r="AF133" s="62"/>
      <c r="AG133" s="62"/>
      <c r="AH133" s="62"/>
      <c r="AI133" s="62"/>
      <c r="AJ133" s="62"/>
      <c r="AK133" s="62"/>
      <c r="AL133" s="62"/>
      <c r="AM133" s="62"/>
      <c r="AN133" s="62"/>
      <c r="AO133" s="62"/>
      <c r="AP133" s="62"/>
      <c r="AQ133" s="80"/>
    </row>
    <row r="134" spans="1:43" ht="15.75" customHeight="1" x14ac:dyDescent="0.2">
      <c r="A134" s="63" t="str">
        <f t="shared" si="4"/>
        <v/>
      </c>
      <c r="B134" s="62"/>
      <c r="C134" s="62"/>
      <c r="D134" s="62"/>
      <c r="E134" s="62"/>
      <c r="F134" s="62"/>
      <c r="G134" s="62"/>
      <c r="H134" s="62"/>
      <c r="I134" s="66"/>
      <c r="J134" s="66"/>
      <c r="K134" s="66"/>
      <c r="L134" s="66"/>
      <c r="M134" s="66"/>
      <c r="N134" s="64" t="str">
        <f>IF(OR($B134="", $I134="", $J134="", $K134="", $L134="", $M134=""),"",ROUND(($I134*Lists!$AN$2)+($J134*Lists!$AN$3)+($K134*Lists!$AN$4)+($L134*Lists!$AN$5)+($M134*Lists!$AN$6),2))</f>
        <v/>
      </c>
      <c r="O134" s="64" t="str">
        <f>IF($A134="","",IFERROR(VLOOKUP($A134,'Risk Register'!$B$2:$I$1000,8,FALSE()),""))</f>
        <v/>
      </c>
      <c r="P134" s="66"/>
      <c r="Q134" s="66"/>
      <c r="R134" s="66"/>
      <c r="S134" s="66"/>
      <c r="T134" s="64" t="str">
        <f>IF(OR($B134="", $P134="", $Q134="", $R134="", $S134=""),"",ROUND(($P134*Lists!$AN$7)+($Q134*Lists!$AN$8)+($R134*Lists!$AN$9)+($S134*Lists!$AN$10),2))</f>
        <v/>
      </c>
      <c r="U134" s="66"/>
      <c r="V134" s="66"/>
      <c r="W134" s="66"/>
      <c r="X134" s="66"/>
      <c r="Y134" s="66"/>
      <c r="Z134" s="64" t="str">
        <f>IF(OR($B134="", $U134="", $V134="", $W134="", $X134="", $Y134=""),"",ROUND(($U134*Lists!$AN$11)+($V134*Lists!$AN$12)+($W134*Lists!$AN$13)+($X134*Lists!$AN$14)+($Y134*Lists!$AN$15),2))</f>
        <v/>
      </c>
      <c r="AA134" s="64" t="str">
        <f>IF(OR($B134="", $N134="", $O134="", $T134="", $Z134=""),"",ROUND(($N134*Lists!$AN$16)-($O134*Lists!$AN$17)-($T134*Lists!$AN$18)+($Z134*Lists!$AN$19),2))</f>
        <v/>
      </c>
      <c r="AB134" s="63" t="str">
        <f t="shared" si="5"/>
        <v/>
      </c>
      <c r="AC134" s="63" t="str">
        <f t="shared" si="6"/>
        <v/>
      </c>
      <c r="AD134" s="63" t="str">
        <f>IF($A134="","",IFERROR(IF(VLOOKUP($A134,'Risk Register'!$B$2:$H$1000,4,FALSE())&gt;=4,"Yes",""),""))</f>
        <v/>
      </c>
      <c r="AE134" s="63" t="str">
        <f t="shared" si="7"/>
        <v/>
      </c>
      <c r="AF134" s="62"/>
      <c r="AG134" s="62"/>
      <c r="AH134" s="62"/>
      <c r="AI134" s="62"/>
      <c r="AJ134" s="62"/>
      <c r="AK134" s="62"/>
      <c r="AL134" s="62"/>
      <c r="AM134" s="62"/>
      <c r="AN134" s="62"/>
      <c r="AO134" s="62"/>
      <c r="AP134" s="62"/>
      <c r="AQ134" s="80"/>
    </row>
    <row r="135" spans="1:43" ht="15.75" customHeight="1" x14ac:dyDescent="0.2">
      <c r="A135" s="63" t="str">
        <f t="shared" si="4"/>
        <v/>
      </c>
      <c r="B135" s="62"/>
      <c r="C135" s="62"/>
      <c r="D135" s="62"/>
      <c r="E135" s="62"/>
      <c r="F135" s="62"/>
      <c r="G135" s="62"/>
      <c r="H135" s="62"/>
      <c r="I135" s="66"/>
      <c r="J135" s="66"/>
      <c r="K135" s="66"/>
      <c r="L135" s="66"/>
      <c r="M135" s="66"/>
      <c r="N135" s="64" t="str">
        <f>IF(OR($B135="", $I135="", $J135="", $K135="", $L135="", $M135=""),"",ROUND(($I135*Lists!$AN$2)+($J135*Lists!$AN$3)+($K135*Lists!$AN$4)+($L135*Lists!$AN$5)+($M135*Lists!$AN$6),2))</f>
        <v/>
      </c>
      <c r="O135" s="64" t="str">
        <f>IF($A135="","",IFERROR(VLOOKUP($A135,'Risk Register'!$B$2:$I$1000,8,FALSE()),""))</f>
        <v/>
      </c>
      <c r="P135" s="66"/>
      <c r="Q135" s="66"/>
      <c r="R135" s="66"/>
      <c r="S135" s="66"/>
      <c r="T135" s="64" t="str">
        <f>IF(OR($B135="", $P135="", $Q135="", $R135="", $S135=""),"",ROUND(($P135*Lists!$AN$7)+($Q135*Lists!$AN$8)+($R135*Lists!$AN$9)+($S135*Lists!$AN$10),2))</f>
        <v/>
      </c>
      <c r="U135" s="66"/>
      <c r="V135" s="66"/>
      <c r="W135" s="66"/>
      <c r="X135" s="66"/>
      <c r="Y135" s="66"/>
      <c r="Z135" s="64" t="str">
        <f>IF(OR($B135="", $U135="", $V135="", $W135="", $X135="", $Y135=""),"",ROUND(($U135*Lists!$AN$11)+($V135*Lists!$AN$12)+($W135*Lists!$AN$13)+($X135*Lists!$AN$14)+($Y135*Lists!$AN$15),2))</f>
        <v/>
      </c>
      <c r="AA135" s="64" t="str">
        <f>IF(OR($B135="", $N135="", $O135="", $T135="", $Z135=""),"",ROUND(($N135*Lists!$AN$16)-($O135*Lists!$AN$17)-($T135*Lists!$AN$18)+($Z135*Lists!$AN$19),2))</f>
        <v/>
      </c>
      <c r="AB135" s="63" t="str">
        <f t="shared" si="5"/>
        <v/>
      </c>
      <c r="AC135" s="63" t="str">
        <f t="shared" si="6"/>
        <v/>
      </c>
      <c r="AD135" s="63" t="str">
        <f>IF($A135="","",IFERROR(IF(VLOOKUP($A135,'Risk Register'!$B$2:$H$1000,4,FALSE())&gt;=4,"Yes",""),""))</f>
        <v/>
      </c>
      <c r="AE135" s="63" t="str">
        <f t="shared" si="7"/>
        <v/>
      </c>
      <c r="AF135" s="62"/>
      <c r="AG135" s="62"/>
      <c r="AH135" s="62"/>
      <c r="AI135" s="62"/>
      <c r="AJ135" s="62"/>
      <c r="AK135" s="62"/>
      <c r="AL135" s="62"/>
      <c r="AM135" s="62"/>
      <c r="AN135" s="62"/>
      <c r="AO135" s="62"/>
      <c r="AP135" s="62"/>
      <c r="AQ135" s="80"/>
    </row>
    <row r="136" spans="1:43" ht="15.75" customHeight="1" x14ac:dyDescent="0.2">
      <c r="A136" s="63" t="str">
        <f t="shared" si="4"/>
        <v/>
      </c>
      <c r="B136" s="62"/>
      <c r="C136" s="62"/>
      <c r="D136" s="62"/>
      <c r="E136" s="62"/>
      <c r="F136" s="62"/>
      <c r="G136" s="62"/>
      <c r="H136" s="62"/>
      <c r="I136" s="66"/>
      <c r="J136" s="66"/>
      <c r="K136" s="66"/>
      <c r="L136" s="66"/>
      <c r="M136" s="66"/>
      <c r="N136" s="64" t="str">
        <f>IF(OR($B136="", $I136="", $J136="", $K136="", $L136="", $M136=""),"",ROUND(($I136*Lists!$AN$2)+($J136*Lists!$AN$3)+($K136*Lists!$AN$4)+($L136*Lists!$AN$5)+($M136*Lists!$AN$6),2))</f>
        <v/>
      </c>
      <c r="O136" s="64" t="str">
        <f>IF($A136="","",IFERROR(VLOOKUP($A136,'Risk Register'!$B$2:$I$1000,8,FALSE()),""))</f>
        <v/>
      </c>
      <c r="P136" s="66"/>
      <c r="Q136" s="66"/>
      <c r="R136" s="66"/>
      <c r="S136" s="66"/>
      <c r="T136" s="64" t="str">
        <f>IF(OR($B136="", $P136="", $Q136="", $R136="", $S136=""),"",ROUND(($P136*Lists!$AN$7)+($Q136*Lists!$AN$8)+($R136*Lists!$AN$9)+($S136*Lists!$AN$10),2))</f>
        <v/>
      </c>
      <c r="U136" s="66"/>
      <c r="V136" s="66"/>
      <c r="W136" s="66"/>
      <c r="X136" s="66"/>
      <c r="Y136" s="66"/>
      <c r="Z136" s="64" t="str">
        <f>IF(OR($B136="", $U136="", $V136="", $W136="", $X136="", $Y136=""),"",ROUND(($U136*Lists!$AN$11)+($V136*Lists!$AN$12)+($W136*Lists!$AN$13)+($X136*Lists!$AN$14)+($Y136*Lists!$AN$15),2))</f>
        <v/>
      </c>
      <c r="AA136" s="64" t="str">
        <f>IF(OR($B136="", $N136="", $O136="", $T136="", $Z136=""),"",ROUND(($N136*Lists!$AN$16)-($O136*Lists!$AN$17)-($T136*Lists!$AN$18)+($Z136*Lists!$AN$19),2))</f>
        <v/>
      </c>
      <c r="AB136" s="63" t="str">
        <f t="shared" si="5"/>
        <v/>
      </c>
      <c r="AC136" s="63" t="str">
        <f t="shared" si="6"/>
        <v/>
      </c>
      <c r="AD136" s="63" t="str">
        <f>IF($A136="","",IFERROR(IF(VLOOKUP($A136,'Risk Register'!$B$2:$H$1000,4,FALSE())&gt;=4,"Yes",""),""))</f>
        <v/>
      </c>
      <c r="AE136" s="63" t="str">
        <f t="shared" si="7"/>
        <v/>
      </c>
      <c r="AF136" s="62"/>
      <c r="AG136" s="62"/>
      <c r="AH136" s="62"/>
      <c r="AI136" s="62"/>
      <c r="AJ136" s="62"/>
      <c r="AK136" s="62"/>
      <c r="AL136" s="62"/>
      <c r="AM136" s="62"/>
      <c r="AN136" s="62"/>
      <c r="AO136" s="62"/>
      <c r="AP136" s="62"/>
      <c r="AQ136" s="80"/>
    </row>
    <row r="137" spans="1:43" ht="15.75" customHeight="1" x14ac:dyDescent="0.2">
      <c r="A137" s="63" t="str">
        <f t="shared" si="4"/>
        <v/>
      </c>
      <c r="B137" s="62"/>
      <c r="C137" s="62"/>
      <c r="D137" s="62"/>
      <c r="E137" s="62"/>
      <c r="F137" s="62"/>
      <c r="G137" s="62"/>
      <c r="H137" s="62"/>
      <c r="I137" s="66"/>
      <c r="J137" s="66"/>
      <c r="K137" s="66"/>
      <c r="L137" s="66"/>
      <c r="M137" s="66"/>
      <c r="N137" s="64" t="str">
        <f>IF(OR($B137="", $I137="", $J137="", $K137="", $L137="", $M137=""),"",ROUND(($I137*Lists!$AN$2)+($J137*Lists!$AN$3)+($K137*Lists!$AN$4)+($L137*Lists!$AN$5)+($M137*Lists!$AN$6),2))</f>
        <v/>
      </c>
      <c r="O137" s="64" t="str">
        <f>IF($A137="","",IFERROR(VLOOKUP($A137,'Risk Register'!$B$2:$I$1000,8,FALSE()),""))</f>
        <v/>
      </c>
      <c r="P137" s="66"/>
      <c r="Q137" s="66"/>
      <c r="R137" s="66"/>
      <c r="S137" s="66"/>
      <c r="T137" s="64" t="str">
        <f>IF(OR($B137="", $P137="", $Q137="", $R137="", $S137=""),"",ROUND(($P137*Lists!$AN$7)+($Q137*Lists!$AN$8)+($R137*Lists!$AN$9)+($S137*Lists!$AN$10),2))</f>
        <v/>
      </c>
      <c r="U137" s="66"/>
      <c r="V137" s="66"/>
      <c r="W137" s="66"/>
      <c r="X137" s="66"/>
      <c r="Y137" s="66"/>
      <c r="Z137" s="64" t="str">
        <f>IF(OR($B137="", $U137="", $V137="", $W137="", $X137="", $Y137=""),"",ROUND(($U137*Lists!$AN$11)+($V137*Lists!$AN$12)+($W137*Lists!$AN$13)+($X137*Lists!$AN$14)+($Y137*Lists!$AN$15),2))</f>
        <v/>
      </c>
      <c r="AA137" s="64" t="str">
        <f>IF(OR($B137="", $N137="", $O137="", $T137="", $Z137=""),"",ROUND(($N137*Lists!$AN$16)-($O137*Lists!$AN$17)-($T137*Lists!$AN$18)+($Z137*Lists!$AN$19),2))</f>
        <v/>
      </c>
      <c r="AB137" s="63" t="str">
        <f t="shared" si="5"/>
        <v/>
      </c>
      <c r="AC137" s="63" t="str">
        <f t="shared" si="6"/>
        <v/>
      </c>
      <c r="AD137" s="63" t="str">
        <f>IF($A137="","",IFERROR(IF(VLOOKUP($A137,'Risk Register'!$B$2:$H$1000,4,FALSE())&gt;=4,"Yes",""),""))</f>
        <v/>
      </c>
      <c r="AE137" s="63" t="str">
        <f t="shared" si="7"/>
        <v/>
      </c>
      <c r="AF137" s="62"/>
      <c r="AG137" s="62"/>
      <c r="AH137" s="62"/>
      <c r="AI137" s="62"/>
      <c r="AJ137" s="62"/>
      <c r="AK137" s="62"/>
      <c r="AL137" s="62"/>
      <c r="AM137" s="62"/>
      <c r="AN137" s="62"/>
      <c r="AO137" s="62"/>
      <c r="AP137" s="62"/>
      <c r="AQ137" s="80"/>
    </row>
    <row r="138" spans="1:43" ht="15.75" customHeight="1" x14ac:dyDescent="0.2">
      <c r="A138" s="63" t="str">
        <f t="shared" si="4"/>
        <v/>
      </c>
      <c r="B138" s="62"/>
      <c r="C138" s="62"/>
      <c r="D138" s="62"/>
      <c r="E138" s="62"/>
      <c r="F138" s="62"/>
      <c r="G138" s="62"/>
      <c r="H138" s="62"/>
      <c r="I138" s="66"/>
      <c r="J138" s="66"/>
      <c r="K138" s="66"/>
      <c r="L138" s="66"/>
      <c r="M138" s="66"/>
      <c r="N138" s="64" t="str">
        <f>IF(OR($B138="", $I138="", $J138="", $K138="", $L138="", $M138=""),"",ROUND(($I138*Lists!$AN$2)+($J138*Lists!$AN$3)+($K138*Lists!$AN$4)+($L138*Lists!$AN$5)+($M138*Lists!$AN$6),2))</f>
        <v/>
      </c>
      <c r="O138" s="64" t="str">
        <f>IF($A138="","",IFERROR(VLOOKUP($A138,'Risk Register'!$B$2:$I$1000,8,FALSE()),""))</f>
        <v/>
      </c>
      <c r="P138" s="66"/>
      <c r="Q138" s="66"/>
      <c r="R138" s="66"/>
      <c r="S138" s="66"/>
      <c r="T138" s="64" t="str">
        <f>IF(OR($B138="", $P138="", $Q138="", $R138="", $S138=""),"",ROUND(($P138*Lists!$AN$7)+($Q138*Lists!$AN$8)+($R138*Lists!$AN$9)+($S138*Lists!$AN$10),2))</f>
        <v/>
      </c>
      <c r="U138" s="66"/>
      <c r="V138" s="66"/>
      <c r="W138" s="66"/>
      <c r="X138" s="66"/>
      <c r="Y138" s="66"/>
      <c r="Z138" s="64" t="str">
        <f>IF(OR($B138="", $U138="", $V138="", $W138="", $X138="", $Y138=""),"",ROUND(($U138*Lists!$AN$11)+($V138*Lists!$AN$12)+($W138*Lists!$AN$13)+($X138*Lists!$AN$14)+($Y138*Lists!$AN$15),2))</f>
        <v/>
      </c>
      <c r="AA138" s="64" t="str">
        <f>IF(OR($B138="", $N138="", $O138="", $T138="", $Z138=""),"",ROUND(($N138*Lists!$AN$16)-($O138*Lists!$AN$17)-($T138*Lists!$AN$18)+($Z138*Lists!$AN$19),2))</f>
        <v/>
      </c>
      <c r="AB138" s="63" t="str">
        <f t="shared" si="5"/>
        <v/>
      </c>
      <c r="AC138" s="63" t="str">
        <f t="shared" si="6"/>
        <v/>
      </c>
      <c r="AD138" s="63" t="str">
        <f>IF($A138="","",IFERROR(IF(VLOOKUP($A138,'Risk Register'!$B$2:$H$1000,4,FALSE())&gt;=4,"Yes",""),""))</f>
        <v/>
      </c>
      <c r="AE138" s="63" t="str">
        <f t="shared" si="7"/>
        <v/>
      </c>
      <c r="AF138" s="62"/>
      <c r="AG138" s="62"/>
      <c r="AH138" s="62"/>
      <c r="AI138" s="62"/>
      <c r="AJ138" s="62"/>
      <c r="AK138" s="62"/>
      <c r="AL138" s="62"/>
      <c r="AM138" s="62"/>
      <c r="AN138" s="62"/>
      <c r="AO138" s="62"/>
      <c r="AP138" s="62"/>
      <c r="AQ138" s="80"/>
    </row>
    <row r="139" spans="1:43" ht="15.75" customHeight="1" x14ac:dyDescent="0.2">
      <c r="A139" s="63" t="str">
        <f t="shared" si="4"/>
        <v/>
      </c>
      <c r="B139" s="62"/>
      <c r="C139" s="62"/>
      <c r="D139" s="62"/>
      <c r="E139" s="62"/>
      <c r="F139" s="62"/>
      <c r="G139" s="62"/>
      <c r="H139" s="62"/>
      <c r="I139" s="66"/>
      <c r="J139" s="66"/>
      <c r="K139" s="66"/>
      <c r="L139" s="66"/>
      <c r="M139" s="66"/>
      <c r="N139" s="64" t="str">
        <f>IF(OR($B139="", $I139="", $J139="", $K139="", $L139="", $M139=""),"",ROUND(($I139*Lists!$AN$2)+($J139*Lists!$AN$3)+($K139*Lists!$AN$4)+($L139*Lists!$AN$5)+($M139*Lists!$AN$6),2))</f>
        <v/>
      </c>
      <c r="O139" s="64" t="str">
        <f>IF($A139="","",IFERROR(VLOOKUP($A139,'Risk Register'!$B$2:$I$1000,8,FALSE()),""))</f>
        <v/>
      </c>
      <c r="P139" s="66"/>
      <c r="Q139" s="66"/>
      <c r="R139" s="66"/>
      <c r="S139" s="66"/>
      <c r="T139" s="64" t="str">
        <f>IF(OR($B139="", $P139="", $Q139="", $R139="", $S139=""),"",ROUND(($P139*Lists!$AN$7)+($Q139*Lists!$AN$8)+($R139*Lists!$AN$9)+($S139*Lists!$AN$10),2))</f>
        <v/>
      </c>
      <c r="U139" s="66"/>
      <c r="V139" s="66"/>
      <c r="W139" s="66"/>
      <c r="X139" s="66"/>
      <c r="Y139" s="66"/>
      <c r="Z139" s="64" t="str">
        <f>IF(OR($B139="", $U139="", $V139="", $W139="", $X139="", $Y139=""),"",ROUND(($U139*Lists!$AN$11)+($V139*Lists!$AN$12)+($W139*Lists!$AN$13)+($X139*Lists!$AN$14)+($Y139*Lists!$AN$15),2))</f>
        <v/>
      </c>
      <c r="AA139" s="64" t="str">
        <f>IF(OR($B139="", $N139="", $O139="", $T139="", $Z139=""),"",ROUND(($N139*Lists!$AN$16)-($O139*Lists!$AN$17)-($T139*Lists!$AN$18)+($Z139*Lists!$AN$19),2))</f>
        <v/>
      </c>
      <c r="AB139" s="63" t="str">
        <f t="shared" si="5"/>
        <v/>
      </c>
      <c r="AC139" s="63" t="str">
        <f t="shared" si="6"/>
        <v/>
      </c>
      <c r="AD139" s="63" t="str">
        <f>IF($A139="","",IFERROR(IF(VLOOKUP($A139,'Risk Register'!$B$2:$H$1000,4,FALSE())&gt;=4,"Yes",""),""))</f>
        <v/>
      </c>
      <c r="AE139" s="63" t="str">
        <f t="shared" si="7"/>
        <v/>
      </c>
      <c r="AF139" s="62"/>
      <c r="AG139" s="62"/>
      <c r="AH139" s="62"/>
      <c r="AI139" s="62"/>
      <c r="AJ139" s="62"/>
      <c r="AK139" s="62"/>
      <c r="AL139" s="62"/>
      <c r="AM139" s="62"/>
      <c r="AN139" s="62"/>
      <c r="AO139" s="62"/>
      <c r="AP139" s="62"/>
      <c r="AQ139" s="80"/>
    </row>
    <row r="140" spans="1:43" ht="15.75" customHeight="1" x14ac:dyDescent="0.2">
      <c r="A140" s="63" t="str">
        <f t="shared" si="4"/>
        <v/>
      </c>
      <c r="B140" s="62"/>
      <c r="C140" s="62"/>
      <c r="D140" s="62"/>
      <c r="E140" s="62"/>
      <c r="F140" s="62"/>
      <c r="G140" s="62"/>
      <c r="H140" s="62"/>
      <c r="I140" s="66"/>
      <c r="J140" s="66"/>
      <c r="K140" s="66"/>
      <c r="L140" s="66"/>
      <c r="M140" s="66"/>
      <c r="N140" s="64" t="str">
        <f>IF(OR($B140="", $I140="", $J140="", $K140="", $L140="", $M140=""),"",ROUND(($I140*Lists!$AN$2)+($J140*Lists!$AN$3)+($K140*Lists!$AN$4)+($L140*Lists!$AN$5)+($M140*Lists!$AN$6),2))</f>
        <v/>
      </c>
      <c r="O140" s="64" t="str">
        <f>IF($A140="","",IFERROR(VLOOKUP($A140,'Risk Register'!$B$2:$I$1000,8,FALSE()),""))</f>
        <v/>
      </c>
      <c r="P140" s="66"/>
      <c r="Q140" s="66"/>
      <c r="R140" s="66"/>
      <c r="S140" s="66"/>
      <c r="T140" s="64" t="str">
        <f>IF(OR($B140="", $P140="", $Q140="", $R140="", $S140=""),"",ROUND(($P140*Lists!$AN$7)+($Q140*Lists!$AN$8)+($R140*Lists!$AN$9)+($S140*Lists!$AN$10),2))</f>
        <v/>
      </c>
      <c r="U140" s="66"/>
      <c r="V140" s="66"/>
      <c r="W140" s="66"/>
      <c r="X140" s="66"/>
      <c r="Y140" s="66"/>
      <c r="Z140" s="64" t="str">
        <f>IF(OR($B140="", $U140="", $V140="", $W140="", $X140="", $Y140=""),"",ROUND(($U140*Lists!$AN$11)+($V140*Lists!$AN$12)+($W140*Lists!$AN$13)+($X140*Lists!$AN$14)+($Y140*Lists!$AN$15),2))</f>
        <v/>
      </c>
      <c r="AA140" s="64" t="str">
        <f>IF(OR($B140="", $N140="", $O140="", $T140="", $Z140=""),"",ROUND(($N140*Lists!$AN$16)-($O140*Lists!$AN$17)-($T140*Lists!$AN$18)+($Z140*Lists!$AN$19),2))</f>
        <v/>
      </c>
      <c r="AB140" s="63" t="str">
        <f t="shared" si="5"/>
        <v/>
      </c>
      <c r="AC140" s="63" t="str">
        <f t="shared" si="6"/>
        <v/>
      </c>
      <c r="AD140" s="63" t="str">
        <f>IF($A140="","",IFERROR(IF(VLOOKUP($A140,'Risk Register'!$B$2:$H$1000,4,FALSE())&gt;=4,"Yes",""),""))</f>
        <v/>
      </c>
      <c r="AE140" s="63" t="str">
        <f t="shared" si="7"/>
        <v/>
      </c>
      <c r="AF140" s="62"/>
      <c r="AG140" s="62"/>
      <c r="AH140" s="62"/>
      <c r="AI140" s="62"/>
      <c r="AJ140" s="62"/>
      <c r="AK140" s="62"/>
      <c r="AL140" s="62"/>
      <c r="AM140" s="62"/>
      <c r="AN140" s="62"/>
      <c r="AO140" s="62"/>
      <c r="AP140" s="62"/>
      <c r="AQ140" s="80"/>
    </row>
    <row r="141" spans="1:43" ht="15.75" customHeight="1" x14ac:dyDescent="0.2">
      <c r="A141" s="63" t="str">
        <f t="shared" si="4"/>
        <v/>
      </c>
      <c r="B141" s="62"/>
      <c r="C141" s="62"/>
      <c r="D141" s="62"/>
      <c r="E141" s="62"/>
      <c r="F141" s="62"/>
      <c r="G141" s="62"/>
      <c r="H141" s="62"/>
      <c r="I141" s="66"/>
      <c r="J141" s="66"/>
      <c r="K141" s="66"/>
      <c r="L141" s="66"/>
      <c r="M141" s="66"/>
      <c r="N141" s="64" t="str">
        <f>IF(OR($B141="", $I141="", $J141="", $K141="", $L141="", $M141=""),"",ROUND(($I141*Lists!$AN$2)+($J141*Lists!$AN$3)+($K141*Lists!$AN$4)+($L141*Lists!$AN$5)+($M141*Lists!$AN$6),2))</f>
        <v/>
      </c>
      <c r="O141" s="64" t="str">
        <f>IF($A141="","",IFERROR(VLOOKUP($A141,'Risk Register'!$B$2:$I$1000,8,FALSE()),""))</f>
        <v/>
      </c>
      <c r="P141" s="66"/>
      <c r="Q141" s="66"/>
      <c r="R141" s="66"/>
      <c r="S141" s="66"/>
      <c r="T141" s="64" t="str">
        <f>IF(OR($B141="", $P141="", $Q141="", $R141="", $S141=""),"",ROUND(($P141*Lists!$AN$7)+($Q141*Lists!$AN$8)+($R141*Lists!$AN$9)+($S141*Lists!$AN$10),2))</f>
        <v/>
      </c>
      <c r="U141" s="66"/>
      <c r="V141" s="66"/>
      <c r="W141" s="66"/>
      <c r="X141" s="66"/>
      <c r="Y141" s="66"/>
      <c r="Z141" s="64" t="str">
        <f>IF(OR($B141="", $U141="", $V141="", $W141="", $X141="", $Y141=""),"",ROUND(($U141*Lists!$AN$11)+($V141*Lists!$AN$12)+($W141*Lists!$AN$13)+($X141*Lists!$AN$14)+($Y141*Lists!$AN$15),2))</f>
        <v/>
      </c>
      <c r="AA141" s="64" t="str">
        <f>IF(OR($B141="", $N141="", $O141="", $T141="", $Z141=""),"",ROUND(($N141*Lists!$AN$16)-($O141*Lists!$AN$17)-($T141*Lists!$AN$18)+($Z141*Lists!$AN$19),2))</f>
        <v/>
      </c>
      <c r="AB141" s="63" t="str">
        <f t="shared" si="5"/>
        <v/>
      </c>
      <c r="AC141" s="63" t="str">
        <f t="shared" si="6"/>
        <v/>
      </c>
      <c r="AD141" s="63" t="str">
        <f>IF($A141="","",IFERROR(IF(VLOOKUP($A141,'Risk Register'!$B$2:$H$1000,4,FALSE())&gt;=4,"Yes",""),""))</f>
        <v/>
      </c>
      <c r="AE141" s="63" t="str">
        <f t="shared" si="7"/>
        <v/>
      </c>
      <c r="AF141" s="62"/>
      <c r="AG141" s="62"/>
      <c r="AH141" s="62"/>
      <c r="AI141" s="62"/>
      <c r="AJ141" s="62"/>
      <c r="AK141" s="62"/>
      <c r="AL141" s="62"/>
      <c r="AM141" s="62"/>
      <c r="AN141" s="62"/>
      <c r="AO141" s="62"/>
      <c r="AP141" s="62"/>
      <c r="AQ141" s="80"/>
    </row>
    <row r="142" spans="1:43" ht="15.75" customHeight="1" x14ac:dyDescent="0.2">
      <c r="A142" s="63" t="str">
        <f t="shared" si="4"/>
        <v/>
      </c>
      <c r="B142" s="62"/>
      <c r="C142" s="62"/>
      <c r="D142" s="62"/>
      <c r="E142" s="62"/>
      <c r="F142" s="62"/>
      <c r="G142" s="62"/>
      <c r="H142" s="62"/>
      <c r="I142" s="66"/>
      <c r="J142" s="66"/>
      <c r="K142" s="66"/>
      <c r="L142" s="66"/>
      <c r="M142" s="66"/>
      <c r="N142" s="64" t="str">
        <f>IF(OR($B142="", $I142="", $J142="", $K142="", $L142="", $M142=""),"",ROUND(($I142*Lists!$AN$2)+($J142*Lists!$AN$3)+($K142*Lists!$AN$4)+($L142*Lists!$AN$5)+($M142*Lists!$AN$6),2))</f>
        <v/>
      </c>
      <c r="O142" s="64" t="str">
        <f>IF($A142="","",IFERROR(VLOOKUP($A142,'Risk Register'!$B$2:$I$1000,8,FALSE()),""))</f>
        <v/>
      </c>
      <c r="P142" s="66"/>
      <c r="Q142" s="66"/>
      <c r="R142" s="66"/>
      <c r="S142" s="66"/>
      <c r="T142" s="64" t="str">
        <f>IF(OR($B142="", $P142="", $Q142="", $R142="", $S142=""),"",ROUND(($P142*Lists!$AN$7)+($Q142*Lists!$AN$8)+($R142*Lists!$AN$9)+($S142*Lists!$AN$10),2))</f>
        <v/>
      </c>
      <c r="U142" s="66"/>
      <c r="V142" s="66"/>
      <c r="W142" s="66"/>
      <c r="X142" s="66"/>
      <c r="Y142" s="66"/>
      <c r="Z142" s="64" t="str">
        <f>IF(OR($B142="", $U142="", $V142="", $W142="", $X142="", $Y142=""),"",ROUND(($U142*Lists!$AN$11)+($V142*Lists!$AN$12)+($W142*Lists!$AN$13)+($X142*Lists!$AN$14)+($Y142*Lists!$AN$15),2))</f>
        <v/>
      </c>
      <c r="AA142" s="64" t="str">
        <f>IF(OR($B142="", $N142="", $O142="", $T142="", $Z142=""),"",ROUND(($N142*Lists!$AN$16)-($O142*Lists!$AN$17)-($T142*Lists!$AN$18)+($Z142*Lists!$AN$19),2))</f>
        <v/>
      </c>
      <c r="AB142" s="63" t="str">
        <f t="shared" si="5"/>
        <v/>
      </c>
      <c r="AC142" s="63" t="str">
        <f t="shared" si="6"/>
        <v/>
      </c>
      <c r="AD142" s="63" t="str">
        <f>IF($A142="","",IFERROR(IF(VLOOKUP($A142,'Risk Register'!$B$2:$H$1000,4,FALSE())&gt;=4,"Yes",""),""))</f>
        <v/>
      </c>
      <c r="AE142" s="63" t="str">
        <f t="shared" si="7"/>
        <v/>
      </c>
      <c r="AF142" s="62"/>
      <c r="AG142" s="62"/>
      <c r="AH142" s="62"/>
      <c r="AI142" s="62"/>
      <c r="AJ142" s="62"/>
      <c r="AK142" s="62"/>
      <c r="AL142" s="62"/>
      <c r="AM142" s="62"/>
      <c r="AN142" s="62"/>
      <c r="AO142" s="62"/>
      <c r="AP142" s="62"/>
      <c r="AQ142" s="80"/>
    </row>
    <row r="143" spans="1:43" ht="15.75" customHeight="1" x14ac:dyDescent="0.2">
      <c r="A143" s="63" t="str">
        <f t="shared" si="4"/>
        <v/>
      </c>
      <c r="B143" s="62"/>
      <c r="C143" s="62"/>
      <c r="D143" s="62"/>
      <c r="E143" s="62"/>
      <c r="F143" s="62"/>
      <c r="G143" s="62"/>
      <c r="H143" s="62"/>
      <c r="I143" s="66"/>
      <c r="J143" s="66"/>
      <c r="K143" s="66"/>
      <c r="L143" s="66"/>
      <c r="M143" s="66"/>
      <c r="N143" s="64" t="str">
        <f>IF(OR($B143="", $I143="", $J143="", $K143="", $L143="", $M143=""),"",ROUND(($I143*Lists!$AN$2)+($J143*Lists!$AN$3)+($K143*Lists!$AN$4)+($L143*Lists!$AN$5)+($M143*Lists!$AN$6),2))</f>
        <v/>
      </c>
      <c r="O143" s="64" t="str">
        <f>IF($A143="","",IFERROR(VLOOKUP($A143,'Risk Register'!$B$2:$I$1000,8,FALSE()),""))</f>
        <v/>
      </c>
      <c r="P143" s="66"/>
      <c r="Q143" s="66"/>
      <c r="R143" s="66"/>
      <c r="S143" s="66"/>
      <c r="T143" s="64" t="str">
        <f>IF(OR($B143="", $P143="", $Q143="", $R143="", $S143=""),"",ROUND(($P143*Lists!$AN$7)+($Q143*Lists!$AN$8)+($R143*Lists!$AN$9)+($S143*Lists!$AN$10),2))</f>
        <v/>
      </c>
      <c r="U143" s="66"/>
      <c r="V143" s="66"/>
      <c r="W143" s="66"/>
      <c r="X143" s="66"/>
      <c r="Y143" s="66"/>
      <c r="Z143" s="64" t="str">
        <f>IF(OR($B143="", $U143="", $V143="", $W143="", $X143="", $Y143=""),"",ROUND(($U143*Lists!$AN$11)+($V143*Lists!$AN$12)+($W143*Lists!$AN$13)+($X143*Lists!$AN$14)+($Y143*Lists!$AN$15),2))</f>
        <v/>
      </c>
      <c r="AA143" s="64" t="str">
        <f>IF(OR($B143="", $N143="", $O143="", $T143="", $Z143=""),"",ROUND(($N143*Lists!$AN$16)-($O143*Lists!$AN$17)-($T143*Lists!$AN$18)+($Z143*Lists!$AN$19),2))</f>
        <v/>
      </c>
      <c r="AB143" s="63" t="str">
        <f t="shared" si="5"/>
        <v/>
      </c>
      <c r="AC143" s="63" t="str">
        <f t="shared" si="6"/>
        <v/>
      </c>
      <c r="AD143" s="63" t="str">
        <f>IF($A143="","",IFERROR(IF(VLOOKUP($A143,'Risk Register'!$B$2:$H$1000,4,FALSE())&gt;=4,"Yes",""),""))</f>
        <v/>
      </c>
      <c r="AE143" s="63" t="str">
        <f t="shared" si="7"/>
        <v/>
      </c>
      <c r="AF143" s="62"/>
      <c r="AG143" s="62"/>
      <c r="AH143" s="62"/>
      <c r="AI143" s="62"/>
      <c r="AJ143" s="62"/>
      <c r="AK143" s="62"/>
      <c r="AL143" s="62"/>
      <c r="AM143" s="62"/>
      <c r="AN143" s="62"/>
      <c r="AO143" s="62"/>
      <c r="AP143" s="62"/>
      <c r="AQ143" s="80"/>
    </row>
    <row r="144" spans="1:43" ht="15.75" customHeight="1" x14ac:dyDescent="0.2">
      <c r="A144" s="63" t="str">
        <f t="shared" si="4"/>
        <v/>
      </c>
      <c r="B144" s="62"/>
      <c r="C144" s="62"/>
      <c r="D144" s="62"/>
      <c r="E144" s="62"/>
      <c r="F144" s="62"/>
      <c r="G144" s="62"/>
      <c r="H144" s="62"/>
      <c r="I144" s="66"/>
      <c r="J144" s="66"/>
      <c r="K144" s="66"/>
      <c r="L144" s="66"/>
      <c r="M144" s="66"/>
      <c r="N144" s="64" t="str">
        <f>IF(OR($B144="", $I144="", $J144="", $K144="", $L144="", $M144=""),"",ROUND(($I144*Lists!$AN$2)+($J144*Lists!$AN$3)+($K144*Lists!$AN$4)+($L144*Lists!$AN$5)+($M144*Lists!$AN$6),2))</f>
        <v/>
      </c>
      <c r="O144" s="64" t="str">
        <f>IF($A144="","",IFERROR(VLOOKUP($A144,'Risk Register'!$B$2:$I$1000,8,FALSE()),""))</f>
        <v/>
      </c>
      <c r="P144" s="66"/>
      <c r="Q144" s="66"/>
      <c r="R144" s="66"/>
      <c r="S144" s="66"/>
      <c r="T144" s="64" t="str">
        <f>IF(OR($B144="", $P144="", $Q144="", $R144="", $S144=""),"",ROUND(($P144*Lists!$AN$7)+($Q144*Lists!$AN$8)+($R144*Lists!$AN$9)+($S144*Lists!$AN$10),2))</f>
        <v/>
      </c>
      <c r="U144" s="66"/>
      <c r="V144" s="66"/>
      <c r="W144" s="66"/>
      <c r="X144" s="66"/>
      <c r="Y144" s="66"/>
      <c r="Z144" s="64" t="str">
        <f>IF(OR($B144="", $U144="", $V144="", $W144="", $X144="", $Y144=""),"",ROUND(($U144*Lists!$AN$11)+($V144*Lists!$AN$12)+($W144*Lists!$AN$13)+($X144*Lists!$AN$14)+($Y144*Lists!$AN$15),2))</f>
        <v/>
      </c>
      <c r="AA144" s="64" t="str">
        <f>IF(OR($B144="", $N144="", $O144="", $T144="", $Z144=""),"",ROUND(($N144*Lists!$AN$16)-($O144*Lists!$AN$17)-($T144*Lists!$AN$18)+($Z144*Lists!$AN$19),2))</f>
        <v/>
      </c>
      <c r="AB144" s="63" t="str">
        <f t="shared" si="5"/>
        <v/>
      </c>
      <c r="AC144" s="63" t="str">
        <f t="shared" si="6"/>
        <v/>
      </c>
      <c r="AD144" s="63" t="str">
        <f>IF($A144="","",IFERROR(IF(VLOOKUP($A144,'Risk Register'!$B$2:$H$1000,4,FALSE())&gt;=4,"Yes",""),""))</f>
        <v/>
      </c>
      <c r="AE144" s="63" t="str">
        <f t="shared" si="7"/>
        <v/>
      </c>
      <c r="AF144" s="62"/>
      <c r="AG144" s="62"/>
      <c r="AH144" s="62"/>
      <c r="AI144" s="62"/>
      <c r="AJ144" s="62"/>
      <c r="AK144" s="62"/>
      <c r="AL144" s="62"/>
      <c r="AM144" s="62"/>
      <c r="AN144" s="62"/>
      <c r="AO144" s="62"/>
      <c r="AP144" s="62"/>
      <c r="AQ144" s="80"/>
    </row>
    <row r="145" spans="1:43" ht="15.75" customHeight="1" x14ac:dyDescent="0.2">
      <c r="A145" s="63" t="str">
        <f t="shared" si="4"/>
        <v/>
      </c>
      <c r="B145" s="62"/>
      <c r="C145" s="62"/>
      <c r="D145" s="62"/>
      <c r="E145" s="62"/>
      <c r="F145" s="62"/>
      <c r="G145" s="62"/>
      <c r="H145" s="62"/>
      <c r="I145" s="66"/>
      <c r="J145" s="66"/>
      <c r="K145" s="66"/>
      <c r="L145" s="66"/>
      <c r="M145" s="66"/>
      <c r="N145" s="64" t="str">
        <f>IF(OR($B145="", $I145="", $J145="", $K145="", $L145="", $M145=""),"",ROUND(($I145*Lists!$AN$2)+($J145*Lists!$AN$3)+($K145*Lists!$AN$4)+($L145*Lists!$AN$5)+($M145*Lists!$AN$6),2))</f>
        <v/>
      </c>
      <c r="O145" s="64" t="str">
        <f>IF($A145="","",IFERROR(VLOOKUP($A145,'Risk Register'!$B$2:$I$1000,8,FALSE()),""))</f>
        <v/>
      </c>
      <c r="P145" s="66"/>
      <c r="Q145" s="66"/>
      <c r="R145" s="66"/>
      <c r="S145" s="66"/>
      <c r="T145" s="64" t="str">
        <f>IF(OR($B145="", $P145="", $Q145="", $R145="", $S145=""),"",ROUND(($P145*Lists!$AN$7)+($Q145*Lists!$AN$8)+($R145*Lists!$AN$9)+($S145*Lists!$AN$10),2))</f>
        <v/>
      </c>
      <c r="U145" s="66"/>
      <c r="V145" s="66"/>
      <c r="W145" s="66"/>
      <c r="X145" s="66"/>
      <c r="Y145" s="66"/>
      <c r="Z145" s="64" t="str">
        <f>IF(OR($B145="", $U145="", $V145="", $W145="", $X145="", $Y145=""),"",ROUND(($U145*Lists!$AN$11)+($V145*Lists!$AN$12)+($W145*Lists!$AN$13)+($X145*Lists!$AN$14)+($Y145*Lists!$AN$15),2))</f>
        <v/>
      </c>
      <c r="AA145" s="64" t="str">
        <f>IF(OR($B145="", $N145="", $O145="", $T145="", $Z145=""),"",ROUND(($N145*Lists!$AN$16)-($O145*Lists!$AN$17)-($T145*Lists!$AN$18)+($Z145*Lists!$AN$19),2))</f>
        <v/>
      </c>
      <c r="AB145" s="63" t="str">
        <f t="shared" si="5"/>
        <v/>
      </c>
      <c r="AC145" s="63" t="str">
        <f t="shared" si="6"/>
        <v/>
      </c>
      <c r="AD145" s="63" t="str">
        <f>IF($A145="","",IFERROR(IF(VLOOKUP($A145,'Risk Register'!$B$2:$H$1000,4,FALSE())&gt;=4,"Yes",""),""))</f>
        <v/>
      </c>
      <c r="AE145" s="63" t="str">
        <f t="shared" si="7"/>
        <v/>
      </c>
      <c r="AF145" s="62"/>
      <c r="AG145" s="62"/>
      <c r="AH145" s="62"/>
      <c r="AI145" s="62"/>
      <c r="AJ145" s="62"/>
      <c r="AK145" s="62"/>
      <c r="AL145" s="62"/>
      <c r="AM145" s="62"/>
      <c r="AN145" s="62"/>
      <c r="AO145" s="62"/>
      <c r="AP145" s="62"/>
      <c r="AQ145" s="80"/>
    </row>
    <row r="146" spans="1:43" ht="15.75" customHeight="1" x14ac:dyDescent="0.2">
      <c r="A146" s="63" t="str">
        <f t="shared" si="4"/>
        <v/>
      </c>
      <c r="B146" s="62"/>
      <c r="C146" s="62"/>
      <c r="D146" s="62"/>
      <c r="E146" s="62"/>
      <c r="F146" s="62"/>
      <c r="G146" s="62"/>
      <c r="H146" s="62"/>
      <c r="I146" s="66"/>
      <c r="J146" s="66"/>
      <c r="K146" s="66"/>
      <c r="L146" s="66"/>
      <c r="M146" s="66"/>
      <c r="N146" s="64" t="str">
        <f>IF(OR($B146="", $I146="", $J146="", $K146="", $L146="", $M146=""),"",ROUND(($I146*Lists!$AN$2)+($J146*Lists!$AN$3)+($K146*Lists!$AN$4)+($L146*Lists!$AN$5)+($M146*Lists!$AN$6),2))</f>
        <v/>
      </c>
      <c r="O146" s="64" t="str">
        <f>IF($A146="","",IFERROR(VLOOKUP($A146,'Risk Register'!$B$2:$I$1000,8,FALSE()),""))</f>
        <v/>
      </c>
      <c r="P146" s="66"/>
      <c r="Q146" s="66"/>
      <c r="R146" s="66"/>
      <c r="S146" s="66"/>
      <c r="T146" s="64" t="str">
        <f>IF(OR($B146="", $P146="", $Q146="", $R146="", $S146=""),"",ROUND(($P146*Lists!$AN$7)+($Q146*Lists!$AN$8)+($R146*Lists!$AN$9)+($S146*Lists!$AN$10),2))</f>
        <v/>
      </c>
      <c r="U146" s="66"/>
      <c r="V146" s="66"/>
      <c r="W146" s="66"/>
      <c r="X146" s="66"/>
      <c r="Y146" s="66"/>
      <c r="Z146" s="64" t="str">
        <f>IF(OR($B146="", $U146="", $V146="", $W146="", $X146="", $Y146=""),"",ROUND(($U146*Lists!$AN$11)+($V146*Lists!$AN$12)+($W146*Lists!$AN$13)+($X146*Lists!$AN$14)+($Y146*Lists!$AN$15),2))</f>
        <v/>
      </c>
      <c r="AA146" s="64" t="str">
        <f>IF(OR($B146="", $N146="", $O146="", $T146="", $Z146=""),"",ROUND(($N146*Lists!$AN$16)-($O146*Lists!$AN$17)-($T146*Lists!$AN$18)+($Z146*Lists!$AN$19),2))</f>
        <v/>
      </c>
      <c r="AB146" s="63" t="str">
        <f t="shared" si="5"/>
        <v/>
      </c>
      <c r="AC146" s="63" t="str">
        <f t="shared" si="6"/>
        <v/>
      </c>
      <c r="AD146" s="63" t="str">
        <f>IF($A146="","",IFERROR(IF(VLOOKUP($A146,'Risk Register'!$B$2:$H$1000,4,FALSE())&gt;=4,"Yes",""),""))</f>
        <v/>
      </c>
      <c r="AE146" s="63" t="str">
        <f t="shared" si="7"/>
        <v/>
      </c>
      <c r="AF146" s="62"/>
      <c r="AG146" s="62"/>
      <c r="AH146" s="62"/>
      <c r="AI146" s="62"/>
      <c r="AJ146" s="62"/>
      <c r="AK146" s="62"/>
      <c r="AL146" s="62"/>
      <c r="AM146" s="62"/>
      <c r="AN146" s="62"/>
      <c r="AO146" s="62"/>
      <c r="AP146" s="62"/>
      <c r="AQ146" s="80"/>
    </row>
    <row r="147" spans="1:43" ht="15.75" customHeight="1" x14ac:dyDescent="0.2">
      <c r="A147" s="63" t="str">
        <f t="shared" si="4"/>
        <v/>
      </c>
      <c r="B147" s="62"/>
      <c r="C147" s="62"/>
      <c r="D147" s="62"/>
      <c r="E147" s="62"/>
      <c r="F147" s="62"/>
      <c r="G147" s="62"/>
      <c r="H147" s="62"/>
      <c r="I147" s="66"/>
      <c r="J147" s="66"/>
      <c r="K147" s="66"/>
      <c r="L147" s="66"/>
      <c r="M147" s="66"/>
      <c r="N147" s="64" t="str">
        <f>IF(OR($B147="", $I147="", $J147="", $K147="", $L147="", $M147=""),"",ROUND(($I147*Lists!$AN$2)+($J147*Lists!$AN$3)+($K147*Lists!$AN$4)+($L147*Lists!$AN$5)+($M147*Lists!$AN$6),2))</f>
        <v/>
      </c>
      <c r="O147" s="64" t="str">
        <f>IF($A147="","",IFERROR(VLOOKUP($A147,'Risk Register'!$B$2:$I$1000,8,FALSE()),""))</f>
        <v/>
      </c>
      <c r="P147" s="66"/>
      <c r="Q147" s="66"/>
      <c r="R147" s="66"/>
      <c r="S147" s="66"/>
      <c r="T147" s="64" t="str">
        <f>IF(OR($B147="", $P147="", $Q147="", $R147="", $S147=""),"",ROUND(($P147*Lists!$AN$7)+($Q147*Lists!$AN$8)+($R147*Lists!$AN$9)+($S147*Lists!$AN$10),2))</f>
        <v/>
      </c>
      <c r="U147" s="66"/>
      <c r="V147" s="66"/>
      <c r="W147" s="66"/>
      <c r="X147" s="66"/>
      <c r="Y147" s="66"/>
      <c r="Z147" s="64" t="str">
        <f>IF(OR($B147="", $U147="", $V147="", $W147="", $X147="", $Y147=""),"",ROUND(($U147*Lists!$AN$11)+($V147*Lists!$AN$12)+($W147*Lists!$AN$13)+($X147*Lists!$AN$14)+($Y147*Lists!$AN$15),2))</f>
        <v/>
      </c>
      <c r="AA147" s="64" t="str">
        <f>IF(OR($B147="", $N147="", $O147="", $T147="", $Z147=""),"",ROUND(($N147*Lists!$AN$16)-($O147*Lists!$AN$17)-($T147*Lists!$AN$18)+($Z147*Lists!$AN$19),2))</f>
        <v/>
      </c>
      <c r="AB147" s="63" t="str">
        <f t="shared" si="5"/>
        <v/>
      </c>
      <c r="AC147" s="63" t="str">
        <f t="shared" si="6"/>
        <v/>
      </c>
      <c r="AD147" s="63" t="str">
        <f>IF($A147="","",IFERROR(IF(VLOOKUP($A147,'Risk Register'!$B$2:$H$1000,4,FALSE())&gt;=4,"Yes",""),""))</f>
        <v/>
      </c>
      <c r="AE147" s="63" t="str">
        <f t="shared" si="7"/>
        <v/>
      </c>
      <c r="AF147" s="62"/>
      <c r="AG147" s="62"/>
      <c r="AH147" s="62"/>
      <c r="AI147" s="62"/>
      <c r="AJ147" s="62"/>
      <c r="AK147" s="62"/>
      <c r="AL147" s="62"/>
      <c r="AM147" s="62"/>
      <c r="AN147" s="62"/>
      <c r="AO147" s="62"/>
      <c r="AP147" s="62"/>
      <c r="AQ147" s="80"/>
    </row>
    <row r="148" spans="1:43" ht="15.75" customHeight="1" x14ac:dyDescent="0.2">
      <c r="A148" s="63" t="str">
        <f t="shared" si="4"/>
        <v/>
      </c>
      <c r="B148" s="62"/>
      <c r="C148" s="62"/>
      <c r="D148" s="62"/>
      <c r="E148" s="62"/>
      <c r="F148" s="62"/>
      <c r="G148" s="62"/>
      <c r="H148" s="62"/>
      <c r="I148" s="66"/>
      <c r="J148" s="66"/>
      <c r="K148" s="66"/>
      <c r="L148" s="66"/>
      <c r="M148" s="66"/>
      <c r="N148" s="64" t="str">
        <f>IF(OR($B148="", $I148="", $J148="", $K148="", $L148="", $M148=""),"",ROUND(($I148*Lists!$AN$2)+($J148*Lists!$AN$3)+($K148*Lists!$AN$4)+($L148*Lists!$AN$5)+($M148*Lists!$AN$6),2))</f>
        <v/>
      </c>
      <c r="O148" s="64" t="str">
        <f>IF($A148="","",IFERROR(VLOOKUP($A148,'Risk Register'!$B$2:$I$1000,8,FALSE()),""))</f>
        <v/>
      </c>
      <c r="P148" s="66"/>
      <c r="Q148" s="66"/>
      <c r="R148" s="66"/>
      <c r="S148" s="66"/>
      <c r="T148" s="64" t="str">
        <f>IF(OR($B148="", $P148="", $Q148="", $R148="", $S148=""),"",ROUND(($P148*Lists!$AN$7)+($Q148*Lists!$AN$8)+($R148*Lists!$AN$9)+($S148*Lists!$AN$10),2))</f>
        <v/>
      </c>
      <c r="U148" s="66"/>
      <c r="V148" s="66"/>
      <c r="W148" s="66"/>
      <c r="X148" s="66"/>
      <c r="Y148" s="66"/>
      <c r="Z148" s="64" t="str">
        <f>IF(OR($B148="", $U148="", $V148="", $W148="", $X148="", $Y148=""),"",ROUND(($U148*Lists!$AN$11)+($V148*Lists!$AN$12)+($W148*Lists!$AN$13)+($X148*Lists!$AN$14)+($Y148*Lists!$AN$15),2))</f>
        <v/>
      </c>
      <c r="AA148" s="64" t="str">
        <f>IF(OR($B148="", $N148="", $O148="", $T148="", $Z148=""),"",ROUND(($N148*Lists!$AN$16)-($O148*Lists!$AN$17)-($T148*Lists!$AN$18)+($Z148*Lists!$AN$19),2))</f>
        <v/>
      </c>
      <c r="AB148" s="63" t="str">
        <f t="shared" si="5"/>
        <v/>
      </c>
      <c r="AC148" s="63" t="str">
        <f t="shared" si="6"/>
        <v/>
      </c>
      <c r="AD148" s="63" t="str">
        <f>IF($A148="","",IFERROR(IF(VLOOKUP($A148,'Risk Register'!$B$2:$H$1000,4,FALSE())&gt;=4,"Yes",""),""))</f>
        <v/>
      </c>
      <c r="AE148" s="63" t="str">
        <f t="shared" si="7"/>
        <v/>
      </c>
      <c r="AF148" s="62"/>
      <c r="AG148" s="62"/>
      <c r="AH148" s="62"/>
      <c r="AI148" s="62"/>
      <c r="AJ148" s="62"/>
      <c r="AK148" s="62"/>
      <c r="AL148" s="62"/>
      <c r="AM148" s="62"/>
      <c r="AN148" s="62"/>
      <c r="AO148" s="62"/>
      <c r="AP148" s="62"/>
      <c r="AQ148" s="80"/>
    </row>
    <row r="149" spans="1:43" ht="15.75" customHeight="1" x14ac:dyDescent="0.2">
      <c r="A149" s="63" t="str">
        <f t="shared" si="4"/>
        <v/>
      </c>
      <c r="B149" s="62"/>
      <c r="C149" s="62"/>
      <c r="D149" s="62"/>
      <c r="E149" s="62"/>
      <c r="F149" s="62"/>
      <c r="G149" s="62"/>
      <c r="H149" s="62"/>
      <c r="I149" s="66"/>
      <c r="J149" s="66"/>
      <c r="K149" s="66"/>
      <c r="L149" s="66"/>
      <c r="M149" s="66"/>
      <c r="N149" s="64" t="str">
        <f>IF(OR($B149="", $I149="", $J149="", $K149="", $L149="", $M149=""),"",ROUND(($I149*Lists!$AN$2)+($J149*Lists!$AN$3)+($K149*Lists!$AN$4)+($L149*Lists!$AN$5)+($M149*Lists!$AN$6),2))</f>
        <v/>
      </c>
      <c r="O149" s="64" t="str">
        <f>IF($A149="","",IFERROR(VLOOKUP($A149,'Risk Register'!$B$2:$I$1000,8,FALSE()),""))</f>
        <v/>
      </c>
      <c r="P149" s="66"/>
      <c r="Q149" s="66"/>
      <c r="R149" s="66"/>
      <c r="S149" s="66"/>
      <c r="T149" s="64" t="str">
        <f>IF(OR($B149="", $P149="", $Q149="", $R149="", $S149=""),"",ROUND(($P149*Lists!$AN$7)+($Q149*Lists!$AN$8)+($R149*Lists!$AN$9)+($S149*Lists!$AN$10),2))</f>
        <v/>
      </c>
      <c r="U149" s="66"/>
      <c r="V149" s="66"/>
      <c r="W149" s="66"/>
      <c r="X149" s="66"/>
      <c r="Y149" s="66"/>
      <c r="Z149" s="64" t="str">
        <f>IF(OR($B149="", $U149="", $V149="", $W149="", $X149="", $Y149=""),"",ROUND(($U149*Lists!$AN$11)+($V149*Lists!$AN$12)+($W149*Lists!$AN$13)+($X149*Lists!$AN$14)+($Y149*Lists!$AN$15),2))</f>
        <v/>
      </c>
      <c r="AA149" s="64" t="str">
        <f>IF(OR($B149="", $N149="", $O149="", $T149="", $Z149=""),"",ROUND(($N149*Lists!$AN$16)-($O149*Lists!$AN$17)-($T149*Lists!$AN$18)+($Z149*Lists!$AN$19),2))</f>
        <v/>
      </c>
      <c r="AB149" s="63" t="str">
        <f t="shared" si="5"/>
        <v/>
      </c>
      <c r="AC149" s="63" t="str">
        <f t="shared" si="6"/>
        <v/>
      </c>
      <c r="AD149" s="63" t="str">
        <f>IF($A149="","",IFERROR(IF(VLOOKUP($A149,'Risk Register'!$B$2:$H$1000,4,FALSE())&gt;=4,"Yes",""),""))</f>
        <v/>
      </c>
      <c r="AE149" s="63" t="str">
        <f t="shared" si="7"/>
        <v/>
      </c>
      <c r="AF149" s="62"/>
      <c r="AG149" s="62"/>
      <c r="AH149" s="62"/>
      <c r="AI149" s="62"/>
      <c r="AJ149" s="62"/>
      <c r="AK149" s="62"/>
      <c r="AL149" s="62"/>
      <c r="AM149" s="62"/>
      <c r="AN149" s="62"/>
      <c r="AO149" s="62"/>
      <c r="AP149" s="62"/>
      <c r="AQ149" s="80"/>
    </row>
    <row r="150" spans="1:43" ht="15.75" customHeight="1" x14ac:dyDescent="0.2">
      <c r="A150" s="63" t="str">
        <f t="shared" si="4"/>
        <v/>
      </c>
      <c r="B150" s="62"/>
      <c r="C150" s="62"/>
      <c r="D150" s="62"/>
      <c r="E150" s="62"/>
      <c r="F150" s="62"/>
      <c r="G150" s="62"/>
      <c r="H150" s="62"/>
      <c r="I150" s="66"/>
      <c r="J150" s="66"/>
      <c r="K150" s="66"/>
      <c r="L150" s="66"/>
      <c r="M150" s="66"/>
      <c r="N150" s="64" t="str">
        <f>IF(OR($B150="", $I150="", $J150="", $K150="", $L150="", $M150=""),"",ROUND(($I150*Lists!$AN$2)+($J150*Lists!$AN$3)+($K150*Lists!$AN$4)+($L150*Lists!$AN$5)+($M150*Lists!$AN$6),2))</f>
        <v/>
      </c>
      <c r="O150" s="64" t="str">
        <f>IF($A150="","",IFERROR(VLOOKUP($A150,'Risk Register'!$B$2:$I$1000,8,FALSE()),""))</f>
        <v/>
      </c>
      <c r="P150" s="66"/>
      <c r="Q150" s="66"/>
      <c r="R150" s="66"/>
      <c r="S150" s="66"/>
      <c r="T150" s="64" t="str">
        <f>IF(OR($B150="", $P150="", $Q150="", $R150="", $S150=""),"",ROUND(($P150*Lists!$AN$7)+($Q150*Lists!$AN$8)+($R150*Lists!$AN$9)+($S150*Lists!$AN$10),2))</f>
        <v/>
      </c>
      <c r="U150" s="66"/>
      <c r="V150" s="66"/>
      <c r="W150" s="66"/>
      <c r="X150" s="66"/>
      <c r="Y150" s="66"/>
      <c r="Z150" s="64" t="str">
        <f>IF(OR($B150="", $U150="", $V150="", $W150="", $X150="", $Y150=""),"",ROUND(($U150*Lists!$AN$11)+($V150*Lists!$AN$12)+($W150*Lists!$AN$13)+($X150*Lists!$AN$14)+($Y150*Lists!$AN$15),2))</f>
        <v/>
      </c>
      <c r="AA150" s="64" t="str">
        <f>IF(OR($B150="", $N150="", $O150="", $T150="", $Z150=""),"",ROUND(($N150*Lists!$AN$16)-($O150*Lists!$AN$17)-($T150*Lists!$AN$18)+($Z150*Lists!$AN$19),2))</f>
        <v/>
      </c>
      <c r="AB150" s="63" t="str">
        <f t="shared" si="5"/>
        <v/>
      </c>
      <c r="AC150" s="63" t="str">
        <f t="shared" si="6"/>
        <v/>
      </c>
      <c r="AD150" s="63" t="str">
        <f>IF($A150="","",IFERROR(IF(VLOOKUP($A150,'Risk Register'!$B$2:$H$1000,4,FALSE())&gt;=4,"Yes",""),""))</f>
        <v/>
      </c>
      <c r="AE150" s="63" t="str">
        <f t="shared" si="7"/>
        <v/>
      </c>
      <c r="AF150" s="62"/>
      <c r="AG150" s="62"/>
      <c r="AH150" s="62"/>
      <c r="AI150" s="62"/>
      <c r="AJ150" s="62"/>
      <c r="AK150" s="62"/>
      <c r="AL150" s="62"/>
      <c r="AM150" s="62"/>
      <c r="AN150" s="62"/>
      <c r="AO150" s="62"/>
      <c r="AP150" s="62"/>
      <c r="AQ150" s="80"/>
    </row>
    <row r="151" spans="1:43" ht="15.75" customHeight="1" x14ac:dyDescent="0.2">
      <c r="A151" s="63" t="str">
        <f t="shared" ref="A151:A214" si="8">IF($B151="","", "APM-" &amp; RIGHT("0000"&amp;ROW()-1,4))</f>
        <v/>
      </c>
      <c r="B151" s="62"/>
      <c r="C151" s="62"/>
      <c r="D151" s="62"/>
      <c r="E151" s="62"/>
      <c r="F151" s="62"/>
      <c r="G151" s="62"/>
      <c r="H151" s="62"/>
      <c r="I151" s="66"/>
      <c r="J151" s="66"/>
      <c r="K151" s="66"/>
      <c r="L151" s="66"/>
      <c r="M151" s="66"/>
      <c r="N151" s="64" t="str">
        <f>IF(OR($B151="", $I151="", $J151="", $K151="", $L151="", $M151=""),"",ROUND(($I151*Lists!$AN$2)+($J151*Lists!$AN$3)+($K151*Lists!$AN$4)+($L151*Lists!$AN$5)+($M151*Lists!$AN$6),2))</f>
        <v/>
      </c>
      <c r="O151" s="64" t="str">
        <f>IF($A151="","",IFERROR(VLOOKUP($A151,'Risk Register'!$B$2:$I$1000,8,FALSE()),""))</f>
        <v/>
      </c>
      <c r="P151" s="66"/>
      <c r="Q151" s="66"/>
      <c r="R151" s="66"/>
      <c r="S151" s="66"/>
      <c r="T151" s="64" t="str">
        <f>IF(OR($B151="", $P151="", $Q151="", $R151="", $S151=""),"",ROUND(($P151*Lists!$AN$7)+($Q151*Lists!$AN$8)+($R151*Lists!$AN$9)+($S151*Lists!$AN$10),2))</f>
        <v/>
      </c>
      <c r="U151" s="66"/>
      <c r="V151" s="66"/>
      <c r="W151" s="66"/>
      <c r="X151" s="66"/>
      <c r="Y151" s="66"/>
      <c r="Z151" s="64" t="str">
        <f>IF(OR($B151="", $U151="", $V151="", $W151="", $X151="", $Y151=""),"",ROUND(($U151*Lists!$AN$11)+($V151*Lists!$AN$12)+($W151*Lists!$AN$13)+($X151*Lists!$AN$14)+($Y151*Lists!$AN$15),2))</f>
        <v/>
      </c>
      <c r="AA151" s="64" t="str">
        <f>IF(OR($B151="", $N151="", $O151="", $T151="", $Z151=""),"",ROUND(($N151*Lists!$AN$16)-($O151*Lists!$AN$17)-($T151*Lists!$AN$18)+($Z151*Lists!$AN$19),2))</f>
        <v/>
      </c>
      <c r="AB151" s="63" t="str">
        <f t="shared" ref="AB151:AB214" si="9">IF($AA151="","",IF($AA151&gt;=3.5,"INVEST",IF($AA151&gt;=2.5,"TOLERATE",IF($AA151&gt;=1.5,"MIGRATE / MODERNIZE","RETIRE"))))</f>
        <v/>
      </c>
      <c r="AC151" s="63" t="str">
        <f t="shared" ref="AC151:AC214" si="10">IF($B151="","",IF($J151&gt;=4,"Yes",""))</f>
        <v/>
      </c>
      <c r="AD151" s="63" t="str">
        <f>IF($A151="","",IFERROR(IF(VLOOKUP($A151,'Risk Register'!$B$2:$H$1000,4,FALSE())&gt;=4,"Yes",""),""))</f>
        <v/>
      </c>
      <c r="AE151" s="63" t="str">
        <f t="shared" ref="AE151:AE214" si="11">IF(OR($N151="", $O151=""),"",IF($N151&gt;=3.5,IF($O151&gt;=3.5,"High Value / High Risk","High Value / Low Risk"),IF($O151&gt;=3.5,"Low Value / High Risk","Low Value / Low Risk")))</f>
        <v/>
      </c>
      <c r="AF151" s="62"/>
      <c r="AG151" s="62"/>
      <c r="AH151" s="62"/>
      <c r="AI151" s="62"/>
      <c r="AJ151" s="62"/>
      <c r="AK151" s="62"/>
      <c r="AL151" s="62"/>
      <c r="AM151" s="62"/>
      <c r="AN151" s="62"/>
      <c r="AO151" s="62"/>
      <c r="AP151" s="62"/>
      <c r="AQ151" s="80"/>
    </row>
    <row r="152" spans="1:43" ht="15.75" customHeight="1" x14ac:dyDescent="0.2">
      <c r="A152" s="63" t="str">
        <f t="shared" si="8"/>
        <v/>
      </c>
      <c r="B152" s="62"/>
      <c r="C152" s="62"/>
      <c r="D152" s="62"/>
      <c r="E152" s="62"/>
      <c r="F152" s="62"/>
      <c r="G152" s="62"/>
      <c r="H152" s="62"/>
      <c r="I152" s="66"/>
      <c r="J152" s="66"/>
      <c r="K152" s="66"/>
      <c r="L152" s="66"/>
      <c r="M152" s="66"/>
      <c r="N152" s="64" t="str">
        <f>IF(OR($B152="", $I152="", $J152="", $K152="", $L152="", $M152=""),"",ROUND(($I152*Lists!$AN$2)+($J152*Lists!$AN$3)+($K152*Lists!$AN$4)+($L152*Lists!$AN$5)+($M152*Lists!$AN$6),2))</f>
        <v/>
      </c>
      <c r="O152" s="64" t="str">
        <f>IF($A152="","",IFERROR(VLOOKUP($A152,'Risk Register'!$B$2:$I$1000,8,FALSE()),""))</f>
        <v/>
      </c>
      <c r="P152" s="66"/>
      <c r="Q152" s="66"/>
      <c r="R152" s="66"/>
      <c r="S152" s="66"/>
      <c r="T152" s="64" t="str">
        <f>IF(OR($B152="", $P152="", $Q152="", $R152="", $S152=""),"",ROUND(($P152*Lists!$AN$7)+($Q152*Lists!$AN$8)+($R152*Lists!$AN$9)+($S152*Lists!$AN$10),2))</f>
        <v/>
      </c>
      <c r="U152" s="66"/>
      <c r="V152" s="66"/>
      <c r="W152" s="66"/>
      <c r="X152" s="66"/>
      <c r="Y152" s="66"/>
      <c r="Z152" s="64" t="str">
        <f>IF(OR($B152="", $U152="", $V152="", $W152="", $X152="", $Y152=""),"",ROUND(($U152*Lists!$AN$11)+($V152*Lists!$AN$12)+($W152*Lists!$AN$13)+($X152*Lists!$AN$14)+($Y152*Lists!$AN$15),2))</f>
        <v/>
      </c>
      <c r="AA152" s="64" t="str">
        <f>IF(OR($B152="", $N152="", $O152="", $T152="", $Z152=""),"",ROUND(($N152*Lists!$AN$16)-($O152*Lists!$AN$17)-($T152*Lists!$AN$18)+($Z152*Lists!$AN$19),2))</f>
        <v/>
      </c>
      <c r="AB152" s="63" t="str">
        <f t="shared" si="9"/>
        <v/>
      </c>
      <c r="AC152" s="63" t="str">
        <f t="shared" si="10"/>
        <v/>
      </c>
      <c r="AD152" s="63" t="str">
        <f>IF($A152="","",IFERROR(IF(VLOOKUP($A152,'Risk Register'!$B$2:$H$1000,4,FALSE())&gt;=4,"Yes",""),""))</f>
        <v/>
      </c>
      <c r="AE152" s="63" t="str">
        <f t="shared" si="11"/>
        <v/>
      </c>
      <c r="AF152" s="62"/>
      <c r="AG152" s="62"/>
      <c r="AH152" s="62"/>
      <c r="AI152" s="62"/>
      <c r="AJ152" s="62"/>
      <c r="AK152" s="62"/>
      <c r="AL152" s="62"/>
      <c r="AM152" s="62"/>
      <c r="AN152" s="62"/>
      <c r="AO152" s="62"/>
      <c r="AP152" s="62"/>
      <c r="AQ152" s="80"/>
    </row>
    <row r="153" spans="1:43" ht="15.75" customHeight="1" x14ac:dyDescent="0.2">
      <c r="A153" s="63" t="str">
        <f t="shared" si="8"/>
        <v/>
      </c>
      <c r="B153" s="62"/>
      <c r="C153" s="62"/>
      <c r="D153" s="62"/>
      <c r="E153" s="62"/>
      <c r="F153" s="62"/>
      <c r="G153" s="62"/>
      <c r="H153" s="62"/>
      <c r="I153" s="66"/>
      <c r="J153" s="66"/>
      <c r="K153" s="66"/>
      <c r="L153" s="66"/>
      <c r="M153" s="66"/>
      <c r="N153" s="64" t="str">
        <f>IF(OR($B153="", $I153="", $J153="", $K153="", $L153="", $M153=""),"",ROUND(($I153*Lists!$AN$2)+($J153*Lists!$AN$3)+($K153*Lists!$AN$4)+($L153*Lists!$AN$5)+($M153*Lists!$AN$6),2))</f>
        <v/>
      </c>
      <c r="O153" s="64" t="str">
        <f>IF($A153="","",IFERROR(VLOOKUP($A153,'Risk Register'!$B$2:$I$1000,8,FALSE()),""))</f>
        <v/>
      </c>
      <c r="P153" s="66"/>
      <c r="Q153" s="66"/>
      <c r="R153" s="66"/>
      <c r="S153" s="66"/>
      <c r="T153" s="64" t="str">
        <f>IF(OR($B153="", $P153="", $Q153="", $R153="", $S153=""),"",ROUND(($P153*Lists!$AN$7)+($Q153*Lists!$AN$8)+($R153*Lists!$AN$9)+($S153*Lists!$AN$10),2))</f>
        <v/>
      </c>
      <c r="U153" s="66"/>
      <c r="V153" s="66"/>
      <c r="W153" s="66"/>
      <c r="X153" s="66"/>
      <c r="Y153" s="66"/>
      <c r="Z153" s="64" t="str">
        <f>IF(OR($B153="", $U153="", $V153="", $W153="", $X153="", $Y153=""),"",ROUND(($U153*Lists!$AN$11)+($V153*Lists!$AN$12)+($W153*Lists!$AN$13)+($X153*Lists!$AN$14)+($Y153*Lists!$AN$15),2))</f>
        <v/>
      </c>
      <c r="AA153" s="64" t="str">
        <f>IF(OR($B153="", $N153="", $O153="", $T153="", $Z153=""),"",ROUND(($N153*Lists!$AN$16)-($O153*Lists!$AN$17)-($T153*Lists!$AN$18)+($Z153*Lists!$AN$19),2))</f>
        <v/>
      </c>
      <c r="AB153" s="63" t="str">
        <f t="shared" si="9"/>
        <v/>
      </c>
      <c r="AC153" s="63" t="str">
        <f t="shared" si="10"/>
        <v/>
      </c>
      <c r="AD153" s="63" t="str">
        <f>IF($A153="","",IFERROR(IF(VLOOKUP($A153,'Risk Register'!$B$2:$H$1000,4,FALSE())&gt;=4,"Yes",""),""))</f>
        <v/>
      </c>
      <c r="AE153" s="63" t="str">
        <f t="shared" si="11"/>
        <v/>
      </c>
      <c r="AF153" s="62"/>
      <c r="AG153" s="62"/>
      <c r="AH153" s="62"/>
      <c r="AI153" s="62"/>
      <c r="AJ153" s="62"/>
      <c r="AK153" s="62"/>
      <c r="AL153" s="62"/>
      <c r="AM153" s="62"/>
      <c r="AN153" s="62"/>
      <c r="AO153" s="62"/>
      <c r="AP153" s="62"/>
      <c r="AQ153" s="80"/>
    </row>
    <row r="154" spans="1:43" ht="15.75" customHeight="1" x14ac:dyDescent="0.2">
      <c r="A154" s="63" t="str">
        <f t="shared" si="8"/>
        <v/>
      </c>
      <c r="B154" s="62"/>
      <c r="C154" s="62"/>
      <c r="D154" s="62"/>
      <c r="E154" s="62"/>
      <c r="F154" s="62"/>
      <c r="G154" s="62"/>
      <c r="H154" s="62"/>
      <c r="I154" s="66"/>
      <c r="J154" s="66"/>
      <c r="K154" s="66"/>
      <c r="L154" s="66"/>
      <c r="M154" s="66"/>
      <c r="N154" s="64" t="str">
        <f>IF(OR($B154="", $I154="", $J154="", $K154="", $L154="", $M154=""),"",ROUND(($I154*Lists!$AN$2)+($J154*Lists!$AN$3)+($K154*Lists!$AN$4)+($L154*Lists!$AN$5)+($M154*Lists!$AN$6),2))</f>
        <v/>
      </c>
      <c r="O154" s="64" t="str">
        <f>IF($A154="","",IFERROR(VLOOKUP($A154,'Risk Register'!$B$2:$I$1000,8,FALSE()),""))</f>
        <v/>
      </c>
      <c r="P154" s="66"/>
      <c r="Q154" s="66"/>
      <c r="R154" s="66"/>
      <c r="S154" s="66"/>
      <c r="T154" s="64" t="str">
        <f>IF(OR($B154="", $P154="", $Q154="", $R154="", $S154=""),"",ROUND(($P154*Lists!$AN$7)+($Q154*Lists!$AN$8)+($R154*Lists!$AN$9)+($S154*Lists!$AN$10),2))</f>
        <v/>
      </c>
      <c r="U154" s="66"/>
      <c r="V154" s="66"/>
      <c r="W154" s="66"/>
      <c r="X154" s="66"/>
      <c r="Y154" s="66"/>
      <c r="Z154" s="64" t="str">
        <f>IF(OR($B154="", $U154="", $V154="", $W154="", $X154="", $Y154=""),"",ROUND(($U154*Lists!$AN$11)+($V154*Lists!$AN$12)+($W154*Lists!$AN$13)+($X154*Lists!$AN$14)+($Y154*Lists!$AN$15),2))</f>
        <v/>
      </c>
      <c r="AA154" s="64" t="str">
        <f>IF(OR($B154="", $N154="", $O154="", $T154="", $Z154=""),"",ROUND(($N154*Lists!$AN$16)-($O154*Lists!$AN$17)-($T154*Lists!$AN$18)+($Z154*Lists!$AN$19),2))</f>
        <v/>
      </c>
      <c r="AB154" s="63" t="str">
        <f t="shared" si="9"/>
        <v/>
      </c>
      <c r="AC154" s="63" t="str">
        <f t="shared" si="10"/>
        <v/>
      </c>
      <c r="AD154" s="63" t="str">
        <f>IF($A154="","",IFERROR(IF(VLOOKUP($A154,'Risk Register'!$B$2:$H$1000,4,FALSE())&gt;=4,"Yes",""),""))</f>
        <v/>
      </c>
      <c r="AE154" s="63" t="str">
        <f t="shared" si="11"/>
        <v/>
      </c>
      <c r="AF154" s="62"/>
      <c r="AG154" s="62"/>
      <c r="AH154" s="62"/>
      <c r="AI154" s="62"/>
      <c r="AJ154" s="62"/>
      <c r="AK154" s="62"/>
      <c r="AL154" s="62"/>
      <c r="AM154" s="62"/>
      <c r="AN154" s="62"/>
      <c r="AO154" s="62"/>
      <c r="AP154" s="62"/>
      <c r="AQ154" s="80"/>
    </row>
    <row r="155" spans="1:43" ht="15.75" customHeight="1" x14ac:dyDescent="0.2">
      <c r="A155" s="63" t="str">
        <f t="shared" si="8"/>
        <v/>
      </c>
      <c r="B155" s="62"/>
      <c r="C155" s="62"/>
      <c r="D155" s="62"/>
      <c r="E155" s="62"/>
      <c r="F155" s="62"/>
      <c r="G155" s="62"/>
      <c r="H155" s="62"/>
      <c r="I155" s="66"/>
      <c r="J155" s="66"/>
      <c r="K155" s="66"/>
      <c r="L155" s="66"/>
      <c r="M155" s="66"/>
      <c r="N155" s="64" t="str">
        <f>IF(OR($B155="", $I155="", $J155="", $K155="", $L155="", $M155=""),"",ROUND(($I155*Lists!$AN$2)+($J155*Lists!$AN$3)+($K155*Lists!$AN$4)+($L155*Lists!$AN$5)+($M155*Lists!$AN$6),2))</f>
        <v/>
      </c>
      <c r="O155" s="64" t="str">
        <f>IF($A155="","",IFERROR(VLOOKUP($A155,'Risk Register'!$B$2:$I$1000,8,FALSE()),""))</f>
        <v/>
      </c>
      <c r="P155" s="66"/>
      <c r="Q155" s="66"/>
      <c r="R155" s="66"/>
      <c r="S155" s="66"/>
      <c r="T155" s="64" t="str">
        <f>IF(OR($B155="", $P155="", $Q155="", $R155="", $S155=""),"",ROUND(($P155*Lists!$AN$7)+($Q155*Lists!$AN$8)+($R155*Lists!$AN$9)+($S155*Lists!$AN$10),2))</f>
        <v/>
      </c>
      <c r="U155" s="66"/>
      <c r="V155" s="66"/>
      <c r="W155" s="66"/>
      <c r="X155" s="66"/>
      <c r="Y155" s="66"/>
      <c r="Z155" s="64" t="str">
        <f>IF(OR($B155="", $U155="", $V155="", $W155="", $X155="", $Y155=""),"",ROUND(($U155*Lists!$AN$11)+($V155*Lists!$AN$12)+($W155*Lists!$AN$13)+($X155*Lists!$AN$14)+($Y155*Lists!$AN$15),2))</f>
        <v/>
      </c>
      <c r="AA155" s="64" t="str">
        <f>IF(OR($B155="", $N155="", $O155="", $T155="", $Z155=""),"",ROUND(($N155*Lists!$AN$16)-($O155*Lists!$AN$17)-($T155*Lists!$AN$18)+($Z155*Lists!$AN$19),2))</f>
        <v/>
      </c>
      <c r="AB155" s="63" t="str">
        <f t="shared" si="9"/>
        <v/>
      </c>
      <c r="AC155" s="63" t="str">
        <f t="shared" si="10"/>
        <v/>
      </c>
      <c r="AD155" s="63" t="str">
        <f>IF($A155="","",IFERROR(IF(VLOOKUP($A155,'Risk Register'!$B$2:$H$1000,4,FALSE())&gt;=4,"Yes",""),""))</f>
        <v/>
      </c>
      <c r="AE155" s="63" t="str">
        <f t="shared" si="11"/>
        <v/>
      </c>
      <c r="AF155" s="62"/>
      <c r="AG155" s="62"/>
      <c r="AH155" s="62"/>
      <c r="AI155" s="62"/>
      <c r="AJ155" s="62"/>
      <c r="AK155" s="62"/>
      <c r="AL155" s="62"/>
      <c r="AM155" s="62"/>
      <c r="AN155" s="62"/>
      <c r="AO155" s="62"/>
      <c r="AP155" s="62"/>
      <c r="AQ155" s="80"/>
    </row>
    <row r="156" spans="1:43" ht="15.75" customHeight="1" x14ac:dyDescent="0.2">
      <c r="A156" s="63" t="str">
        <f t="shared" si="8"/>
        <v/>
      </c>
      <c r="B156" s="62"/>
      <c r="C156" s="62"/>
      <c r="D156" s="62"/>
      <c r="E156" s="62"/>
      <c r="F156" s="62"/>
      <c r="G156" s="62"/>
      <c r="H156" s="62"/>
      <c r="I156" s="66"/>
      <c r="J156" s="66"/>
      <c r="K156" s="66"/>
      <c r="L156" s="66"/>
      <c r="M156" s="66"/>
      <c r="N156" s="64" t="str">
        <f>IF(OR($B156="", $I156="", $J156="", $K156="", $L156="", $M156=""),"",ROUND(($I156*Lists!$AN$2)+($J156*Lists!$AN$3)+($K156*Lists!$AN$4)+($L156*Lists!$AN$5)+($M156*Lists!$AN$6),2))</f>
        <v/>
      </c>
      <c r="O156" s="64" t="str">
        <f>IF($A156="","",IFERROR(VLOOKUP($A156,'Risk Register'!$B$2:$I$1000,8,FALSE()),""))</f>
        <v/>
      </c>
      <c r="P156" s="66"/>
      <c r="Q156" s="66"/>
      <c r="R156" s="66"/>
      <c r="S156" s="66"/>
      <c r="T156" s="64" t="str">
        <f>IF(OR($B156="", $P156="", $Q156="", $R156="", $S156=""),"",ROUND(($P156*Lists!$AN$7)+($Q156*Lists!$AN$8)+($R156*Lists!$AN$9)+($S156*Lists!$AN$10),2))</f>
        <v/>
      </c>
      <c r="U156" s="66"/>
      <c r="V156" s="66"/>
      <c r="W156" s="66"/>
      <c r="X156" s="66"/>
      <c r="Y156" s="66"/>
      <c r="Z156" s="64" t="str">
        <f>IF(OR($B156="", $U156="", $V156="", $W156="", $X156="", $Y156=""),"",ROUND(($U156*Lists!$AN$11)+($V156*Lists!$AN$12)+($W156*Lists!$AN$13)+($X156*Lists!$AN$14)+($Y156*Lists!$AN$15),2))</f>
        <v/>
      </c>
      <c r="AA156" s="64" t="str">
        <f>IF(OR($B156="", $N156="", $O156="", $T156="", $Z156=""),"",ROUND(($N156*Lists!$AN$16)-($O156*Lists!$AN$17)-($T156*Lists!$AN$18)+($Z156*Lists!$AN$19),2))</f>
        <v/>
      </c>
      <c r="AB156" s="63" t="str">
        <f t="shared" si="9"/>
        <v/>
      </c>
      <c r="AC156" s="63" t="str">
        <f t="shared" si="10"/>
        <v/>
      </c>
      <c r="AD156" s="63" t="str">
        <f>IF($A156="","",IFERROR(IF(VLOOKUP($A156,'Risk Register'!$B$2:$H$1000,4,FALSE())&gt;=4,"Yes",""),""))</f>
        <v/>
      </c>
      <c r="AE156" s="63" t="str">
        <f t="shared" si="11"/>
        <v/>
      </c>
      <c r="AF156" s="62"/>
      <c r="AG156" s="62"/>
      <c r="AH156" s="62"/>
      <c r="AI156" s="62"/>
      <c r="AJ156" s="62"/>
      <c r="AK156" s="62"/>
      <c r="AL156" s="62"/>
      <c r="AM156" s="62"/>
      <c r="AN156" s="62"/>
      <c r="AO156" s="62"/>
      <c r="AP156" s="62"/>
      <c r="AQ156" s="80"/>
    </row>
    <row r="157" spans="1:43" ht="15.75" customHeight="1" x14ac:dyDescent="0.2">
      <c r="A157" s="63" t="str">
        <f t="shared" si="8"/>
        <v/>
      </c>
      <c r="B157" s="62"/>
      <c r="C157" s="62"/>
      <c r="D157" s="62"/>
      <c r="E157" s="62"/>
      <c r="F157" s="62"/>
      <c r="G157" s="62"/>
      <c r="H157" s="62"/>
      <c r="I157" s="66"/>
      <c r="J157" s="66"/>
      <c r="K157" s="66"/>
      <c r="L157" s="66"/>
      <c r="M157" s="66"/>
      <c r="N157" s="64" t="str">
        <f>IF(OR($B157="", $I157="", $J157="", $K157="", $L157="", $M157=""),"",ROUND(($I157*Lists!$AN$2)+($J157*Lists!$AN$3)+($K157*Lists!$AN$4)+($L157*Lists!$AN$5)+($M157*Lists!$AN$6),2))</f>
        <v/>
      </c>
      <c r="O157" s="64" t="str">
        <f>IF($A157="","",IFERROR(VLOOKUP($A157,'Risk Register'!$B$2:$I$1000,8,FALSE()),""))</f>
        <v/>
      </c>
      <c r="P157" s="66"/>
      <c r="Q157" s="66"/>
      <c r="R157" s="66"/>
      <c r="S157" s="66"/>
      <c r="T157" s="64" t="str">
        <f>IF(OR($B157="", $P157="", $Q157="", $R157="", $S157=""),"",ROUND(($P157*Lists!$AN$7)+($Q157*Lists!$AN$8)+($R157*Lists!$AN$9)+($S157*Lists!$AN$10),2))</f>
        <v/>
      </c>
      <c r="U157" s="66"/>
      <c r="V157" s="66"/>
      <c r="W157" s="66"/>
      <c r="X157" s="66"/>
      <c r="Y157" s="66"/>
      <c r="Z157" s="64" t="str">
        <f>IF(OR($B157="", $U157="", $V157="", $W157="", $X157="", $Y157=""),"",ROUND(($U157*Lists!$AN$11)+($V157*Lists!$AN$12)+($W157*Lists!$AN$13)+($X157*Lists!$AN$14)+($Y157*Lists!$AN$15),2))</f>
        <v/>
      </c>
      <c r="AA157" s="64" t="str">
        <f>IF(OR($B157="", $N157="", $O157="", $T157="", $Z157=""),"",ROUND(($N157*Lists!$AN$16)-($O157*Lists!$AN$17)-($T157*Lists!$AN$18)+($Z157*Lists!$AN$19),2))</f>
        <v/>
      </c>
      <c r="AB157" s="63" t="str">
        <f t="shared" si="9"/>
        <v/>
      </c>
      <c r="AC157" s="63" t="str">
        <f t="shared" si="10"/>
        <v/>
      </c>
      <c r="AD157" s="63" t="str">
        <f>IF($A157="","",IFERROR(IF(VLOOKUP($A157,'Risk Register'!$B$2:$H$1000,4,FALSE())&gt;=4,"Yes",""),""))</f>
        <v/>
      </c>
      <c r="AE157" s="63" t="str">
        <f t="shared" si="11"/>
        <v/>
      </c>
      <c r="AF157" s="62"/>
      <c r="AG157" s="62"/>
      <c r="AH157" s="62"/>
      <c r="AI157" s="62"/>
      <c r="AJ157" s="62"/>
      <c r="AK157" s="62"/>
      <c r="AL157" s="62"/>
      <c r="AM157" s="62"/>
      <c r="AN157" s="62"/>
      <c r="AO157" s="62"/>
      <c r="AP157" s="62"/>
      <c r="AQ157" s="80"/>
    </row>
    <row r="158" spans="1:43" ht="15.75" customHeight="1" x14ac:dyDescent="0.2">
      <c r="A158" s="63" t="str">
        <f t="shared" si="8"/>
        <v/>
      </c>
      <c r="B158" s="62"/>
      <c r="C158" s="62"/>
      <c r="D158" s="62"/>
      <c r="E158" s="62"/>
      <c r="F158" s="62"/>
      <c r="G158" s="62"/>
      <c r="H158" s="62"/>
      <c r="I158" s="66"/>
      <c r="J158" s="66"/>
      <c r="K158" s="66"/>
      <c r="L158" s="66"/>
      <c r="M158" s="66"/>
      <c r="N158" s="64" t="str">
        <f>IF(OR($B158="", $I158="", $J158="", $K158="", $L158="", $M158=""),"",ROUND(($I158*Lists!$AN$2)+($J158*Lists!$AN$3)+($K158*Lists!$AN$4)+($L158*Lists!$AN$5)+($M158*Lists!$AN$6),2))</f>
        <v/>
      </c>
      <c r="O158" s="64" t="str">
        <f>IF($A158="","",IFERROR(VLOOKUP($A158,'Risk Register'!$B$2:$I$1000,8,FALSE()),""))</f>
        <v/>
      </c>
      <c r="P158" s="66"/>
      <c r="Q158" s="66"/>
      <c r="R158" s="66"/>
      <c r="S158" s="66"/>
      <c r="T158" s="64" t="str">
        <f>IF(OR($B158="", $P158="", $Q158="", $R158="", $S158=""),"",ROUND(($P158*Lists!$AN$7)+($Q158*Lists!$AN$8)+($R158*Lists!$AN$9)+($S158*Lists!$AN$10),2))</f>
        <v/>
      </c>
      <c r="U158" s="66"/>
      <c r="V158" s="66"/>
      <c r="W158" s="66"/>
      <c r="X158" s="66"/>
      <c r="Y158" s="66"/>
      <c r="Z158" s="64" t="str">
        <f>IF(OR($B158="", $U158="", $V158="", $W158="", $X158="", $Y158=""),"",ROUND(($U158*Lists!$AN$11)+($V158*Lists!$AN$12)+($W158*Lists!$AN$13)+($X158*Lists!$AN$14)+($Y158*Lists!$AN$15),2))</f>
        <v/>
      </c>
      <c r="AA158" s="64" t="str">
        <f>IF(OR($B158="", $N158="", $O158="", $T158="", $Z158=""),"",ROUND(($N158*Lists!$AN$16)-($O158*Lists!$AN$17)-($T158*Lists!$AN$18)+($Z158*Lists!$AN$19),2))</f>
        <v/>
      </c>
      <c r="AB158" s="63" t="str">
        <f t="shared" si="9"/>
        <v/>
      </c>
      <c r="AC158" s="63" t="str">
        <f t="shared" si="10"/>
        <v/>
      </c>
      <c r="AD158" s="63" t="str">
        <f>IF($A158="","",IFERROR(IF(VLOOKUP($A158,'Risk Register'!$B$2:$H$1000,4,FALSE())&gt;=4,"Yes",""),""))</f>
        <v/>
      </c>
      <c r="AE158" s="63" t="str">
        <f t="shared" si="11"/>
        <v/>
      </c>
      <c r="AF158" s="62"/>
      <c r="AG158" s="62"/>
      <c r="AH158" s="62"/>
      <c r="AI158" s="62"/>
      <c r="AJ158" s="62"/>
      <c r="AK158" s="62"/>
      <c r="AL158" s="62"/>
      <c r="AM158" s="62"/>
      <c r="AN158" s="62"/>
      <c r="AO158" s="62"/>
      <c r="AP158" s="62"/>
      <c r="AQ158" s="80"/>
    </row>
    <row r="159" spans="1:43" ht="15.75" customHeight="1" x14ac:dyDescent="0.2">
      <c r="A159" s="63" t="str">
        <f t="shared" si="8"/>
        <v/>
      </c>
      <c r="B159" s="62"/>
      <c r="C159" s="62"/>
      <c r="D159" s="62"/>
      <c r="E159" s="62"/>
      <c r="F159" s="62"/>
      <c r="G159" s="62"/>
      <c r="H159" s="62"/>
      <c r="I159" s="66"/>
      <c r="J159" s="66"/>
      <c r="K159" s="66"/>
      <c r="L159" s="66"/>
      <c r="M159" s="66"/>
      <c r="N159" s="64" t="str">
        <f>IF(OR($B159="", $I159="", $J159="", $K159="", $L159="", $M159=""),"",ROUND(($I159*Lists!$AN$2)+($J159*Lists!$AN$3)+($K159*Lists!$AN$4)+($L159*Lists!$AN$5)+($M159*Lists!$AN$6),2))</f>
        <v/>
      </c>
      <c r="O159" s="64" t="str">
        <f>IF($A159="","",IFERROR(VLOOKUP($A159,'Risk Register'!$B$2:$I$1000,8,FALSE()),""))</f>
        <v/>
      </c>
      <c r="P159" s="66"/>
      <c r="Q159" s="66"/>
      <c r="R159" s="66"/>
      <c r="S159" s="66"/>
      <c r="T159" s="64" t="str">
        <f>IF(OR($B159="", $P159="", $Q159="", $R159="", $S159=""),"",ROUND(($P159*Lists!$AN$7)+($Q159*Lists!$AN$8)+($R159*Lists!$AN$9)+($S159*Lists!$AN$10),2))</f>
        <v/>
      </c>
      <c r="U159" s="66"/>
      <c r="V159" s="66"/>
      <c r="W159" s="66"/>
      <c r="X159" s="66"/>
      <c r="Y159" s="66"/>
      <c r="Z159" s="64" t="str">
        <f>IF(OR($B159="", $U159="", $V159="", $W159="", $X159="", $Y159=""),"",ROUND(($U159*Lists!$AN$11)+($V159*Lists!$AN$12)+($W159*Lists!$AN$13)+($X159*Lists!$AN$14)+($Y159*Lists!$AN$15),2))</f>
        <v/>
      </c>
      <c r="AA159" s="64" t="str">
        <f>IF(OR($B159="", $N159="", $O159="", $T159="", $Z159=""),"",ROUND(($N159*Lists!$AN$16)-($O159*Lists!$AN$17)-($T159*Lists!$AN$18)+($Z159*Lists!$AN$19),2))</f>
        <v/>
      </c>
      <c r="AB159" s="63" t="str">
        <f t="shared" si="9"/>
        <v/>
      </c>
      <c r="AC159" s="63" t="str">
        <f t="shared" si="10"/>
        <v/>
      </c>
      <c r="AD159" s="63" t="str">
        <f>IF($A159="","",IFERROR(IF(VLOOKUP($A159,'Risk Register'!$B$2:$H$1000,4,FALSE())&gt;=4,"Yes",""),""))</f>
        <v/>
      </c>
      <c r="AE159" s="63" t="str">
        <f t="shared" si="11"/>
        <v/>
      </c>
      <c r="AF159" s="62"/>
      <c r="AG159" s="62"/>
      <c r="AH159" s="62"/>
      <c r="AI159" s="62"/>
      <c r="AJ159" s="62"/>
      <c r="AK159" s="62"/>
      <c r="AL159" s="62"/>
      <c r="AM159" s="62"/>
      <c r="AN159" s="62"/>
      <c r="AO159" s="62"/>
      <c r="AP159" s="62"/>
      <c r="AQ159" s="80"/>
    </row>
    <row r="160" spans="1:43" ht="15.75" customHeight="1" x14ac:dyDescent="0.2">
      <c r="A160" s="63" t="str">
        <f t="shared" si="8"/>
        <v/>
      </c>
      <c r="B160" s="62"/>
      <c r="C160" s="62"/>
      <c r="D160" s="62"/>
      <c r="E160" s="62"/>
      <c r="F160" s="62"/>
      <c r="G160" s="62"/>
      <c r="H160" s="62"/>
      <c r="I160" s="66"/>
      <c r="J160" s="66"/>
      <c r="K160" s="66"/>
      <c r="L160" s="66"/>
      <c r="M160" s="66"/>
      <c r="N160" s="64" t="str">
        <f>IF(OR($B160="", $I160="", $J160="", $K160="", $L160="", $M160=""),"",ROUND(($I160*Lists!$AN$2)+($J160*Lists!$AN$3)+($K160*Lists!$AN$4)+($L160*Lists!$AN$5)+($M160*Lists!$AN$6),2))</f>
        <v/>
      </c>
      <c r="O160" s="64" t="str">
        <f>IF($A160="","",IFERROR(VLOOKUP($A160,'Risk Register'!$B$2:$I$1000,8,FALSE()),""))</f>
        <v/>
      </c>
      <c r="P160" s="66"/>
      <c r="Q160" s="66"/>
      <c r="R160" s="66"/>
      <c r="S160" s="66"/>
      <c r="T160" s="64" t="str">
        <f>IF(OR($B160="", $P160="", $Q160="", $R160="", $S160=""),"",ROUND(($P160*Lists!$AN$7)+($Q160*Lists!$AN$8)+($R160*Lists!$AN$9)+($S160*Lists!$AN$10),2))</f>
        <v/>
      </c>
      <c r="U160" s="66"/>
      <c r="V160" s="66"/>
      <c r="W160" s="66"/>
      <c r="X160" s="66"/>
      <c r="Y160" s="66"/>
      <c r="Z160" s="64" t="str">
        <f>IF(OR($B160="", $U160="", $V160="", $W160="", $X160="", $Y160=""),"",ROUND(($U160*Lists!$AN$11)+($V160*Lists!$AN$12)+($W160*Lists!$AN$13)+($X160*Lists!$AN$14)+($Y160*Lists!$AN$15),2))</f>
        <v/>
      </c>
      <c r="AA160" s="64" t="str">
        <f>IF(OR($B160="", $N160="", $O160="", $T160="", $Z160=""),"",ROUND(($N160*Lists!$AN$16)-($O160*Lists!$AN$17)-($T160*Lists!$AN$18)+($Z160*Lists!$AN$19),2))</f>
        <v/>
      </c>
      <c r="AB160" s="63" t="str">
        <f t="shared" si="9"/>
        <v/>
      </c>
      <c r="AC160" s="63" t="str">
        <f t="shared" si="10"/>
        <v/>
      </c>
      <c r="AD160" s="63" t="str">
        <f>IF($A160="","",IFERROR(IF(VLOOKUP($A160,'Risk Register'!$B$2:$H$1000,4,FALSE())&gt;=4,"Yes",""),""))</f>
        <v/>
      </c>
      <c r="AE160" s="63" t="str">
        <f t="shared" si="11"/>
        <v/>
      </c>
      <c r="AF160" s="62"/>
      <c r="AG160" s="62"/>
      <c r="AH160" s="62"/>
      <c r="AI160" s="62"/>
      <c r="AJ160" s="62"/>
      <c r="AK160" s="62"/>
      <c r="AL160" s="62"/>
      <c r="AM160" s="62"/>
      <c r="AN160" s="62"/>
      <c r="AO160" s="62"/>
      <c r="AP160" s="62"/>
      <c r="AQ160" s="80"/>
    </row>
    <row r="161" spans="1:43" ht="15.75" customHeight="1" x14ac:dyDescent="0.2">
      <c r="A161" s="63" t="str">
        <f t="shared" si="8"/>
        <v/>
      </c>
      <c r="B161" s="62"/>
      <c r="C161" s="62"/>
      <c r="D161" s="62"/>
      <c r="E161" s="62"/>
      <c r="F161" s="62"/>
      <c r="G161" s="62"/>
      <c r="H161" s="62"/>
      <c r="I161" s="66"/>
      <c r="J161" s="66"/>
      <c r="K161" s="66"/>
      <c r="L161" s="66"/>
      <c r="M161" s="66"/>
      <c r="N161" s="64" t="str">
        <f>IF(OR($B161="", $I161="", $J161="", $K161="", $L161="", $M161=""),"",ROUND(($I161*Lists!$AN$2)+($J161*Lists!$AN$3)+($K161*Lists!$AN$4)+($L161*Lists!$AN$5)+($M161*Lists!$AN$6),2))</f>
        <v/>
      </c>
      <c r="O161" s="64" t="str">
        <f>IF($A161="","",IFERROR(VLOOKUP($A161,'Risk Register'!$B$2:$I$1000,8,FALSE()),""))</f>
        <v/>
      </c>
      <c r="P161" s="66"/>
      <c r="Q161" s="66"/>
      <c r="R161" s="66"/>
      <c r="S161" s="66"/>
      <c r="T161" s="64" t="str">
        <f>IF(OR($B161="", $P161="", $Q161="", $R161="", $S161=""),"",ROUND(($P161*Lists!$AN$7)+($Q161*Lists!$AN$8)+($R161*Lists!$AN$9)+($S161*Lists!$AN$10),2))</f>
        <v/>
      </c>
      <c r="U161" s="66"/>
      <c r="V161" s="66"/>
      <c r="W161" s="66"/>
      <c r="X161" s="66"/>
      <c r="Y161" s="66"/>
      <c r="Z161" s="64" t="str">
        <f>IF(OR($B161="", $U161="", $V161="", $W161="", $X161="", $Y161=""),"",ROUND(($U161*Lists!$AN$11)+($V161*Lists!$AN$12)+($W161*Lists!$AN$13)+($X161*Lists!$AN$14)+($Y161*Lists!$AN$15),2))</f>
        <v/>
      </c>
      <c r="AA161" s="64" t="str">
        <f>IF(OR($B161="", $N161="", $O161="", $T161="", $Z161=""),"",ROUND(($N161*Lists!$AN$16)-($O161*Lists!$AN$17)-($T161*Lists!$AN$18)+($Z161*Lists!$AN$19),2))</f>
        <v/>
      </c>
      <c r="AB161" s="63" t="str">
        <f t="shared" si="9"/>
        <v/>
      </c>
      <c r="AC161" s="63" t="str">
        <f t="shared" si="10"/>
        <v/>
      </c>
      <c r="AD161" s="63" t="str">
        <f>IF($A161="","",IFERROR(IF(VLOOKUP($A161,'Risk Register'!$B$2:$H$1000,4,FALSE())&gt;=4,"Yes",""),""))</f>
        <v/>
      </c>
      <c r="AE161" s="63" t="str">
        <f t="shared" si="11"/>
        <v/>
      </c>
      <c r="AF161" s="62"/>
      <c r="AG161" s="62"/>
      <c r="AH161" s="62"/>
      <c r="AI161" s="62"/>
      <c r="AJ161" s="62"/>
      <c r="AK161" s="62"/>
      <c r="AL161" s="62"/>
      <c r="AM161" s="62"/>
      <c r="AN161" s="62"/>
      <c r="AO161" s="62"/>
      <c r="AP161" s="62"/>
      <c r="AQ161" s="80"/>
    </row>
    <row r="162" spans="1:43" ht="15.75" customHeight="1" x14ac:dyDescent="0.2">
      <c r="A162" s="63" t="str">
        <f t="shared" si="8"/>
        <v/>
      </c>
      <c r="B162" s="62"/>
      <c r="C162" s="62"/>
      <c r="D162" s="62"/>
      <c r="E162" s="62"/>
      <c r="F162" s="62"/>
      <c r="G162" s="62"/>
      <c r="H162" s="62"/>
      <c r="I162" s="66"/>
      <c r="J162" s="66"/>
      <c r="K162" s="66"/>
      <c r="L162" s="66"/>
      <c r="M162" s="66"/>
      <c r="N162" s="64" t="str">
        <f>IF(OR($B162="", $I162="", $J162="", $K162="", $L162="", $M162=""),"",ROUND(($I162*Lists!$AN$2)+($J162*Lists!$AN$3)+($K162*Lists!$AN$4)+($L162*Lists!$AN$5)+($M162*Lists!$AN$6),2))</f>
        <v/>
      </c>
      <c r="O162" s="64" t="str">
        <f>IF($A162="","",IFERROR(VLOOKUP($A162,'Risk Register'!$B$2:$I$1000,8,FALSE()),""))</f>
        <v/>
      </c>
      <c r="P162" s="66"/>
      <c r="Q162" s="66"/>
      <c r="R162" s="66"/>
      <c r="S162" s="66"/>
      <c r="T162" s="64" t="str">
        <f>IF(OR($B162="", $P162="", $Q162="", $R162="", $S162=""),"",ROUND(($P162*Lists!$AN$7)+($Q162*Lists!$AN$8)+($R162*Lists!$AN$9)+($S162*Lists!$AN$10),2))</f>
        <v/>
      </c>
      <c r="U162" s="66"/>
      <c r="V162" s="66"/>
      <c r="W162" s="66"/>
      <c r="X162" s="66"/>
      <c r="Y162" s="66"/>
      <c r="Z162" s="64" t="str">
        <f>IF(OR($B162="", $U162="", $V162="", $W162="", $X162="", $Y162=""),"",ROUND(($U162*Lists!$AN$11)+($V162*Lists!$AN$12)+($W162*Lists!$AN$13)+($X162*Lists!$AN$14)+($Y162*Lists!$AN$15),2))</f>
        <v/>
      </c>
      <c r="AA162" s="64" t="str">
        <f>IF(OR($B162="", $N162="", $O162="", $T162="", $Z162=""),"",ROUND(($N162*Lists!$AN$16)-($O162*Lists!$AN$17)-($T162*Lists!$AN$18)+($Z162*Lists!$AN$19),2))</f>
        <v/>
      </c>
      <c r="AB162" s="63" t="str">
        <f t="shared" si="9"/>
        <v/>
      </c>
      <c r="AC162" s="63" t="str">
        <f t="shared" si="10"/>
        <v/>
      </c>
      <c r="AD162" s="63" t="str">
        <f>IF($A162="","",IFERROR(IF(VLOOKUP($A162,'Risk Register'!$B$2:$H$1000,4,FALSE())&gt;=4,"Yes",""),""))</f>
        <v/>
      </c>
      <c r="AE162" s="63" t="str">
        <f t="shared" si="11"/>
        <v/>
      </c>
      <c r="AF162" s="62"/>
      <c r="AG162" s="62"/>
      <c r="AH162" s="62"/>
      <c r="AI162" s="62"/>
      <c r="AJ162" s="62"/>
      <c r="AK162" s="62"/>
      <c r="AL162" s="62"/>
      <c r="AM162" s="62"/>
      <c r="AN162" s="62"/>
      <c r="AO162" s="62"/>
      <c r="AP162" s="62"/>
      <c r="AQ162" s="80"/>
    </row>
    <row r="163" spans="1:43" ht="15.75" customHeight="1" x14ac:dyDescent="0.2">
      <c r="A163" s="63" t="str">
        <f t="shared" si="8"/>
        <v/>
      </c>
      <c r="B163" s="62"/>
      <c r="C163" s="62"/>
      <c r="D163" s="62"/>
      <c r="E163" s="62"/>
      <c r="F163" s="62"/>
      <c r="G163" s="62"/>
      <c r="H163" s="62"/>
      <c r="I163" s="66"/>
      <c r="J163" s="66"/>
      <c r="K163" s="66"/>
      <c r="L163" s="66"/>
      <c r="M163" s="66"/>
      <c r="N163" s="64" t="str">
        <f>IF(OR($B163="", $I163="", $J163="", $K163="", $L163="", $M163=""),"",ROUND(($I163*Lists!$AN$2)+($J163*Lists!$AN$3)+($K163*Lists!$AN$4)+($L163*Lists!$AN$5)+($M163*Lists!$AN$6),2))</f>
        <v/>
      </c>
      <c r="O163" s="64" t="str">
        <f>IF($A163="","",IFERROR(VLOOKUP($A163,'Risk Register'!$B$2:$I$1000,8,FALSE()),""))</f>
        <v/>
      </c>
      <c r="P163" s="66"/>
      <c r="Q163" s="66"/>
      <c r="R163" s="66"/>
      <c r="S163" s="66"/>
      <c r="T163" s="64" t="str">
        <f>IF(OR($B163="", $P163="", $Q163="", $R163="", $S163=""),"",ROUND(($P163*Lists!$AN$7)+($Q163*Lists!$AN$8)+($R163*Lists!$AN$9)+($S163*Lists!$AN$10),2))</f>
        <v/>
      </c>
      <c r="U163" s="66"/>
      <c r="V163" s="66"/>
      <c r="W163" s="66"/>
      <c r="X163" s="66"/>
      <c r="Y163" s="66"/>
      <c r="Z163" s="64" t="str">
        <f>IF(OR($B163="", $U163="", $V163="", $W163="", $X163="", $Y163=""),"",ROUND(($U163*Lists!$AN$11)+($V163*Lists!$AN$12)+($W163*Lists!$AN$13)+($X163*Lists!$AN$14)+($Y163*Lists!$AN$15),2))</f>
        <v/>
      </c>
      <c r="AA163" s="64" t="str">
        <f>IF(OR($B163="", $N163="", $O163="", $T163="", $Z163=""),"",ROUND(($N163*Lists!$AN$16)-($O163*Lists!$AN$17)-($T163*Lists!$AN$18)+($Z163*Lists!$AN$19),2))</f>
        <v/>
      </c>
      <c r="AB163" s="63" t="str">
        <f t="shared" si="9"/>
        <v/>
      </c>
      <c r="AC163" s="63" t="str">
        <f t="shared" si="10"/>
        <v/>
      </c>
      <c r="AD163" s="63" t="str">
        <f>IF($A163="","",IFERROR(IF(VLOOKUP($A163,'Risk Register'!$B$2:$H$1000,4,FALSE())&gt;=4,"Yes",""),""))</f>
        <v/>
      </c>
      <c r="AE163" s="63" t="str">
        <f t="shared" si="11"/>
        <v/>
      </c>
      <c r="AF163" s="62"/>
      <c r="AG163" s="62"/>
      <c r="AH163" s="62"/>
      <c r="AI163" s="62"/>
      <c r="AJ163" s="62"/>
      <c r="AK163" s="62"/>
      <c r="AL163" s="62"/>
      <c r="AM163" s="62"/>
      <c r="AN163" s="62"/>
      <c r="AO163" s="62"/>
      <c r="AP163" s="62"/>
      <c r="AQ163" s="80"/>
    </row>
    <row r="164" spans="1:43" ht="15.75" customHeight="1" x14ac:dyDescent="0.2">
      <c r="A164" s="63" t="str">
        <f t="shared" si="8"/>
        <v/>
      </c>
      <c r="B164" s="62"/>
      <c r="C164" s="62"/>
      <c r="D164" s="62"/>
      <c r="E164" s="62"/>
      <c r="F164" s="62"/>
      <c r="G164" s="62"/>
      <c r="H164" s="62"/>
      <c r="I164" s="66"/>
      <c r="J164" s="66"/>
      <c r="K164" s="66"/>
      <c r="L164" s="66"/>
      <c r="M164" s="66"/>
      <c r="N164" s="64" t="str">
        <f>IF(OR($B164="", $I164="", $J164="", $K164="", $L164="", $M164=""),"",ROUND(($I164*Lists!$AN$2)+($J164*Lists!$AN$3)+($K164*Lists!$AN$4)+($L164*Lists!$AN$5)+($M164*Lists!$AN$6),2))</f>
        <v/>
      </c>
      <c r="O164" s="64" t="str">
        <f>IF($A164="","",IFERROR(VLOOKUP($A164,'Risk Register'!$B$2:$I$1000,8,FALSE()),""))</f>
        <v/>
      </c>
      <c r="P164" s="66"/>
      <c r="Q164" s="66"/>
      <c r="R164" s="66"/>
      <c r="S164" s="66"/>
      <c r="T164" s="64" t="str">
        <f>IF(OR($B164="", $P164="", $Q164="", $R164="", $S164=""),"",ROUND(($P164*Lists!$AN$7)+($Q164*Lists!$AN$8)+($R164*Lists!$AN$9)+($S164*Lists!$AN$10),2))</f>
        <v/>
      </c>
      <c r="U164" s="66"/>
      <c r="V164" s="66"/>
      <c r="W164" s="66"/>
      <c r="X164" s="66"/>
      <c r="Y164" s="66"/>
      <c r="Z164" s="64" t="str">
        <f>IF(OR($B164="", $U164="", $V164="", $W164="", $X164="", $Y164=""),"",ROUND(($U164*Lists!$AN$11)+($V164*Lists!$AN$12)+($W164*Lists!$AN$13)+($X164*Lists!$AN$14)+($Y164*Lists!$AN$15),2))</f>
        <v/>
      </c>
      <c r="AA164" s="64" t="str">
        <f>IF(OR($B164="", $N164="", $O164="", $T164="", $Z164=""),"",ROUND(($N164*Lists!$AN$16)-($O164*Lists!$AN$17)-($T164*Lists!$AN$18)+($Z164*Lists!$AN$19),2))</f>
        <v/>
      </c>
      <c r="AB164" s="63" t="str">
        <f t="shared" si="9"/>
        <v/>
      </c>
      <c r="AC164" s="63" t="str">
        <f t="shared" si="10"/>
        <v/>
      </c>
      <c r="AD164" s="63" t="str">
        <f>IF($A164="","",IFERROR(IF(VLOOKUP($A164,'Risk Register'!$B$2:$H$1000,4,FALSE())&gt;=4,"Yes",""),""))</f>
        <v/>
      </c>
      <c r="AE164" s="63" t="str">
        <f t="shared" si="11"/>
        <v/>
      </c>
      <c r="AF164" s="62"/>
      <c r="AG164" s="62"/>
      <c r="AH164" s="62"/>
      <c r="AI164" s="62"/>
      <c r="AJ164" s="62"/>
      <c r="AK164" s="62"/>
      <c r="AL164" s="62"/>
      <c r="AM164" s="62"/>
      <c r="AN164" s="62"/>
      <c r="AO164" s="62"/>
      <c r="AP164" s="62"/>
      <c r="AQ164" s="80"/>
    </row>
    <row r="165" spans="1:43" ht="15.75" customHeight="1" x14ac:dyDescent="0.2">
      <c r="A165" s="63" t="str">
        <f t="shared" si="8"/>
        <v/>
      </c>
      <c r="B165" s="62"/>
      <c r="C165" s="62"/>
      <c r="D165" s="62"/>
      <c r="E165" s="62"/>
      <c r="F165" s="62"/>
      <c r="G165" s="62"/>
      <c r="H165" s="62"/>
      <c r="I165" s="66"/>
      <c r="J165" s="66"/>
      <c r="K165" s="66"/>
      <c r="L165" s="66"/>
      <c r="M165" s="66"/>
      <c r="N165" s="64" t="str">
        <f>IF(OR($B165="", $I165="", $J165="", $K165="", $L165="", $M165=""),"",ROUND(($I165*Lists!$AN$2)+($J165*Lists!$AN$3)+($K165*Lists!$AN$4)+($L165*Lists!$AN$5)+($M165*Lists!$AN$6),2))</f>
        <v/>
      </c>
      <c r="O165" s="64" t="str">
        <f>IF($A165="","",IFERROR(VLOOKUP($A165,'Risk Register'!$B$2:$I$1000,8,FALSE()),""))</f>
        <v/>
      </c>
      <c r="P165" s="66"/>
      <c r="Q165" s="66"/>
      <c r="R165" s="66"/>
      <c r="S165" s="66"/>
      <c r="T165" s="64" t="str">
        <f>IF(OR($B165="", $P165="", $Q165="", $R165="", $S165=""),"",ROUND(($P165*Lists!$AN$7)+($Q165*Lists!$AN$8)+($R165*Lists!$AN$9)+($S165*Lists!$AN$10),2))</f>
        <v/>
      </c>
      <c r="U165" s="66"/>
      <c r="V165" s="66"/>
      <c r="W165" s="66"/>
      <c r="X165" s="66"/>
      <c r="Y165" s="66"/>
      <c r="Z165" s="64" t="str">
        <f>IF(OR($B165="", $U165="", $V165="", $W165="", $X165="", $Y165=""),"",ROUND(($U165*Lists!$AN$11)+($V165*Lists!$AN$12)+($W165*Lists!$AN$13)+($X165*Lists!$AN$14)+($Y165*Lists!$AN$15),2))</f>
        <v/>
      </c>
      <c r="AA165" s="64" t="str">
        <f>IF(OR($B165="", $N165="", $O165="", $T165="", $Z165=""),"",ROUND(($N165*Lists!$AN$16)-($O165*Lists!$AN$17)-($T165*Lists!$AN$18)+($Z165*Lists!$AN$19),2))</f>
        <v/>
      </c>
      <c r="AB165" s="63" t="str">
        <f t="shared" si="9"/>
        <v/>
      </c>
      <c r="AC165" s="63" t="str">
        <f t="shared" si="10"/>
        <v/>
      </c>
      <c r="AD165" s="63" t="str">
        <f>IF($A165="","",IFERROR(IF(VLOOKUP($A165,'Risk Register'!$B$2:$H$1000,4,FALSE())&gt;=4,"Yes",""),""))</f>
        <v/>
      </c>
      <c r="AE165" s="63" t="str">
        <f t="shared" si="11"/>
        <v/>
      </c>
      <c r="AF165" s="62"/>
      <c r="AG165" s="62"/>
      <c r="AH165" s="62"/>
      <c r="AI165" s="62"/>
      <c r="AJ165" s="62"/>
      <c r="AK165" s="62"/>
      <c r="AL165" s="62"/>
      <c r="AM165" s="62"/>
      <c r="AN165" s="62"/>
      <c r="AO165" s="62"/>
      <c r="AP165" s="62"/>
      <c r="AQ165" s="80"/>
    </row>
    <row r="166" spans="1:43" ht="15.75" customHeight="1" x14ac:dyDescent="0.2">
      <c r="A166" s="63" t="str">
        <f t="shared" si="8"/>
        <v/>
      </c>
      <c r="B166" s="62"/>
      <c r="C166" s="62"/>
      <c r="D166" s="62"/>
      <c r="E166" s="62"/>
      <c r="F166" s="62"/>
      <c r="G166" s="62"/>
      <c r="H166" s="62"/>
      <c r="I166" s="66"/>
      <c r="J166" s="66"/>
      <c r="K166" s="66"/>
      <c r="L166" s="66"/>
      <c r="M166" s="66"/>
      <c r="N166" s="64" t="str">
        <f>IF(OR($B166="", $I166="", $J166="", $K166="", $L166="", $M166=""),"",ROUND(($I166*Lists!$AN$2)+($J166*Lists!$AN$3)+($K166*Lists!$AN$4)+($L166*Lists!$AN$5)+($M166*Lists!$AN$6),2))</f>
        <v/>
      </c>
      <c r="O166" s="64" t="str">
        <f>IF($A166="","",IFERROR(VLOOKUP($A166,'Risk Register'!$B$2:$I$1000,8,FALSE()),""))</f>
        <v/>
      </c>
      <c r="P166" s="66"/>
      <c r="Q166" s="66"/>
      <c r="R166" s="66"/>
      <c r="S166" s="66"/>
      <c r="T166" s="64" t="str">
        <f>IF(OR($B166="", $P166="", $Q166="", $R166="", $S166=""),"",ROUND(($P166*Lists!$AN$7)+($Q166*Lists!$AN$8)+($R166*Lists!$AN$9)+($S166*Lists!$AN$10),2))</f>
        <v/>
      </c>
      <c r="U166" s="66"/>
      <c r="V166" s="66"/>
      <c r="W166" s="66"/>
      <c r="X166" s="66"/>
      <c r="Y166" s="66"/>
      <c r="Z166" s="64" t="str">
        <f>IF(OR($B166="", $U166="", $V166="", $W166="", $X166="", $Y166=""),"",ROUND(($U166*Lists!$AN$11)+($V166*Lists!$AN$12)+($W166*Lists!$AN$13)+($X166*Lists!$AN$14)+($Y166*Lists!$AN$15),2))</f>
        <v/>
      </c>
      <c r="AA166" s="64" t="str">
        <f>IF(OR($B166="", $N166="", $O166="", $T166="", $Z166=""),"",ROUND(($N166*Lists!$AN$16)-($O166*Lists!$AN$17)-($T166*Lists!$AN$18)+($Z166*Lists!$AN$19),2))</f>
        <v/>
      </c>
      <c r="AB166" s="63" t="str">
        <f t="shared" si="9"/>
        <v/>
      </c>
      <c r="AC166" s="63" t="str">
        <f t="shared" si="10"/>
        <v/>
      </c>
      <c r="AD166" s="63" t="str">
        <f>IF($A166="","",IFERROR(IF(VLOOKUP($A166,'Risk Register'!$B$2:$H$1000,4,FALSE())&gt;=4,"Yes",""),""))</f>
        <v/>
      </c>
      <c r="AE166" s="63" t="str">
        <f t="shared" si="11"/>
        <v/>
      </c>
      <c r="AF166" s="62"/>
      <c r="AG166" s="62"/>
      <c r="AH166" s="62"/>
      <c r="AI166" s="62"/>
      <c r="AJ166" s="62"/>
      <c r="AK166" s="62"/>
      <c r="AL166" s="62"/>
      <c r="AM166" s="62"/>
      <c r="AN166" s="62"/>
      <c r="AO166" s="62"/>
      <c r="AP166" s="62"/>
      <c r="AQ166" s="80"/>
    </row>
    <row r="167" spans="1:43" ht="15.75" customHeight="1" x14ac:dyDescent="0.2">
      <c r="A167" s="63" t="str">
        <f t="shared" si="8"/>
        <v/>
      </c>
      <c r="B167" s="62"/>
      <c r="C167" s="62"/>
      <c r="D167" s="62"/>
      <c r="E167" s="62"/>
      <c r="F167" s="62"/>
      <c r="G167" s="62"/>
      <c r="H167" s="62"/>
      <c r="I167" s="66"/>
      <c r="J167" s="66"/>
      <c r="K167" s="66"/>
      <c r="L167" s="66"/>
      <c r="M167" s="66"/>
      <c r="N167" s="64" t="str">
        <f>IF(OR($B167="", $I167="", $J167="", $K167="", $L167="", $M167=""),"",ROUND(($I167*Lists!$AN$2)+($J167*Lists!$AN$3)+($K167*Lists!$AN$4)+($L167*Lists!$AN$5)+($M167*Lists!$AN$6),2))</f>
        <v/>
      </c>
      <c r="O167" s="64" t="str">
        <f>IF($A167="","",IFERROR(VLOOKUP($A167,'Risk Register'!$B$2:$I$1000,8,FALSE()),""))</f>
        <v/>
      </c>
      <c r="P167" s="66"/>
      <c r="Q167" s="66"/>
      <c r="R167" s="66"/>
      <c r="S167" s="66"/>
      <c r="T167" s="64" t="str">
        <f>IF(OR($B167="", $P167="", $Q167="", $R167="", $S167=""),"",ROUND(($P167*Lists!$AN$7)+($Q167*Lists!$AN$8)+($R167*Lists!$AN$9)+($S167*Lists!$AN$10),2))</f>
        <v/>
      </c>
      <c r="U167" s="66"/>
      <c r="V167" s="66"/>
      <c r="W167" s="66"/>
      <c r="X167" s="66"/>
      <c r="Y167" s="66"/>
      <c r="Z167" s="64" t="str">
        <f>IF(OR($B167="", $U167="", $V167="", $W167="", $X167="", $Y167=""),"",ROUND(($U167*Lists!$AN$11)+($V167*Lists!$AN$12)+($W167*Lists!$AN$13)+($X167*Lists!$AN$14)+($Y167*Lists!$AN$15),2))</f>
        <v/>
      </c>
      <c r="AA167" s="64" t="str">
        <f>IF(OR($B167="", $N167="", $O167="", $T167="", $Z167=""),"",ROUND(($N167*Lists!$AN$16)-($O167*Lists!$AN$17)-($T167*Lists!$AN$18)+($Z167*Lists!$AN$19),2))</f>
        <v/>
      </c>
      <c r="AB167" s="63" t="str">
        <f t="shared" si="9"/>
        <v/>
      </c>
      <c r="AC167" s="63" t="str">
        <f t="shared" si="10"/>
        <v/>
      </c>
      <c r="AD167" s="63" t="str">
        <f>IF($A167="","",IFERROR(IF(VLOOKUP($A167,'Risk Register'!$B$2:$H$1000,4,FALSE())&gt;=4,"Yes",""),""))</f>
        <v/>
      </c>
      <c r="AE167" s="63" t="str">
        <f t="shared" si="11"/>
        <v/>
      </c>
      <c r="AF167" s="62"/>
      <c r="AG167" s="62"/>
      <c r="AH167" s="62"/>
      <c r="AI167" s="62"/>
      <c r="AJ167" s="62"/>
      <c r="AK167" s="62"/>
      <c r="AL167" s="62"/>
      <c r="AM167" s="62"/>
      <c r="AN167" s="62"/>
      <c r="AO167" s="62"/>
      <c r="AP167" s="62"/>
      <c r="AQ167" s="80"/>
    </row>
    <row r="168" spans="1:43" ht="15.75" customHeight="1" x14ac:dyDescent="0.2">
      <c r="A168" s="63" t="str">
        <f t="shared" si="8"/>
        <v/>
      </c>
      <c r="B168" s="62"/>
      <c r="C168" s="62"/>
      <c r="D168" s="62"/>
      <c r="E168" s="62"/>
      <c r="F168" s="62"/>
      <c r="G168" s="62"/>
      <c r="H168" s="62"/>
      <c r="I168" s="66"/>
      <c r="J168" s="66"/>
      <c r="K168" s="66"/>
      <c r="L168" s="66"/>
      <c r="M168" s="66"/>
      <c r="N168" s="64" t="str">
        <f>IF(OR($B168="", $I168="", $J168="", $K168="", $L168="", $M168=""),"",ROUND(($I168*Lists!$AN$2)+($J168*Lists!$AN$3)+($K168*Lists!$AN$4)+($L168*Lists!$AN$5)+($M168*Lists!$AN$6),2))</f>
        <v/>
      </c>
      <c r="O168" s="64" t="str">
        <f>IF($A168="","",IFERROR(VLOOKUP($A168,'Risk Register'!$B$2:$I$1000,8,FALSE()),""))</f>
        <v/>
      </c>
      <c r="P168" s="66"/>
      <c r="Q168" s="66"/>
      <c r="R168" s="66"/>
      <c r="S168" s="66"/>
      <c r="T168" s="64" t="str">
        <f>IF(OR($B168="", $P168="", $Q168="", $R168="", $S168=""),"",ROUND(($P168*Lists!$AN$7)+($Q168*Lists!$AN$8)+($R168*Lists!$AN$9)+($S168*Lists!$AN$10),2))</f>
        <v/>
      </c>
      <c r="U168" s="66"/>
      <c r="V168" s="66"/>
      <c r="W168" s="66"/>
      <c r="X168" s="66"/>
      <c r="Y168" s="66"/>
      <c r="Z168" s="64" t="str">
        <f>IF(OR($B168="", $U168="", $V168="", $W168="", $X168="", $Y168=""),"",ROUND(($U168*Lists!$AN$11)+($V168*Lists!$AN$12)+($W168*Lists!$AN$13)+($X168*Lists!$AN$14)+($Y168*Lists!$AN$15),2))</f>
        <v/>
      </c>
      <c r="AA168" s="64" t="str">
        <f>IF(OR($B168="", $N168="", $O168="", $T168="", $Z168=""),"",ROUND(($N168*Lists!$AN$16)-($O168*Lists!$AN$17)-($T168*Lists!$AN$18)+($Z168*Lists!$AN$19),2))</f>
        <v/>
      </c>
      <c r="AB168" s="63" t="str">
        <f t="shared" si="9"/>
        <v/>
      </c>
      <c r="AC168" s="63" t="str">
        <f t="shared" si="10"/>
        <v/>
      </c>
      <c r="AD168" s="63" t="str">
        <f>IF($A168="","",IFERROR(IF(VLOOKUP($A168,'Risk Register'!$B$2:$H$1000,4,FALSE())&gt;=4,"Yes",""),""))</f>
        <v/>
      </c>
      <c r="AE168" s="63" t="str">
        <f t="shared" si="11"/>
        <v/>
      </c>
      <c r="AF168" s="62"/>
      <c r="AG168" s="62"/>
      <c r="AH168" s="62"/>
      <c r="AI168" s="62"/>
      <c r="AJ168" s="62"/>
      <c r="AK168" s="62"/>
      <c r="AL168" s="62"/>
      <c r="AM168" s="62"/>
      <c r="AN168" s="62"/>
      <c r="AO168" s="62"/>
      <c r="AP168" s="62"/>
      <c r="AQ168" s="80"/>
    </row>
    <row r="169" spans="1:43" ht="15.75" customHeight="1" x14ac:dyDescent="0.2">
      <c r="A169" s="63" t="str">
        <f t="shared" si="8"/>
        <v/>
      </c>
      <c r="B169" s="62"/>
      <c r="C169" s="62"/>
      <c r="D169" s="62"/>
      <c r="E169" s="62"/>
      <c r="F169" s="62"/>
      <c r="G169" s="62"/>
      <c r="H169" s="62"/>
      <c r="I169" s="66"/>
      <c r="J169" s="66"/>
      <c r="K169" s="66"/>
      <c r="L169" s="66"/>
      <c r="M169" s="66"/>
      <c r="N169" s="64" t="str">
        <f>IF(OR($B169="", $I169="", $J169="", $K169="", $L169="", $M169=""),"",ROUND(($I169*Lists!$AN$2)+($J169*Lists!$AN$3)+($K169*Lists!$AN$4)+($L169*Lists!$AN$5)+($M169*Lists!$AN$6),2))</f>
        <v/>
      </c>
      <c r="O169" s="64" t="str">
        <f>IF($A169="","",IFERROR(VLOOKUP($A169,'Risk Register'!$B$2:$I$1000,8,FALSE()),""))</f>
        <v/>
      </c>
      <c r="P169" s="66"/>
      <c r="Q169" s="66"/>
      <c r="R169" s="66"/>
      <c r="S169" s="66"/>
      <c r="T169" s="64" t="str">
        <f>IF(OR($B169="", $P169="", $Q169="", $R169="", $S169=""),"",ROUND(($P169*Lists!$AN$7)+($Q169*Lists!$AN$8)+($R169*Lists!$AN$9)+($S169*Lists!$AN$10),2))</f>
        <v/>
      </c>
      <c r="U169" s="66"/>
      <c r="V169" s="66"/>
      <c r="W169" s="66"/>
      <c r="X169" s="66"/>
      <c r="Y169" s="66"/>
      <c r="Z169" s="64" t="str">
        <f>IF(OR($B169="", $U169="", $V169="", $W169="", $X169="", $Y169=""),"",ROUND(($U169*Lists!$AN$11)+($V169*Lists!$AN$12)+($W169*Lists!$AN$13)+($X169*Lists!$AN$14)+($Y169*Lists!$AN$15),2))</f>
        <v/>
      </c>
      <c r="AA169" s="64" t="str">
        <f>IF(OR($B169="", $N169="", $O169="", $T169="", $Z169=""),"",ROUND(($N169*Lists!$AN$16)-($O169*Lists!$AN$17)-($T169*Lists!$AN$18)+($Z169*Lists!$AN$19),2))</f>
        <v/>
      </c>
      <c r="AB169" s="63" t="str">
        <f t="shared" si="9"/>
        <v/>
      </c>
      <c r="AC169" s="63" t="str">
        <f t="shared" si="10"/>
        <v/>
      </c>
      <c r="AD169" s="63" t="str">
        <f>IF($A169="","",IFERROR(IF(VLOOKUP($A169,'Risk Register'!$B$2:$H$1000,4,FALSE())&gt;=4,"Yes",""),""))</f>
        <v/>
      </c>
      <c r="AE169" s="63" t="str">
        <f t="shared" si="11"/>
        <v/>
      </c>
      <c r="AF169" s="62"/>
      <c r="AG169" s="62"/>
      <c r="AH169" s="62"/>
      <c r="AI169" s="62"/>
      <c r="AJ169" s="62"/>
      <c r="AK169" s="62"/>
      <c r="AL169" s="62"/>
      <c r="AM169" s="62"/>
      <c r="AN169" s="62"/>
      <c r="AO169" s="62"/>
      <c r="AP169" s="62"/>
      <c r="AQ169" s="80"/>
    </row>
    <row r="170" spans="1:43" ht="15.75" customHeight="1" x14ac:dyDescent="0.2">
      <c r="A170" s="63" t="str">
        <f t="shared" si="8"/>
        <v/>
      </c>
      <c r="B170" s="62"/>
      <c r="C170" s="62"/>
      <c r="D170" s="62"/>
      <c r="E170" s="62"/>
      <c r="F170" s="62"/>
      <c r="G170" s="62"/>
      <c r="H170" s="62"/>
      <c r="I170" s="66"/>
      <c r="J170" s="66"/>
      <c r="K170" s="66"/>
      <c r="L170" s="66"/>
      <c r="M170" s="66"/>
      <c r="N170" s="64" t="str">
        <f>IF(OR($B170="", $I170="", $J170="", $K170="", $L170="", $M170=""),"",ROUND(($I170*Lists!$AN$2)+($J170*Lists!$AN$3)+($K170*Lists!$AN$4)+($L170*Lists!$AN$5)+($M170*Lists!$AN$6),2))</f>
        <v/>
      </c>
      <c r="O170" s="64" t="str">
        <f>IF($A170="","",IFERROR(VLOOKUP($A170,'Risk Register'!$B$2:$I$1000,8,FALSE()),""))</f>
        <v/>
      </c>
      <c r="P170" s="66"/>
      <c r="Q170" s="66"/>
      <c r="R170" s="66"/>
      <c r="S170" s="66"/>
      <c r="T170" s="64" t="str">
        <f>IF(OR($B170="", $P170="", $Q170="", $R170="", $S170=""),"",ROUND(($P170*Lists!$AN$7)+($Q170*Lists!$AN$8)+($R170*Lists!$AN$9)+($S170*Lists!$AN$10),2))</f>
        <v/>
      </c>
      <c r="U170" s="66"/>
      <c r="V170" s="66"/>
      <c r="W170" s="66"/>
      <c r="X170" s="66"/>
      <c r="Y170" s="66"/>
      <c r="Z170" s="64" t="str">
        <f>IF(OR($B170="", $U170="", $V170="", $W170="", $X170="", $Y170=""),"",ROUND(($U170*Lists!$AN$11)+($V170*Lists!$AN$12)+($W170*Lists!$AN$13)+($X170*Lists!$AN$14)+($Y170*Lists!$AN$15),2))</f>
        <v/>
      </c>
      <c r="AA170" s="64" t="str">
        <f>IF(OR($B170="", $N170="", $O170="", $T170="", $Z170=""),"",ROUND(($N170*Lists!$AN$16)-($O170*Lists!$AN$17)-($T170*Lists!$AN$18)+($Z170*Lists!$AN$19),2))</f>
        <v/>
      </c>
      <c r="AB170" s="63" t="str">
        <f t="shared" si="9"/>
        <v/>
      </c>
      <c r="AC170" s="63" t="str">
        <f t="shared" si="10"/>
        <v/>
      </c>
      <c r="AD170" s="63" t="str">
        <f>IF($A170="","",IFERROR(IF(VLOOKUP($A170,'Risk Register'!$B$2:$H$1000,4,FALSE())&gt;=4,"Yes",""),""))</f>
        <v/>
      </c>
      <c r="AE170" s="63" t="str">
        <f t="shared" si="11"/>
        <v/>
      </c>
      <c r="AF170" s="62"/>
      <c r="AG170" s="62"/>
      <c r="AH170" s="62"/>
      <c r="AI170" s="62"/>
      <c r="AJ170" s="62"/>
      <c r="AK170" s="62"/>
      <c r="AL170" s="62"/>
      <c r="AM170" s="62"/>
      <c r="AN170" s="62"/>
      <c r="AO170" s="62"/>
      <c r="AP170" s="62"/>
      <c r="AQ170" s="80"/>
    </row>
    <row r="171" spans="1:43" ht="15.75" customHeight="1" x14ac:dyDescent="0.2">
      <c r="A171" s="63" t="str">
        <f t="shared" si="8"/>
        <v/>
      </c>
      <c r="B171" s="62"/>
      <c r="C171" s="62"/>
      <c r="D171" s="62"/>
      <c r="E171" s="62"/>
      <c r="F171" s="62"/>
      <c r="G171" s="62"/>
      <c r="H171" s="62"/>
      <c r="I171" s="66"/>
      <c r="J171" s="66"/>
      <c r="K171" s="66"/>
      <c r="L171" s="66"/>
      <c r="M171" s="66"/>
      <c r="N171" s="64" t="str">
        <f>IF(OR($B171="", $I171="", $J171="", $K171="", $L171="", $M171=""),"",ROUND(($I171*Lists!$AN$2)+($J171*Lists!$AN$3)+($K171*Lists!$AN$4)+($L171*Lists!$AN$5)+($M171*Lists!$AN$6),2))</f>
        <v/>
      </c>
      <c r="O171" s="64" t="str">
        <f>IF($A171="","",IFERROR(VLOOKUP($A171,'Risk Register'!$B$2:$I$1000,8,FALSE()),""))</f>
        <v/>
      </c>
      <c r="P171" s="66"/>
      <c r="Q171" s="66"/>
      <c r="R171" s="66"/>
      <c r="S171" s="66"/>
      <c r="T171" s="64" t="str">
        <f>IF(OR($B171="", $P171="", $Q171="", $R171="", $S171=""),"",ROUND(($P171*Lists!$AN$7)+($Q171*Lists!$AN$8)+($R171*Lists!$AN$9)+($S171*Lists!$AN$10),2))</f>
        <v/>
      </c>
      <c r="U171" s="66"/>
      <c r="V171" s="66"/>
      <c r="W171" s="66"/>
      <c r="X171" s="66"/>
      <c r="Y171" s="66"/>
      <c r="Z171" s="64" t="str">
        <f>IF(OR($B171="", $U171="", $V171="", $W171="", $X171="", $Y171=""),"",ROUND(($U171*Lists!$AN$11)+($V171*Lists!$AN$12)+($W171*Lists!$AN$13)+($X171*Lists!$AN$14)+($Y171*Lists!$AN$15),2))</f>
        <v/>
      </c>
      <c r="AA171" s="64" t="str">
        <f>IF(OR($B171="", $N171="", $O171="", $T171="", $Z171=""),"",ROUND(($N171*Lists!$AN$16)-($O171*Lists!$AN$17)-($T171*Lists!$AN$18)+($Z171*Lists!$AN$19),2))</f>
        <v/>
      </c>
      <c r="AB171" s="63" t="str">
        <f t="shared" si="9"/>
        <v/>
      </c>
      <c r="AC171" s="63" t="str">
        <f t="shared" si="10"/>
        <v/>
      </c>
      <c r="AD171" s="63" t="str">
        <f>IF($A171="","",IFERROR(IF(VLOOKUP($A171,'Risk Register'!$B$2:$H$1000,4,FALSE())&gt;=4,"Yes",""),""))</f>
        <v/>
      </c>
      <c r="AE171" s="63" t="str">
        <f t="shared" si="11"/>
        <v/>
      </c>
      <c r="AF171" s="62"/>
      <c r="AG171" s="62"/>
      <c r="AH171" s="62"/>
      <c r="AI171" s="62"/>
      <c r="AJ171" s="62"/>
      <c r="AK171" s="62"/>
      <c r="AL171" s="62"/>
      <c r="AM171" s="62"/>
      <c r="AN171" s="62"/>
      <c r="AO171" s="62"/>
      <c r="AP171" s="62"/>
      <c r="AQ171" s="80"/>
    </row>
    <row r="172" spans="1:43" ht="15.75" customHeight="1" x14ac:dyDescent="0.2">
      <c r="A172" s="63" t="str">
        <f t="shared" si="8"/>
        <v/>
      </c>
      <c r="B172" s="62"/>
      <c r="C172" s="62"/>
      <c r="D172" s="62"/>
      <c r="E172" s="62"/>
      <c r="F172" s="62"/>
      <c r="G172" s="62"/>
      <c r="H172" s="62"/>
      <c r="I172" s="66"/>
      <c r="J172" s="66"/>
      <c r="K172" s="66"/>
      <c r="L172" s="66"/>
      <c r="M172" s="66"/>
      <c r="N172" s="64" t="str">
        <f>IF(OR($B172="", $I172="", $J172="", $K172="", $L172="", $M172=""),"",ROUND(($I172*Lists!$AN$2)+($J172*Lists!$AN$3)+($K172*Lists!$AN$4)+($L172*Lists!$AN$5)+($M172*Lists!$AN$6),2))</f>
        <v/>
      </c>
      <c r="O172" s="64" t="str">
        <f>IF($A172="","",IFERROR(VLOOKUP($A172,'Risk Register'!$B$2:$I$1000,8,FALSE()),""))</f>
        <v/>
      </c>
      <c r="P172" s="66"/>
      <c r="Q172" s="66"/>
      <c r="R172" s="66"/>
      <c r="S172" s="66"/>
      <c r="T172" s="64" t="str">
        <f>IF(OR($B172="", $P172="", $Q172="", $R172="", $S172=""),"",ROUND(($P172*Lists!$AN$7)+($Q172*Lists!$AN$8)+($R172*Lists!$AN$9)+($S172*Lists!$AN$10),2))</f>
        <v/>
      </c>
      <c r="U172" s="66"/>
      <c r="V172" s="66"/>
      <c r="W172" s="66"/>
      <c r="X172" s="66"/>
      <c r="Y172" s="66"/>
      <c r="Z172" s="64" t="str">
        <f>IF(OR($B172="", $U172="", $V172="", $W172="", $X172="", $Y172=""),"",ROUND(($U172*Lists!$AN$11)+($V172*Lists!$AN$12)+($W172*Lists!$AN$13)+($X172*Lists!$AN$14)+($Y172*Lists!$AN$15),2))</f>
        <v/>
      </c>
      <c r="AA172" s="64" t="str">
        <f>IF(OR($B172="", $N172="", $O172="", $T172="", $Z172=""),"",ROUND(($N172*Lists!$AN$16)-($O172*Lists!$AN$17)-($T172*Lists!$AN$18)+($Z172*Lists!$AN$19),2))</f>
        <v/>
      </c>
      <c r="AB172" s="63" t="str">
        <f t="shared" si="9"/>
        <v/>
      </c>
      <c r="AC172" s="63" t="str">
        <f t="shared" si="10"/>
        <v/>
      </c>
      <c r="AD172" s="63" t="str">
        <f>IF($A172="","",IFERROR(IF(VLOOKUP($A172,'Risk Register'!$B$2:$H$1000,4,FALSE())&gt;=4,"Yes",""),""))</f>
        <v/>
      </c>
      <c r="AE172" s="63" t="str">
        <f t="shared" si="11"/>
        <v/>
      </c>
      <c r="AF172" s="62"/>
      <c r="AG172" s="62"/>
      <c r="AH172" s="62"/>
      <c r="AI172" s="62"/>
      <c r="AJ172" s="62"/>
      <c r="AK172" s="62"/>
      <c r="AL172" s="62"/>
      <c r="AM172" s="62"/>
      <c r="AN172" s="62"/>
      <c r="AO172" s="62"/>
      <c r="AP172" s="62"/>
      <c r="AQ172" s="80"/>
    </row>
    <row r="173" spans="1:43" ht="15.75" customHeight="1" x14ac:dyDescent="0.2">
      <c r="A173" s="63" t="str">
        <f t="shared" si="8"/>
        <v/>
      </c>
      <c r="B173" s="62"/>
      <c r="C173" s="62"/>
      <c r="D173" s="62"/>
      <c r="E173" s="62"/>
      <c r="F173" s="62"/>
      <c r="G173" s="62"/>
      <c r="H173" s="62"/>
      <c r="I173" s="66"/>
      <c r="J173" s="66"/>
      <c r="K173" s="66"/>
      <c r="L173" s="66"/>
      <c r="M173" s="66"/>
      <c r="N173" s="64" t="str">
        <f>IF(OR($B173="", $I173="", $J173="", $K173="", $L173="", $M173=""),"",ROUND(($I173*Lists!$AN$2)+($J173*Lists!$AN$3)+($K173*Lists!$AN$4)+($L173*Lists!$AN$5)+($M173*Lists!$AN$6),2))</f>
        <v/>
      </c>
      <c r="O173" s="64" t="str">
        <f>IF($A173="","",IFERROR(VLOOKUP($A173,'Risk Register'!$B$2:$I$1000,8,FALSE()),""))</f>
        <v/>
      </c>
      <c r="P173" s="66"/>
      <c r="Q173" s="66"/>
      <c r="R173" s="66"/>
      <c r="S173" s="66"/>
      <c r="T173" s="64" t="str">
        <f>IF(OR($B173="", $P173="", $Q173="", $R173="", $S173=""),"",ROUND(($P173*Lists!$AN$7)+($Q173*Lists!$AN$8)+($R173*Lists!$AN$9)+($S173*Lists!$AN$10),2))</f>
        <v/>
      </c>
      <c r="U173" s="66"/>
      <c r="V173" s="66"/>
      <c r="W173" s="66"/>
      <c r="X173" s="66"/>
      <c r="Y173" s="66"/>
      <c r="Z173" s="64" t="str">
        <f>IF(OR($B173="", $U173="", $V173="", $W173="", $X173="", $Y173=""),"",ROUND(($U173*Lists!$AN$11)+($V173*Lists!$AN$12)+($W173*Lists!$AN$13)+($X173*Lists!$AN$14)+($Y173*Lists!$AN$15),2))</f>
        <v/>
      </c>
      <c r="AA173" s="64" t="str">
        <f>IF(OR($B173="", $N173="", $O173="", $T173="", $Z173=""),"",ROUND(($N173*Lists!$AN$16)-($O173*Lists!$AN$17)-($T173*Lists!$AN$18)+($Z173*Lists!$AN$19),2))</f>
        <v/>
      </c>
      <c r="AB173" s="63" t="str">
        <f t="shared" si="9"/>
        <v/>
      </c>
      <c r="AC173" s="63" t="str">
        <f t="shared" si="10"/>
        <v/>
      </c>
      <c r="AD173" s="63" t="str">
        <f>IF($A173="","",IFERROR(IF(VLOOKUP($A173,'Risk Register'!$B$2:$H$1000,4,FALSE())&gt;=4,"Yes",""),""))</f>
        <v/>
      </c>
      <c r="AE173" s="63" t="str">
        <f t="shared" si="11"/>
        <v/>
      </c>
      <c r="AF173" s="62"/>
      <c r="AG173" s="62"/>
      <c r="AH173" s="62"/>
      <c r="AI173" s="62"/>
      <c r="AJ173" s="62"/>
      <c r="AK173" s="62"/>
      <c r="AL173" s="62"/>
      <c r="AM173" s="62"/>
      <c r="AN173" s="62"/>
      <c r="AO173" s="62"/>
      <c r="AP173" s="62"/>
      <c r="AQ173" s="80"/>
    </row>
    <row r="174" spans="1:43" ht="15.75" customHeight="1" x14ac:dyDescent="0.2">
      <c r="A174" s="63" t="str">
        <f t="shared" si="8"/>
        <v/>
      </c>
      <c r="B174" s="62"/>
      <c r="C174" s="62"/>
      <c r="D174" s="62"/>
      <c r="E174" s="62"/>
      <c r="F174" s="62"/>
      <c r="G174" s="62"/>
      <c r="H174" s="62"/>
      <c r="I174" s="66"/>
      <c r="J174" s="66"/>
      <c r="K174" s="66"/>
      <c r="L174" s="66"/>
      <c r="M174" s="66"/>
      <c r="N174" s="64" t="str">
        <f>IF(OR($B174="", $I174="", $J174="", $K174="", $L174="", $M174=""),"",ROUND(($I174*Lists!$AN$2)+($J174*Lists!$AN$3)+($K174*Lists!$AN$4)+($L174*Lists!$AN$5)+($M174*Lists!$AN$6),2))</f>
        <v/>
      </c>
      <c r="O174" s="64" t="str">
        <f>IF($A174="","",IFERROR(VLOOKUP($A174,'Risk Register'!$B$2:$I$1000,8,FALSE()),""))</f>
        <v/>
      </c>
      <c r="P174" s="66"/>
      <c r="Q174" s="66"/>
      <c r="R174" s="66"/>
      <c r="S174" s="66"/>
      <c r="T174" s="64" t="str">
        <f>IF(OR($B174="", $P174="", $Q174="", $R174="", $S174=""),"",ROUND(($P174*Lists!$AN$7)+($Q174*Lists!$AN$8)+($R174*Lists!$AN$9)+($S174*Lists!$AN$10),2))</f>
        <v/>
      </c>
      <c r="U174" s="66"/>
      <c r="V174" s="66"/>
      <c r="W174" s="66"/>
      <c r="X174" s="66"/>
      <c r="Y174" s="66"/>
      <c r="Z174" s="64" t="str">
        <f>IF(OR($B174="", $U174="", $V174="", $W174="", $X174="", $Y174=""),"",ROUND(($U174*Lists!$AN$11)+($V174*Lists!$AN$12)+($W174*Lists!$AN$13)+($X174*Lists!$AN$14)+($Y174*Lists!$AN$15),2))</f>
        <v/>
      </c>
      <c r="AA174" s="64" t="str">
        <f>IF(OR($B174="", $N174="", $O174="", $T174="", $Z174=""),"",ROUND(($N174*Lists!$AN$16)-($O174*Lists!$AN$17)-($T174*Lists!$AN$18)+($Z174*Lists!$AN$19),2))</f>
        <v/>
      </c>
      <c r="AB174" s="63" t="str">
        <f t="shared" si="9"/>
        <v/>
      </c>
      <c r="AC174" s="63" t="str">
        <f t="shared" si="10"/>
        <v/>
      </c>
      <c r="AD174" s="63" t="str">
        <f>IF($A174="","",IFERROR(IF(VLOOKUP($A174,'Risk Register'!$B$2:$H$1000,4,FALSE())&gt;=4,"Yes",""),""))</f>
        <v/>
      </c>
      <c r="AE174" s="63" t="str">
        <f t="shared" si="11"/>
        <v/>
      </c>
      <c r="AF174" s="62"/>
      <c r="AG174" s="62"/>
      <c r="AH174" s="62"/>
      <c r="AI174" s="62"/>
      <c r="AJ174" s="62"/>
      <c r="AK174" s="62"/>
      <c r="AL174" s="62"/>
      <c r="AM174" s="62"/>
      <c r="AN174" s="62"/>
      <c r="AO174" s="62"/>
      <c r="AP174" s="62"/>
      <c r="AQ174" s="80"/>
    </row>
    <row r="175" spans="1:43" ht="15.75" customHeight="1" x14ac:dyDescent="0.2">
      <c r="A175" s="63" t="str">
        <f t="shared" si="8"/>
        <v/>
      </c>
      <c r="B175" s="62"/>
      <c r="C175" s="62"/>
      <c r="D175" s="62"/>
      <c r="E175" s="62"/>
      <c r="F175" s="62"/>
      <c r="G175" s="62"/>
      <c r="H175" s="62"/>
      <c r="I175" s="66"/>
      <c r="J175" s="66"/>
      <c r="K175" s="66"/>
      <c r="L175" s="66"/>
      <c r="M175" s="66"/>
      <c r="N175" s="64" t="str">
        <f>IF(OR($B175="", $I175="", $J175="", $K175="", $L175="", $M175=""),"",ROUND(($I175*Lists!$AN$2)+($J175*Lists!$AN$3)+($K175*Lists!$AN$4)+($L175*Lists!$AN$5)+($M175*Lists!$AN$6),2))</f>
        <v/>
      </c>
      <c r="O175" s="64" t="str">
        <f>IF($A175="","",IFERROR(VLOOKUP($A175,'Risk Register'!$B$2:$I$1000,8,FALSE()),""))</f>
        <v/>
      </c>
      <c r="P175" s="66"/>
      <c r="Q175" s="66"/>
      <c r="R175" s="66"/>
      <c r="S175" s="66"/>
      <c r="T175" s="64" t="str">
        <f>IF(OR($B175="", $P175="", $Q175="", $R175="", $S175=""),"",ROUND(($P175*Lists!$AN$7)+($Q175*Lists!$AN$8)+($R175*Lists!$AN$9)+($S175*Lists!$AN$10),2))</f>
        <v/>
      </c>
      <c r="U175" s="66"/>
      <c r="V175" s="66"/>
      <c r="W175" s="66"/>
      <c r="X175" s="66"/>
      <c r="Y175" s="66"/>
      <c r="Z175" s="64" t="str">
        <f>IF(OR($B175="", $U175="", $V175="", $W175="", $X175="", $Y175=""),"",ROUND(($U175*Lists!$AN$11)+($V175*Lists!$AN$12)+($W175*Lists!$AN$13)+($X175*Lists!$AN$14)+($Y175*Lists!$AN$15),2))</f>
        <v/>
      </c>
      <c r="AA175" s="64" t="str">
        <f>IF(OR($B175="", $N175="", $O175="", $T175="", $Z175=""),"",ROUND(($N175*Lists!$AN$16)-($O175*Lists!$AN$17)-($T175*Lists!$AN$18)+($Z175*Lists!$AN$19),2))</f>
        <v/>
      </c>
      <c r="AB175" s="63" t="str">
        <f t="shared" si="9"/>
        <v/>
      </c>
      <c r="AC175" s="63" t="str">
        <f t="shared" si="10"/>
        <v/>
      </c>
      <c r="AD175" s="63" t="str">
        <f>IF($A175="","",IFERROR(IF(VLOOKUP($A175,'Risk Register'!$B$2:$H$1000,4,FALSE())&gt;=4,"Yes",""),""))</f>
        <v/>
      </c>
      <c r="AE175" s="63" t="str">
        <f t="shared" si="11"/>
        <v/>
      </c>
      <c r="AF175" s="62"/>
      <c r="AG175" s="62"/>
      <c r="AH175" s="62"/>
      <c r="AI175" s="62"/>
      <c r="AJ175" s="62"/>
      <c r="AK175" s="62"/>
      <c r="AL175" s="62"/>
      <c r="AM175" s="62"/>
      <c r="AN175" s="62"/>
      <c r="AO175" s="62"/>
      <c r="AP175" s="62"/>
      <c r="AQ175" s="80"/>
    </row>
    <row r="176" spans="1:43" ht="15.75" customHeight="1" x14ac:dyDescent="0.2">
      <c r="A176" s="63" t="str">
        <f t="shared" si="8"/>
        <v/>
      </c>
      <c r="B176" s="62"/>
      <c r="C176" s="62"/>
      <c r="D176" s="62"/>
      <c r="E176" s="62"/>
      <c r="F176" s="62"/>
      <c r="G176" s="62"/>
      <c r="H176" s="62"/>
      <c r="I176" s="66"/>
      <c r="J176" s="66"/>
      <c r="K176" s="66"/>
      <c r="L176" s="66"/>
      <c r="M176" s="66"/>
      <c r="N176" s="64" t="str">
        <f>IF(OR($B176="", $I176="", $J176="", $K176="", $L176="", $M176=""),"",ROUND(($I176*Lists!$AN$2)+($J176*Lists!$AN$3)+($K176*Lists!$AN$4)+($L176*Lists!$AN$5)+($M176*Lists!$AN$6),2))</f>
        <v/>
      </c>
      <c r="O176" s="64" t="str">
        <f>IF($A176="","",IFERROR(VLOOKUP($A176,'Risk Register'!$B$2:$I$1000,8,FALSE()),""))</f>
        <v/>
      </c>
      <c r="P176" s="66"/>
      <c r="Q176" s="66"/>
      <c r="R176" s="66"/>
      <c r="S176" s="66"/>
      <c r="T176" s="64" t="str">
        <f>IF(OR($B176="", $P176="", $Q176="", $R176="", $S176=""),"",ROUND(($P176*Lists!$AN$7)+($Q176*Lists!$AN$8)+($R176*Lists!$AN$9)+($S176*Lists!$AN$10),2))</f>
        <v/>
      </c>
      <c r="U176" s="66"/>
      <c r="V176" s="66"/>
      <c r="W176" s="66"/>
      <c r="X176" s="66"/>
      <c r="Y176" s="66"/>
      <c r="Z176" s="64" t="str">
        <f>IF(OR($B176="", $U176="", $V176="", $W176="", $X176="", $Y176=""),"",ROUND(($U176*Lists!$AN$11)+($V176*Lists!$AN$12)+($W176*Lists!$AN$13)+($X176*Lists!$AN$14)+($Y176*Lists!$AN$15),2))</f>
        <v/>
      </c>
      <c r="AA176" s="64" t="str">
        <f>IF(OR($B176="", $N176="", $O176="", $T176="", $Z176=""),"",ROUND(($N176*Lists!$AN$16)-($O176*Lists!$AN$17)-($T176*Lists!$AN$18)+($Z176*Lists!$AN$19),2))</f>
        <v/>
      </c>
      <c r="AB176" s="63" t="str">
        <f t="shared" si="9"/>
        <v/>
      </c>
      <c r="AC176" s="63" t="str">
        <f t="shared" si="10"/>
        <v/>
      </c>
      <c r="AD176" s="63" t="str">
        <f>IF($A176="","",IFERROR(IF(VLOOKUP($A176,'Risk Register'!$B$2:$H$1000,4,FALSE())&gt;=4,"Yes",""),""))</f>
        <v/>
      </c>
      <c r="AE176" s="63" t="str">
        <f t="shared" si="11"/>
        <v/>
      </c>
      <c r="AF176" s="62"/>
      <c r="AG176" s="62"/>
      <c r="AH176" s="62"/>
      <c r="AI176" s="62"/>
      <c r="AJ176" s="62"/>
      <c r="AK176" s="62"/>
      <c r="AL176" s="62"/>
      <c r="AM176" s="62"/>
      <c r="AN176" s="62"/>
      <c r="AO176" s="62"/>
      <c r="AP176" s="62"/>
      <c r="AQ176" s="80"/>
    </row>
    <row r="177" spans="1:43" ht="15.75" customHeight="1" x14ac:dyDescent="0.2">
      <c r="A177" s="63" t="str">
        <f t="shared" si="8"/>
        <v/>
      </c>
      <c r="B177" s="62"/>
      <c r="C177" s="62"/>
      <c r="D177" s="62"/>
      <c r="E177" s="62"/>
      <c r="F177" s="62"/>
      <c r="G177" s="62"/>
      <c r="H177" s="62"/>
      <c r="I177" s="66"/>
      <c r="J177" s="66"/>
      <c r="K177" s="66"/>
      <c r="L177" s="66"/>
      <c r="M177" s="66"/>
      <c r="N177" s="64" t="str">
        <f>IF(OR($B177="", $I177="", $J177="", $K177="", $L177="", $M177=""),"",ROUND(($I177*Lists!$AN$2)+($J177*Lists!$AN$3)+($K177*Lists!$AN$4)+($L177*Lists!$AN$5)+($M177*Lists!$AN$6),2))</f>
        <v/>
      </c>
      <c r="O177" s="64" t="str">
        <f>IF($A177="","",IFERROR(VLOOKUP($A177,'Risk Register'!$B$2:$I$1000,8,FALSE()),""))</f>
        <v/>
      </c>
      <c r="P177" s="66"/>
      <c r="Q177" s="66"/>
      <c r="R177" s="66"/>
      <c r="S177" s="66"/>
      <c r="T177" s="64" t="str">
        <f>IF(OR($B177="", $P177="", $Q177="", $R177="", $S177=""),"",ROUND(($P177*Lists!$AN$7)+($Q177*Lists!$AN$8)+($R177*Lists!$AN$9)+($S177*Lists!$AN$10),2))</f>
        <v/>
      </c>
      <c r="U177" s="66"/>
      <c r="V177" s="66"/>
      <c r="W177" s="66"/>
      <c r="X177" s="66"/>
      <c r="Y177" s="66"/>
      <c r="Z177" s="64" t="str">
        <f>IF(OR($B177="", $U177="", $V177="", $W177="", $X177="", $Y177=""),"",ROUND(($U177*Lists!$AN$11)+($V177*Lists!$AN$12)+($W177*Lists!$AN$13)+($X177*Lists!$AN$14)+($Y177*Lists!$AN$15),2))</f>
        <v/>
      </c>
      <c r="AA177" s="64" t="str">
        <f>IF(OR($B177="", $N177="", $O177="", $T177="", $Z177=""),"",ROUND(($N177*Lists!$AN$16)-($O177*Lists!$AN$17)-($T177*Lists!$AN$18)+($Z177*Lists!$AN$19),2))</f>
        <v/>
      </c>
      <c r="AB177" s="63" t="str">
        <f t="shared" si="9"/>
        <v/>
      </c>
      <c r="AC177" s="63" t="str">
        <f t="shared" si="10"/>
        <v/>
      </c>
      <c r="AD177" s="63" t="str">
        <f>IF($A177="","",IFERROR(IF(VLOOKUP($A177,'Risk Register'!$B$2:$H$1000,4,FALSE())&gt;=4,"Yes",""),""))</f>
        <v/>
      </c>
      <c r="AE177" s="63" t="str">
        <f t="shared" si="11"/>
        <v/>
      </c>
      <c r="AF177" s="62"/>
      <c r="AG177" s="62"/>
      <c r="AH177" s="62"/>
      <c r="AI177" s="62"/>
      <c r="AJ177" s="62"/>
      <c r="AK177" s="62"/>
      <c r="AL177" s="62"/>
      <c r="AM177" s="62"/>
      <c r="AN177" s="62"/>
      <c r="AO177" s="62"/>
      <c r="AP177" s="62"/>
      <c r="AQ177" s="80"/>
    </row>
    <row r="178" spans="1:43" ht="15.75" customHeight="1" x14ac:dyDescent="0.2">
      <c r="A178" s="63" t="str">
        <f t="shared" si="8"/>
        <v/>
      </c>
      <c r="B178" s="62"/>
      <c r="C178" s="62"/>
      <c r="D178" s="62"/>
      <c r="E178" s="62"/>
      <c r="F178" s="62"/>
      <c r="G178" s="62"/>
      <c r="H178" s="62"/>
      <c r="I178" s="66"/>
      <c r="J178" s="66"/>
      <c r="K178" s="66"/>
      <c r="L178" s="66"/>
      <c r="M178" s="66"/>
      <c r="N178" s="64" t="str">
        <f>IF(OR($B178="", $I178="", $J178="", $K178="", $L178="", $M178=""),"",ROUND(($I178*Lists!$AN$2)+($J178*Lists!$AN$3)+($K178*Lists!$AN$4)+($L178*Lists!$AN$5)+($M178*Lists!$AN$6),2))</f>
        <v/>
      </c>
      <c r="O178" s="64" t="str">
        <f>IF($A178="","",IFERROR(VLOOKUP($A178,'Risk Register'!$B$2:$I$1000,8,FALSE()),""))</f>
        <v/>
      </c>
      <c r="P178" s="66"/>
      <c r="Q178" s="66"/>
      <c r="R178" s="66"/>
      <c r="S178" s="66"/>
      <c r="T178" s="64" t="str">
        <f>IF(OR($B178="", $P178="", $Q178="", $R178="", $S178=""),"",ROUND(($P178*Lists!$AN$7)+($Q178*Lists!$AN$8)+($R178*Lists!$AN$9)+($S178*Lists!$AN$10),2))</f>
        <v/>
      </c>
      <c r="U178" s="66"/>
      <c r="V178" s="66"/>
      <c r="W178" s="66"/>
      <c r="X178" s="66"/>
      <c r="Y178" s="66"/>
      <c r="Z178" s="64" t="str">
        <f>IF(OR($B178="", $U178="", $V178="", $W178="", $X178="", $Y178=""),"",ROUND(($U178*Lists!$AN$11)+($V178*Lists!$AN$12)+($W178*Lists!$AN$13)+($X178*Lists!$AN$14)+($Y178*Lists!$AN$15),2))</f>
        <v/>
      </c>
      <c r="AA178" s="64" t="str">
        <f>IF(OR($B178="", $N178="", $O178="", $T178="", $Z178=""),"",ROUND(($N178*Lists!$AN$16)-($O178*Lists!$AN$17)-($T178*Lists!$AN$18)+($Z178*Lists!$AN$19),2))</f>
        <v/>
      </c>
      <c r="AB178" s="63" t="str">
        <f t="shared" si="9"/>
        <v/>
      </c>
      <c r="AC178" s="63" t="str">
        <f t="shared" si="10"/>
        <v/>
      </c>
      <c r="AD178" s="63" t="str">
        <f>IF($A178="","",IFERROR(IF(VLOOKUP($A178,'Risk Register'!$B$2:$H$1000,4,FALSE())&gt;=4,"Yes",""),""))</f>
        <v/>
      </c>
      <c r="AE178" s="63" t="str">
        <f t="shared" si="11"/>
        <v/>
      </c>
      <c r="AF178" s="62"/>
      <c r="AG178" s="62"/>
      <c r="AH178" s="62"/>
      <c r="AI178" s="62"/>
      <c r="AJ178" s="62"/>
      <c r="AK178" s="62"/>
      <c r="AL178" s="62"/>
      <c r="AM178" s="62"/>
      <c r="AN178" s="62"/>
      <c r="AO178" s="62"/>
      <c r="AP178" s="62"/>
      <c r="AQ178" s="80"/>
    </row>
    <row r="179" spans="1:43" ht="15.75" customHeight="1" x14ac:dyDescent="0.2">
      <c r="A179" s="63" t="str">
        <f t="shared" si="8"/>
        <v/>
      </c>
      <c r="B179" s="62"/>
      <c r="C179" s="62"/>
      <c r="D179" s="62"/>
      <c r="E179" s="62"/>
      <c r="F179" s="62"/>
      <c r="G179" s="62"/>
      <c r="H179" s="62"/>
      <c r="I179" s="66"/>
      <c r="J179" s="66"/>
      <c r="K179" s="66"/>
      <c r="L179" s="66"/>
      <c r="M179" s="66"/>
      <c r="N179" s="64" t="str">
        <f>IF(OR($B179="", $I179="", $J179="", $K179="", $L179="", $M179=""),"",ROUND(($I179*Lists!$AN$2)+($J179*Lists!$AN$3)+($K179*Lists!$AN$4)+($L179*Lists!$AN$5)+($M179*Lists!$AN$6),2))</f>
        <v/>
      </c>
      <c r="O179" s="64" t="str">
        <f>IF($A179="","",IFERROR(VLOOKUP($A179,'Risk Register'!$B$2:$I$1000,8,FALSE()),""))</f>
        <v/>
      </c>
      <c r="P179" s="66"/>
      <c r="Q179" s="66"/>
      <c r="R179" s="66"/>
      <c r="S179" s="66"/>
      <c r="T179" s="64" t="str">
        <f>IF(OR($B179="", $P179="", $Q179="", $R179="", $S179=""),"",ROUND(($P179*Lists!$AN$7)+($Q179*Lists!$AN$8)+($R179*Lists!$AN$9)+($S179*Lists!$AN$10),2))</f>
        <v/>
      </c>
      <c r="U179" s="66"/>
      <c r="V179" s="66"/>
      <c r="W179" s="66"/>
      <c r="X179" s="66"/>
      <c r="Y179" s="66"/>
      <c r="Z179" s="64" t="str">
        <f>IF(OR($B179="", $U179="", $V179="", $W179="", $X179="", $Y179=""),"",ROUND(($U179*Lists!$AN$11)+($V179*Lists!$AN$12)+($W179*Lists!$AN$13)+($X179*Lists!$AN$14)+($Y179*Lists!$AN$15),2))</f>
        <v/>
      </c>
      <c r="AA179" s="64" t="str">
        <f>IF(OR($B179="", $N179="", $O179="", $T179="", $Z179=""),"",ROUND(($N179*Lists!$AN$16)-($O179*Lists!$AN$17)-($T179*Lists!$AN$18)+($Z179*Lists!$AN$19),2))</f>
        <v/>
      </c>
      <c r="AB179" s="63" t="str">
        <f t="shared" si="9"/>
        <v/>
      </c>
      <c r="AC179" s="63" t="str">
        <f t="shared" si="10"/>
        <v/>
      </c>
      <c r="AD179" s="63" t="str">
        <f>IF($A179="","",IFERROR(IF(VLOOKUP($A179,'Risk Register'!$B$2:$H$1000,4,FALSE())&gt;=4,"Yes",""),""))</f>
        <v/>
      </c>
      <c r="AE179" s="63" t="str">
        <f t="shared" si="11"/>
        <v/>
      </c>
      <c r="AF179" s="62"/>
      <c r="AG179" s="62"/>
      <c r="AH179" s="62"/>
      <c r="AI179" s="62"/>
      <c r="AJ179" s="62"/>
      <c r="AK179" s="62"/>
      <c r="AL179" s="62"/>
      <c r="AM179" s="62"/>
      <c r="AN179" s="62"/>
      <c r="AO179" s="62"/>
      <c r="AP179" s="62"/>
      <c r="AQ179" s="80"/>
    </row>
    <row r="180" spans="1:43" ht="15.75" customHeight="1" x14ac:dyDescent="0.2">
      <c r="A180" s="63" t="str">
        <f t="shared" si="8"/>
        <v/>
      </c>
      <c r="B180" s="62"/>
      <c r="C180" s="62"/>
      <c r="D180" s="62"/>
      <c r="E180" s="62"/>
      <c r="F180" s="62"/>
      <c r="G180" s="62"/>
      <c r="H180" s="62"/>
      <c r="I180" s="66"/>
      <c r="J180" s="66"/>
      <c r="K180" s="66"/>
      <c r="L180" s="66"/>
      <c r="M180" s="66"/>
      <c r="N180" s="64" t="str">
        <f>IF(OR($B180="", $I180="", $J180="", $K180="", $L180="", $M180=""),"",ROUND(($I180*Lists!$AN$2)+($J180*Lists!$AN$3)+($K180*Lists!$AN$4)+($L180*Lists!$AN$5)+($M180*Lists!$AN$6),2))</f>
        <v/>
      </c>
      <c r="O180" s="64" t="str">
        <f>IF($A180="","",IFERROR(VLOOKUP($A180,'Risk Register'!$B$2:$I$1000,8,FALSE()),""))</f>
        <v/>
      </c>
      <c r="P180" s="66"/>
      <c r="Q180" s="66"/>
      <c r="R180" s="66"/>
      <c r="S180" s="66"/>
      <c r="T180" s="64" t="str">
        <f>IF(OR($B180="", $P180="", $Q180="", $R180="", $S180=""),"",ROUND(($P180*Lists!$AN$7)+($Q180*Lists!$AN$8)+($R180*Lists!$AN$9)+($S180*Lists!$AN$10),2))</f>
        <v/>
      </c>
      <c r="U180" s="66"/>
      <c r="V180" s="66"/>
      <c r="W180" s="66"/>
      <c r="X180" s="66"/>
      <c r="Y180" s="66"/>
      <c r="Z180" s="64" t="str">
        <f>IF(OR($B180="", $U180="", $V180="", $W180="", $X180="", $Y180=""),"",ROUND(($U180*Lists!$AN$11)+($V180*Lists!$AN$12)+($W180*Lists!$AN$13)+($X180*Lists!$AN$14)+($Y180*Lists!$AN$15),2))</f>
        <v/>
      </c>
      <c r="AA180" s="64" t="str">
        <f>IF(OR($B180="", $N180="", $O180="", $T180="", $Z180=""),"",ROUND(($N180*Lists!$AN$16)-($O180*Lists!$AN$17)-($T180*Lists!$AN$18)+($Z180*Lists!$AN$19),2))</f>
        <v/>
      </c>
      <c r="AB180" s="63" t="str">
        <f t="shared" si="9"/>
        <v/>
      </c>
      <c r="AC180" s="63" t="str">
        <f t="shared" si="10"/>
        <v/>
      </c>
      <c r="AD180" s="63" t="str">
        <f>IF($A180="","",IFERROR(IF(VLOOKUP($A180,'Risk Register'!$B$2:$H$1000,4,FALSE())&gt;=4,"Yes",""),""))</f>
        <v/>
      </c>
      <c r="AE180" s="63" t="str">
        <f t="shared" si="11"/>
        <v/>
      </c>
      <c r="AF180" s="62"/>
      <c r="AG180" s="62"/>
      <c r="AH180" s="62"/>
      <c r="AI180" s="62"/>
      <c r="AJ180" s="62"/>
      <c r="AK180" s="62"/>
      <c r="AL180" s="62"/>
      <c r="AM180" s="62"/>
      <c r="AN180" s="62"/>
      <c r="AO180" s="62"/>
      <c r="AP180" s="62"/>
      <c r="AQ180" s="80"/>
    </row>
    <row r="181" spans="1:43" ht="15.75" customHeight="1" x14ac:dyDescent="0.2">
      <c r="A181" s="63" t="str">
        <f t="shared" si="8"/>
        <v/>
      </c>
      <c r="B181" s="62"/>
      <c r="C181" s="62"/>
      <c r="D181" s="62"/>
      <c r="E181" s="62"/>
      <c r="F181" s="62"/>
      <c r="G181" s="62"/>
      <c r="H181" s="62"/>
      <c r="I181" s="66"/>
      <c r="J181" s="66"/>
      <c r="K181" s="66"/>
      <c r="L181" s="66"/>
      <c r="M181" s="66"/>
      <c r="N181" s="64" t="str">
        <f>IF(OR($B181="", $I181="", $J181="", $K181="", $L181="", $M181=""),"",ROUND(($I181*Lists!$AN$2)+($J181*Lists!$AN$3)+($K181*Lists!$AN$4)+($L181*Lists!$AN$5)+($M181*Lists!$AN$6),2))</f>
        <v/>
      </c>
      <c r="O181" s="64" t="str">
        <f>IF($A181="","",IFERROR(VLOOKUP($A181,'Risk Register'!$B$2:$I$1000,8,FALSE()),""))</f>
        <v/>
      </c>
      <c r="P181" s="66"/>
      <c r="Q181" s="66"/>
      <c r="R181" s="66"/>
      <c r="S181" s="66"/>
      <c r="T181" s="64" t="str">
        <f>IF(OR($B181="", $P181="", $Q181="", $R181="", $S181=""),"",ROUND(($P181*Lists!$AN$7)+($Q181*Lists!$AN$8)+($R181*Lists!$AN$9)+($S181*Lists!$AN$10),2))</f>
        <v/>
      </c>
      <c r="U181" s="66"/>
      <c r="V181" s="66"/>
      <c r="W181" s="66"/>
      <c r="X181" s="66"/>
      <c r="Y181" s="66"/>
      <c r="Z181" s="64" t="str">
        <f>IF(OR($B181="", $U181="", $V181="", $W181="", $X181="", $Y181=""),"",ROUND(($U181*Lists!$AN$11)+($V181*Lists!$AN$12)+($W181*Lists!$AN$13)+($X181*Lists!$AN$14)+($Y181*Lists!$AN$15),2))</f>
        <v/>
      </c>
      <c r="AA181" s="64" t="str">
        <f>IF(OR($B181="", $N181="", $O181="", $T181="", $Z181=""),"",ROUND(($N181*Lists!$AN$16)-($O181*Lists!$AN$17)-($T181*Lists!$AN$18)+($Z181*Lists!$AN$19),2))</f>
        <v/>
      </c>
      <c r="AB181" s="63" t="str">
        <f t="shared" si="9"/>
        <v/>
      </c>
      <c r="AC181" s="63" t="str">
        <f t="shared" si="10"/>
        <v/>
      </c>
      <c r="AD181" s="63" t="str">
        <f>IF($A181="","",IFERROR(IF(VLOOKUP($A181,'Risk Register'!$B$2:$H$1000,4,FALSE())&gt;=4,"Yes",""),""))</f>
        <v/>
      </c>
      <c r="AE181" s="63" t="str">
        <f t="shared" si="11"/>
        <v/>
      </c>
      <c r="AF181" s="62"/>
      <c r="AG181" s="62"/>
      <c r="AH181" s="62"/>
      <c r="AI181" s="62"/>
      <c r="AJ181" s="62"/>
      <c r="AK181" s="62"/>
      <c r="AL181" s="62"/>
      <c r="AM181" s="62"/>
      <c r="AN181" s="62"/>
      <c r="AO181" s="62"/>
      <c r="AP181" s="62"/>
      <c r="AQ181" s="80"/>
    </row>
    <row r="182" spans="1:43" ht="15.75" customHeight="1" x14ac:dyDescent="0.2">
      <c r="A182" s="63" t="str">
        <f t="shared" si="8"/>
        <v/>
      </c>
      <c r="B182" s="62"/>
      <c r="C182" s="62"/>
      <c r="D182" s="62"/>
      <c r="E182" s="62"/>
      <c r="F182" s="62"/>
      <c r="G182" s="62"/>
      <c r="H182" s="62"/>
      <c r="I182" s="66"/>
      <c r="J182" s="66"/>
      <c r="K182" s="66"/>
      <c r="L182" s="66"/>
      <c r="M182" s="66"/>
      <c r="N182" s="64" t="str">
        <f>IF(OR($B182="", $I182="", $J182="", $K182="", $L182="", $M182=""),"",ROUND(($I182*Lists!$AN$2)+($J182*Lists!$AN$3)+($K182*Lists!$AN$4)+($L182*Lists!$AN$5)+($M182*Lists!$AN$6),2))</f>
        <v/>
      </c>
      <c r="O182" s="64" t="str">
        <f>IF($A182="","",IFERROR(VLOOKUP($A182,'Risk Register'!$B$2:$I$1000,8,FALSE()),""))</f>
        <v/>
      </c>
      <c r="P182" s="66"/>
      <c r="Q182" s="66"/>
      <c r="R182" s="66"/>
      <c r="S182" s="66"/>
      <c r="T182" s="64" t="str">
        <f>IF(OR($B182="", $P182="", $Q182="", $R182="", $S182=""),"",ROUND(($P182*Lists!$AN$7)+($Q182*Lists!$AN$8)+($R182*Lists!$AN$9)+($S182*Lists!$AN$10),2))</f>
        <v/>
      </c>
      <c r="U182" s="66"/>
      <c r="V182" s="66"/>
      <c r="W182" s="66"/>
      <c r="X182" s="66"/>
      <c r="Y182" s="66"/>
      <c r="Z182" s="64" t="str">
        <f>IF(OR($B182="", $U182="", $V182="", $W182="", $X182="", $Y182=""),"",ROUND(($U182*Lists!$AN$11)+($V182*Lists!$AN$12)+($W182*Lists!$AN$13)+($X182*Lists!$AN$14)+($Y182*Lists!$AN$15),2))</f>
        <v/>
      </c>
      <c r="AA182" s="64" t="str">
        <f>IF(OR($B182="", $N182="", $O182="", $T182="", $Z182=""),"",ROUND(($N182*Lists!$AN$16)-($O182*Lists!$AN$17)-($T182*Lists!$AN$18)+($Z182*Lists!$AN$19),2))</f>
        <v/>
      </c>
      <c r="AB182" s="63" t="str">
        <f t="shared" si="9"/>
        <v/>
      </c>
      <c r="AC182" s="63" t="str">
        <f t="shared" si="10"/>
        <v/>
      </c>
      <c r="AD182" s="63" t="str">
        <f>IF($A182="","",IFERROR(IF(VLOOKUP($A182,'Risk Register'!$B$2:$H$1000,4,FALSE())&gt;=4,"Yes",""),""))</f>
        <v/>
      </c>
      <c r="AE182" s="63" t="str">
        <f t="shared" si="11"/>
        <v/>
      </c>
      <c r="AF182" s="62"/>
      <c r="AG182" s="62"/>
      <c r="AH182" s="62"/>
      <c r="AI182" s="62"/>
      <c r="AJ182" s="62"/>
      <c r="AK182" s="62"/>
      <c r="AL182" s="62"/>
      <c r="AM182" s="62"/>
      <c r="AN182" s="62"/>
      <c r="AO182" s="62"/>
      <c r="AP182" s="62"/>
      <c r="AQ182" s="80"/>
    </row>
    <row r="183" spans="1:43" ht="15.75" customHeight="1" x14ac:dyDescent="0.2">
      <c r="A183" s="63" t="str">
        <f t="shared" si="8"/>
        <v/>
      </c>
      <c r="B183" s="62"/>
      <c r="C183" s="62"/>
      <c r="D183" s="62"/>
      <c r="E183" s="62"/>
      <c r="F183" s="62"/>
      <c r="G183" s="62"/>
      <c r="H183" s="62"/>
      <c r="I183" s="66"/>
      <c r="J183" s="66"/>
      <c r="K183" s="66"/>
      <c r="L183" s="66"/>
      <c r="M183" s="66"/>
      <c r="N183" s="64" t="str">
        <f>IF(OR($B183="", $I183="", $J183="", $K183="", $L183="", $M183=""),"",ROUND(($I183*Lists!$AN$2)+($J183*Lists!$AN$3)+($K183*Lists!$AN$4)+($L183*Lists!$AN$5)+($M183*Lists!$AN$6),2))</f>
        <v/>
      </c>
      <c r="O183" s="64" t="str">
        <f>IF($A183="","",IFERROR(VLOOKUP($A183,'Risk Register'!$B$2:$I$1000,8,FALSE()),""))</f>
        <v/>
      </c>
      <c r="P183" s="66"/>
      <c r="Q183" s="66"/>
      <c r="R183" s="66"/>
      <c r="S183" s="66"/>
      <c r="T183" s="64" t="str">
        <f>IF(OR($B183="", $P183="", $Q183="", $R183="", $S183=""),"",ROUND(($P183*Lists!$AN$7)+($Q183*Lists!$AN$8)+($R183*Lists!$AN$9)+($S183*Lists!$AN$10),2))</f>
        <v/>
      </c>
      <c r="U183" s="66"/>
      <c r="V183" s="66"/>
      <c r="W183" s="66"/>
      <c r="X183" s="66"/>
      <c r="Y183" s="66"/>
      <c r="Z183" s="64" t="str">
        <f>IF(OR($B183="", $U183="", $V183="", $W183="", $X183="", $Y183=""),"",ROUND(($U183*Lists!$AN$11)+($V183*Lists!$AN$12)+($W183*Lists!$AN$13)+($X183*Lists!$AN$14)+($Y183*Lists!$AN$15),2))</f>
        <v/>
      </c>
      <c r="AA183" s="64" t="str">
        <f>IF(OR($B183="", $N183="", $O183="", $T183="", $Z183=""),"",ROUND(($N183*Lists!$AN$16)-($O183*Lists!$AN$17)-($T183*Lists!$AN$18)+($Z183*Lists!$AN$19),2))</f>
        <v/>
      </c>
      <c r="AB183" s="63" t="str">
        <f t="shared" si="9"/>
        <v/>
      </c>
      <c r="AC183" s="63" t="str">
        <f t="shared" si="10"/>
        <v/>
      </c>
      <c r="AD183" s="63" t="str">
        <f>IF($A183="","",IFERROR(IF(VLOOKUP($A183,'Risk Register'!$B$2:$H$1000,4,FALSE())&gt;=4,"Yes",""),""))</f>
        <v/>
      </c>
      <c r="AE183" s="63" t="str">
        <f t="shared" si="11"/>
        <v/>
      </c>
      <c r="AF183" s="62"/>
      <c r="AG183" s="62"/>
      <c r="AH183" s="62"/>
      <c r="AI183" s="62"/>
      <c r="AJ183" s="62"/>
      <c r="AK183" s="62"/>
      <c r="AL183" s="62"/>
      <c r="AM183" s="62"/>
      <c r="AN183" s="62"/>
      <c r="AO183" s="62"/>
      <c r="AP183" s="62"/>
      <c r="AQ183" s="80"/>
    </row>
    <row r="184" spans="1:43" ht="15.75" customHeight="1" x14ac:dyDescent="0.2">
      <c r="A184" s="63" t="str">
        <f t="shared" si="8"/>
        <v/>
      </c>
      <c r="B184" s="62"/>
      <c r="C184" s="62"/>
      <c r="D184" s="62"/>
      <c r="E184" s="62"/>
      <c r="F184" s="62"/>
      <c r="G184" s="62"/>
      <c r="H184" s="62"/>
      <c r="I184" s="66"/>
      <c r="J184" s="66"/>
      <c r="K184" s="66"/>
      <c r="L184" s="66"/>
      <c r="M184" s="66"/>
      <c r="N184" s="64" t="str">
        <f>IF(OR($B184="", $I184="", $J184="", $K184="", $L184="", $M184=""),"",ROUND(($I184*Lists!$AN$2)+($J184*Lists!$AN$3)+($K184*Lists!$AN$4)+($L184*Lists!$AN$5)+($M184*Lists!$AN$6),2))</f>
        <v/>
      </c>
      <c r="O184" s="64" t="str">
        <f>IF($A184="","",IFERROR(VLOOKUP($A184,'Risk Register'!$B$2:$I$1000,8,FALSE()),""))</f>
        <v/>
      </c>
      <c r="P184" s="66"/>
      <c r="Q184" s="66"/>
      <c r="R184" s="66"/>
      <c r="S184" s="66"/>
      <c r="T184" s="64" t="str">
        <f>IF(OR($B184="", $P184="", $Q184="", $R184="", $S184=""),"",ROUND(($P184*Lists!$AN$7)+($Q184*Lists!$AN$8)+($R184*Lists!$AN$9)+($S184*Lists!$AN$10),2))</f>
        <v/>
      </c>
      <c r="U184" s="66"/>
      <c r="V184" s="66"/>
      <c r="W184" s="66"/>
      <c r="X184" s="66"/>
      <c r="Y184" s="66"/>
      <c r="Z184" s="64" t="str">
        <f>IF(OR($B184="", $U184="", $V184="", $W184="", $X184="", $Y184=""),"",ROUND(($U184*Lists!$AN$11)+($V184*Lists!$AN$12)+($W184*Lists!$AN$13)+($X184*Lists!$AN$14)+($Y184*Lists!$AN$15),2))</f>
        <v/>
      </c>
      <c r="AA184" s="64" t="str">
        <f>IF(OR($B184="", $N184="", $O184="", $T184="", $Z184=""),"",ROUND(($N184*Lists!$AN$16)-($O184*Lists!$AN$17)-($T184*Lists!$AN$18)+($Z184*Lists!$AN$19),2))</f>
        <v/>
      </c>
      <c r="AB184" s="63" t="str">
        <f t="shared" si="9"/>
        <v/>
      </c>
      <c r="AC184" s="63" t="str">
        <f t="shared" si="10"/>
        <v/>
      </c>
      <c r="AD184" s="63" t="str">
        <f>IF($A184="","",IFERROR(IF(VLOOKUP($A184,'Risk Register'!$B$2:$H$1000,4,FALSE())&gt;=4,"Yes",""),""))</f>
        <v/>
      </c>
      <c r="AE184" s="63" t="str">
        <f t="shared" si="11"/>
        <v/>
      </c>
      <c r="AF184" s="62"/>
      <c r="AG184" s="62"/>
      <c r="AH184" s="62"/>
      <c r="AI184" s="62"/>
      <c r="AJ184" s="62"/>
      <c r="AK184" s="62"/>
      <c r="AL184" s="62"/>
      <c r="AM184" s="62"/>
      <c r="AN184" s="62"/>
      <c r="AO184" s="62"/>
      <c r="AP184" s="62"/>
      <c r="AQ184" s="80"/>
    </row>
    <row r="185" spans="1:43" ht="15.75" customHeight="1" x14ac:dyDescent="0.2">
      <c r="A185" s="63" t="str">
        <f t="shared" si="8"/>
        <v/>
      </c>
      <c r="B185" s="62"/>
      <c r="C185" s="62"/>
      <c r="D185" s="62"/>
      <c r="E185" s="62"/>
      <c r="F185" s="62"/>
      <c r="G185" s="62"/>
      <c r="H185" s="62"/>
      <c r="I185" s="66"/>
      <c r="J185" s="66"/>
      <c r="K185" s="66"/>
      <c r="L185" s="66"/>
      <c r="M185" s="66"/>
      <c r="N185" s="64" t="str">
        <f>IF(OR($B185="", $I185="", $J185="", $K185="", $L185="", $M185=""),"",ROUND(($I185*Lists!$AN$2)+($J185*Lists!$AN$3)+($K185*Lists!$AN$4)+($L185*Lists!$AN$5)+($M185*Lists!$AN$6),2))</f>
        <v/>
      </c>
      <c r="O185" s="64" t="str">
        <f>IF($A185="","",IFERROR(VLOOKUP($A185,'Risk Register'!$B$2:$I$1000,8,FALSE()),""))</f>
        <v/>
      </c>
      <c r="P185" s="66"/>
      <c r="Q185" s="66"/>
      <c r="R185" s="66"/>
      <c r="S185" s="66"/>
      <c r="T185" s="64" t="str">
        <f>IF(OR($B185="", $P185="", $Q185="", $R185="", $S185=""),"",ROUND(($P185*Lists!$AN$7)+($Q185*Lists!$AN$8)+($R185*Lists!$AN$9)+($S185*Lists!$AN$10),2))</f>
        <v/>
      </c>
      <c r="U185" s="66"/>
      <c r="V185" s="66"/>
      <c r="W185" s="66"/>
      <c r="X185" s="66"/>
      <c r="Y185" s="66"/>
      <c r="Z185" s="64" t="str">
        <f>IF(OR($B185="", $U185="", $V185="", $W185="", $X185="", $Y185=""),"",ROUND(($U185*Lists!$AN$11)+($V185*Lists!$AN$12)+($W185*Lists!$AN$13)+($X185*Lists!$AN$14)+($Y185*Lists!$AN$15),2))</f>
        <v/>
      </c>
      <c r="AA185" s="64" t="str">
        <f>IF(OR($B185="", $N185="", $O185="", $T185="", $Z185=""),"",ROUND(($N185*Lists!$AN$16)-($O185*Lists!$AN$17)-($T185*Lists!$AN$18)+($Z185*Lists!$AN$19),2))</f>
        <v/>
      </c>
      <c r="AB185" s="63" t="str">
        <f t="shared" si="9"/>
        <v/>
      </c>
      <c r="AC185" s="63" t="str">
        <f t="shared" si="10"/>
        <v/>
      </c>
      <c r="AD185" s="63" t="str">
        <f>IF($A185="","",IFERROR(IF(VLOOKUP($A185,'Risk Register'!$B$2:$H$1000,4,FALSE())&gt;=4,"Yes",""),""))</f>
        <v/>
      </c>
      <c r="AE185" s="63" t="str">
        <f t="shared" si="11"/>
        <v/>
      </c>
      <c r="AF185" s="62"/>
      <c r="AG185" s="62"/>
      <c r="AH185" s="62"/>
      <c r="AI185" s="62"/>
      <c r="AJ185" s="62"/>
      <c r="AK185" s="62"/>
      <c r="AL185" s="62"/>
      <c r="AM185" s="62"/>
      <c r="AN185" s="62"/>
      <c r="AO185" s="62"/>
      <c r="AP185" s="62"/>
      <c r="AQ185" s="80"/>
    </row>
    <row r="186" spans="1:43" ht="15.75" customHeight="1" x14ac:dyDescent="0.2">
      <c r="A186" s="63" t="str">
        <f t="shared" si="8"/>
        <v/>
      </c>
      <c r="B186" s="62"/>
      <c r="C186" s="62"/>
      <c r="D186" s="62"/>
      <c r="E186" s="62"/>
      <c r="F186" s="62"/>
      <c r="G186" s="62"/>
      <c r="H186" s="62"/>
      <c r="I186" s="66"/>
      <c r="J186" s="66"/>
      <c r="K186" s="66"/>
      <c r="L186" s="66"/>
      <c r="M186" s="66"/>
      <c r="N186" s="64" t="str">
        <f>IF(OR($B186="", $I186="", $J186="", $K186="", $L186="", $M186=""),"",ROUND(($I186*Lists!$AN$2)+($J186*Lists!$AN$3)+($K186*Lists!$AN$4)+($L186*Lists!$AN$5)+($M186*Lists!$AN$6),2))</f>
        <v/>
      </c>
      <c r="O186" s="64" t="str">
        <f>IF($A186="","",IFERROR(VLOOKUP($A186,'Risk Register'!$B$2:$I$1000,8,FALSE()),""))</f>
        <v/>
      </c>
      <c r="P186" s="66"/>
      <c r="Q186" s="66"/>
      <c r="R186" s="66"/>
      <c r="S186" s="66"/>
      <c r="T186" s="64" t="str">
        <f>IF(OR($B186="", $P186="", $Q186="", $R186="", $S186=""),"",ROUND(($P186*Lists!$AN$7)+($Q186*Lists!$AN$8)+($R186*Lists!$AN$9)+($S186*Lists!$AN$10),2))</f>
        <v/>
      </c>
      <c r="U186" s="66"/>
      <c r="V186" s="66"/>
      <c r="W186" s="66"/>
      <c r="X186" s="66"/>
      <c r="Y186" s="66"/>
      <c r="Z186" s="64" t="str">
        <f>IF(OR($B186="", $U186="", $V186="", $W186="", $X186="", $Y186=""),"",ROUND(($U186*Lists!$AN$11)+($V186*Lists!$AN$12)+($W186*Lists!$AN$13)+($X186*Lists!$AN$14)+($Y186*Lists!$AN$15),2))</f>
        <v/>
      </c>
      <c r="AA186" s="64" t="str">
        <f>IF(OR($B186="", $N186="", $O186="", $T186="", $Z186=""),"",ROUND(($N186*Lists!$AN$16)-($O186*Lists!$AN$17)-($T186*Lists!$AN$18)+($Z186*Lists!$AN$19),2))</f>
        <v/>
      </c>
      <c r="AB186" s="63" t="str">
        <f t="shared" si="9"/>
        <v/>
      </c>
      <c r="AC186" s="63" t="str">
        <f t="shared" si="10"/>
        <v/>
      </c>
      <c r="AD186" s="63" t="str">
        <f>IF($A186="","",IFERROR(IF(VLOOKUP($A186,'Risk Register'!$B$2:$H$1000,4,FALSE())&gt;=4,"Yes",""),""))</f>
        <v/>
      </c>
      <c r="AE186" s="63" t="str">
        <f t="shared" si="11"/>
        <v/>
      </c>
      <c r="AF186" s="62"/>
      <c r="AG186" s="62"/>
      <c r="AH186" s="62"/>
      <c r="AI186" s="62"/>
      <c r="AJ186" s="62"/>
      <c r="AK186" s="62"/>
      <c r="AL186" s="62"/>
      <c r="AM186" s="62"/>
      <c r="AN186" s="62"/>
      <c r="AO186" s="62"/>
      <c r="AP186" s="62"/>
      <c r="AQ186" s="80"/>
    </row>
    <row r="187" spans="1:43" ht="15.75" customHeight="1" x14ac:dyDescent="0.2">
      <c r="A187" s="63" t="str">
        <f t="shared" si="8"/>
        <v/>
      </c>
      <c r="B187" s="62"/>
      <c r="C187" s="62"/>
      <c r="D187" s="62"/>
      <c r="E187" s="62"/>
      <c r="F187" s="62"/>
      <c r="G187" s="62"/>
      <c r="H187" s="62"/>
      <c r="I187" s="66"/>
      <c r="J187" s="66"/>
      <c r="K187" s="66"/>
      <c r="L187" s="66"/>
      <c r="M187" s="66"/>
      <c r="N187" s="64" t="str">
        <f>IF(OR($B187="", $I187="", $J187="", $K187="", $L187="", $M187=""),"",ROUND(($I187*Lists!$AN$2)+($J187*Lists!$AN$3)+($K187*Lists!$AN$4)+($L187*Lists!$AN$5)+($M187*Lists!$AN$6),2))</f>
        <v/>
      </c>
      <c r="O187" s="64" t="str">
        <f>IF($A187="","",IFERROR(VLOOKUP($A187,'Risk Register'!$B$2:$I$1000,8,FALSE()),""))</f>
        <v/>
      </c>
      <c r="P187" s="66"/>
      <c r="Q187" s="66"/>
      <c r="R187" s="66"/>
      <c r="S187" s="66"/>
      <c r="T187" s="64" t="str">
        <f>IF(OR($B187="", $P187="", $Q187="", $R187="", $S187=""),"",ROUND(($P187*Lists!$AN$7)+($Q187*Lists!$AN$8)+($R187*Lists!$AN$9)+($S187*Lists!$AN$10),2))</f>
        <v/>
      </c>
      <c r="U187" s="66"/>
      <c r="V187" s="66"/>
      <c r="W187" s="66"/>
      <c r="X187" s="66"/>
      <c r="Y187" s="66"/>
      <c r="Z187" s="64" t="str">
        <f>IF(OR($B187="", $U187="", $V187="", $W187="", $X187="", $Y187=""),"",ROUND(($U187*Lists!$AN$11)+($V187*Lists!$AN$12)+($W187*Lists!$AN$13)+($X187*Lists!$AN$14)+($Y187*Lists!$AN$15),2))</f>
        <v/>
      </c>
      <c r="AA187" s="64" t="str">
        <f>IF(OR($B187="", $N187="", $O187="", $T187="", $Z187=""),"",ROUND(($N187*Lists!$AN$16)-($O187*Lists!$AN$17)-($T187*Lists!$AN$18)+($Z187*Lists!$AN$19),2))</f>
        <v/>
      </c>
      <c r="AB187" s="63" t="str">
        <f t="shared" si="9"/>
        <v/>
      </c>
      <c r="AC187" s="63" t="str">
        <f t="shared" si="10"/>
        <v/>
      </c>
      <c r="AD187" s="63" t="str">
        <f>IF($A187="","",IFERROR(IF(VLOOKUP($A187,'Risk Register'!$B$2:$H$1000,4,FALSE())&gt;=4,"Yes",""),""))</f>
        <v/>
      </c>
      <c r="AE187" s="63" t="str">
        <f t="shared" si="11"/>
        <v/>
      </c>
      <c r="AF187" s="62"/>
      <c r="AG187" s="62"/>
      <c r="AH187" s="62"/>
      <c r="AI187" s="62"/>
      <c r="AJ187" s="62"/>
      <c r="AK187" s="62"/>
      <c r="AL187" s="62"/>
      <c r="AM187" s="62"/>
      <c r="AN187" s="62"/>
      <c r="AO187" s="62"/>
      <c r="AP187" s="62"/>
      <c r="AQ187" s="80"/>
    </row>
    <row r="188" spans="1:43" ht="15.75" customHeight="1" x14ac:dyDescent="0.2">
      <c r="A188" s="63" t="str">
        <f t="shared" si="8"/>
        <v/>
      </c>
      <c r="B188" s="62"/>
      <c r="C188" s="62"/>
      <c r="D188" s="62"/>
      <c r="E188" s="62"/>
      <c r="F188" s="62"/>
      <c r="G188" s="62"/>
      <c r="H188" s="62"/>
      <c r="I188" s="66"/>
      <c r="J188" s="66"/>
      <c r="K188" s="66"/>
      <c r="L188" s="66"/>
      <c r="M188" s="66"/>
      <c r="N188" s="64" t="str">
        <f>IF(OR($B188="", $I188="", $J188="", $K188="", $L188="", $M188=""),"",ROUND(($I188*Lists!$AN$2)+($J188*Lists!$AN$3)+($K188*Lists!$AN$4)+($L188*Lists!$AN$5)+($M188*Lists!$AN$6),2))</f>
        <v/>
      </c>
      <c r="O188" s="64" t="str">
        <f>IF($A188="","",IFERROR(VLOOKUP($A188,'Risk Register'!$B$2:$I$1000,8,FALSE()),""))</f>
        <v/>
      </c>
      <c r="P188" s="66"/>
      <c r="Q188" s="66"/>
      <c r="R188" s="66"/>
      <c r="S188" s="66"/>
      <c r="T188" s="64" t="str">
        <f>IF(OR($B188="", $P188="", $Q188="", $R188="", $S188=""),"",ROUND(($P188*Lists!$AN$7)+($Q188*Lists!$AN$8)+($R188*Lists!$AN$9)+($S188*Lists!$AN$10),2))</f>
        <v/>
      </c>
      <c r="U188" s="66"/>
      <c r="V188" s="66"/>
      <c r="W188" s="66"/>
      <c r="X188" s="66"/>
      <c r="Y188" s="66"/>
      <c r="Z188" s="64" t="str">
        <f>IF(OR($B188="", $U188="", $V188="", $W188="", $X188="", $Y188=""),"",ROUND(($U188*Lists!$AN$11)+($V188*Lists!$AN$12)+($W188*Lists!$AN$13)+($X188*Lists!$AN$14)+($Y188*Lists!$AN$15),2))</f>
        <v/>
      </c>
      <c r="AA188" s="64" t="str">
        <f>IF(OR($B188="", $N188="", $O188="", $T188="", $Z188=""),"",ROUND(($N188*Lists!$AN$16)-($O188*Lists!$AN$17)-($T188*Lists!$AN$18)+($Z188*Lists!$AN$19),2))</f>
        <v/>
      </c>
      <c r="AB188" s="63" t="str">
        <f t="shared" si="9"/>
        <v/>
      </c>
      <c r="AC188" s="63" t="str">
        <f t="shared" si="10"/>
        <v/>
      </c>
      <c r="AD188" s="63" t="str">
        <f>IF($A188="","",IFERROR(IF(VLOOKUP($A188,'Risk Register'!$B$2:$H$1000,4,FALSE())&gt;=4,"Yes",""),""))</f>
        <v/>
      </c>
      <c r="AE188" s="63" t="str">
        <f t="shared" si="11"/>
        <v/>
      </c>
      <c r="AF188" s="62"/>
      <c r="AG188" s="62"/>
      <c r="AH188" s="62"/>
      <c r="AI188" s="62"/>
      <c r="AJ188" s="62"/>
      <c r="AK188" s="62"/>
      <c r="AL188" s="62"/>
      <c r="AM188" s="62"/>
      <c r="AN188" s="62"/>
      <c r="AO188" s="62"/>
      <c r="AP188" s="62"/>
      <c r="AQ188" s="80"/>
    </row>
    <row r="189" spans="1:43" ht="15.75" customHeight="1" x14ac:dyDescent="0.2">
      <c r="A189" s="63" t="str">
        <f t="shared" si="8"/>
        <v/>
      </c>
      <c r="B189" s="62"/>
      <c r="C189" s="62"/>
      <c r="D189" s="62"/>
      <c r="E189" s="62"/>
      <c r="F189" s="62"/>
      <c r="G189" s="62"/>
      <c r="H189" s="62"/>
      <c r="I189" s="66"/>
      <c r="J189" s="66"/>
      <c r="K189" s="66"/>
      <c r="L189" s="66"/>
      <c r="M189" s="66"/>
      <c r="N189" s="64" t="str">
        <f>IF(OR($B189="", $I189="", $J189="", $K189="", $L189="", $M189=""),"",ROUND(($I189*Lists!$AN$2)+($J189*Lists!$AN$3)+($K189*Lists!$AN$4)+($L189*Lists!$AN$5)+($M189*Lists!$AN$6),2))</f>
        <v/>
      </c>
      <c r="O189" s="64" t="str">
        <f>IF($A189="","",IFERROR(VLOOKUP($A189,'Risk Register'!$B$2:$I$1000,8,FALSE()),""))</f>
        <v/>
      </c>
      <c r="P189" s="66"/>
      <c r="Q189" s="66"/>
      <c r="R189" s="66"/>
      <c r="S189" s="66"/>
      <c r="T189" s="64" t="str">
        <f>IF(OR($B189="", $P189="", $Q189="", $R189="", $S189=""),"",ROUND(($P189*Lists!$AN$7)+($Q189*Lists!$AN$8)+($R189*Lists!$AN$9)+($S189*Lists!$AN$10),2))</f>
        <v/>
      </c>
      <c r="U189" s="66"/>
      <c r="V189" s="66"/>
      <c r="W189" s="66"/>
      <c r="X189" s="66"/>
      <c r="Y189" s="66"/>
      <c r="Z189" s="64" t="str">
        <f>IF(OR($B189="", $U189="", $V189="", $W189="", $X189="", $Y189=""),"",ROUND(($U189*Lists!$AN$11)+($V189*Lists!$AN$12)+($W189*Lists!$AN$13)+($X189*Lists!$AN$14)+($Y189*Lists!$AN$15),2))</f>
        <v/>
      </c>
      <c r="AA189" s="64" t="str">
        <f>IF(OR($B189="", $N189="", $O189="", $T189="", $Z189=""),"",ROUND(($N189*Lists!$AN$16)-($O189*Lists!$AN$17)-($T189*Lists!$AN$18)+($Z189*Lists!$AN$19),2))</f>
        <v/>
      </c>
      <c r="AB189" s="63" t="str">
        <f t="shared" si="9"/>
        <v/>
      </c>
      <c r="AC189" s="63" t="str">
        <f t="shared" si="10"/>
        <v/>
      </c>
      <c r="AD189" s="63" t="str">
        <f>IF($A189="","",IFERROR(IF(VLOOKUP($A189,'Risk Register'!$B$2:$H$1000,4,FALSE())&gt;=4,"Yes",""),""))</f>
        <v/>
      </c>
      <c r="AE189" s="63" t="str">
        <f t="shared" si="11"/>
        <v/>
      </c>
      <c r="AF189" s="62"/>
      <c r="AG189" s="62"/>
      <c r="AH189" s="62"/>
      <c r="AI189" s="62"/>
      <c r="AJ189" s="62"/>
      <c r="AK189" s="62"/>
      <c r="AL189" s="62"/>
      <c r="AM189" s="62"/>
      <c r="AN189" s="62"/>
      <c r="AO189" s="62"/>
      <c r="AP189" s="62"/>
      <c r="AQ189" s="80"/>
    </row>
    <row r="190" spans="1:43" ht="15.75" customHeight="1" x14ac:dyDescent="0.2">
      <c r="A190" s="63" t="str">
        <f t="shared" si="8"/>
        <v/>
      </c>
      <c r="B190" s="62"/>
      <c r="C190" s="62"/>
      <c r="D190" s="62"/>
      <c r="E190" s="62"/>
      <c r="F190" s="62"/>
      <c r="G190" s="62"/>
      <c r="H190" s="62"/>
      <c r="I190" s="66"/>
      <c r="J190" s="66"/>
      <c r="K190" s="66"/>
      <c r="L190" s="66"/>
      <c r="M190" s="66"/>
      <c r="N190" s="64" t="str">
        <f>IF(OR($B190="", $I190="", $J190="", $K190="", $L190="", $M190=""),"",ROUND(($I190*Lists!$AN$2)+($J190*Lists!$AN$3)+($K190*Lists!$AN$4)+($L190*Lists!$AN$5)+($M190*Lists!$AN$6),2))</f>
        <v/>
      </c>
      <c r="O190" s="64" t="str">
        <f>IF($A190="","",IFERROR(VLOOKUP($A190,'Risk Register'!$B$2:$I$1000,8,FALSE()),""))</f>
        <v/>
      </c>
      <c r="P190" s="66"/>
      <c r="Q190" s="66"/>
      <c r="R190" s="66"/>
      <c r="S190" s="66"/>
      <c r="T190" s="64" t="str">
        <f>IF(OR($B190="", $P190="", $Q190="", $R190="", $S190=""),"",ROUND(($P190*Lists!$AN$7)+($Q190*Lists!$AN$8)+($R190*Lists!$AN$9)+($S190*Lists!$AN$10),2))</f>
        <v/>
      </c>
      <c r="U190" s="66"/>
      <c r="V190" s="66"/>
      <c r="W190" s="66"/>
      <c r="X190" s="66"/>
      <c r="Y190" s="66"/>
      <c r="Z190" s="64" t="str">
        <f>IF(OR($B190="", $U190="", $V190="", $W190="", $X190="", $Y190=""),"",ROUND(($U190*Lists!$AN$11)+($V190*Lists!$AN$12)+($W190*Lists!$AN$13)+($X190*Lists!$AN$14)+($Y190*Lists!$AN$15),2))</f>
        <v/>
      </c>
      <c r="AA190" s="64" t="str">
        <f>IF(OR($B190="", $N190="", $O190="", $T190="", $Z190=""),"",ROUND(($N190*Lists!$AN$16)-($O190*Lists!$AN$17)-($T190*Lists!$AN$18)+($Z190*Lists!$AN$19),2))</f>
        <v/>
      </c>
      <c r="AB190" s="63" t="str">
        <f t="shared" si="9"/>
        <v/>
      </c>
      <c r="AC190" s="63" t="str">
        <f t="shared" si="10"/>
        <v/>
      </c>
      <c r="AD190" s="63" t="str">
        <f>IF($A190="","",IFERROR(IF(VLOOKUP($A190,'Risk Register'!$B$2:$H$1000,4,FALSE())&gt;=4,"Yes",""),""))</f>
        <v/>
      </c>
      <c r="AE190" s="63" t="str">
        <f t="shared" si="11"/>
        <v/>
      </c>
      <c r="AF190" s="62"/>
      <c r="AG190" s="62"/>
      <c r="AH190" s="62"/>
      <c r="AI190" s="62"/>
      <c r="AJ190" s="62"/>
      <c r="AK190" s="62"/>
      <c r="AL190" s="62"/>
      <c r="AM190" s="62"/>
      <c r="AN190" s="62"/>
      <c r="AO190" s="62"/>
      <c r="AP190" s="62"/>
      <c r="AQ190" s="80"/>
    </row>
    <row r="191" spans="1:43" ht="15.75" customHeight="1" x14ac:dyDescent="0.2">
      <c r="A191" s="63" t="str">
        <f t="shared" si="8"/>
        <v/>
      </c>
      <c r="B191" s="62"/>
      <c r="C191" s="62"/>
      <c r="D191" s="62"/>
      <c r="E191" s="62"/>
      <c r="F191" s="62"/>
      <c r="G191" s="62"/>
      <c r="H191" s="62"/>
      <c r="I191" s="66"/>
      <c r="J191" s="66"/>
      <c r="K191" s="66"/>
      <c r="L191" s="66"/>
      <c r="M191" s="66"/>
      <c r="N191" s="64" t="str">
        <f>IF(OR($B191="", $I191="", $J191="", $K191="", $L191="", $M191=""),"",ROUND(($I191*Lists!$AN$2)+($J191*Lists!$AN$3)+($K191*Lists!$AN$4)+($L191*Lists!$AN$5)+($M191*Lists!$AN$6),2))</f>
        <v/>
      </c>
      <c r="O191" s="64" t="str">
        <f>IF($A191="","",IFERROR(VLOOKUP($A191,'Risk Register'!$B$2:$I$1000,8,FALSE()),""))</f>
        <v/>
      </c>
      <c r="P191" s="66"/>
      <c r="Q191" s="66"/>
      <c r="R191" s="66"/>
      <c r="S191" s="66"/>
      <c r="T191" s="64" t="str">
        <f>IF(OR($B191="", $P191="", $Q191="", $R191="", $S191=""),"",ROUND(($P191*Lists!$AN$7)+($Q191*Lists!$AN$8)+($R191*Lists!$AN$9)+($S191*Lists!$AN$10),2))</f>
        <v/>
      </c>
      <c r="U191" s="66"/>
      <c r="V191" s="66"/>
      <c r="W191" s="66"/>
      <c r="X191" s="66"/>
      <c r="Y191" s="66"/>
      <c r="Z191" s="64" t="str">
        <f>IF(OR($B191="", $U191="", $V191="", $W191="", $X191="", $Y191=""),"",ROUND(($U191*Lists!$AN$11)+($V191*Lists!$AN$12)+($W191*Lists!$AN$13)+($X191*Lists!$AN$14)+($Y191*Lists!$AN$15),2))</f>
        <v/>
      </c>
      <c r="AA191" s="64" t="str">
        <f>IF(OR($B191="", $N191="", $O191="", $T191="", $Z191=""),"",ROUND(($N191*Lists!$AN$16)-($O191*Lists!$AN$17)-($T191*Lists!$AN$18)+($Z191*Lists!$AN$19),2))</f>
        <v/>
      </c>
      <c r="AB191" s="63" t="str">
        <f t="shared" si="9"/>
        <v/>
      </c>
      <c r="AC191" s="63" t="str">
        <f t="shared" si="10"/>
        <v/>
      </c>
      <c r="AD191" s="63" t="str">
        <f>IF($A191="","",IFERROR(IF(VLOOKUP($A191,'Risk Register'!$B$2:$H$1000,4,FALSE())&gt;=4,"Yes",""),""))</f>
        <v/>
      </c>
      <c r="AE191" s="63" t="str">
        <f t="shared" si="11"/>
        <v/>
      </c>
      <c r="AF191" s="62"/>
      <c r="AG191" s="62"/>
      <c r="AH191" s="62"/>
      <c r="AI191" s="62"/>
      <c r="AJ191" s="62"/>
      <c r="AK191" s="62"/>
      <c r="AL191" s="62"/>
      <c r="AM191" s="62"/>
      <c r="AN191" s="62"/>
      <c r="AO191" s="62"/>
      <c r="AP191" s="62"/>
      <c r="AQ191" s="80"/>
    </row>
    <row r="192" spans="1:43" ht="15.75" customHeight="1" x14ac:dyDescent="0.2">
      <c r="A192" s="63" t="str">
        <f t="shared" si="8"/>
        <v/>
      </c>
      <c r="B192" s="62"/>
      <c r="C192" s="62"/>
      <c r="D192" s="62"/>
      <c r="E192" s="62"/>
      <c r="F192" s="62"/>
      <c r="G192" s="62"/>
      <c r="H192" s="62"/>
      <c r="I192" s="66"/>
      <c r="J192" s="66"/>
      <c r="K192" s="66"/>
      <c r="L192" s="66"/>
      <c r="M192" s="66"/>
      <c r="N192" s="64" t="str">
        <f>IF(OR($B192="", $I192="", $J192="", $K192="", $L192="", $M192=""),"",ROUND(($I192*Lists!$AN$2)+($J192*Lists!$AN$3)+($K192*Lists!$AN$4)+($L192*Lists!$AN$5)+($M192*Lists!$AN$6),2))</f>
        <v/>
      </c>
      <c r="O192" s="64" t="str">
        <f>IF($A192="","",IFERROR(VLOOKUP($A192,'Risk Register'!$B$2:$I$1000,8,FALSE()),""))</f>
        <v/>
      </c>
      <c r="P192" s="66"/>
      <c r="Q192" s="66"/>
      <c r="R192" s="66"/>
      <c r="S192" s="66"/>
      <c r="T192" s="64" t="str">
        <f>IF(OR($B192="", $P192="", $Q192="", $R192="", $S192=""),"",ROUND(($P192*Lists!$AN$7)+($Q192*Lists!$AN$8)+($R192*Lists!$AN$9)+($S192*Lists!$AN$10),2))</f>
        <v/>
      </c>
      <c r="U192" s="66"/>
      <c r="V192" s="66"/>
      <c r="W192" s="66"/>
      <c r="X192" s="66"/>
      <c r="Y192" s="66"/>
      <c r="Z192" s="64" t="str">
        <f>IF(OR($B192="", $U192="", $V192="", $W192="", $X192="", $Y192=""),"",ROUND(($U192*Lists!$AN$11)+($V192*Lists!$AN$12)+($W192*Lists!$AN$13)+($X192*Lists!$AN$14)+($Y192*Lists!$AN$15),2))</f>
        <v/>
      </c>
      <c r="AA192" s="64" t="str">
        <f>IF(OR($B192="", $N192="", $O192="", $T192="", $Z192=""),"",ROUND(($N192*Lists!$AN$16)-($O192*Lists!$AN$17)-($T192*Lists!$AN$18)+($Z192*Lists!$AN$19),2))</f>
        <v/>
      </c>
      <c r="AB192" s="63" t="str">
        <f t="shared" si="9"/>
        <v/>
      </c>
      <c r="AC192" s="63" t="str">
        <f t="shared" si="10"/>
        <v/>
      </c>
      <c r="AD192" s="63" t="str">
        <f>IF($A192="","",IFERROR(IF(VLOOKUP($A192,'Risk Register'!$B$2:$H$1000,4,FALSE())&gt;=4,"Yes",""),""))</f>
        <v/>
      </c>
      <c r="AE192" s="63" t="str">
        <f t="shared" si="11"/>
        <v/>
      </c>
      <c r="AF192" s="62"/>
      <c r="AG192" s="62"/>
      <c r="AH192" s="62"/>
      <c r="AI192" s="62"/>
      <c r="AJ192" s="62"/>
      <c r="AK192" s="62"/>
      <c r="AL192" s="62"/>
      <c r="AM192" s="62"/>
      <c r="AN192" s="62"/>
      <c r="AO192" s="62"/>
      <c r="AP192" s="62"/>
      <c r="AQ192" s="80"/>
    </row>
    <row r="193" spans="1:43" ht="15.75" customHeight="1" x14ac:dyDescent="0.2">
      <c r="A193" s="63" t="str">
        <f t="shared" si="8"/>
        <v/>
      </c>
      <c r="B193" s="62"/>
      <c r="C193" s="62"/>
      <c r="D193" s="62"/>
      <c r="E193" s="62"/>
      <c r="F193" s="62"/>
      <c r="G193" s="62"/>
      <c r="H193" s="62"/>
      <c r="I193" s="66"/>
      <c r="J193" s="66"/>
      <c r="K193" s="66"/>
      <c r="L193" s="66"/>
      <c r="M193" s="66"/>
      <c r="N193" s="64" t="str">
        <f>IF(OR($B193="", $I193="", $J193="", $K193="", $L193="", $M193=""),"",ROUND(($I193*Lists!$AN$2)+($J193*Lists!$AN$3)+($K193*Lists!$AN$4)+($L193*Lists!$AN$5)+($M193*Lists!$AN$6),2))</f>
        <v/>
      </c>
      <c r="O193" s="64" t="str">
        <f>IF($A193="","",IFERROR(VLOOKUP($A193,'Risk Register'!$B$2:$I$1000,8,FALSE()),""))</f>
        <v/>
      </c>
      <c r="P193" s="66"/>
      <c r="Q193" s="66"/>
      <c r="R193" s="66"/>
      <c r="S193" s="66"/>
      <c r="T193" s="64" t="str">
        <f>IF(OR($B193="", $P193="", $Q193="", $R193="", $S193=""),"",ROUND(($P193*Lists!$AN$7)+($Q193*Lists!$AN$8)+($R193*Lists!$AN$9)+($S193*Lists!$AN$10),2))</f>
        <v/>
      </c>
      <c r="U193" s="66"/>
      <c r="V193" s="66"/>
      <c r="W193" s="66"/>
      <c r="X193" s="66"/>
      <c r="Y193" s="66"/>
      <c r="Z193" s="64" t="str">
        <f>IF(OR($B193="", $U193="", $V193="", $W193="", $X193="", $Y193=""),"",ROUND(($U193*Lists!$AN$11)+($V193*Lists!$AN$12)+($W193*Lists!$AN$13)+($X193*Lists!$AN$14)+($Y193*Lists!$AN$15),2))</f>
        <v/>
      </c>
      <c r="AA193" s="64" t="str">
        <f>IF(OR($B193="", $N193="", $O193="", $T193="", $Z193=""),"",ROUND(($N193*Lists!$AN$16)-($O193*Lists!$AN$17)-($T193*Lists!$AN$18)+($Z193*Lists!$AN$19),2))</f>
        <v/>
      </c>
      <c r="AB193" s="63" t="str">
        <f t="shared" si="9"/>
        <v/>
      </c>
      <c r="AC193" s="63" t="str">
        <f t="shared" si="10"/>
        <v/>
      </c>
      <c r="AD193" s="63" t="str">
        <f>IF($A193="","",IFERROR(IF(VLOOKUP($A193,'Risk Register'!$B$2:$H$1000,4,FALSE())&gt;=4,"Yes",""),""))</f>
        <v/>
      </c>
      <c r="AE193" s="63" t="str">
        <f t="shared" si="11"/>
        <v/>
      </c>
      <c r="AF193" s="62"/>
      <c r="AG193" s="62"/>
      <c r="AH193" s="62"/>
      <c r="AI193" s="62"/>
      <c r="AJ193" s="62"/>
      <c r="AK193" s="62"/>
      <c r="AL193" s="62"/>
      <c r="AM193" s="62"/>
      <c r="AN193" s="62"/>
      <c r="AO193" s="62"/>
      <c r="AP193" s="62"/>
      <c r="AQ193" s="80"/>
    </row>
    <row r="194" spans="1:43" ht="15.75" customHeight="1" x14ac:dyDescent="0.2">
      <c r="A194" s="63" t="str">
        <f t="shared" si="8"/>
        <v/>
      </c>
      <c r="B194" s="62"/>
      <c r="C194" s="62"/>
      <c r="D194" s="62"/>
      <c r="E194" s="62"/>
      <c r="F194" s="62"/>
      <c r="G194" s="62"/>
      <c r="H194" s="62"/>
      <c r="I194" s="66"/>
      <c r="J194" s="66"/>
      <c r="K194" s="66"/>
      <c r="L194" s="66"/>
      <c r="M194" s="66"/>
      <c r="N194" s="64" t="str">
        <f>IF(OR($B194="", $I194="", $J194="", $K194="", $L194="", $M194=""),"",ROUND(($I194*Lists!$AN$2)+($J194*Lists!$AN$3)+($K194*Lists!$AN$4)+($L194*Lists!$AN$5)+($M194*Lists!$AN$6),2))</f>
        <v/>
      </c>
      <c r="O194" s="64" t="str">
        <f>IF($A194="","",IFERROR(VLOOKUP($A194,'Risk Register'!$B$2:$I$1000,8,FALSE()),""))</f>
        <v/>
      </c>
      <c r="P194" s="66"/>
      <c r="Q194" s="66"/>
      <c r="R194" s="66"/>
      <c r="S194" s="66"/>
      <c r="T194" s="64" t="str">
        <f>IF(OR($B194="", $P194="", $Q194="", $R194="", $S194=""),"",ROUND(($P194*Lists!$AN$7)+($Q194*Lists!$AN$8)+($R194*Lists!$AN$9)+($S194*Lists!$AN$10),2))</f>
        <v/>
      </c>
      <c r="U194" s="66"/>
      <c r="V194" s="66"/>
      <c r="W194" s="66"/>
      <c r="X194" s="66"/>
      <c r="Y194" s="66"/>
      <c r="Z194" s="64" t="str">
        <f>IF(OR($B194="", $U194="", $V194="", $W194="", $X194="", $Y194=""),"",ROUND(($U194*Lists!$AN$11)+($V194*Lists!$AN$12)+($W194*Lists!$AN$13)+($X194*Lists!$AN$14)+($Y194*Lists!$AN$15),2))</f>
        <v/>
      </c>
      <c r="AA194" s="64" t="str">
        <f>IF(OR($B194="", $N194="", $O194="", $T194="", $Z194=""),"",ROUND(($N194*Lists!$AN$16)-($O194*Lists!$AN$17)-($T194*Lists!$AN$18)+($Z194*Lists!$AN$19),2))</f>
        <v/>
      </c>
      <c r="AB194" s="63" t="str">
        <f t="shared" si="9"/>
        <v/>
      </c>
      <c r="AC194" s="63" t="str">
        <f t="shared" si="10"/>
        <v/>
      </c>
      <c r="AD194" s="63" t="str">
        <f>IF($A194="","",IFERROR(IF(VLOOKUP($A194,'Risk Register'!$B$2:$H$1000,4,FALSE())&gt;=4,"Yes",""),""))</f>
        <v/>
      </c>
      <c r="AE194" s="63" t="str">
        <f t="shared" si="11"/>
        <v/>
      </c>
      <c r="AF194" s="62"/>
      <c r="AG194" s="62"/>
      <c r="AH194" s="62"/>
      <c r="AI194" s="62"/>
      <c r="AJ194" s="62"/>
      <c r="AK194" s="62"/>
      <c r="AL194" s="62"/>
      <c r="AM194" s="62"/>
      <c r="AN194" s="62"/>
      <c r="AO194" s="62"/>
      <c r="AP194" s="62"/>
      <c r="AQ194" s="80"/>
    </row>
    <row r="195" spans="1:43" ht="15.75" customHeight="1" x14ac:dyDescent="0.2">
      <c r="A195" s="63" t="str">
        <f t="shared" si="8"/>
        <v/>
      </c>
      <c r="B195" s="62"/>
      <c r="C195" s="62"/>
      <c r="D195" s="62"/>
      <c r="E195" s="62"/>
      <c r="F195" s="62"/>
      <c r="G195" s="62"/>
      <c r="H195" s="62"/>
      <c r="I195" s="66"/>
      <c r="J195" s="66"/>
      <c r="K195" s="66"/>
      <c r="L195" s="66"/>
      <c r="M195" s="66"/>
      <c r="N195" s="64" t="str">
        <f>IF(OR($B195="", $I195="", $J195="", $K195="", $L195="", $M195=""),"",ROUND(($I195*Lists!$AN$2)+($J195*Lists!$AN$3)+($K195*Lists!$AN$4)+($L195*Lists!$AN$5)+($M195*Lists!$AN$6),2))</f>
        <v/>
      </c>
      <c r="O195" s="64" t="str">
        <f>IF($A195="","",IFERROR(VLOOKUP($A195,'Risk Register'!$B$2:$I$1000,8,FALSE()),""))</f>
        <v/>
      </c>
      <c r="P195" s="66"/>
      <c r="Q195" s="66"/>
      <c r="R195" s="66"/>
      <c r="S195" s="66"/>
      <c r="T195" s="64" t="str">
        <f>IF(OR($B195="", $P195="", $Q195="", $R195="", $S195=""),"",ROUND(($P195*Lists!$AN$7)+($Q195*Lists!$AN$8)+($R195*Lists!$AN$9)+($S195*Lists!$AN$10),2))</f>
        <v/>
      </c>
      <c r="U195" s="66"/>
      <c r="V195" s="66"/>
      <c r="W195" s="66"/>
      <c r="X195" s="66"/>
      <c r="Y195" s="66"/>
      <c r="Z195" s="64" t="str">
        <f>IF(OR($B195="", $U195="", $V195="", $W195="", $X195="", $Y195=""),"",ROUND(($U195*Lists!$AN$11)+($V195*Lists!$AN$12)+($W195*Lists!$AN$13)+($X195*Lists!$AN$14)+($Y195*Lists!$AN$15),2))</f>
        <v/>
      </c>
      <c r="AA195" s="64" t="str">
        <f>IF(OR($B195="", $N195="", $O195="", $T195="", $Z195=""),"",ROUND(($N195*Lists!$AN$16)-($O195*Lists!$AN$17)-($T195*Lists!$AN$18)+($Z195*Lists!$AN$19),2))</f>
        <v/>
      </c>
      <c r="AB195" s="63" t="str">
        <f t="shared" si="9"/>
        <v/>
      </c>
      <c r="AC195" s="63" t="str">
        <f t="shared" si="10"/>
        <v/>
      </c>
      <c r="AD195" s="63" t="str">
        <f>IF($A195="","",IFERROR(IF(VLOOKUP($A195,'Risk Register'!$B$2:$H$1000,4,FALSE())&gt;=4,"Yes",""),""))</f>
        <v/>
      </c>
      <c r="AE195" s="63" t="str">
        <f t="shared" si="11"/>
        <v/>
      </c>
      <c r="AF195" s="62"/>
      <c r="AG195" s="62"/>
      <c r="AH195" s="62"/>
      <c r="AI195" s="62"/>
      <c r="AJ195" s="62"/>
      <c r="AK195" s="62"/>
      <c r="AL195" s="62"/>
      <c r="AM195" s="62"/>
      <c r="AN195" s="62"/>
      <c r="AO195" s="62"/>
      <c r="AP195" s="62"/>
      <c r="AQ195" s="80"/>
    </row>
    <row r="196" spans="1:43" ht="15.75" customHeight="1" x14ac:dyDescent="0.2">
      <c r="A196" s="63" t="str">
        <f t="shared" si="8"/>
        <v/>
      </c>
      <c r="B196" s="62"/>
      <c r="C196" s="62"/>
      <c r="D196" s="62"/>
      <c r="E196" s="62"/>
      <c r="F196" s="62"/>
      <c r="G196" s="62"/>
      <c r="H196" s="62"/>
      <c r="I196" s="66"/>
      <c r="J196" s="66"/>
      <c r="K196" s="66"/>
      <c r="L196" s="66"/>
      <c r="M196" s="66"/>
      <c r="N196" s="64" t="str">
        <f>IF(OR($B196="", $I196="", $J196="", $K196="", $L196="", $M196=""),"",ROUND(($I196*Lists!$AN$2)+($J196*Lists!$AN$3)+($K196*Lists!$AN$4)+($L196*Lists!$AN$5)+($M196*Lists!$AN$6),2))</f>
        <v/>
      </c>
      <c r="O196" s="64" t="str">
        <f>IF($A196="","",IFERROR(VLOOKUP($A196,'Risk Register'!$B$2:$I$1000,8,FALSE()),""))</f>
        <v/>
      </c>
      <c r="P196" s="66"/>
      <c r="Q196" s="66"/>
      <c r="R196" s="66"/>
      <c r="S196" s="66"/>
      <c r="T196" s="64" t="str">
        <f>IF(OR($B196="", $P196="", $Q196="", $R196="", $S196=""),"",ROUND(($P196*Lists!$AN$7)+($Q196*Lists!$AN$8)+($R196*Lists!$AN$9)+($S196*Lists!$AN$10),2))</f>
        <v/>
      </c>
      <c r="U196" s="66"/>
      <c r="V196" s="66"/>
      <c r="W196" s="66"/>
      <c r="X196" s="66"/>
      <c r="Y196" s="66"/>
      <c r="Z196" s="64" t="str">
        <f>IF(OR($B196="", $U196="", $V196="", $W196="", $X196="", $Y196=""),"",ROUND(($U196*Lists!$AN$11)+($V196*Lists!$AN$12)+($W196*Lists!$AN$13)+($X196*Lists!$AN$14)+($Y196*Lists!$AN$15),2))</f>
        <v/>
      </c>
      <c r="AA196" s="64" t="str">
        <f>IF(OR($B196="", $N196="", $O196="", $T196="", $Z196=""),"",ROUND(($N196*Lists!$AN$16)-($O196*Lists!$AN$17)-($T196*Lists!$AN$18)+($Z196*Lists!$AN$19),2))</f>
        <v/>
      </c>
      <c r="AB196" s="63" t="str">
        <f t="shared" si="9"/>
        <v/>
      </c>
      <c r="AC196" s="63" t="str">
        <f t="shared" si="10"/>
        <v/>
      </c>
      <c r="AD196" s="63" t="str">
        <f>IF($A196="","",IFERROR(IF(VLOOKUP($A196,'Risk Register'!$B$2:$H$1000,4,FALSE())&gt;=4,"Yes",""),""))</f>
        <v/>
      </c>
      <c r="AE196" s="63" t="str">
        <f t="shared" si="11"/>
        <v/>
      </c>
      <c r="AF196" s="62"/>
      <c r="AG196" s="62"/>
      <c r="AH196" s="62"/>
      <c r="AI196" s="62"/>
      <c r="AJ196" s="62"/>
      <c r="AK196" s="62"/>
      <c r="AL196" s="62"/>
      <c r="AM196" s="62"/>
      <c r="AN196" s="62"/>
      <c r="AO196" s="62"/>
      <c r="AP196" s="62"/>
      <c r="AQ196" s="80"/>
    </row>
    <row r="197" spans="1:43" ht="15.75" customHeight="1" x14ac:dyDescent="0.2">
      <c r="A197" s="63" t="str">
        <f t="shared" si="8"/>
        <v/>
      </c>
      <c r="B197" s="62"/>
      <c r="C197" s="62"/>
      <c r="D197" s="62"/>
      <c r="E197" s="62"/>
      <c r="F197" s="62"/>
      <c r="G197" s="62"/>
      <c r="H197" s="62"/>
      <c r="I197" s="66"/>
      <c r="J197" s="66"/>
      <c r="K197" s="66"/>
      <c r="L197" s="66"/>
      <c r="M197" s="66"/>
      <c r="N197" s="64" t="str">
        <f>IF(OR($B197="", $I197="", $J197="", $K197="", $L197="", $M197=""),"",ROUND(($I197*Lists!$AN$2)+($J197*Lists!$AN$3)+($K197*Lists!$AN$4)+($L197*Lists!$AN$5)+($M197*Lists!$AN$6),2))</f>
        <v/>
      </c>
      <c r="O197" s="64" t="str">
        <f>IF($A197="","",IFERROR(VLOOKUP($A197,'Risk Register'!$B$2:$I$1000,8,FALSE()),""))</f>
        <v/>
      </c>
      <c r="P197" s="66"/>
      <c r="Q197" s="66"/>
      <c r="R197" s="66"/>
      <c r="S197" s="66"/>
      <c r="T197" s="64" t="str">
        <f>IF(OR($B197="", $P197="", $Q197="", $R197="", $S197=""),"",ROUND(($P197*Lists!$AN$7)+($Q197*Lists!$AN$8)+($R197*Lists!$AN$9)+($S197*Lists!$AN$10),2))</f>
        <v/>
      </c>
      <c r="U197" s="66"/>
      <c r="V197" s="66"/>
      <c r="W197" s="66"/>
      <c r="X197" s="66"/>
      <c r="Y197" s="66"/>
      <c r="Z197" s="64" t="str">
        <f>IF(OR($B197="", $U197="", $V197="", $W197="", $X197="", $Y197=""),"",ROUND(($U197*Lists!$AN$11)+($V197*Lists!$AN$12)+($W197*Lists!$AN$13)+($X197*Lists!$AN$14)+($Y197*Lists!$AN$15),2))</f>
        <v/>
      </c>
      <c r="AA197" s="64" t="str">
        <f>IF(OR($B197="", $N197="", $O197="", $T197="", $Z197=""),"",ROUND(($N197*Lists!$AN$16)-($O197*Lists!$AN$17)-($T197*Lists!$AN$18)+($Z197*Lists!$AN$19),2))</f>
        <v/>
      </c>
      <c r="AB197" s="63" t="str">
        <f t="shared" si="9"/>
        <v/>
      </c>
      <c r="AC197" s="63" t="str">
        <f t="shared" si="10"/>
        <v/>
      </c>
      <c r="AD197" s="63" t="str">
        <f>IF($A197="","",IFERROR(IF(VLOOKUP($A197,'Risk Register'!$B$2:$H$1000,4,FALSE())&gt;=4,"Yes",""),""))</f>
        <v/>
      </c>
      <c r="AE197" s="63" t="str">
        <f t="shared" si="11"/>
        <v/>
      </c>
      <c r="AF197" s="62"/>
      <c r="AG197" s="62"/>
      <c r="AH197" s="62"/>
      <c r="AI197" s="62"/>
      <c r="AJ197" s="62"/>
      <c r="AK197" s="62"/>
      <c r="AL197" s="62"/>
      <c r="AM197" s="62"/>
      <c r="AN197" s="62"/>
      <c r="AO197" s="62"/>
      <c r="AP197" s="62"/>
      <c r="AQ197" s="80"/>
    </row>
    <row r="198" spans="1:43" ht="15.75" customHeight="1" x14ac:dyDescent="0.2">
      <c r="A198" s="63" t="str">
        <f t="shared" si="8"/>
        <v/>
      </c>
      <c r="B198" s="62"/>
      <c r="C198" s="62"/>
      <c r="D198" s="62"/>
      <c r="E198" s="62"/>
      <c r="F198" s="62"/>
      <c r="G198" s="62"/>
      <c r="H198" s="62"/>
      <c r="I198" s="66"/>
      <c r="J198" s="66"/>
      <c r="K198" s="66"/>
      <c r="L198" s="66"/>
      <c r="M198" s="66"/>
      <c r="N198" s="64" t="str">
        <f>IF(OR($B198="", $I198="", $J198="", $K198="", $L198="", $M198=""),"",ROUND(($I198*Lists!$AN$2)+($J198*Lists!$AN$3)+($K198*Lists!$AN$4)+($L198*Lists!$AN$5)+($M198*Lists!$AN$6),2))</f>
        <v/>
      </c>
      <c r="O198" s="64" t="str">
        <f>IF($A198="","",IFERROR(VLOOKUP($A198,'Risk Register'!$B$2:$I$1000,8,FALSE()),""))</f>
        <v/>
      </c>
      <c r="P198" s="66"/>
      <c r="Q198" s="66"/>
      <c r="R198" s="66"/>
      <c r="S198" s="66"/>
      <c r="T198" s="64" t="str">
        <f>IF(OR($B198="", $P198="", $Q198="", $R198="", $S198=""),"",ROUND(($P198*Lists!$AN$7)+($Q198*Lists!$AN$8)+($R198*Lists!$AN$9)+($S198*Lists!$AN$10),2))</f>
        <v/>
      </c>
      <c r="U198" s="66"/>
      <c r="V198" s="66"/>
      <c r="W198" s="66"/>
      <c r="X198" s="66"/>
      <c r="Y198" s="66"/>
      <c r="Z198" s="64" t="str">
        <f>IF(OR($B198="", $U198="", $V198="", $W198="", $X198="", $Y198=""),"",ROUND(($U198*Lists!$AN$11)+($V198*Lists!$AN$12)+($W198*Lists!$AN$13)+($X198*Lists!$AN$14)+($Y198*Lists!$AN$15),2))</f>
        <v/>
      </c>
      <c r="AA198" s="64" t="str">
        <f>IF(OR($B198="", $N198="", $O198="", $T198="", $Z198=""),"",ROUND(($N198*Lists!$AN$16)-($O198*Lists!$AN$17)-($T198*Lists!$AN$18)+($Z198*Lists!$AN$19),2))</f>
        <v/>
      </c>
      <c r="AB198" s="63" t="str">
        <f t="shared" si="9"/>
        <v/>
      </c>
      <c r="AC198" s="63" t="str">
        <f t="shared" si="10"/>
        <v/>
      </c>
      <c r="AD198" s="63" t="str">
        <f>IF($A198="","",IFERROR(IF(VLOOKUP($A198,'Risk Register'!$B$2:$H$1000,4,FALSE())&gt;=4,"Yes",""),""))</f>
        <v/>
      </c>
      <c r="AE198" s="63" t="str">
        <f t="shared" si="11"/>
        <v/>
      </c>
      <c r="AF198" s="62"/>
      <c r="AG198" s="62"/>
      <c r="AH198" s="62"/>
      <c r="AI198" s="62"/>
      <c r="AJ198" s="62"/>
      <c r="AK198" s="62"/>
      <c r="AL198" s="62"/>
      <c r="AM198" s="62"/>
      <c r="AN198" s="62"/>
      <c r="AO198" s="62"/>
      <c r="AP198" s="62"/>
      <c r="AQ198" s="80"/>
    </row>
    <row r="199" spans="1:43" ht="15.75" customHeight="1" x14ac:dyDescent="0.2">
      <c r="A199" s="63" t="str">
        <f t="shared" si="8"/>
        <v/>
      </c>
      <c r="B199" s="62"/>
      <c r="C199" s="62"/>
      <c r="D199" s="62"/>
      <c r="E199" s="62"/>
      <c r="F199" s="62"/>
      <c r="G199" s="62"/>
      <c r="H199" s="62"/>
      <c r="I199" s="66"/>
      <c r="J199" s="66"/>
      <c r="K199" s="66"/>
      <c r="L199" s="66"/>
      <c r="M199" s="66"/>
      <c r="N199" s="64" t="str">
        <f>IF(OR($B199="", $I199="", $J199="", $K199="", $L199="", $M199=""),"",ROUND(($I199*Lists!$AN$2)+($J199*Lists!$AN$3)+($K199*Lists!$AN$4)+($L199*Lists!$AN$5)+($M199*Lists!$AN$6),2))</f>
        <v/>
      </c>
      <c r="O199" s="64" t="str">
        <f>IF($A199="","",IFERROR(VLOOKUP($A199,'Risk Register'!$B$2:$I$1000,8,FALSE()),""))</f>
        <v/>
      </c>
      <c r="P199" s="66"/>
      <c r="Q199" s="66"/>
      <c r="R199" s="66"/>
      <c r="S199" s="66"/>
      <c r="T199" s="64" t="str">
        <f>IF(OR($B199="", $P199="", $Q199="", $R199="", $S199=""),"",ROUND(($P199*Lists!$AN$7)+($Q199*Lists!$AN$8)+($R199*Lists!$AN$9)+($S199*Lists!$AN$10),2))</f>
        <v/>
      </c>
      <c r="U199" s="66"/>
      <c r="V199" s="66"/>
      <c r="W199" s="66"/>
      <c r="X199" s="66"/>
      <c r="Y199" s="66"/>
      <c r="Z199" s="64" t="str">
        <f>IF(OR($B199="", $U199="", $V199="", $W199="", $X199="", $Y199=""),"",ROUND(($U199*Lists!$AN$11)+($V199*Lists!$AN$12)+($W199*Lists!$AN$13)+($X199*Lists!$AN$14)+($Y199*Lists!$AN$15),2))</f>
        <v/>
      </c>
      <c r="AA199" s="64" t="str">
        <f>IF(OR($B199="", $N199="", $O199="", $T199="", $Z199=""),"",ROUND(($N199*Lists!$AN$16)-($O199*Lists!$AN$17)-($T199*Lists!$AN$18)+($Z199*Lists!$AN$19),2))</f>
        <v/>
      </c>
      <c r="AB199" s="63" t="str">
        <f t="shared" si="9"/>
        <v/>
      </c>
      <c r="AC199" s="63" t="str">
        <f t="shared" si="10"/>
        <v/>
      </c>
      <c r="AD199" s="63" t="str">
        <f>IF($A199="","",IFERROR(IF(VLOOKUP($A199,'Risk Register'!$B$2:$H$1000,4,FALSE())&gt;=4,"Yes",""),""))</f>
        <v/>
      </c>
      <c r="AE199" s="63" t="str">
        <f t="shared" si="11"/>
        <v/>
      </c>
      <c r="AF199" s="62"/>
      <c r="AG199" s="62"/>
      <c r="AH199" s="62"/>
      <c r="AI199" s="62"/>
      <c r="AJ199" s="62"/>
      <c r="AK199" s="62"/>
      <c r="AL199" s="62"/>
      <c r="AM199" s="62"/>
      <c r="AN199" s="62"/>
      <c r="AO199" s="62"/>
      <c r="AP199" s="62"/>
      <c r="AQ199" s="80"/>
    </row>
    <row r="200" spans="1:43" ht="15.75" customHeight="1" x14ac:dyDescent="0.2">
      <c r="A200" s="63" t="str">
        <f t="shared" si="8"/>
        <v/>
      </c>
      <c r="B200" s="62"/>
      <c r="C200" s="62"/>
      <c r="D200" s="62"/>
      <c r="E200" s="62"/>
      <c r="F200" s="62"/>
      <c r="G200" s="62"/>
      <c r="H200" s="62"/>
      <c r="I200" s="66"/>
      <c r="J200" s="66"/>
      <c r="K200" s="66"/>
      <c r="L200" s="66"/>
      <c r="M200" s="66"/>
      <c r="N200" s="64" t="str">
        <f>IF(OR($B200="", $I200="", $J200="", $K200="", $L200="", $M200=""),"",ROUND(($I200*Lists!$AN$2)+($J200*Lists!$AN$3)+($K200*Lists!$AN$4)+($L200*Lists!$AN$5)+($M200*Lists!$AN$6),2))</f>
        <v/>
      </c>
      <c r="O200" s="64" t="str">
        <f>IF($A200="","",IFERROR(VLOOKUP($A200,'Risk Register'!$B$2:$I$1000,8,FALSE()),""))</f>
        <v/>
      </c>
      <c r="P200" s="66"/>
      <c r="Q200" s="66"/>
      <c r="R200" s="66"/>
      <c r="S200" s="66"/>
      <c r="T200" s="64" t="str">
        <f>IF(OR($B200="", $P200="", $Q200="", $R200="", $S200=""),"",ROUND(($P200*Lists!$AN$7)+($Q200*Lists!$AN$8)+($R200*Lists!$AN$9)+($S200*Lists!$AN$10),2))</f>
        <v/>
      </c>
      <c r="U200" s="66"/>
      <c r="V200" s="66"/>
      <c r="W200" s="66"/>
      <c r="X200" s="66"/>
      <c r="Y200" s="66"/>
      <c r="Z200" s="64" t="str">
        <f>IF(OR($B200="", $U200="", $V200="", $W200="", $X200="", $Y200=""),"",ROUND(($U200*Lists!$AN$11)+($V200*Lists!$AN$12)+($W200*Lists!$AN$13)+($X200*Lists!$AN$14)+($Y200*Lists!$AN$15),2))</f>
        <v/>
      </c>
      <c r="AA200" s="64" t="str">
        <f>IF(OR($B200="", $N200="", $O200="", $T200="", $Z200=""),"",ROUND(($N200*Lists!$AN$16)-($O200*Lists!$AN$17)-($T200*Lists!$AN$18)+($Z200*Lists!$AN$19),2))</f>
        <v/>
      </c>
      <c r="AB200" s="63" t="str">
        <f t="shared" si="9"/>
        <v/>
      </c>
      <c r="AC200" s="63" t="str">
        <f t="shared" si="10"/>
        <v/>
      </c>
      <c r="AD200" s="63" t="str">
        <f>IF($A200="","",IFERROR(IF(VLOOKUP($A200,'Risk Register'!$B$2:$H$1000,4,FALSE())&gt;=4,"Yes",""),""))</f>
        <v/>
      </c>
      <c r="AE200" s="63" t="str">
        <f t="shared" si="11"/>
        <v/>
      </c>
      <c r="AF200" s="62"/>
      <c r="AG200" s="62"/>
      <c r="AH200" s="62"/>
      <c r="AI200" s="62"/>
      <c r="AJ200" s="62"/>
      <c r="AK200" s="62"/>
      <c r="AL200" s="62"/>
      <c r="AM200" s="62"/>
      <c r="AN200" s="62"/>
      <c r="AO200" s="62"/>
      <c r="AP200" s="62"/>
      <c r="AQ200" s="80"/>
    </row>
    <row r="201" spans="1:43" ht="15.75" customHeight="1" x14ac:dyDescent="0.2">
      <c r="A201" s="63" t="str">
        <f t="shared" si="8"/>
        <v/>
      </c>
      <c r="B201" s="62"/>
      <c r="C201" s="62"/>
      <c r="D201" s="62"/>
      <c r="E201" s="62"/>
      <c r="F201" s="62"/>
      <c r="G201" s="62"/>
      <c r="H201" s="62"/>
      <c r="I201" s="66"/>
      <c r="J201" s="66"/>
      <c r="K201" s="66"/>
      <c r="L201" s="66"/>
      <c r="M201" s="66"/>
      <c r="N201" s="64" t="str">
        <f>IF(OR($B201="", $I201="", $J201="", $K201="", $L201="", $M201=""),"",ROUND(($I201*Lists!$AN$2)+($J201*Lists!$AN$3)+($K201*Lists!$AN$4)+($L201*Lists!$AN$5)+($M201*Lists!$AN$6),2))</f>
        <v/>
      </c>
      <c r="O201" s="64" t="str">
        <f>IF($A201="","",IFERROR(VLOOKUP($A201,'Risk Register'!$B$2:$I$1000,8,FALSE()),""))</f>
        <v/>
      </c>
      <c r="P201" s="66"/>
      <c r="Q201" s="66"/>
      <c r="R201" s="66"/>
      <c r="S201" s="66"/>
      <c r="T201" s="64" t="str">
        <f>IF(OR($B201="", $P201="", $Q201="", $R201="", $S201=""),"",ROUND(($P201*Lists!$AN$7)+($Q201*Lists!$AN$8)+($R201*Lists!$AN$9)+($S201*Lists!$AN$10),2))</f>
        <v/>
      </c>
      <c r="U201" s="66"/>
      <c r="V201" s="66"/>
      <c r="W201" s="66"/>
      <c r="X201" s="66"/>
      <c r="Y201" s="66"/>
      <c r="Z201" s="64" t="str">
        <f>IF(OR($B201="", $U201="", $V201="", $W201="", $X201="", $Y201=""),"",ROUND(($U201*Lists!$AN$11)+($V201*Lists!$AN$12)+($W201*Lists!$AN$13)+($X201*Lists!$AN$14)+($Y201*Lists!$AN$15),2))</f>
        <v/>
      </c>
      <c r="AA201" s="64" t="str">
        <f>IF(OR($B201="", $N201="", $O201="", $T201="", $Z201=""),"",ROUND(($N201*Lists!$AN$16)-($O201*Lists!$AN$17)-($T201*Lists!$AN$18)+($Z201*Lists!$AN$19),2))</f>
        <v/>
      </c>
      <c r="AB201" s="63" t="str">
        <f t="shared" si="9"/>
        <v/>
      </c>
      <c r="AC201" s="63" t="str">
        <f t="shared" si="10"/>
        <v/>
      </c>
      <c r="AD201" s="63" t="str">
        <f>IF($A201="","",IFERROR(IF(VLOOKUP($A201,'Risk Register'!$B$2:$H$1000,4,FALSE())&gt;=4,"Yes",""),""))</f>
        <v/>
      </c>
      <c r="AE201" s="63" t="str">
        <f t="shared" si="11"/>
        <v/>
      </c>
      <c r="AF201" s="62"/>
      <c r="AG201" s="62"/>
      <c r="AH201" s="62"/>
      <c r="AI201" s="62"/>
      <c r="AJ201" s="62"/>
      <c r="AK201" s="62"/>
      <c r="AL201" s="62"/>
      <c r="AM201" s="62"/>
      <c r="AN201" s="62"/>
      <c r="AO201" s="62"/>
      <c r="AP201" s="62"/>
      <c r="AQ201" s="80"/>
    </row>
    <row r="202" spans="1:43" ht="15.75" customHeight="1" x14ac:dyDescent="0.2">
      <c r="A202" s="63" t="str">
        <f t="shared" si="8"/>
        <v/>
      </c>
      <c r="B202" s="62"/>
      <c r="C202" s="62"/>
      <c r="D202" s="62"/>
      <c r="E202" s="62"/>
      <c r="F202" s="62"/>
      <c r="G202" s="62"/>
      <c r="H202" s="62"/>
      <c r="I202" s="66"/>
      <c r="J202" s="66"/>
      <c r="K202" s="66"/>
      <c r="L202" s="66"/>
      <c r="M202" s="66"/>
      <c r="N202" s="64" t="str">
        <f>IF(OR($B202="", $I202="", $J202="", $K202="", $L202="", $M202=""),"",ROUND(($I202*Lists!$AN$2)+($J202*Lists!$AN$3)+($K202*Lists!$AN$4)+($L202*Lists!$AN$5)+($M202*Lists!$AN$6),2))</f>
        <v/>
      </c>
      <c r="O202" s="64" t="str">
        <f>IF($A202="","",IFERROR(VLOOKUP($A202,'Risk Register'!$B$2:$I$1000,8,FALSE()),""))</f>
        <v/>
      </c>
      <c r="P202" s="66"/>
      <c r="Q202" s="66"/>
      <c r="R202" s="66"/>
      <c r="S202" s="66"/>
      <c r="T202" s="64" t="str">
        <f>IF(OR($B202="", $P202="", $Q202="", $R202="", $S202=""),"",ROUND(($P202*Lists!$AN$7)+($Q202*Lists!$AN$8)+($R202*Lists!$AN$9)+($S202*Lists!$AN$10),2))</f>
        <v/>
      </c>
      <c r="U202" s="66"/>
      <c r="V202" s="66"/>
      <c r="W202" s="66"/>
      <c r="X202" s="66"/>
      <c r="Y202" s="66"/>
      <c r="Z202" s="64" t="str">
        <f>IF(OR($B202="", $U202="", $V202="", $W202="", $X202="", $Y202=""),"",ROUND(($U202*Lists!$AN$11)+($V202*Lists!$AN$12)+($W202*Lists!$AN$13)+($X202*Lists!$AN$14)+($Y202*Lists!$AN$15),2))</f>
        <v/>
      </c>
      <c r="AA202" s="64" t="str">
        <f>IF(OR($B202="", $N202="", $O202="", $T202="", $Z202=""),"",ROUND(($N202*Lists!$AN$16)-($O202*Lists!$AN$17)-($T202*Lists!$AN$18)+($Z202*Lists!$AN$19),2))</f>
        <v/>
      </c>
      <c r="AB202" s="63" t="str">
        <f t="shared" si="9"/>
        <v/>
      </c>
      <c r="AC202" s="63" t="str">
        <f t="shared" si="10"/>
        <v/>
      </c>
      <c r="AD202" s="63" t="str">
        <f>IF($A202="","",IFERROR(IF(VLOOKUP($A202,'Risk Register'!$B$2:$H$1000,4,FALSE())&gt;=4,"Yes",""),""))</f>
        <v/>
      </c>
      <c r="AE202" s="63" t="str">
        <f t="shared" si="11"/>
        <v/>
      </c>
      <c r="AF202" s="62"/>
      <c r="AG202" s="62"/>
      <c r="AH202" s="62"/>
      <c r="AI202" s="62"/>
      <c r="AJ202" s="62"/>
      <c r="AK202" s="62"/>
      <c r="AL202" s="62"/>
      <c r="AM202" s="62"/>
      <c r="AN202" s="62"/>
      <c r="AO202" s="62"/>
      <c r="AP202" s="62"/>
      <c r="AQ202" s="80"/>
    </row>
    <row r="203" spans="1:43" ht="15.75" customHeight="1" x14ac:dyDescent="0.2">
      <c r="A203" s="63" t="str">
        <f t="shared" si="8"/>
        <v/>
      </c>
      <c r="B203" s="62"/>
      <c r="C203" s="62"/>
      <c r="D203" s="62"/>
      <c r="E203" s="62"/>
      <c r="F203" s="62"/>
      <c r="G203" s="62"/>
      <c r="H203" s="62"/>
      <c r="I203" s="66"/>
      <c r="J203" s="66"/>
      <c r="K203" s="66"/>
      <c r="L203" s="66"/>
      <c r="M203" s="66"/>
      <c r="N203" s="64" t="str">
        <f>IF(OR($B203="", $I203="", $J203="", $K203="", $L203="", $M203=""),"",ROUND(($I203*Lists!$AN$2)+($J203*Lists!$AN$3)+($K203*Lists!$AN$4)+($L203*Lists!$AN$5)+($M203*Lists!$AN$6),2))</f>
        <v/>
      </c>
      <c r="O203" s="64" t="str">
        <f>IF($A203="","",IFERROR(VLOOKUP($A203,'Risk Register'!$B$2:$I$1000,8,FALSE()),""))</f>
        <v/>
      </c>
      <c r="P203" s="66"/>
      <c r="Q203" s="66"/>
      <c r="R203" s="66"/>
      <c r="S203" s="66"/>
      <c r="T203" s="64" t="str">
        <f>IF(OR($B203="", $P203="", $Q203="", $R203="", $S203=""),"",ROUND(($P203*Lists!$AN$7)+($Q203*Lists!$AN$8)+($R203*Lists!$AN$9)+($S203*Lists!$AN$10),2))</f>
        <v/>
      </c>
      <c r="U203" s="66"/>
      <c r="V203" s="66"/>
      <c r="W203" s="66"/>
      <c r="X203" s="66"/>
      <c r="Y203" s="66"/>
      <c r="Z203" s="64" t="str">
        <f>IF(OR($B203="", $U203="", $V203="", $W203="", $X203="", $Y203=""),"",ROUND(($U203*Lists!$AN$11)+($V203*Lists!$AN$12)+($W203*Lists!$AN$13)+($X203*Lists!$AN$14)+($Y203*Lists!$AN$15),2))</f>
        <v/>
      </c>
      <c r="AA203" s="64" t="str">
        <f>IF(OR($B203="", $N203="", $O203="", $T203="", $Z203=""),"",ROUND(($N203*Lists!$AN$16)-($O203*Lists!$AN$17)-($T203*Lists!$AN$18)+($Z203*Lists!$AN$19),2))</f>
        <v/>
      </c>
      <c r="AB203" s="63" t="str">
        <f t="shared" si="9"/>
        <v/>
      </c>
      <c r="AC203" s="63" t="str">
        <f t="shared" si="10"/>
        <v/>
      </c>
      <c r="AD203" s="63" t="str">
        <f>IF($A203="","",IFERROR(IF(VLOOKUP($A203,'Risk Register'!$B$2:$H$1000,4,FALSE())&gt;=4,"Yes",""),""))</f>
        <v/>
      </c>
      <c r="AE203" s="63" t="str">
        <f t="shared" si="11"/>
        <v/>
      </c>
      <c r="AF203" s="62"/>
      <c r="AG203" s="62"/>
      <c r="AH203" s="62"/>
      <c r="AI203" s="62"/>
      <c r="AJ203" s="62"/>
      <c r="AK203" s="62"/>
      <c r="AL203" s="62"/>
      <c r="AM203" s="62"/>
      <c r="AN203" s="62"/>
      <c r="AO203" s="62"/>
      <c r="AP203" s="62"/>
      <c r="AQ203" s="80"/>
    </row>
    <row r="204" spans="1:43" ht="15.75" customHeight="1" x14ac:dyDescent="0.2">
      <c r="A204" s="63" t="str">
        <f t="shared" si="8"/>
        <v/>
      </c>
      <c r="B204" s="62"/>
      <c r="C204" s="62"/>
      <c r="D204" s="62"/>
      <c r="E204" s="62"/>
      <c r="F204" s="62"/>
      <c r="G204" s="62"/>
      <c r="H204" s="62"/>
      <c r="I204" s="66"/>
      <c r="J204" s="66"/>
      <c r="K204" s="66"/>
      <c r="L204" s="66"/>
      <c r="M204" s="66"/>
      <c r="N204" s="64" t="str">
        <f>IF(OR($B204="", $I204="", $J204="", $K204="", $L204="", $M204=""),"",ROUND(($I204*Lists!$AN$2)+($J204*Lists!$AN$3)+($K204*Lists!$AN$4)+($L204*Lists!$AN$5)+($M204*Lists!$AN$6),2))</f>
        <v/>
      </c>
      <c r="O204" s="64" t="str">
        <f>IF($A204="","",IFERROR(VLOOKUP($A204,'Risk Register'!$B$2:$I$1000,8,FALSE()),""))</f>
        <v/>
      </c>
      <c r="P204" s="66"/>
      <c r="Q204" s="66"/>
      <c r="R204" s="66"/>
      <c r="S204" s="66"/>
      <c r="T204" s="64" t="str">
        <f>IF(OR($B204="", $P204="", $Q204="", $R204="", $S204=""),"",ROUND(($P204*Lists!$AN$7)+($Q204*Lists!$AN$8)+($R204*Lists!$AN$9)+($S204*Lists!$AN$10),2))</f>
        <v/>
      </c>
      <c r="U204" s="66"/>
      <c r="V204" s="66"/>
      <c r="W204" s="66"/>
      <c r="X204" s="66"/>
      <c r="Y204" s="66"/>
      <c r="Z204" s="64" t="str">
        <f>IF(OR($B204="", $U204="", $V204="", $W204="", $X204="", $Y204=""),"",ROUND(($U204*Lists!$AN$11)+($V204*Lists!$AN$12)+($W204*Lists!$AN$13)+($X204*Lists!$AN$14)+($Y204*Lists!$AN$15),2))</f>
        <v/>
      </c>
      <c r="AA204" s="64" t="str">
        <f>IF(OR($B204="", $N204="", $O204="", $T204="", $Z204=""),"",ROUND(($N204*Lists!$AN$16)-($O204*Lists!$AN$17)-($T204*Lists!$AN$18)+($Z204*Lists!$AN$19),2))</f>
        <v/>
      </c>
      <c r="AB204" s="63" t="str">
        <f t="shared" si="9"/>
        <v/>
      </c>
      <c r="AC204" s="63" t="str">
        <f t="shared" si="10"/>
        <v/>
      </c>
      <c r="AD204" s="63" t="str">
        <f>IF($A204="","",IFERROR(IF(VLOOKUP($A204,'Risk Register'!$B$2:$H$1000,4,FALSE())&gt;=4,"Yes",""),""))</f>
        <v/>
      </c>
      <c r="AE204" s="63" t="str">
        <f t="shared" si="11"/>
        <v/>
      </c>
      <c r="AF204" s="62"/>
      <c r="AG204" s="62"/>
      <c r="AH204" s="62"/>
      <c r="AI204" s="62"/>
      <c r="AJ204" s="62"/>
      <c r="AK204" s="62"/>
      <c r="AL204" s="62"/>
      <c r="AM204" s="62"/>
      <c r="AN204" s="62"/>
      <c r="AO204" s="62"/>
      <c r="AP204" s="62"/>
      <c r="AQ204" s="80"/>
    </row>
    <row r="205" spans="1:43" ht="15.75" customHeight="1" x14ac:dyDescent="0.2">
      <c r="A205" s="63" t="str">
        <f t="shared" si="8"/>
        <v/>
      </c>
      <c r="B205" s="62"/>
      <c r="C205" s="62"/>
      <c r="D205" s="62"/>
      <c r="E205" s="62"/>
      <c r="F205" s="62"/>
      <c r="G205" s="62"/>
      <c r="H205" s="62"/>
      <c r="I205" s="66"/>
      <c r="J205" s="66"/>
      <c r="K205" s="66"/>
      <c r="L205" s="66"/>
      <c r="M205" s="66"/>
      <c r="N205" s="64" t="str">
        <f>IF(OR($B205="", $I205="", $J205="", $K205="", $L205="", $M205=""),"",ROUND(($I205*Lists!$AN$2)+($J205*Lists!$AN$3)+($K205*Lists!$AN$4)+($L205*Lists!$AN$5)+($M205*Lists!$AN$6),2))</f>
        <v/>
      </c>
      <c r="O205" s="64" t="str">
        <f>IF($A205="","",IFERROR(VLOOKUP($A205,'Risk Register'!$B$2:$I$1000,8,FALSE()),""))</f>
        <v/>
      </c>
      <c r="P205" s="66"/>
      <c r="Q205" s="66"/>
      <c r="R205" s="66"/>
      <c r="S205" s="66"/>
      <c r="T205" s="64" t="str">
        <f>IF(OR($B205="", $P205="", $Q205="", $R205="", $S205=""),"",ROUND(($P205*Lists!$AN$7)+($Q205*Lists!$AN$8)+($R205*Lists!$AN$9)+($S205*Lists!$AN$10),2))</f>
        <v/>
      </c>
      <c r="U205" s="66"/>
      <c r="V205" s="66"/>
      <c r="W205" s="66"/>
      <c r="X205" s="66"/>
      <c r="Y205" s="66"/>
      <c r="Z205" s="64" t="str">
        <f>IF(OR($B205="", $U205="", $V205="", $W205="", $X205="", $Y205=""),"",ROUND(($U205*Lists!$AN$11)+($V205*Lists!$AN$12)+($W205*Lists!$AN$13)+($X205*Lists!$AN$14)+($Y205*Lists!$AN$15),2))</f>
        <v/>
      </c>
      <c r="AA205" s="64" t="str">
        <f>IF(OR($B205="", $N205="", $O205="", $T205="", $Z205=""),"",ROUND(($N205*Lists!$AN$16)-($O205*Lists!$AN$17)-($T205*Lists!$AN$18)+($Z205*Lists!$AN$19),2))</f>
        <v/>
      </c>
      <c r="AB205" s="63" t="str">
        <f t="shared" si="9"/>
        <v/>
      </c>
      <c r="AC205" s="63" t="str">
        <f t="shared" si="10"/>
        <v/>
      </c>
      <c r="AD205" s="63" t="str">
        <f>IF($A205="","",IFERROR(IF(VLOOKUP($A205,'Risk Register'!$B$2:$H$1000,4,FALSE())&gt;=4,"Yes",""),""))</f>
        <v/>
      </c>
      <c r="AE205" s="63" t="str">
        <f t="shared" si="11"/>
        <v/>
      </c>
      <c r="AF205" s="62"/>
      <c r="AG205" s="62"/>
      <c r="AH205" s="62"/>
      <c r="AI205" s="62"/>
      <c r="AJ205" s="62"/>
      <c r="AK205" s="62"/>
      <c r="AL205" s="62"/>
      <c r="AM205" s="62"/>
      <c r="AN205" s="62"/>
      <c r="AO205" s="62"/>
      <c r="AP205" s="62"/>
      <c r="AQ205" s="80"/>
    </row>
    <row r="206" spans="1:43" ht="15.75" customHeight="1" x14ac:dyDescent="0.2">
      <c r="A206" s="63" t="str">
        <f t="shared" si="8"/>
        <v/>
      </c>
      <c r="B206" s="62"/>
      <c r="C206" s="62"/>
      <c r="D206" s="62"/>
      <c r="E206" s="62"/>
      <c r="F206" s="62"/>
      <c r="G206" s="62"/>
      <c r="H206" s="62"/>
      <c r="I206" s="66"/>
      <c r="J206" s="66"/>
      <c r="K206" s="66"/>
      <c r="L206" s="66"/>
      <c r="M206" s="66"/>
      <c r="N206" s="64" t="str">
        <f>IF(OR($B206="", $I206="", $J206="", $K206="", $L206="", $M206=""),"",ROUND(($I206*Lists!$AN$2)+($J206*Lists!$AN$3)+($K206*Lists!$AN$4)+($L206*Lists!$AN$5)+($M206*Lists!$AN$6),2))</f>
        <v/>
      </c>
      <c r="O206" s="64" t="str">
        <f>IF($A206="","",IFERROR(VLOOKUP($A206,'Risk Register'!$B$2:$I$1000,8,FALSE()),""))</f>
        <v/>
      </c>
      <c r="P206" s="66"/>
      <c r="Q206" s="66"/>
      <c r="R206" s="66"/>
      <c r="S206" s="66"/>
      <c r="T206" s="64" t="str">
        <f>IF(OR($B206="", $P206="", $Q206="", $R206="", $S206=""),"",ROUND(($P206*Lists!$AN$7)+($Q206*Lists!$AN$8)+($R206*Lists!$AN$9)+($S206*Lists!$AN$10),2))</f>
        <v/>
      </c>
      <c r="U206" s="66"/>
      <c r="V206" s="66"/>
      <c r="W206" s="66"/>
      <c r="X206" s="66"/>
      <c r="Y206" s="66"/>
      <c r="Z206" s="64" t="str">
        <f>IF(OR($B206="", $U206="", $V206="", $W206="", $X206="", $Y206=""),"",ROUND(($U206*Lists!$AN$11)+($V206*Lists!$AN$12)+($W206*Lists!$AN$13)+($X206*Lists!$AN$14)+($Y206*Lists!$AN$15),2))</f>
        <v/>
      </c>
      <c r="AA206" s="64" t="str">
        <f>IF(OR($B206="", $N206="", $O206="", $T206="", $Z206=""),"",ROUND(($N206*Lists!$AN$16)-($O206*Lists!$AN$17)-($T206*Lists!$AN$18)+($Z206*Lists!$AN$19),2))</f>
        <v/>
      </c>
      <c r="AB206" s="63" t="str">
        <f t="shared" si="9"/>
        <v/>
      </c>
      <c r="AC206" s="63" t="str">
        <f t="shared" si="10"/>
        <v/>
      </c>
      <c r="AD206" s="63" t="str">
        <f>IF($A206="","",IFERROR(IF(VLOOKUP($A206,'Risk Register'!$B$2:$H$1000,4,FALSE())&gt;=4,"Yes",""),""))</f>
        <v/>
      </c>
      <c r="AE206" s="63" t="str">
        <f t="shared" si="11"/>
        <v/>
      </c>
      <c r="AF206" s="62"/>
      <c r="AG206" s="62"/>
      <c r="AH206" s="62"/>
      <c r="AI206" s="62"/>
      <c r="AJ206" s="62"/>
      <c r="AK206" s="62"/>
      <c r="AL206" s="62"/>
      <c r="AM206" s="62"/>
      <c r="AN206" s="62"/>
      <c r="AO206" s="62"/>
      <c r="AP206" s="62"/>
      <c r="AQ206" s="80"/>
    </row>
    <row r="207" spans="1:43" ht="15.75" customHeight="1" x14ac:dyDescent="0.2">
      <c r="A207" s="63" t="str">
        <f t="shared" si="8"/>
        <v/>
      </c>
      <c r="B207" s="62"/>
      <c r="C207" s="62"/>
      <c r="D207" s="62"/>
      <c r="E207" s="62"/>
      <c r="F207" s="62"/>
      <c r="G207" s="62"/>
      <c r="H207" s="62"/>
      <c r="I207" s="66"/>
      <c r="J207" s="66"/>
      <c r="K207" s="66"/>
      <c r="L207" s="66"/>
      <c r="M207" s="66"/>
      <c r="N207" s="64" t="str">
        <f>IF(OR($B207="", $I207="", $J207="", $K207="", $L207="", $M207=""),"",ROUND(($I207*Lists!$AN$2)+($J207*Lists!$AN$3)+($K207*Lists!$AN$4)+($L207*Lists!$AN$5)+($M207*Lists!$AN$6),2))</f>
        <v/>
      </c>
      <c r="O207" s="64" t="str">
        <f>IF($A207="","",IFERROR(VLOOKUP($A207,'Risk Register'!$B$2:$I$1000,8,FALSE()),""))</f>
        <v/>
      </c>
      <c r="P207" s="66"/>
      <c r="Q207" s="66"/>
      <c r="R207" s="66"/>
      <c r="S207" s="66"/>
      <c r="T207" s="64" t="str">
        <f>IF(OR($B207="", $P207="", $Q207="", $R207="", $S207=""),"",ROUND(($P207*Lists!$AN$7)+($Q207*Lists!$AN$8)+($R207*Lists!$AN$9)+($S207*Lists!$AN$10),2))</f>
        <v/>
      </c>
      <c r="U207" s="66"/>
      <c r="V207" s="66"/>
      <c r="W207" s="66"/>
      <c r="X207" s="66"/>
      <c r="Y207" s="66"/>
      <c r="Z207" s="64" t="str">
        <f>IF(OR($B207="", $U207="", $V207="", $W207="", $X207="", $Y207=""),"",ROUND(($U207*Lists!$AN$11)+($V207*Lists!$AN$12)+($W207*Lists!$AN$13)+($X207*Lists!$AN$14)+($Y207*Lists!$AN$15),2))</f>
        <v/>
      </c>
      <c r="AA207" s="64" t="str">
        <f>IF(OR($B207="", $N207="", $O207="", $T207="", $Z207=""),"",ROUND(($N207*Lists!$AN$16)-($O207*Lists!$AN$17)-($T207*Lists!$AN$18)+($Z207*Lists!$AN$19),2))</f>
        <v/>
      </c>
      <c r="AB207" s="63" t="str">
        <f t="shared" si="9"/>
        <v/>
      </c>
      <c r="AC207" s="63" t="str">
        <f t="shared" si="10"/>
        <v/>
      </c>
      <c r="AD207" s="63" t="str">
        <f>IF($A207="","",IFERROR(IF(VLOOKUP($A207,'Risk Register'!$B$2:$H$1000,4,FALSE())&gt;=4,"Yes",""),""))</f>
        <v/>
      </c>
      <c r="AE207" s="63" t="str">
        <f t="shared" si="11"/>
        <v/>
      </c>
      <c r="AF207" s="62"/>
      <c r="AG207" s="62"/>
      <c r="AH207" s="62"/>
      <c r="AI207" s="62"/>
      <c r="AJ207" s="62"/>
      <c r="AK207" s="62"/>
      <c r="AL207" s="62"/>
      <c r="AM207" s="62"/>
      <c r="AN207" s="62"/>
      <c r="AO207" s="62"/>
      <c r="AP207" s="62"/>
      <c r="AQ207" s="80"/>
    </row>
    <row r="208" spans="1:43" ht="15.75" customHeight="1" x14ac:dyDescent="0.2">
      <c r="A208" s="63" t="str">
        <f t="shared" si="8"/>
        <v/>
      </c>
      <c r="B208" s="62"/>
      <c r="C208" s="62"/>
      <c r="D208" s="62"/>
      <c r="E208" s="62"/>
      <c r="F208" s="62"/>
      <c r="G208" s="62"/>
      <c r="H208" s="62"/>
      <c r="I208" s="66"/>
      <c r="J208" s="66"/>
      <c r="K208" s="66"/>
      <c r="L208" s="66"/>
      <c r="M208" s="66"/>
      <c r="N208" s="64" t="str">
        <f>IF(OR($B208="", $I208="", $J208="", $K208="", $L208="", $M208=""),"",ROUND(($I208*Lists!$AN$2)+($J208*Lists!$AN$3)+($K208*Lists!$AN$4)+($L208*Lists!$AN$5)+($M208*Lists!$AN$6),2))</f>
        <v/>
      </c>
      <c r="O208" s="64" t="str">
        <f>IF($A208="","",IFERROR(VLOOKUP($A208,'Risk Register'!$B$2:$I$1000,8,FALSE()),""))</f>
        <v/>
      </c>
      <c r="P208" s="66"/>
      <c r="Q208" s="66"/>
      <c r="R208" s="66"/>
      <c r="S208" s="66"/>
      <c r="T208" s="64" t="str">
        <f>IF(OR($B208="", $P208="", $Q208="", $R208="", $S208=""),"",ROUND(($P208*Lists!$AN$7)+($Q208*Lists!$AN$8)+($R208*Lists!$AN$9)+($S208*Lists!$AN$10),2))</f>
        <v/>
      </c>
      <c r="U208" s="66"/>
      <c r="V208" s="66"/>
      <c r="W208" s="66"/>
      <c r="X208" s="66"/>
      <c r="Y208" s="66"/>
      <c r="Z208" s="64" t="str">
        <f>IF(OR($B208="", $U208="", $V208="", $W208="", $X208="", $Y208=""),"",ROUND(($U208*Lists!$AN$11)+($V208*Lists!$AN$12)+($W208*Lists!$AN$13)+($X208*Lists!$AN$14)+($Y208*Lists!$AN$15),2))</f>
        <v/>
      </c>
      <c r="AA208" s="64" t="str">
        <f>IF(OR($B208="", $N208="", $O208="", $T208="", $Z208=""),"",ROUND(($N208*Lists!$AN$16)-($O208*Lists!$AN$17)-($T208*Lists!$AN$18)+($Z208*Lists!$AN$19),2))</f>
        <v/>
      </c>
      <c r="AB208" s="63" t="str">
        <f t="shared" si="9"/>
        <v/>
      </c>
      <c r="AC208" s="63" t="str">
        <f t="shared" si="10"/>
        <v/>
      </c>
      <c r="AD208" s="63" t="str">
        <f>IF($A208="","",IFERROR(IF(VLOOKUP($A208,'Risk Register'!$B$2:$H$1000,4,FALSE())&gt;=4,"Yes",""),""))</f>
        <v/>
      </c>
      <c r="AE208" s="63" t="str">
        <f t="shared" si="11"/>
        <v/>
      </c>
      <c r="AF208" s="62"/>
      <c r="AG208" s="62"/>
      <c r="AH208" s="62"/>
      <c r="AI208" s="62"/>
      <c r="AJ208" s="62"/>
      <c r="AK208" s="62"/>
      <c r="AL208" s="62"/>
      <c r="AM208" s="62"/>
      <c r="AN208" s="62"/>
      <c r="AO208" s="62"/>
      <c r="AP208" s="62"/>
      <c r="AQ208" s="80"/>
    </row>
    <row r="209" spans="1:43" ht="15.75" customHeight="1" x14ac:dyDescent="0.2">
      <c r="A209" s="63" t="str">
        <f t="shared" si="8"/>
        <v/>
      </c>
      <c r="B209" s="62"/>
      <c r="C209" s="62"/>
      <c r="D209" s="62"/>
      <c r="E209" s="62"/>
      <c r="F209" s="62"/>
      <c r="G209" s="62"/>
      <c r="H209" s="62"/>
      <c r="I209" s="66"/>
      <c r="J209" s="66"/>
      <c r="K209" s="66"/>
      <c r="L209" s="66"/>
      <c r="M209" s="66"/>
      <c r="N209" s="64" t="str">
        <f>IF(OR($B209="", $I209="", $J209="", $K209="", $L209="", $M209=""),"",ROUND(($I209*Lists!$AN$2)+($J209*Lists!$AN$3)+($K209*Lists!$AN$4)+($L209*Lists!$AN$5)+($M209*Lists!$AN$6),2))</f>
        <v/>
      </c>
      <c r="O209" s="64" t="str">
        <f>IF($A209="","",IFERROR(VLOOKUP($A209,'Risk Register'!$B$2:$I$1000,8,FALSE()),""))</f>
        <v/>
      </c>
      <c r="P209" s="66"/>
      <c r="Q209" s="66"/>
      <c r="R209" s="66"/>
      <c r="S209" s="66"/>
      <c r="T209" s="64" t="str">
        <f>IF(OR($B209="", $P209="", $Q209="", $R209="", $S209=""),"",ROUND(($P209*Lists!$AN$7)+($Q209*Lists!$AN$8)+($R209*Lists!$AN$9)+($S209*Lists!$AN$10),2))</f>
        <v/>
      </c>
      <c r="U209" s="66"/>
      <c r="V209" s="66"/>
      <c r="W209" s="66"/>
      <c r="X209" s="66"/>
      <c r="Y209" s="66"/>
      <c r="Z209" s="64" t="str">
        <f>IF(OR($B209="", $U209="", $V209="", $W209="", $X209="", $Y209=""),"",ROUND(($U209*Lists!$AN$11)+($V209*Lists!$AN$12)+($W209*Lists!$AN$13)+($X209*Lists!$AN$14)+($Y209*Lists!$AN$15),2))</f>
        <v/>
      </c>
      <c r="AA209" s="64" t="str">
        <f>IF(OR($B209="", $N209="", $O209="", $T209="", $Z209=""),"",ROUND(($N209*Lists!$AN$16)-($O209*Lists!$AN$17)-($T209*Lists!$AN$18)+($Z209*Lists!$AN$19),2))</f>
        <v/>
      </c>
      <c r="AB209" s="63" t="str">
        <f t="shared" si="9"/>
        <v/>
      </c>
      <c r="AC209" s="63" t="str">
        <f t="shared" si="10"/>
        <v/>
      </c>
      <c r="AD209" s="63" t="str">
        <f>IF($A209="","",IFERROR(IF(VLOOKUP($A209,'Risk Register'!$B$2:$H$1000,4,FALSE())&gt;=4,"Yes",""),""))</f>
        <v/>
      </c>
      <c r="AE209" s="63" t="str">
        <f t="shared" si="11"/>
        <v/>
      </c>
      <c r="AF209" s="62"/>
      <c r="AG209" s="62"/>
      <c r="AH209" s="62"/>
      <c r="AI209" s="62"/>
      <c r="AJ209" s="62"/>
      <c r="AK209" s="62"/>
      <c r="AL209" s="62"/>
      <c r="AM209" s="62"/>
      <c r="AN209" s="62"/>
      <c r="AO209" s="62"/>
      <c r="AP209" s="62"/>
      <c r="AQ209" s="80"/>
    </row>
    <row r="210" spans="1:43" ht="15.75" customHeight="1" x14ac:dyDescent="0.2">
      <c r="A210" s="63" t="str">
        <f t="shared" si="8"/>
        <v/>
      </c>
      <c r="B210" s="62"/>
      <c r="C210" s="62"/>
      <c r="D210" s="62"/>
      <c r="E210" s="62"/>
      <c r="F210" s="62"/>
      <c r="G210" s="62"/>
      <c r="H210" s="62"/>
      <c r="I210" s="66"/>
      <c r="J210" s="66"/>
      <c r="K210" s="66"/>
      <c r="L210" s="66"/>
      <c r="M210" s="66"/>
      <c r="N210" s="64" t="str">
        <f>IF(OR($B210="", $I210="", $J210="", $K210="", $L210="", $M210=""),"",ROUND(($I210*Lists!$AN$2)+($J210*Lists!$AN$3)+($K210*Lists!$AN$4)+($L210*Lists!$AN$5)+($M210*Lists!$AN$6),2))</f>
        <v/>
      </c>
      <c r="O210" s="64" t="str">
        <f>IF($A210="","",IFERROR(VLOOKUP($A210,'Risk Register'!$B$2:$I$1000,8,FALSE()),""))</f>
        <v/>
      </c>
      <c r="P210" s="66"/>
      <c r="Q210" s="66"/>
      <c r="R210" s="66"/>
      <c r="S210" s="66"/>
      <c r="T210" s="64" t="str">
        <f>IF(OR($B210="", $P210="", $Q210="", $R210="", $S210=""),"",ROUND(($P210*Lists!$AN$7)+($Q210*Lists!$AN$8)+($R210*Lists!$AN$9)+($S210*Lists!$AN$10),2))</f>
        <v/>
      </c>
      <c r="U210" s="66"/>
      <c r="V210" s="66"/>
      <c r="W210" s="66"/>
      <c r="X210" s="66"/>
      <c r="Y210" s="66"/>
      <c r="Z210" s="64" t="str">
        <f>IF(OR($B210="", $U210="", $V210="", $W210="", $X210="", $Y210=""),"",ROUND(($U210*Lists!$AN$11)+($V210*Lists!$AN$12)+($W210*Lists!$AN$13)+($X210*Lists!$AN$14)+($Y210*Lists!$AN$15),2))</f>
        <v/>
      </c>
      <c r="AA210" s="64" t="str">
        <f>IF(OR($B210="", $N210="", $O210="", $T210="", $Z210=""),"",ROUND(($N210*Lists!$AN$16)-($O210*Lists!$AN$17)-($T210*Lists!$AN$18)+($Z210*Lists!$AN$19),2))</f>
        <v/>
      </c>
      <c r="AB210" s="63" t="str">
        <f t="shared" si="9"/>
        <v/>
      </c>
      <c r="AC210" s="63" t="str">
        <f t="shared" si="10"/>
        <v/>
      </c>
      <c r="AD210" s="63" t="str">
        <f>IF($A210="","",IFERROR(IF(VLOOKUP($A210,'Risk Register'!$B$2:$H$1000,4,FALSE())&gt;=4,"Yes",""),""))</f>
        <v/>
      </c>
      <c r="AE210" s="63" t="str">
        <f t="shared" si="11"/>
        <v/>
      </c>
      <c r="AF210" s="62"/>
      <c r="AG210" s="62"/>
      <c r="AH210" s="62"/>
      <c r="AI210" s="62"/>
      <c r="AJ210" s="62"/>
      <c r="AK210" s="62"/>
      <c r="AL210" s="62"/>
      <c r="AM210" s="62"/>
      <c r="AN210" s="62"/>
      <c r="AO210" s="62"/>
      <c r="AP210" s="62"/>
      <c r="AQ210" s="80"/>
    </row>
    <row r="211" spans="1:43" ht="15.75" customHeight="1" x14ac:dyDescent="0.2">
      <c r="A211" s="63" t="str">
        <f t="shared" si="8"/>
        <v/>
      </c>
      <c r="B211" s="62"/>
      <c r="C211" s="62"/>
      <c r="D211" s="62"/>
      <c r="E211" s="62"/>
      <c r="F211" s="62"/>
      <c r="G211" s="62"/>
      <c r="H211" s="62"/>
      <c r="I211" s="66"/>
      <c r="J211" s="66"/>
      <c r="K211" s="66"/>
      <c r="L211" s="66"/>
      <c r="M211" s="66"/>
      <c r="N211" s="64" t="str">
        <f>IF(OR($B211="", $I211="", $J211="", $K211="", $L211="", $M211=""),"",ROUND(($I211*Lists!$AN$2)+($J211*Lists!$AN$3)+($K211*Lists!$AN$4)+($L211*Lists!$AN$5)+($M211*Lists!$AN$6),2))</f>
        <v/>
      </c>
      <c r="O211" s="64" t="str">
        <f>IF($A211="","",IFERROR(VLOOKUP($A211,'Risk Register'!$B$2:$I$1000,8,FALSE()),""))</f>
        <v/>
      </c>
      <c r="P211" s="66"/>
      <c r="Q211" s="66"/>
      <c r="R211" s="66"/>
      <c r="S211" s="66"/>
      <c r="T211" s="64" t="str">
        <f>IF(OR($B211="", $P211="", $Q211="", $R211="", $S211=""),"",ROUND(($P211*Lists!$AN$7)+($Q211*Lists!$AN$8)+($R211*Lists!$AN$9)+($S211*Lists!$AN$10),2))</f>
        <v/>
      </c>
      <c r="U211" s="66"/>
      <c r="V211" s="66"/>
      <c r="W211" s="66"/>
      <c r="X211" s="66"/>
      <c r="Y211" s="66"/>
      <c r="Z211" s="64" t="str">
        <f>IF(OR($B211="", $U211="", $V211="", $W211="", $X211="", $Y211=""),"",ROUND(($U211*Lists!$AN$11)+($V211*Lists!$AN$12)+($W211*Lists!$AN$13)+($X211*Lists!$AN$14)+($Y211*Lists!$AN$15),2))</f>
        <v/>
      </c>
      <c r="AA211" s="64" t="str">
        <f>IF(OR($B211="", $N211="", $O211="", $T211="", $Z211=""),"",ROUND(($N211*Lists!$AN$16)-($O211*Lists!$AN$17)-($T211*Lists!$AN$18)+($Z211*Lists!$AN$19),2))</f>
        <v/>
      </c>
      <c r="AB211" s="63" t="str">
        <f t="shared" si="9"/>
        <v/>
      </c>
      <c r="AC211" s="63" t="str">
        <f t="shared" si="10"/>
        <v/>
      </c>
      <c r="AD211" s="63" t="str">
        <f>IF($A211="","",IFERROR(IF(VLOOKUP($A211,'Risk Register'!$B$2:$H$1000,4,FALSE())&gt;=4,"Yes",""),""))</f>
        <v/>
      </c>
      <c r="AE211" s="63" t="str">
        <f t="shared" si="11"/>
        <v/>
      </c>
      <c r="AF211" s="62"/>
      <c r="AG211" s="62"/>
      <c r="AH211" s="62"/>
      <c r="AI211" s="62"/>
      <c r="AJ211" s="62"/>
      <c r="AK211" s="62"/>
      <c r="AL211" s="62"/>
      <c r="AM211" s="62"/>
      <c r="AN211" s="62"/>
      <c r="AO211" s="62"/>
      <c r="AP211" s="62"/>
      <c r="AQ211" s="80"/>
    </row>
    <row r="212" spans="1:43" ht="15.75" customHeight="1" x14ac:dyDescent="0.2">
      <c r="A212" s="63" t="str">
        <f t="shared" si="8"/>
        <v/>
      </c>
      <c r="B212" s="62"/>
      <c r="C212" s="62"/>
      <c r="D212" s="62"/>
      <c r="E212" s="62"/>
      <c r="F212" s="62"/>
      <c r="G212" s="62"/>
      <c r="H212" s="62"/>
      <c r="I212" s="66"/>
      <c r="J212" s="66"/>
      <c r="K212" s="66"/>
      <c r="L212" s="66"/>
      <c r="M212" s="66"/>
      <c r="N212" s="64" t="str">
        <f>IF(OR($B212="", $I212="", $J212="", $K212="", $L212="", $M212=""),"",ROUND(($I212*Lists!$AN$2)+($J212*Lists!$AN$3)+($K212*Lists!$AN$4)+($L212*Lists!$AN$5)+($M212*Lists!$AN$6),2))</f>
        <v/>
      </c>
      <c r="O212" s="64" t="str">
        <f>IF($A212="","",IFERROR(VLOOKUP($A212,'Risk Register'!$B$2:$I$1000,8,FALSE()),""))</f>
        <v/>
      </c>
      <c r="P212" s="66"/>
      <c r="Q212" s="66"/>
      <c r="R212" s="66"/>
      <c r="S212" s="66"/>
      <c r="T212" s="64" t="str">
        <f>IF(OR($B212="", $P212="", $Q212="", $R212="", $S212=""),"",ROUND(($P212*Lists!$AN$7)+($Q212*Lists!$AN$8)+($R212*Lists!$AN$9)+($S212*Lists!$AN$10),2))</f>
        <v/>
      </c>
      <c r="U212" s="66"/>
      <c r="V212" s="66"/>
      <c r="W212" s="66"/>
      <c r="X212" s="66"/>
      <c r="Y212" s="66"/>
      <c r="Z212" s="64" t="str">
        <f>IF(OR($B212="", $U212="", $V212="", $W212="", $X212="", $Y212=""),"",ROUND(($U212*Lists!$AN$11)+($V212*Lists!$AN$12)+($W212*Lists!$AN$13)+($X212*Lists!$AN$14)+($Y212*Lists!$AN$15),2))</f>
        <v/>
      </c>
      <c r="AA212" s="64" t="str">
        <f>IF(OR($B212="", $N212="", $O212="", $T212="", $Z212=""),"",ROUND(($N212*Lists!$AN$16)-($O212*Lists!$AN$17)-($T212*Lists!$AN$18)+($Z212*Lists!$AN$19),2))</f>
        <v/>
      </c>
      <c r="AB212" s="63" t="str">
        <f t="shared" si="9"/>
        <v/>
      </c>
      <c r="AC212" s="63" t="str">
        <f t="shared" si="10"/>
        <v/>
      </c>
      <c r="AD212" s="63" t="str">
        <f>IF($A212="","",IFERROR(IF(VLOOKUP($A212,'Risk Register'!$B$2:$H$1000,4,FALSE())&gt;=4,"Yes",""),""))</f>
        <v/>
      </c>
      <c r="AE212" s="63" t="str">
        <f t="shared" si="11"/>
        <v/>
      </c>
      <c r="AF212" s="62"/>
      <c r="AG212" s="62"/>
      <c r="AH212" s="62"/>
      <c r="AI212" s="62"/>
      <c r="AJ212" s="62"/>
      <c r="AK212" s="62"/>
      <c r="AL212" s="62"/>
      <c r="AM212" s="62"/>
      <c r="AN212" s="62"/>
      <c r="AO212" s="62"/>
      <c r="AP212" s="62"/>
      <c r="AQ212" s="80"/>
    </row>
    <row r="213" spans="1:43" ht="15.75" customHeight="1" x14ac:dyDescent="0.2">
      <c r="A213" s="63" t="str">
        <f t="shared" si="8"/>
        <v/>
      </c>
      <c r="B213" s="62"/>
      <c r="C213" s="62"/>
      <c r="D213" s="62"/>
      <c r="E213" s="62"/>
      <c r="F213" s="62"/>
      <c r="G213" s="62"/>
      <c r="H213" s="62"/>
      <c r="I213" s="66"/>
      <c r="J213" s="66"/>
      <c r="K213" s="66"/>
      <c r="L213" s="66"/>
      <c r="M213" s="66"/>
      <c r="N213" s="64" t="str">
        <f>IF(OR($B213="", $I213="", $J213="", $K213="", $L213="", $M213=""),"",ROUND(($I213*Lists!$AN$2)+($J213*Lists!$AN$3)+($K213*Lists!$AN$4)+($L213*Lists!$AN$5)+($M213*Lists!$AN$6),2))</f>
        <v/>
      </c>
      <c r="O213" s="64" t="str">
        <f>IF($A213="","",IFERROR(VLOOKUP($A213,'Risk Register'!$B$2:$I$1000,8,FALSE()),""))</f>
        <v/>
      </c>
      <c r="P213" s="66"/>
      <c r="Q213" s="66"/>
      <c r="R213" s="66"/>
      <c r="S213" s="66"/>
      <c r="T213" s="64" t="str">
        <f>IF(OR($B213="", $P213="", $Q213="", $R213="", $S213=""),"",ROUND(($P213*Lists!$AN$7)+($Q213*Lists!$AN$8)+($R213*Lists!$AN$9)+($S213*Lists!$AN$10),2))</f>
        <v/>
      </c>
      <c r="U213" s="66"/>
      <c r="V213" s="66"/>
      <c r="W213" s="66"/>
      <c r="X213" s="66"/>
      <c r="Y213" s="66"/>
      <c r="Z213" s="64" t="str">
        <f>IF(OR($B213="", $U213="", $V213="", $W213="", $X213="", $Y213=""),"",ROUND(($U213*Lists!$AN$11)+($V213*Lists!$AN$12)+($W213*Lists!$AN$13)+($X213*Lists!$AN$14)+($Y213*Lists!$AN$15),2))</f>
        <v/>
      </c>
      <c r="AA213" s="64" t="str">
        <f>IF(OR($B213="", $N213="", $O213="", $T213="", $Z213=""),"",ROUND(($N213*Lists!$AN$16)-($O213*Lists!$AN$17)-($T213*Lists!$AN$18)+($Z213*Lists!$AN$19),2))</f>
        <v/>
      </c>
      <c r="AB213" s="63" t="str">
        <f t="shared" si="9"/>
        <v/>
      </c>
      <c r="AC213" s="63" t="str">
        <f t="shared" si="10"/>
        <v/>
      </c>
      <c r="AD213" s="63" t="str">
        <f>IF($A213="","",IFERROR(IF(VLOOKUP($A213,'Risk Register'!$B$2:$H$1000,4,FALSE())&gt;=4,"Yes",""),""))</f>
        <v/>
      </c>
      <c r="AE213" s="63" t="str">
        <f t="shared" si="11"/>
        <v/>
      </c>
      <c r="AF213" s="62"/>
      <c r="AG213" s="62"/>
      <c r="AH213" s="62"/>
      <c r="AI213" s="62"/>
      <c r="AJ213" s="62"/>
      <c r="AK213" s="62"/>
      <c r="AL213" s="62"/>
      <c r="AM213" s="62"/>
      <c r="AN213" s="62"/>
      <c r="AO213" s="62"/>
      <c r="AP213" s="62"/>
      <c r="AQ213" s="80"/>
    </row>
    <row r="214" spans="1:43" ht="15.75" customHeight="1" x14ac:dyDescent="0.2">
      <c r="A214" s="63" t="str">
        <f t="shared" si="8"/>
        <v/>
      </c>
      <c r="B214" s="62"/>
      <c r="C214" s="62"/>
      <c r="D214" s="62"/>
      <c r="E214" s="62"/>
      <c r="F214" s="62"/>
      <c r="G214" s="62"/>
      <c r="H214" s="62"/>
      <c r="I214" s="66"/>
      <c r="J214" s="66"/>
      <c r="K214" s="66"/>
      <c r="L214" s="66"/>
      <c r="M214" s="66"/>
      <c r="N214" s="64" t="str">
        <f>IF(OR($B214="", $I214="", $J214="", $K214="", $L214="", $M214=""),"",ROUND(($I214*Lists!$AN$2)+($J214*Lists!$AN$3)+($K214*Lists!$AN$4)+($L214*Lists!$AN$5)+($M214*Lists!$AN$6),2))</f>
        <v/>
      </c>
      <c r="O214" s="64" t="str">
        <f>IF($A214="","",IFERROR(VLOOKUP($A214,'Risk Register'!$B$2:$I$1000,8,FALSE()),""))</f>
        <v/>
      </c>
      <c r="P214" s="66"/>
      <c r="Q214" s="66"/>
      <c r="R214" s="66"/>
      <c r="S214" s="66"/>
      <c r="T214" s="64" t="str">
        <f>IF(OR($B214="", $P214="", $Q214="", $R214="", $S214=""),"",ROUND(($P214*Lists!$AN$7)+($Q214*Lists!$AN$8)+($R214*Lists!$AN$9)+($S214*Lists!$AN$10),2))</f>
        <v/>
      </c>
      <c r="U214" s="66"/>
      <c r="V214" s="66"/>
      <c r="W214" s="66"/>
      <c r="X214" s="66"/>
      <c r="Y214" s="66"/>
      <c r="Z214" s="64" t="str">
        <f>IF(OR($B214="", $U214="", $V214="", $W214="", $X214="", $Y214=""),"",ROUND(($U214*Lists!$AN$11)+($V214*Lists!$AN$12)+($W214*Lists!$AN$13)+($X214*Lists!$AN$14)+($Y214*Lists!$AN$15),2))</f>
        <v/>
      </c>
      <c r="AA214" s="64" t="str">
        <f>IF(OR($B214="", $N214="", $O214="", $T214="", $Z214=""),"",ROUND(($N214*Lists!$AN$16)-($O214*Lists!$AN$17)-($T214*Lists!$AN$18)+($Z214*Lists!$AN$19),2))</f>
        <v/>
      </c>
      <c r="AB214" s="63" t="str">
        <f t="shared" si="9"/>
        <v/>
      </c>
      <c r="AC214" s="63" t="str">
        <f t="shared" si="10"/>
        <v/>
      </c>
      <c r="AD214" s="63" t="str">
        <f>IF($A214="","",IFERROR(IF(VLOOKUP($A214,'Risk Register'!$B$2:$H$1000,4,FALSE())&gt;=4,"Yes",""),""))</f>
        <v/>
      </c>
      <c r="AE214" s="63" t="str">
        <f t="shared" si="11"/>
        <v/>
      </c>
      <c r="AF214" s="62"/>
      <c r="AG214" s="62"/>
      <c r="AH214" s="62"/>
      <c r="AI214" s="62"/>
      <c r="AJ214" s="62"/>
      <c r="AK214" s="62"/>
      <c r="AL214" s="62"/>
      <c r="AM214" s="62"/>
      <c r="AN214" s="62"/>
      <c r="AO214" s="62"/>
      <c r="AP214" s="62"/>
      <c r="AQ214" s="80"/>
    </row>
    <row r="215" spans="1:43" ht="15.75" customHeight="1" x14ac:dyDescent="0.2">
      <c r="A215" s="63" t="str">
        <f t="shared" ref="A215:A278" si="12">IF($B215="","", "APM-" &amp; RIGHT("0000"&amp;ROW()-1,4))</f>
        <v/>
      </c>
      <c r="B215" s="62"/>
      <c r="C215" s="62"/>
      <c r="D215" s="62"/>
      <c r="E215" s="62"/>
      <c r="F215" s="62"/>
      <c r="G215" s="62"/>
      <c r="H215" s="62"/>
      <c r="I215" s="66"/>
      <c r="J215" s="66"/>
      <c r="K215" s="66"/>
      <c r="L215" s="66"/>
      <c r="M215" s="66"/>
      <c r="N215" s="64" t="str">
        <f>IF(OR($B215="", $I215="", $J215="", $K215="", $L215="", $M215=""),"",ROUND(($I215*Lists!$AN$2)+($J215*Lists!$AN$3)+($K215*Lists!$AN$4)+($L215*Lists!$AN$5)+($M215*Lists!$AN$6),2))</f>
        <v/>
      </c>
      <c r="O215" s="64" t="str">
        <f>IF($A215="","",IFERROR(VLOOKUP($A215,'Risk Register'!$B$2:$I$1000,8,FALSE()),""))</f>
        <v/>
      </c>
      <c r="P215" s="66"/>
      <c r="Q215" s="66"/>
      <c r="R215" s="66"/>
      <c r="S215" s="66"/>
      <c r="T215" s="64" t="str">
        <f>IF(OR($B215="", $P215="", $Q215="", $R215="", $S215=""),"",ROUND(($P215*Lists!$AN$7)+($Q215*Lists!$AN$8)+($R215*Lists!$AN$9)+($S215*Lists!$AN$10),2))</f>
        <v/>
      </c>
      <c r="U215" s="66"/>
      <c r="V215" s="66"/>
      <c r="W215" s="66"/>
      <c r="X215" s="66"/>
      <c r="Y215" s="66"/>
      <c r="Z215" s="64" t="str">
        <f>IF(OR($B215="", $U215="", $V215="", $W215="", $X215="", $Y215=""),"",ROUND(($U215*Lists!$AN$11)+($V215*Lists!$AN$12)+($W215*Lists!$AN$13)+($X215*Lists!$AN$14)+($Y215*Lists!$AN$15),2))</f>
        <v/>
      </c>
      <c r="AA215" s="64" t="str">
        <f>IF(OR($B215="", $N215="", $O215="", $T215="", $Z215=""),"",ROUND(($N215*Lists!$AN$16)-($O215*Lists!$AN$17)-($T215*Lists!$AN$18)+($Z215*Lists!$AN$19),2))</f>
        <v/>
      </c>
      <c r="AB215" s="63" t="str">
        <f t="shared" ref="AB215:AB278" si="13">IF($AA215="","",IF($AA215&gt;=3.5,"INVEST",IF($AA215&gt;=2.5,"TOLERATE",IF($AA215&gt;=1.5,"MIGRATE / MODERNIZE","RETIRE"))))</f>
        <v/>
      </c>
      <c r="AC215" s="63" t="str">
        <f t="shared" ref="AC215:AC278" si="14">IF($B215="","",IF($J215&gt;=4,"Yes",""))</f>
        <v/>
      </c>
      <c r="AD215" s="63" t="str">
        <f>IF($A215="","",IFERROR(IF(VLOOKUP($A215,'Risk Register'!$B$2:$H$1000,4,FALSE())&gt;=4,"Yes",""),""))</f>
        <v/>
      </c>
      <c r="AE215" s="63" t="str">
        <f t="shared" ref="AE215:AE278" si="15">IF(OR($N215="", $O215=""),"",IF($N215&gt;=3.5,IF($O215&gt;=3.5,"High Value / High Risk","High Value / Low Risk"),IF($O215&gt;=3.5,"Low Value / High Risk","Low Value / Low Risk")))</f>
        <v/>
      </c>
      <c r="AF215" s="62"/>
      <c r="AG215" s="62"/>
      <c r="AH215" s="62"/>
      <c r="AI215" s="62"/>
      <c r="AJ215" s="62"/>
      <c r="AK215" s="62"/>
      <c r="AL215" s="62"/>
      <c r="AM215" s="62"/>
      <c r="AN215" s="62"/>
      <c r="AO215" s="62"/>
      <c r="AP215" s="62"/>
      <c r="AQ215" s="80"/>
    </row>
    <row r="216" spans="1:43" ht="15.75" customHeight="1" x14ac:dyDescent="0.2">
      <c r="A216" s="63" t="str">
        <f t="shared" si="12"/>
        <v/>
      </c>
      <c r="B216" s="62"/>
      <c r="C216" s="62"/>
      <c r="D216" s="62"/>
      <c r="E216" s="62"/>
      <c r="F216" s="62"/>
      <c r="G216" s="62"/>
      <c r="H216" s="62"/>
      <c r="I216" s="66"/>
      <c r="J216" s="66"/>
      <c r="K216" s="66"/>
      <c r="L216" s="66"/>
      <c r="M216" s="66"/>
      <c r="N216" s="64" t="str">
        <f>IF(OR($B216="", $I216="", $J216="", $K216="", $L216="", $M216=""),"",ROUND(($I216*Lists!$AN$2)+($J216*Lists!$AN$3)+($K216*Lists!$AN$4)+($L216*Lists!$AN$5)+($M216*Lists!$AN$6),2))</f>
        <v/>
      </c>
      <c r="O216" s="64" t="str">
        <f>IF($A216="","",IFERROR(VLOOKUP($A216,'Risk Register'!$B$2:$I$1000,8,FALSE()),""))</f>
        <v/>
      </c>
      <c r="P216" s="66"/>
      <c r="Q216" s="66"/>
      <c r="R216" s="66"/>
      <c r="S216" s="66"/>
      <c r="T216" s="64" t="str">
        <f>IF(OR($B216="", $P216="", $Q216="", $R216="", $S216=""),"",ROUND(($P216*Lists!$AN$7)+($Q216*Lists!$AN$8)+($R216*Lists!$AN$9)+($S216*Lists!$AN$10),2))</f>
        <v/>
      </c>
      <c r="U216" s="66"/>
      <c r="V216" s="66"/>
      <c r="W216" s="66"/>
      <c r="X216" s="66"/>
      <c r="Y216" s="66"/>
      <c r="Z216" s="64" t="str">
        <f>IF(OR($B216="", $U216="", $V216="", $W216="", $X216="", $Y216=""),"",ROUND(($U216*Lists!$AN$11)+($V216*Lists!$AN$12)+($W216*Lists!$AN$13)+($X216*Lists!$AN$14)+($Y216*Lists!$AN$15),2))</f>
        <v/>
      </c>
      <c r="AA216" s="64" t="str">
        <f>IF(OR($B216="", $N216="", $O216="", $T216="", $Z216=""),"",ROUND(($N216*Lists!$AN$16)-($O216*Lists!$AN$17)-($T216*Lists!$AN$18)+($Z216*Lists!$AN$19),2))</f>
        <v/>
      </c>
      <c r="AB216" s="63" t="str">
        <f t="shared" si="13"/>
        <v/>
      </c>
      <c r="AC216" s="63" t="str">
        <f t="shared" si="14"/>
        <v/>
      </c>
      <c r="AD216" s="63" t="str">
        <f>IF($A216="","",IFERROR(IF(VLOOKUP($A216,'Risk Register'!$B$2:$H$1000,4,FALSE())&gt;=4,"Yes",""),""))</f>
        <v/>
      </c>
      <c r="AE216" s="63" t="str">
        <f t="shared" si="15"/>
        <v/>
      </c>
      <c r="AF216" s="62"/>
      <c r="AG216" s="62"/>
      <c r="AH216" s="62"/>
      <c r="AI216" s="62"/>
      <c r="AJ216" s="62"/>
      <c r="AK216" s="62"/>
      <c r="AL216" s="62"/>
      <c r="AM216" s="62"/>
      <c r="AN216" s="62"/>
      <c r="AO216" s="62"/>
      <c r="AP216" s="62"/>
      <c r="AQ216" s="80"/>
    </row>
    <row r="217" spans="1:43" ht="15.75" customHeight="1" x14ac:dyDescent="0.2">
      <c r="A217" s="63" t="str">
        <f t="shared" si="12"/>
        <v/>
      </c>
      <c r="B217" s="62"/>
      <c r="C217" s="62"/>
      <c r="D217" s="62"/>
      <c r="E217" s="62"/>
      <c r="F217" s="62"/>
      <c r="G217" s="62"/>
      <c r="H217" s="62"/>
      <c r="I217" s="66"/>
      <c r="J217" s="66"/>
      <c r="K217" s="66"/>
      <c r="L217" s="66"/>
      <c r="M217" s="66"/>
      <c r="N217" s="64" t="str">
        <f>IF(OR($B217="", $I217="", $J217="", $K217="", $L217="", $M217=""),"",ROUND(($I217*Lists!$AN$2)+($J217*Lists!$AN$3)+($K217*Lists!$AN$4)+($L217*Lists!$AN$5)+($M217*Lists!$AN$6),2))</f>
        <v/>
      </c>
      <c r="O217" s="64" t="str">
        <f>IF($A217="","",IFERROR(VLOOKUP($A217,'Risk Register'!$B$2:$I$1000,8,FALSE()),""))</f>
        <v/>
      </c>
      <c r="P217" s="66"/>
      <c r="Q217" s="66"/>
      <c r="R217" s="66"/>
      <c r="S217" s="66"/>
      <c r="T217" s="64" t="str">
        <f>IF(OR($B217="", $P217="", $Q217="", $R217="", $S217=""),"",ROUND(($P217*Lists!$AN$7)+($Q217*Lists!$AN$8)+($R217*Lists!$AN$9)+($S217*Lists!$AN$10),2))</f>
        <v/>
      </c>
      <c r="U217" s="66"/>
      <c r="V217" s="66"/>
      <c r="W217" s="66"/>
      <c r="X217" s="66"/>
      <c r="Y217" s="66"/>
      <c r="Z217" s="64" t="str">
        <f>IF(OR($B217="", $U217="", $V217="", $W217="", $X217="", $Y217=""),"",ROUND(($U217*Lists!$AN$11)+($V217*Lists!$AN$12)+($W217*Lists!$AN$13)+($X217*Lists!$AN$14)+($Y217*Lists!$AN$15),2))</f>
        <v/>
      </c>
      <c r="AA217" s="64" t="str">
        <f>IF(OR($B217="", $N217="", $O217="", $T217="", $Z217=""),"",ROUND(($N217*Lists!$AN$16)-($O217*Lists!$AN$17)-($T217*Lists!$AN$18)+($Z217*Lists!$AN$19),2))</f>
        <v/>
      </c>
      <c r="AB217" s="63" t="str">
        <f t="shared" si="13"/>
        <v/>
      </c>
      <c r="AC217" s="63" t="str">
        <f t="shared" si="14"/>
        <v/>
      </c>
      <c r="AD217" s="63" t="str">
        <f>IF($A217="","",IFERROR(IF(VLOOKUP($A217,'Risk Register'!$B$2:$H$1000,4,FALSE())&gt;=4,"Yes",""),""))</f>
        <v/>
      </c>
      <c r="AE217" s="63" t="str">
        <f t="shared" si="15"/>
        <v/>
      </c>
      <c r="AF217" s="62"/>
      <c r="AG217" s="62"/>
      <c r="AH217" s="62"/>
      <c r="AI217" s="62"/>
      <c r="AJ217" s="62"/>
      <c r="AK217" s="62"/>
      <c r="AL217" s="62"/>
      <c r="AM217" s="62"/>
      <c r="AN217" s="62"/>
      <c r="AO217" s="62"/>
      <c r="AP217" s="62"/>
      <c r="AQ217" s="80"/>
    </row>
    <row r="218" spans="1:43" ht="15.75" customHeight="1" x14ac:dyDescent="0.2">
      <c r="A218" s="63" t="str">
        <f t="shared" si="12"/>
        <v/>
      </c>
      <c r="B218" s="62"/>
      <c r="C218" s="62"/>
      <c r="D218" s="62"/>
      <c r="E218" s="62"/>
      <c r="F218" s="62"/>
      <c r="G218" s="62"/>
      <c r="H218" s="62"/>
      <c r="I218" s="66"/>
      <c r="J218" s="66"/>
      <c r="K218" s="66"/>
      <c r="L218" s="66"/>
      <c r="M218" s="66"/>
      <c r="N218" s="64" t="str">
        <f>IF(OR($B218="", $I218="", $J218="", $K218="", $L218="", $M218=""),"",ROUND(($I218*Lists!$AN$2)+($J218*Lists!$AN$3)+($K218*Lists!$AN$4)+($L218*Lists!$AN$5)+($M218*Lists!$AN$6),2))</f>
        <v/>
      </c>
      <c r="O218" s="64" t="str">
        <f>IF($A218="","",IFERROR(VLOOKUP($A218,'Risk Register'!$B$2:$I$1000,8,FALSE()),""))</f>
        <v/>
      </c>
      <c r="P218" s="66"/>
      <c r="Q218" s="66"/>
      <c r="R218" s="66"/>
      <c r="S218" s="66"/>
      <c r="T218" s="64" t="str">
        <f>IF(OR($B218="", $P218="", $Q218="", $R218="", $S218=""),"",ROUND(($P218*Lists!$AN$7)+($Q218*Lists!$AN$8)+($R218*Lists!$AN$9)+($S218*Lists!$AN$10),2))</f>
        <v/>
      </c>
      <c r="U218" s="66"/>
      <c r="V218" s="66"/>
      <c r="W218" s="66"/>
      <c r="X218" s="66"/>
      <c r="Y218" s="66"/>
      <c r="Z218" s="64" t="str">
        <f>IF(OR($B218="", $U218="", $V218="", $W218="", $X218="", $Y218=""),"",ROUND(($U218*Lists!$AN$11)+($V218*Lists!$AN$12)+($W218*Lists!$AN$13)+($X218*Lists!$AN$14)+($Y218*Lists!$AN$15),2))</f>
        <v/>
      </c>
      <c r="AA218" s="64" t="str">
        <f>IF(OR($B218="", $N218="", $O218="", $T218="", $Z218=""),"",ROUND(($N218*Lists!$AN$16)-($O218*Lists!$AN$17)-($T218*Lists!$AN$18)+($Z218*Lists!$AN$19),2))</f>
        <v/>
      </c>
      <c r="AB218" s="63" t="str">
        <f t="shared" si="13"/>
        <v/>
      </c>
      <c r="AC218" s="63" t="str">
        <f t="shared" si="14"/>
        <v/>
      </c>
      <c r="AD218" s="63" t="str">
        <f>IF($A218="","",IFERROR(IF(VLOOKUP($A218,'Risk Register'!$B$2:$H$1000,4,FALSE())&gt;=4,"Yes",""),""))</f>
        <v/>
      </c>
      <c r="AE218" s="63" t="str">
        <f t="shared" si="15"/>
        <v/>
      </c>
      <c r="AF218" s="62"/>
      <c r="AG218" s="62"/>
      <c r="AH218" s="62"/>
      <c r="AI218" s="62"/>
      <c r="AJ218" s="62"/>
      <c r="AK218" s="62"/>
      <c r="AL218" s="62"/>
      <c r="AM218" s="62"/>
      <c r="AN218" s="62"/>
      <c r="AO218" s="62"/>
      <c r="AP218" s="62"/>
      <c r="AQ218" s="80"/>
    </row>
    <row r="219" spans="1:43" ht="15.75" customHeight="1" x14ac:dyDescent="0.2">
      <c r="A219" s="63" t="str">
        <f t="shared" si="12"/>
        <v/>
      </c>
      <c r="B219" s="62"/>
      <c r="C219" s="62"/>
      <c r="D219" s="62"/>
      <c r="E219" s="62"/>
      <c r="F219" s="62"/>
      <c r="G219" s="62"/>
      <c r="H219" s="62"/>
      <c r="I219" s="66"/>
      <c r="J219" s="66"/>
      <c r="K219" s="66"/>
      <c r="L219" s="66"/>
      <c r="M219" s="66"/>
      <c r="N219" s="64" t="str">
        <f>IF(OR($B219="", $I219="", $J219="", $K219="", $L219="", $M219=""),"",ROUND(($I219*Lists!$AN$2)+($J219*Lists!$AN$3)+($K219*Lists!$AN$4)+($L219*Lists!$AN$5)+($M219*Lists!$AN$6),2))</f>
        <v/>
      </c>
      <c r="O219" s="64" t="str">
        <f>IF($A219="","",IFERROR(VLOOKUP($A219,'Risk Register'!$B$2:$I$1000,8,FALSE()),""))</f>
        <v/>
      </c>
      <c r="P219" s="66"/>
      <c r="Q219" s="66"/>
      <c r="R219" s="66"/>
      <c r="S219" s="66"/>
      <c r="T219" s="64" t="str">
        <f>IF(OR($B219="", $P219="", $Q219="", $R219="", $S219=""),"",ROUND(($P219*Lists!$AN$7)+($Q219*Lists!$AN$8)+($R219*Lists!$AN$9)+($S219*Lists!$AN$10),2))</f>
        <v/>
      </c>
      <c r="U219" s="66"/>
      <c r="V219" s="66"/>
      <c r="W219" s="66"/>
      <c r="X219" s="66"/>
      <c r="Y219" s="66"/>
      <c r="Z219" s="64" t="str">
        <f>IF(OR($B219="", $U219="", $V219="", $W219="", $X219="", $Y219=""),"",ROUND(($U219*Lists!$AN$11)+($V219*Lists!$AN$12)+($W219*Lists!$AN$13)+($X219*Lists!$AN$14)+($Y219*Lists!$AN$15),2))</f>
        <v/>
      </c>
      <c r="AA219" s="64" t="str">
        <f>IF(OR($B219="", $N219="", $O219="", $T219="", $Z219=""),"",ROUND(($N219*Lists!$AN$16)-($O219*Lists!$AN$17)-($T219*Lists!$AN$18)+($Z219*Lists!$AN$19),2))</f>
        <v/>
      </c>
      <c r="AB219" s="63" t="str">
        <f t="shared" si="13"/>
        <v/>
      </c>
      <c r="AC219" s="63" t="str">
        <f t="shared" si="14"/>
        <v/>
      </c>
      <c r="AD219" s="63" t="str">
        <f>IF($A219="","",IFERROR(IF(VLOOKUP($A219,'Risk Register'!$B$2:$H$1000,4,FALSE())&gt;=4,"Yes",""),""))</f>
        <v/>
      </c>
      <c r="AE219" s="63" t="str">
        <f t="shared" si="15"/>
        <v/>
      </c>
      <c r="AF219" s="62"/>
      <c r="AG219" s="62"/>
      <c r="AH219" s="62"/>
      <c r="AI219" s="62"/>
      <c r="AJ219" s="62"/>
      <c r="AK219" s="62"/>
      <c r="AL219" s="62"/>
      <c r="AM219" s="62"/>
      <c r="AN219" s="62"/>
      <c r="AO219" s="62"/>
      <c r="AP219" s="62"/>
      <c r="AQ219" s="80"/>
    </row>
    <row r="220" spans="1:43" ht="15.75" customHeight="1" x14ac:dyDescent="0.2">
      <c r="A220" s="63" t="str">
        <f t="shared" si="12"/>
        <v/>
      </c>
      <c r="B220" s="62"/>
      <c r="C220" s="62"/>
      <c r="D220" s="62"/>
      <c r="E220" s="62"/>
      <c r="F220" s="62"/>
      <c r="G220" s="62"/>
      <c r="H220" s="62"/>
      <c r="I220" s="66"/>
      <c r="J220" s="66"/>
      <c r="K220" s="66"/>
      <c r="L220" s="66"/>
      <c r="M220" s="66"/>
      <c r="N220" s="64" t="str">
        <f>IF(OR($B220="", $I220="", $J220="", $K220="", $L220="", $M220=""),"",ROUND(($I220*Lists!$AN$2)+($J220*Lists!$AN$3)+($K220*Lists!$AN$4)+($L220*Lists!$AN$5)+($M220*Lists!$AN$6),2))</f>
        <v/>
      </c>
      <c r="O220" s="64" t="str">
        <f>IF($A220="","",IFERROR(VLOOKUP($A220,'Risk Register'!$B$2:$I$1000,8,FALSE()),""))</f>
        <v/>
      </c>
      <c r="P220" s="66"/>
      <c r="Q220" s="66"/>
      <c r="R220" s="66"/>
      <c r="S220" s="66"/>
      <c r="T220" s="64" t="str">
        <f>IF(OR($B220="", $P220="", $Q220="", $R220="", $S220=""),"",ROUND(($P220*Lists!$AN$7)+($Q220*Lists!$AN$8)+($R220*Lists!$AN$9)+($S220*Lists!$AN$10),2))</f>
        <v/>
      </c>
      <c r="U220" s="66"/>
      <c r="V220" s="66"/>
      <c r="W220" s="66"/>
      <c r="X220" s="66"/>
      <c r="Y220" s="66"/>
      <c r="Z220" s="64" t="str">
        <f>IF(OR($B220="", $U220="", $V220="", $W220="", $X220="", $Y220=""),"",ROUND(($U220*Lists!$AN$11)+($V220*Lists!$AN$12)+($W220*Lists!$AN$13)+($X220*Lists!$AN$14)+($Y220*Lists!$AN$15),2))</f>
        <v/>
      </c>
      <c r="AA220" s="64" t="str">
        <f>IF(OR($B220="", $N220="", $O220="", $T220="", $Z220=""),"",ROUND(($N220*Lists!$AN$16)-($O220*Lists!$AN$17)-($T220*Lists!$AN$18)+($Z220*Lists!$AN$19),2))</f>
        <v/>
      </c>
      <c r="AB220" s="63" t="str">
        <f t="shared" si="13"/>
        <v/>
      </c>
      <c r="AC220" s="63" t="str">
        <f t="shared" si="14"/>
        <v/>
      </c>
      <c r="AD220" s="63" t="str">
        <f>IF($A220="","",IFERROR(IF(VLOOKUP($A220,'Risk Register'!$B$2:$H$1000,4,FALSE())&gt;=4,"Yes",""),""))</f>
        <v/>
      </c>
      <c r="AE220" s="63" t="str">
        <f t="shared" si="15"/>
        <v/>
      </c>
      <c r="AF220" s="62"/>
      <c r="AG220" s="62"/>
      <c r="AH220" s="62"/>
      <c r="AI220" s="62"/>
      <c r="AJ220" s="62"/>
      <c r="AK220" s="62"/>
      <c r="AL220" s="62"/>
      <c r="AM220" s="62"/>
      <c r="AN220" s="62"/>
      <c r="AO220" s="62"/>
      <c r="AP220" s="62"/>
      <c r="AQ220" s="80"/>
    </row>
    <row r="221" spans="1:43" ht="15.75" customHeight="1" x14ac:dyDescent="0.2">
      <c r="A221" s="63" t="str">
        <f t="shared" si="12"/>
        <v/>
      </c>
      <c r="B221" s="62"/>
      <c r="C221" s="62"/>
      <c r="D221" s="62"/>
      <c r="E221" s="62"/>
      <c r="F221" s="62"/>
      <c r="G221" s="62"/>
      <c r="H221" s="62"/>
      <c r="I221" s="66"/>
      <c r="J221" s="66"/>
      <c r="K221" s="66"/>
      <c r="L221" s="66"/>
      <c r="M221" s="66"/>
      <c r="N221" s="64" t="str">
        <f>IF(OR($B221="", $I221="", $J221="", $K221="", $L221="", $M221=""),"",ROUND(($I221*Lists!$AN$2)+($J221*Lists!$AN$3)+($K221*Lists!$AN$4)+($L221*Lists!$AN$5)+($M221*Lists!$AN$6),2))</f>
        <v/>
      </c>
      <c r="O221" s="64" t="str">
        <f>IF($A221="","",IFERROR(VLOOKUP($A221,'Risk Register'!$B$2:$I$1000,8,FALSE()),""))</f>
        <v/>
      </c>
      <c r="P221" s="66"/>
      <c r="Q221" s="66"/>
      <c r="R221" s="66"/>
      <c r="S221" s="66"/>
      <c r="T221" s="64" t="str">
        <f>IF(OR($B221="", $P221="", $Q221="", $R221="", $S221=""),"",ROUND(($P221*Lists!$AN$7)+($Q221*Lists!$AN$8)+($R221*Lists!$AN$9)+($S221*Lists!$AN$10),2))</f>
        <v/>
      </c>
      <c r="U221" s="66"/>
      <c r="V221" s="66"/>
      <c r="W221" s="66"/>
      <c r="X221" s="66"/>
      <c r="Y221" s="66"/>
      <c r="Z221" s="64" t="str">
        <f>IF(OR($B221="", $U221="", $V221="", $W221="", $X221="", $Y221=""),"",ROUND(($U221*Lists!$AN$11)+($V221*Lists!$AN$12)+($W221*Lists!$AN$13)+($X221*Lists!$AN$14)+($Y221*Lists!$AN$15),2))</f>
        <v/>
      </c>
      <c r="AA221" s="64" t="str">
        <f>IF(OR($B221="", $N221="", $O221="", $T221="", $Z221=""),"",ROUND(($N221*Lists!$AN$16)-($O221*Lists!$AN$17)-($T221*Lists!$AN$18)+($Z221*Lists!$AN$19),2))</f>
        <v/>
      </c>
      <c r="AB221" s="63" t="str">
        <f t="shared" si="13"/>
        <v/>
      </c>
      <c r="AC221" s="63" t="str">
        <f t="shared" si="14"/>
        <v/>
      </c>
      <c r="AD221" s="63" t="str">
        <f>IF($A221="","",IFERROR(IF(VLOOKUP($A221,'Risk Register'!$B$2:$H$1000,4,FALSE())&gt;=4,"Yes",""),""))</f>
        <v/>
      </c>
      <c r="AE221" s="63" t="str">
        <f t="shared" si="15"/>
        <v/>
      </c>
      <c r="AF221" s="62"/>
      <c r="AG221" s="62"/>
      <c r="AH221" s="62"/>
      <c r="AI221" s="62"/>
      <c r="AJ221" s="62"/>
      <c r="AK221" s="62"/>
      <c r="AL221" s="62"/>
      <c r="AM221" s="62"/>
      <c r="AN221" s="62"/>
      <c r="AO221" s="62"/>
      <c r="AP221" s="62"/>
      <c r="AQ221" s="80"/>
    </row>
    <row r="222" spans="1:43" ht="15.75" customHeight="1" x14ac:dyDescent="0.2">
      <c r="A222" s="63" t="str">
        <f t="shared" si="12"/>
        <v/>
      </c>
      <c r="B222" s="62"/>
      <c r="C222" s="62"/>
      <c r="D222" s="62"/>
      <c r="E222" s="62"/>
      <c r="F222" s="62"/>
      <c r="G222" s="62"/>
      <c r="H222" s="62"/>
      <c r="I222" s="66"/>
      <c r="J222" s="66"/>
      <c r="K222" s="66"/>
      <c r="L222" s="66"/>
      <c r="M222" s="66"/>
      <c r="N222" s="64" t="str">
        <f>IF(OR($B222="", $I222="", $J222="", $K222="", $L222="", $M222=""),"",ROUND(($I222*Lists!$AN$2)+($J222*Lists!$AN$3)+($K222*Lists!$AN$4)+($L222*Lists!$AN$5)+($M222*Lists!$AN$6),2))</f>
        <v/>
      </c>
      <c r="O222" s="64" t="str">
        <f>IF($A222="","",IFERROR(VLOOKUP($A222,'Risk Register'!$B$2:$I$1000,8,FALSE()),""))</f>
        <v/>
      </c>
      <c r="P222" s="66"/>
      <c r="Q222" s="66"/>
      <c r="R222" s="66"/>
      <c r="S222" s="66"/>
      <c r="T222" s="64" t="str">
        <f>IF(OR($B222="", $P222="", $Q222="", $R222="", $S222=""),"",ROUND(($P222*Lists!$AN$7)+($Q222*Lists!$AN$8)+($R222*Lists!$AN$9)+($S222*Lists!$AN$10),2))</f>
        <v/>
      </c>
      <c r="U222" s="66"/>
      <c r="V222" s="66"/>
      <c r="W222" s="66"/>
      <c r="X222" s="66"/>
      <c r="Y222" s="66"/>
      <c r="Z222" s="64" t="str">
        <f>IF(OR($B222="", $U222="", $V222="", $W222="", $X222="", $Y222=""),"",ROUND(($U222*Lists!$AN$11)+($V222*Lists!$AN$12)+($W222*Lists!$AN$13)+($X222*Lists!$AN$14)+($Y222*Lists!$AN$15),2))</f>
        <v/>
      </c>
      <c r="AA222" s="64" t="str">
        <f>IF(OR($B222="", $N222="", $O222="", $T222="", $Z222=""),"",ROUND(($N222*Lists!$AN$16)-($O222*Lists!$AN$17)-($T222*Lists!$AN$18)+($Z222*Lists!$AN$19),2))</f>
        <v/>
      </c>
      <c r="AB222" s="63" t="str">
        <f t="shared" si="13"/>
        <v/>
      </c>
      <c r="AC222" s="63" t="str">
        <f t="shared" si="14"/>
        <v/>
      </c>
      <c r="AD222" s="63" t="str">
        <f>IF($A222="","",IFERROR(IF(VLOOKUP($A222,'Risk Register'!$B$2:$H$1000,4,FALSE())&gt;=4,"Yes",""),""))</f>
        <v/>
      </c>
      <c r="AE222" s="63" t="str">
        <f t="shared" si="15"/>
        <v/>
      </c>
      <c r="AF222" s="62"/>
      <c r="AG222" s="62"/>
      <c r="AH222" s="62"/>
      <c r="AI222" s="62"/>
      <c r="AJ222" s="62"/>
      <c r="AK222" s="62"/>
      <c r="AL222" s="62"/>
      <c r="AM222" s="62"/>
      <c r="AN222" s="62"/>
      <c r="AO222" s="62"/>
      <c r="AP222" s="62"/>
      <c r="AQ222" s="80"/>
    </row>
    <row r="223" spans="1:43" ht="15.75" customHeight="1" x14ac:dyDescent="0.2">
      <c r="A223" s="63" t="str">
        <f t="shared" si="12"/>
        <v/>
      </c>
      <c r="B223" s="62"/>
      <c r="C223" s="62"/>
      <c r="D223" s="62"/>
      <c r="E223" s="62"/>
      <c r="F223" s="62"/>
      <c r="G223" s="62"/>
      <c r="H223" s="62"/>
      <c r="I223" s="66"/>
      <c r="J223" s="66"/>
      <c r="K223" s="66"/>
      <c r="L223" s="66"/>
      <c r="M223" s="66"/>
      <c r="N223" s="64" t="str">
        <f>IF(OR($B223="", $I223="", $J223="", $K223="", $L223="", $M223=""),"",ROUND(($I223*Lists!$AN$2)+($J223*Lists!$AN$3)+($K223*Lists!$AN$4)+($L223*Lists!$AN$5)+($M223*Lists!$AN$6),2))</f>
        <v/>
      </c>
      <c r="O223" s="64" t="str">
        <f>IF($A223="","",IFERROR(VLOOKUP($A223,'Risk Register'!$B$2:$I$1000,8,FALSE()),""))</f>
        <v/>
      </c>
      <c r="P223" s="66"/>
      <c r="Q223" s="66"/>
      <c r="R223" s="66"/>
      <c r="S223" s="66"/>
      <c r="T223" s="64" t="str">
        <f>IF(OR($B223="", $P223="", $Q223="", $R223="", $S223=""),"",ROUND(($P223*Lists!$AN$7)+($Q223*Lists!$AN$8)+($R223*Lists!$AN$9)+($S223*Lists!$AN$10),2))</f>
        <v/>
      </c>
      <c r="U223" s="66"/>
      <c r="V223" s="66"/>
      <c r="W223" s="66"/>
      <c r="X223" s="66"/>
      <c r="Y223" s="66"/>
      <c r="Z223" s="64" t="str">
        <f>IF(OR($B223="", $U223="", $V223="", $W223="", $X223="", $Y223=""),"",ROUND(($U223*Lists!$AN$11)+($V223*Lists!$AN$12)+($W223*Lists!$AN$13)+($X223*Lists!$AN$14)+($Y223*Lists!$AN$15),2))</f>
        <v/>
      </c>
      <c r="AA223" s="64" t="str">
        <f>IF(OR($B223="", $N223="", $O223="", $T223="", $Z223=""),"",ROUND(($N223*Lists!$AN$16)-($O223*Lists!$AN$17)-($T223*Lists!$AN$18)+($Z223*Lists!$AN$19),2))</f>
        <v/>
      </c>
      <c r="AB223" s="63" t="str">
        <f t="shared" si="13"/>
        <v/>
      </c>
      <c r="AC223" s="63" t="str">
        <f t="shared" si="14"/>
        <v/>
      </c>
      <c r="AD223" s="63" t="str">
        <f>IF($A223="","",IFERROR(IF(VLOOKUP($A223,'Risk Register'!$B$2:$H$1000,4,FALSE())&gt;=4,"Yes",""),""))</f>
        <v/>
      </c>
      <c r="AE223" s="63" t="str">
        <f t="shared" si="15"/>
        <v/>
      </c>
      <c r="AF223" s="62"/>
      <c r="AG223" s="62"/>
      <c r="AH223" s="62"/>
      <c r="AI223" s="62"/>
      <c r="AJ223" s="62"/>
      <c r="AK223" s="62"/>
      <c r="AL223" s="62"/>
      <c r="AM223" s="62"/>
      <c r="AN223" s="62"/>
      <c r="AO223" s="62"/>
      <c r="AP223" s="62"/>
      <c r="AQ223" s="80"/>
    </row>
    <row r="224" spans="1:43" ht="15.75" customHeight="1" x14ac:dyDescent="0.2">
      <c r="A224" s="63" t="str">
        <f t="shared" si="12"/>
        <v/>
      </c>
      <c r="B224" s="62"/>
      <c r="C224" s="62"/>
      <c r="D224" s="62"/>
      <c r="E224" s="62"/>
      <c r="F224" s="62"/>
      <c r="G224" s="62"/>
      <c r="H224" s="62"/>
      <c r="I224" s="66"/>
      <c r="J224" s="66"/>
      <c r="K224" s="66"/>
      <c r="L224" s="66"/>
      <c r="M224" s="66"/>
      <c r="N224" s="64" t="str">
        <f>IF(OR($B224="", $I224="", $J224="", $K224="", $L224="", $M224=""),"",ROUND(($I224*Lists!$AN$2)+($J224*Lists!$AN$3)+($K224*Lists!$AN$4)+($L224*Lists!$AN$5)+($M224*Lists!$AN$6),2))</f>
        <v/>
      </c>
      <c r="O224" s="64" t="str">
        <f>IF($A224="","",IFERROR(VLOOKUP($A224,'Risk Register'!$B$2:$I$1000,8,FALSE()),""))</f>
        <v/>
      </c>
      <c r="P224" s="66"/>
      <c r="Q224" s="66"/>
      <c r="R224" s="66"/>
      <c r="S224" s="66"/>
      <c r="T224" s="64" t="str">
        <f>IF(OR($B224="", $P224="", $Q224="", $R224="", $S224=""),"",ROUND(($P224*Lists!$AN$7)+($Q224*Lists!$AN$8)+($R224*Lists!$AN$9)+($S224*Lists!$AN$10),2))</f>
        <v/>
      </c>
      <c r="U224" s="66"/>
      <c r="V224" s="66"/>
      <c r="W224" s="66"/>
      <c r="X224" s="66"/>
      <c r="Y224" s="66"/>
      <c r="Z224" s="64" t="str">
        <f>IF(OR($B224="", $U224="", $V224="", $W224="", $X224="", $Y224=""),"",ROUND(($U224*Lists!$AN$11)+($V224*Lists!$AN$12)+($W224*Lists!$AN$13)+($X224*Lists!$AN$14)+($Y224*Lists!$AN$15),2))</f>
        <v/>
      </c>
      <c r="AA224" s="64" t="str">
        <f>IF(OR($B224="", $N224="", $O224="", $T224="", $Z224=""),"",ROUND(($N224*Lists!$AN$16)-($O224*Lists!$AN$17)-($T224*Lists!$AN$18)+($Z224*Lists!$AN$19),2))</f>
        <v/>
      </c>
      <c r="AB224" s="63" t="str">
        <f t="shared" si="13"/>
        <v/>
      </c>
      <c r="AC224" s="63" t="str">
        <f t="shared" si="14"/>
        <v/>
      </c>
      <c r="AD224" s="63" t="str">
        <f>IF($A224="","",IFERROR(IF(VLOOKUP($A224,'Risk Register'!$B$2:$H$1000,4,FALSE())&gt;=4,"Yes",""),""))</f>
        <v/>
      </c>
      <c r="AE224" s="63" t="str">
        <f t="shared" si="15"/>
        <v/>
      </c>
      <c r="AF224" s="62"/>
      <c r="AG224" s="62"/>
      <c r="AH224" s="62"/>
      <c r="AI224" s="62"/>
      <c r="AJ224" s="62"/>
      <c r="AK224" s="62"/>
      <c r="AL224" s="62"/>
      <c r="AM224" s="62"/>
      <c r="AN224" s="62"/>
      <c r="AO224" s="62"/>
      <c r="AP224" s="62"/>
      <c r="AQ224" s="80"/>
    </row>
    <row r="225" spans="1:43" ht="15.75" customHeight="1" x14ac:dyDescent="0.2">
      <c r="A225" s="63" t="str">
        <f t="shared" si="12"/>
        <v/>
      </c>
      <c r="B225" s="62"/>
      <c r="C225" s="62"/>
      <c r="D225" s="62"/>
      <c r="E225" s="62"/>
      <c r="F225" s="62"/>
      <c r="G225" s="62"/>
      <c r="H225" s="62"/>
      <c r="I225" s="66"/>
      <c r="J225" s="66"/>
      <c r="K225" s="66"/>
      <c r="L225" s="66"/>
      <c r="M225" s="66"/>
      <c r="N225" s="64" t="str">
        <f>IF(OR($B225="", $I225="", $J225="", $K225="", $L225="", $M225=""),"",ROUND(($I225*Lists!$AN$2)+($J225*Lists!$AN$3)+($K225*Lists!$AN$4)+($L225*Lists!$AN$5)+($M225*Lists!$AN$6),2))</f>
        <v/>
      </c>
      <c r="O225" s="64" t="str">
        <f>IF($A225="","",IFERROR(VLOOKUP($A225,'Risk Register'!$B$2:$I$1000,8,FALSE()),""))</f>
        <v/>
      </c>
      <c r="P225" s="66"/>
      <c r="Q225" s="66"/>
      <c r="R225" s="66"/>
      <c r="S225" s="66"/>
      <c r="T225" s="64" t="str">
        <f>IF(OR($B225="", $P225="", $Q225="", $R225="", $S225=""),"",ROUND(($P225*Lists!$AN$7)+($Q225*Lists!$AN$8)+($R225*Lists!$AN$9)+($S225*Lists!$AN$10),2))</f>
        <v/>
      </c>
      <c r="U225" s="66"/>
      <c r="V225" s="66"/>
      <c r="W225" s="66"/>
      <c r="X225" s="66"/>
      <c r="Y225" s="66"/>
      <c r="Z225" s="64" t="str">
        <f>IF(OR($B225="", $U225="", $V225="", $W225="", $X225="", $Y225=""),"",ROUND(($U225*Lists!$AN$11)+($V225*Lists!$AN$12)+($W225*Lists!$AN$13)+($X225*Lists!$AN$14)+($Y225*Lists!$AN$15),2))</f>
        <v/>
      </c>
      <c r="AA225" s="64" t="str">
        <f>IF(OR($B225="", $N225="", $O225="", $T225="", $Z225=""),"",ROUND(($N225*Lists!$AN$16)-($O225*Lists!$AN$17)-($T225*Lists!$AN$18)+($Z225*Lists!$AN$19),2))</f>
        <v/>
      </c>
      <c r="AB225" s="63" t="str">
        <f t="shared" si="13"/>
        <v/>
      </c>
      <c r="AC225" s="63" t="str">
        <f t="shared" si="14"/>
        <v/>
      </c>
      <c r="AD225" s="63" t="str">
        <f>IF($A225="","",IFERROR(IF(VLOOKUP($A225,'Risk Register'!$B$2:$H$1000,4,FALSE())&gt;=4,"Yes",""),""))</f>
        <v/>
      </c>
      <c r="AE225" s="63" t="str">
        <f t="shared" si="15"/>
        <v/>
      </c>
      <c r="AF225" s="62"/>
      <c r="AG225" s="62"/>
      <c r="AH225" s="62"/>
      <c r="AI225" s="62"/>
      <c r="AJ225" s="62"/>
      <c r="AK225" s="62"/>
      <c r="AL225" s="62"/>
      <c r="AM225" s="62"/>
      <c r="AN225" s="62"/>
      <c r="AO225" s="62"/>
      <c r="AP225" s="62"/>
      <c r="AQ225" s="80"/>
    </row>
    <row r="226" spans="1:43" ht="15.75" customHeight="1" x14ac:dyDescent="0.2">
      <c r="A226" s="63" t="str">
        <f t="shared" si="12"/>
        <v/>
      </c>
      <c r="B226" s="62"/>
      <c r="C226" s="62"/>
      <c r="D226" s="62"/>
      <c r="E226" s="62"/>
      <c r="F226" s="62"/>
      <c r="G226" s="62"/>
      <c r="H226" s="62"/>
      <c r="I226" s="66"/>
      <c r="J226" s="66"/>
      <c r="K226" s="66"/>
      <c r="L226" s="66"/>
      <c r="M226" s="66"/>
      <c r="N226" s="64" t="str">
        <f>IF(OR($B226="", $I226="", $J226="", $K226="", $L226="", $M226=""),"",ROUND(($I226*Lists!$AN$2)+($J226*Lists!$AN$3)+($K226*Lists!$AN$4)+($L226*Lists!$AN$5)+($M226*Lists!$AN$6),2))</f>
        <v/>
      </c>
      <c r="O226" s="64" t="str">
        <f>IF($A226="","",IFERROR(VLOOKUP($A226,'Risk Register'!$B$2:$I$1000,8,FALSE()),""))</f>
        <v/>
      </c>
      <c r="P226" s="66"/>
      <c r="Q226" s="66"/>
      <c r="R226" s="66"/>
      <c r="S226" s="66"/>
      <c r="T226" s="64" t="str">
        <f>IF(OR($B226="", $P226="", $Q226="", $R226="", $S226=""),"",ROUND(($P226*Lists!$AN$7)+($Q226*Lists!$AN$8)+($R226*Lists!$AN$9)+($S226*Lists!$AN$10),2))</f>
        <v/>
      </c>
      <c r="U226" s="66"/>
      <c r="V226" s="66"/>
      <c r="W226" s="66"/>
      <c r="X226" s="66"/>
      <c r="Y226" s="66"/>
      <c r="Z226" s="64" t="str">
        <f>IF(OR($B226="", $U226="", $V226="", $W226="", $X226="", $Y226=""),"",ROUND(($U226*Lists!$AN$11)+($V226*Lists!$AN$12)+($W226*Lists!$AN$13)+($X226*Lists!$AN$14)+($Y226*Lists!$AN$15),2))</f>
        <v/>
      </c>
      <c r="AA226" s="64" t="str">
        <f>IF(OR($B226="", $N226="", $O226="", $T226="", $Z226=""),"",ROUND(($N226*Lists!$AN$16)-($O226*Lists!$AN$17)-($T226*Lists!$AN$18)+($Z226*Lists!$AN$19),2))</f>
        <v/>
      </c>
      <c r="AB226" s="63" t="str">
        <f t="shared" si="13"/>
        <v/>
      </c>
      <c r="AC226" s="63" t="str">
        <f t="shared" si="14"/>
        <v/>
      </c>
      <c r="AD226" s="63" t="str">
        <f>IF($A226="","",IFERROR(IF(VLOOKUP($A226,'Risk Register'!$B$2:$H$1000,4,FALSE())&gt;=4,"Yes",""),""))</f>
        <v/>
      </c>
      <c r="AE226" s="63" t="str">
        <f t="shared" si="15"/>
        <v/>
      </c>
      <c r="AF226" s="62"/>
      <c r="AG226" s="62"/>
      <c r="AH226" s="62"/>
      <c r="AI226" s="62"/>
      <c r="AJ226" s="62"/>
      <c r="AK226" s="62"/>
      <c r="AL226" s="62"/>
      <c r="AM226" s="62"/>
      <c r="AN226" s="62"/>
      <c r="AO226" s="62"/>
      <c r="AP226" s="62"/>
      <c r="AQ226" s="80"/>
    </row>
    <row r="227" spans="1:43" ht="15.75" customHeight="1" x14ac:dyDescent="0.2">
      <c r="A227" s="63" t="str">
        <f t="shared" si="12"/>
        <v/>
      </c>
      <c r="B227" s="62"/>
      <c r="C227" s="62"/>
      <c r="D227" s="62"/>
      <c r="E227" s="62"/>
      <c r="F227" s="62"/>
      <c r="G227" s="62"/>
      <c r="H227" s="62"/>
      <c r="I227" s="66"/>
      <c r="J227" s="66"/>
      <c r="K227" s="66"/>
      <c r="L227" s="66"/>
      <c r="M227" s="66"/>
      <c r="N227" s="64" t="str">
        <f>IF(OR($B227="", $I227="", $J227="", $K227="", $L227="", $M227=""),"",ROUND(($I227*Lists!$AN$2)+($J227*Lists!$AN$3)+($K227*Lists!$AN$4)+($L227*Lists!$AN$5)+($M227*Lists!$AN$6),2))</f>
        <v/>
      </c>
      <c r="O227" s="64" t="str">
        <f>IF($A227="","",IFERROR(VLOOKUP($A227,'Risk Register'!$B$2:$I$1000,8,FALSE()),""))</f>
        <v/>
      </c>
      <c r="P227" s="66"/>
      <c r="Q227" s="66"/>
      <c r="R227" s="66"/>
      <c r="S227" s="66"/>
      <c r="T227" s="64" t="str">
        <f>IF(OR($B227="", $P227="", $Q227="", $R227="", $S227=""),"",ROUND(($P227*Lists!$AN$7)+($Q227*Lists!$AN$8)+($R227*Lists!$AN$9)+($S227*Lists!$AN$10),2))</f>
        <v/>
      </c>
      <c r="U227" s="66"/>
      <c r="V227" s="66"/>
      <c r="W227" s="66"/>
      <c r="X227" s="66"/>
      <c r="Y227" s="66"/>
      <c r="Z227" s="64" t="str">
        <f>IF(OR($B227="", $U227="", $V227="", $W227="", $X227="", $Y227=""),"",ROUND(($U227*Lists!$AN$11)+($V227*Lists!$AN$12)+($W227*Lists!$AN$13)+($X227*Lists!$AN$14)+($Y227*Lists!$AN$15),2))</f>
        <v/>
      </c>
      <c r="AA227" s="64" t="str">
        <f>IF(OR($B227="", $N227="", $O227="", $T227="", $Z227=""),"",ROUND(($N227*Lists!$AN$16)-($O227*Lists!$AN$17)-($T227*Lists!$AN$18)+($Z227*Lists!$AN$19),2))</f>
        <v/>
      </c>
      <c r="AB227" s="63" t="str">
        <f t="shared" si="13"/>
        <v/>
      </c>
      <c r="AC227" s="63" t="str">
        <f t="shared" si="14"/>
        <v/>
      </c>
      <c r="AD227" s="63" t="str">
        <f>IF($A227="","",IFERROR(IF(VLOOKUP($A227,'Risk Register'!$B$2:$H$1000,4,FALSE())&gt;=4,"Yes",""),""))</f>
        <v/>
      </c>
      <c r="AE227" s="63" t="str">
        <f t="shared" si="15"/>
        <v/>
      </c>
      <c r="AF227" s="62"/>
      <c r="AG227" s="62"/>
      <c r="AH227" s="62"/>
      <c r="AI227" s="62"/>
      <c r="AJ227" s="62"/>
      <c r="AK227" s="62"/>
      <c r="AL227" s="62"/>
      <c r="AM227" s="62"/>
      <c r="AN227" s="62"/>
      <c r="AO227" s="62"/>
      <c r="AP227" s="62"/>
      <c r="AQ227" s="80"/>
    </row>
    <row r="228" spans="1:43" ht="15.75" customHeight="1" x14ac:dyDescent="0.2">
      <c r="A228" s="63" t="str">
        <f t="shared" si="12"/>
        <v/>
      </c>
      <c r="B228" s="62"/>
      <c r="C228" s="62"/>
      <c r="D228" s="62"/>
      <c r="E228" s="62"/>
      <c r="F228" s="62"/>
      <c r="G228" s="62"/>
      <c r="H228" s="62"/>
      <c r="I228" s="66"/>
      <c r="J228" s="66"/>
      <c r="K228" s="66"/>
      <c r="L228" s="66"/>
      <c r="M228" s="66"/>
      <c r="N228" s="64" t="str">
        <f>IF(OR($B228="", $I228="", $J228="", $K228="", $L228="", $M228=""),"",ROUND(($I228*Lists!$AN$2)+($J228*Lists!$AN$3)+($K228*Lists!$AN$4)+($L228*Lists!$AN$5)+($M228*Lists!$AN$6),2))</f>
        <v/>
      </c>
      <c r="O228" s="64" t="str">
        <f>IF($A228="","",IFERROR(VLOOKUP($A228,'Risk Register'!$B$2:$I$1000,8,FALSE()),""))</f>
        <v/>
      </c>
      <c r="P228" s="66"/>
      <c r="Q228" s="66"/>
      <c r="R228" s="66"/>
      <c r="S228" s="66"/>
      <c r="T228" s="64" t="str">
        <f>IF(OR($B228="", $P228="", $Q228="", $R228="", $S228=""),"",ROUND(($P228*Lists!$AN$7)+($Q228*Lists!$AN$8)+($R228*Lists!$AN$9)+($S228*Lists!$AN$10),2))</f>
        <v/>
      </c>
      <c r="U228" s="66"/>
      <c r="V228" s="66"/>
      <c r="W228" s="66"/>
      <c r="X228" s="66"/>
      <c r="Y228" s="66"/>
      <c r="Z228" s="64" t="str">
        <f>IF(OR($B228="", $U228="", $V228="", $W228="", $X228="", $Y228=""),"",ROUND(($U228*Lists!$AN$11)+($V228*Lists!$AN$12)+($W228*Lists!$AN$13)+($X228*Lists!$AN$14)+($Y228*Lists!$AN$15),2))</f>
        <v/>
      </c>
      <c r="AA228" s="64" t="str">
        <f>IF(OR($B228="", $N228="", $O228="", $T228="", $Z228=""),"",ROUND(($N228*Lists!$AN$16)-($O228*Lists!$AN$17)-($T228*Lists!$AN$18)+($Z228*Lists!$AN$19),2))</f>
        <v/>
      </c>
      <c r="AB228" s="63" t="str">
        <f t="shared" si="13"/>
        <v/>
      </c>
      <c r="AC228" s="63" t="str">
        <f t="shared" si="14"/>
        <v/>
      </c>
      <c r="AD228" s="63" t="str">
        <f>IF($A228="","",IFERROR(IF(VLOOKUP($A228,'Risk Register'!$B$2:$H$1000,4,FALSE())&gt;=4,"Yes",""),""))</f>
        <v/>
      </c>
      <c r="AE228" s="63" t="str">
        <f t="shared" si="15"/>
        <v/>
      </c>
      <c r="AF228" s="62"/>
      <c r="AG228" s="62"/>
      <c r="AH228" s="62"/>
      <c r="AI228" s="62"/>
      <c r="AJ228" s="62"/>
      <c r="AK228" s="62"/>
      <c r="AL228" s="62"/>
      <c r="AM228" s="62"/>
      <c r="AN228" s="62"/>
      <c r="AO228" s="62"/>
      <c r="AP228" s="62"/>
      <c r="AQ228" s="80"/>
    </row>
    <row r="229" spans="1:43" ht="15.75" customHeight="1" x14ac:dyDescent="0.2">
      <c r="A229" s="63" t="str">
        <f t="shared" si="12"/>
        <v/>
      </c>
      <c r="B229" s="62"/>
      <c r="C229" s="62"/>
      <c r="D229" s="62"/>
      <c r="E229" s="62"/>
      <c r="F229" s="62"/>
      <c r="G229" s="62"/>
      <c r="H229" s="62"/>
      <c r="I229" s="66"/>
      <c r="J229" s="66"/>
      <c r="K229" s="66"/>
      <c r="L229" s="66"/>
      <c r="M229" s="66"/>
      <c r="N229" s="64" t="str">
        <f>IF(OR($B229="", $I229="", $J229="", $K229="", $L229="", $M229=""),"",ROUND(($I229*Lists!$AN$2)+($J229*Lists!$AN$3)+($K229*Lists!$AN$4)+($L229*Lists!$AN$5)+($M229*Lists!$AN$6),2))</f>
        <v/>
      </c>
      <c r="O229" s="64" t="str">
        <f>IF($A229="","",IFERROR(VLOOKUP($A229,'Risk Register'!$B$2:$I$1000,8,FALSE()),""))</f>
        <v/>
      </c>
      <c r="P229" s="66"/>
      <c r="Q229" s="66"/>
      <c r="R229" s="66"/>
      <c r="S229" s="66"/>
      <c r="T229" s="64" t="str">
        <f>IF(OR($B229="", $P229="", $Q229="", $R229="", $S229=""),"",ROUND(($P229*Lists!$AN$7)+($Q229*Lists!$AN$8)+($R229*Lists!$AN$9)+($S229*Lists!$AN$10),2))</f>
        <v/>
      </c>
      <c r="U229" s="66"/>
      <c r="V229" s="66"/>
      <c r="W229" s="66"/>
      <c r="X229" s="66"/>
      <c r="Y229" s="66"/>
      <c r="Z229" s="64" t="str">
        <f>IF(OR($B229="", $U229="", $V229="", $W229="", $X229="", $Y229=""),"",ROUND(($U229*Lists!$AN$11)+($V229*Lists!$AN$12)+($W229*Lists!$AN$13)+($X229*Lists!$AN$14)+($Y229*Lists!$AN$15),2))</f>
        <v/>
      </c>
      <c r="AA229" s="64" t="str">
        <f>IF(OR($B229="", $N229="", $O229="", $T229="", $Z229=""),"",ROUND(($N229*Lists!$AN$16)-($O229*Lists!$AN$17)-($T229*Lists!$AN$18)+($Z229*Lists!$AN$19),2))</f>
        <v/>
      </c>
      <c r="AB229" s="63" t="str">
        <f t="shared" si="13"/>
        <v/>
      </c>
      <c r="AC229" s="63" t="str">
        <f t="shared" si="14"/>
        <v/>
      </c>
      <c r="AD229" s="63" t="str">
        <f>IF($A229="","",IFERROR(IF(VLOOKUP($A229,'Risk Register'!$B$2:$H$1000,4,FALSE())&gt;=4,"Yes",""),""))</f>
        <v/>
      </c>
      <c r="AE229" s="63" t="str">
        <f t="shared" si="15"/>
        <v/>
      </c>
      <c r="AF229" s="62"/>
      <c r="AG229" s="62"/>
      <c r="AH229" s="62"/>
      <c r="AI229" s="62"/>
      <c r="AJ229" s="62"/>
      <c r="AK229" s="62"/>
      <c r="AL229" s="62"/>
      <c r="AM229" s="62"/>
      <c r="AN229" s="62"/>
      <c r="AO229" s="62"/>
      <c r="AP229" s="62"/>
      <c r="AQ229" s="80"/>
    </row>
    <row r="230" spans="1:43" ht="15.75" customHeight="1" x14ac:dyDescent="0.2">
      <c r="A230" s="63" t="str">
        <f t="shared" si="12"/>
        <v/>
      </c>
      <c r="B230" s="62"/>
      <c r="C230" s="62"/>
      <c r="D230" s="62"/>
      <c r="E230" s="62"/>
      <c r="F230" s="62"/>
      <c r="G230" s="62"/>
      <c r="H230" s="62"/>
      <c r="I230" s="66"/>
      <c r="J230" s="66"/>
      <c r="K230" s="66"/>
      <c r="L230" s="66"/>
      <c r="M230" s="66"/>
      <c r="N230" s="64" t="str">
        <f>IF(OR($B230="", $I230="", $J230="", $K230="", $L230="", $M230=""),"",ROUND(($I230*Lists!$AN$2)+($J230*Lists!$AN$3)+($K230*Lists!$AN$4)+($L230*Lists!$AN$5)+($M230*Lists!$AN$6),2))</f>
        <v/>
      </c>
      <c r="O230" s="64" t="str">
        <f>IF($A230="","",IFERROR(VLOOKUP($A230,'Risk Register'!$B$2:$I$1000,8,FALSE()),""))</f>
        <v/>
      </c>
      <c r="P230" s="66"/>
      <c r="Q230" s="66"/>
      <c r="R230" s="66"/>
      <c r="S230" s="66"/>
      <c r="T230" s="64" t="str">
        <f>IF(OR($B230="", $P230="", $Q230="", $R230="", $S230=""),"",ROUND(($P230*Lists!$AN$7)+($Q230*Lists!$AN$8)+($R230*Lists!$AN$9)+($S230*Lists!$AN$10),2))</f>
        <v/>
      </c>
      <c r="U230" s="66"/>
      <c r="V230" s="66"/>
      <c r="W230" s="66"/>
      <c r="X230" s="66"/>
      <c r="Y230" s="66"/>
      <c r="Z230" s="64" t="str">
        <f>IF(OR($B230="", $U230="", $V230="", $W230="", $X230="", $Y230=""),"",ROUND(($U230*Lists!$AN$11)+($V230*Lists!$AN$12)+($W230*Lists!$AN$13)+($X230*Lists!$AN$14)+($Y230*Lists!$AN$15),2))</f>
        <v/>
      </c>
      <c r="AA230" s="64" t="str">
        <f>IF(OR($B230="", $N230="", $O230="", $T230="", $Z230=""),"",ROUND(($N230*Lists!$AN$16)-($O230*Lists!$AN$17)-($T230*Lists!$AN$18)+($Z230*Lists!$AN$19),2))</f>
        <v/>
      </c>
      <c r="AB230" s="63" t="str">
        <f t="shared" si="13"/>
        <v/>
      </c>
      <c r="AC230" s="63" t="str">
        <f t="shared" si="14"/>
        <v/>
      </c>
      <c r="AD230" s="63" t="str">
        <f>IF($A230="","",IFERROR(IF(VLOOKUP($A230,'Risk Register'!$B$2:$H$1000,4,FALSE())&gt;=4,"Yes",""),""))</f>
        <v/>
      </c>
      <c r="AE230" s="63" t="str">
        <f t="shared" si="15"/>
        <v/>
      </c>
      <c r="AF230" s="62"/>
      <c r="AG230" s="62"/>
      <c r="AH230" s="62"/>
      <c r="AI230" s="62"/>
      <c r="AJ230" s="62"/>
      <c r="AK230" s="62"/>
      <c r="AL230" s="62"/>
      <c r="AM230" s="62"/>
      <c r="AN230" s="62"/>
      <c r="AO230" s="62"/>
      <c r="AP230" s="62"/>
      <c r="AQ230" s="80"/>
    </row>
    <row r="231" spans="1:43" ht="15.75" customHeight="1" x14ac:dyDescent="0.2">
      <c r="A231" s="63" t="str">
        <f t="shared" si="12"/>
        <v/>
      </c>
      <c r="B231" s="62"/>
      <c r="C231" s="62"/>
      <c r="D231" s="62"/>
      <c r="E231" s="62"/>
      <c r="F231" s="62"/>
      <c r="G231" s="62"/>
      <c r="H231" s="62"/>
      <c r="I231" s="66"/>
      <c r="J231" s="66"/>
      <c r="K231" s="66"/>
      <c r="L231" s="66"/>
      <c r="M231" s="66"/>
      <c r="N231" s="64" t="str">
        <f>IF(OR($B231="", $I231="", $J231="", $K231="", $L231="", $M231=""),"",ROUND(($I231*Lists!$AN$2)+($J231*Lists!$AN$3)+($K231*Lists!$AN$4)+($L231*Lists!$AN$5)+($M231*Lists!$AN$6),2))</f>
        <v/>
      </c>
      <c r="O231" s="64" t="str">
        <f>IF($A231="","",IFERROR(VLOOKUP($A231,'Risk Register'!$B$2:$I$1000,8,FALSE()),""))</f>
        <v/>
      </c>
      <c r="P231" s="66"/>
      <c r="Q231" s="66"/>
      <c r="R231" s="66"/>
      <c r="S231" s="66"/>
      <c r="T231" s="64" t="str">
        <f>IF(OR($B231="", $P231="", $Q231="", $R231="", $S231=""),"",ROUND(($P231*Lists!$AN$7)+($Q231*Lists!$AN$8)+($R231*Lists!$AN$9)+($S231*Lists!$AN$10),2))</f>
        <v/>
      </c>
      <c r="U231" s="66"/>
      <c r="V231" s="66"/>
      <c r="W231" s="66"/>
      <c r="X231" s="66"/>
      <c r="Y231" s="66"/>
      <c r="Z231" s="64" t="str">
        <f>IF(OR($B231="", $U231="", $V231="", $W231="", $X231="", $Y231=""),"",ROUND(($U231*Lists!$AN$11)+($V231*Lists!$AN$12)+($W231*Lists!$AN$13)+($X231*Lists!$AN$14)+($Y231*Lists!$AN$15),2))</f>
        <v/>
      </c>
      <c r="AA231" s="64" t="str">
        <f>IF(OR($B231="", $N231="", $O231="", $T231="", $Z231=""),"",ROUND(($N231*Lists!$AN$16)-($O231*Lists!$AN$17)-($T231*Lists!$AN$18)+($Z231*Lists!$AN$19),2))</f>
        <v/>
      </c>
      <c r="AB231" s="63" t="str">
        <f t="shared" si="13"/>
        <v/>
      </c>
      <c r="AC231" s="63" t="str">
        <f t="shared" si="14"/>
        <v/>
      </c>
      <c r="AD231" s="63" t="str">
        <f>IF($A231="","",IFERROR(IF(VLOOKUP($A231,'Risk Register'!$B$2:$H$1000,4,FALSE())&gt;=4,"Yes",""),""))</f>
        <v/>
      </c>
      <c r="AE231" s="63" t="str">
        <f t="shared" si="15"/>
        <v/>
      </c>
      <c r="AF231" s="62"/>
      <c r="AG231" s="62"/>
      <c r="AH231" s="62"/>
      <c r="AI231" s="62"/>
      <c r="AJ231" s="62"/>
      <c r="AK231" s="62"/>
      <c r="AL231" s="62"/>
      <c r="AM231" s="62"/>
      <c r="AN231" s="62"/>
      <c r="AO231" s="62"/>
      <c r="AP231" s="62"/>
      <c r="AQ231" s="80"/>
    </row>
    <row r="232" spans="1:43" ht="15.75" customHeight="1" x14ac:dyDescent="0.2">
      <c r="A232" s="63" t="str">
        <f t="shared" si="12"/>
        <v/>
      </c>
      <c r="B232" s="62"/>
      <c r="C232" s="62"/>
      <c r="D232" s="62"/>
      <c r="E232" s="62"/>
      <c r="F232" s="62"/>
      <c r="G232" s="62"/>
      <c r="H232" s="62"/>
      <c r="I232" s="66"/>
      <c r="J232" s="66"/>
      <c r="K232" s="66"/>
      <c r="L232" s="66"/>
      <c r="M232" s="66"/>
      <c r="N232" s="64" t="str">
        <f>IF(OR($B232="", $I232="", $J232="", $K232="", $L232="", $M232=""),"",ROUND(($I232*Lists!$AN$2)+($J232*Lists!$AN$3)+($K232*Lists!$AN$4)+($L232*Lists!$AN$5)+($M232*Lists!$AN$6),2))</f>
        <v/>
      </c>
      <c r="O232" s="64" t="str">
        <f>IF($A232="","",IFERROR(VLOOKUP($A232,'Risk Register'!$B$2:$I$1000,8,FALSE()),""))</f>
        <v/>
      </c>
      <c r="P232" s="66"/>
      <c r="Q232" s="66"/>
      <c r="R232" s="66"/>
      <c r="S232" s="66"/>
      <c r="T232" s="64" t="str">
        <f>IF(OR($B232="", $P232="", $Q232="", $R232="", $S232=""),"",ROUND(($P232*Lists!$AN$7)+($Q232*Lists!$AN$8)+($R232*Lists!$AN$9)+($S232*Lists!$AN$10),2))</f>
        <v/>
      </c>
      <c r="U232" s="66"/>
      <c r="V232" s="66"/>
      <c r="W232" s="66"/>
      <c r="X232" s="66"/>
      <c r="Y232" s="66"/>
      <c r="Z232" s="64" t="str">
        <f>IF(OR($B232="", $U232="", $V232="", $W232="", $X232="", $Y232=""),"",ROUND(($U232*Lists!$AN$11)+($V232*Lists!$AN$12)+($W232*Lists!$AN$13)+($X232*Lists!$AN$14)+($Y232*Lists!$AN$15),2))</f>
        <v/>
      </c>
      <c r="AA232" s="64" t="str">
        <f>IF(OR($B232="", $N232="", $O232="", $T232="", $Z232=""),"",ROUND(($N232*Lists!$AN$16)-($O232*Lists!$AN$17)-($T232*Lists!$AN$18)+($Z232*Lists!$AN$19),2))</f>
        <v/>
      </c>
      <c r="AB232" s="63" t="str">
        <f t="shared" si="13"/>
        <v/>
      </c>
      <c r="AC232" s="63" t="str">
        <f t="shared" si="14"/>
        <v/>
      </c>
      <c r="AD232" s="63" t="str">
        <f>IF($A232="","",IFERROR(IF(VLOOKUP($A232,'Risk Register'!$B$2:$H$1000,4,FALSE())&gt;=4,"Yes",""),""))</f>
        <v/>
      </c>
      <c r="AE232" s="63" t="str">
        <f t="shared" si="15"/>
        <v/>
      </c>
      <c r="AF232" s="62"/>
      <c r="AG232" s="62"/>
      <c r="AH232" s="62"/>
      <c r="AI232" s="62"/>
      <c r="AJ232" s="62"/>
      <c r="AK232" s="62"/>
      <c r="AL232" s="62"/>
      <c r="AM232" s="62"/>
      <c r="AN232" s="62"/>
      <c r="AO232" s="62"/>
      <c r="AP232" s="62"/>
      <c r="AQ232" s="80"/>
    </row>
    <row r="233" spans="1:43" ht="15.75" customHeight="1" x14ac:dyDescent="0.2">
      <c r="A233" s="63" t="str">
        <f t="shared" si="12"/>
        <v/>
      </c>
      <c r="B233" s="62"/>
      <c r="C233" s="62"/>
      <c r="D233" s="62"/>
      <c r="E233" s="62"/>
      <c r="F233" s="62"/>
      <c r="G233" s="62"/>
      <c r="H233" s="62"/>
      <c r="I233" s="66"/>
      <c r="J233" s="66"/>
      <c r="K233" s="66"/>
      <c r="L233" s="66"/>
      <c r="M233" s="66"/>
      <c r="N233" s="64" t="str">
        <f>IF(OR($B233="", $I233="", $J233="", $K233="", $L233="", $M233=""),"",ROUND(($I233*Lists!$AN$2)+($J233*Lists!$AN$3)+($K233*Lists!$AN$4)+($L233*Lists!$AN$5)+($M233*Lists!$AN$6),2))</f>
        <v/>
      </c>
      <c r="O233" s="64" t="str">
        <f>IF($A233="","",IFERROR(VLOOKUP($A233,'Risk Register'!$B$2:$I$1000,8,FALSE()),""))</f>
        <v/>
      </c>
      <c r="P233" s="66"/>
      <c r="Q233" s="66"/>
      <c r="R233" s="66"/>
      <c r="S233" s="66"/>
      <c r="T233" s="64" t="str">
        <f>IF(OR($B233="", $P233="", $Q233="", $R233="", $S233=""),"",ROUND(($P233*Lists!$AN$7)+($Q233*Lists!$AN$8)+($R233*Lists!$AN$9)+($S233*Lists!$AN$10),2))</f>
        <v/>
      </c>
      <c r="U233" s="66"/>
      <c r="V233" s="66"/>
      <c r="W233" s="66"/>
      <c r="X233" s="66"/>
      <c r="Y233" s="66"/>
      <c r="Z233" s="64" t="str">
        <f>IF(OR($B233="", $U233="", $V233="", $W233="", $X233="", $Y233=""),"",ROUND(($U233*Lists!$AN$11)+($V233*Lists!$AN$12)+($W233*Lists!$AN$13)+($X233*Lists!$AN$14)+($Y233*Lists!$AN$15),2))</f>
        <v/>
      </c>
      <c r="AA233" s="64" t="str">
        <f>IF(OR($B233="", $N233="", $O233="", $T233="", $Z233=""),"",ROUND(($N233*Lists!$AN$16)-($O233*Lists!$AN$17)-($T233*Lists!$AN$18)+($Z233*Lists!$AN$19),2))</f>
        <v/>
      </c>
      <c r="AB233" s="63" t="str">
        <f t="shared" si="13"/>
        <v/>
      </c>
      <c r="AC233" s="63" t="str">
        <f t="shared" si="14"/>
        <v/>
      </c>
      <c r="AD233" s="63" t="str">
        <f>IF($A233="","",IFERROR(IF(VLOOKUP($A233,'Risk Register'!$B$2:$H$1000,4,FALSE())&gt;=4,"Yes",""),""))</f>
        <v/>
      </c>
      <c r="AE233" s="63" t="str">
        <f t="shared" si="15"/>
        <v/>
      </c>
      <c r="AF233" s="62"/>
      <c r="AG233" s="62"/>
      <c r="AH233" s="62"/>
      <c r="AI233" s="62"/>
      <c r="AJ233" s="62"/>
      <c r="AK233" s="62"/>
      <c r="AL233" s="62"/>
      <c r="AM233" s="62"/>
      <c r="AN233" s="62"/>
      <c r="AO233" s="62"/>
      <c r="AP233" s="62"/>
      <c r="AQ233" s="80"/>
    </row>
    <row r="234" spans="1:43" ht="15.75" customHeight="1" x14ac:dyDescent="0.2">
      <c r="A234" s="63" t="str">
        <f t="shared" si="12"/>
        <v/>
      </c>
      <c r="B234" s="62"/>
      <c r="C234" s="62"/>
      <c r="D234" s="62"/>
      <c r="E234" s="62"/>
      <c r="F234" s="62"/>
      <c r="G234" s="62"/>
      <c r="H234" s="62"/>
      <c r="I234" s="66"/>
      <c r="J234" s="66"/>
      <c r="K234" s="66"/>
      <c r="L234" s="66"/>
      <c r="M234" s="66"/>
      <c r="N234" s="64" t="str">
        <f>IF(OR($B234="", $I234="", $J234="", $K234="", $L234="", $M234=""),"",ROUND(($I234*Lists!$AN$2)+($J234*Lists!$AN$3)+($K234*Lists!$AN$4)+($L234*Lists!$AN$5)+($M234*Lists!$AN$6),2))</f>
        <v/>
      </c>
      <c r="O234" s="64" t="str">
        <f>IF($A234="","",IFERROR(VLOOKUP($A234,'Risk Register'!$B$2:$I$1000,8,FALSE()),""))</f>
        <v/>
      </c>
      <c r="P234" s="66"/>
      <c r="Q234" s="66"/>
      <c r="R234" s="66"/>
      <c r="S234" s="66"/>
      <c r="T234" s="64" t="str">
        <f>IF(OR($B234="", $P234="", $Q234="", $R234="", $S234=""),"",ROUND(($P234*Lists!$AN$7)+($Q234*Lists!$AN$8)+($R234*Lists!$AN$9)+($S234*Lists!$AN$10),2))</f>
        <v/>
      </c>
      <c r="U234" s="66"/>
      <c r="V234" s="66"/>
      <c r="W234" s="66"/>
      <c r="X234" s="66"/>
      <c r="Y234" s="66"/>
      <c r="Z234" s="64" t="str">
        <f>IF(OR($B234="", $U234="", $V234="", $W234="", $X234="", $Y234=""),"",ROUND(($U234*Lists!$AN$11)+($V234*Lists!$AN$12)+($W234*Lists!$AN$13)+($X234*Lists!$AN$14)+($Y234*Lists!$AN$15),2))</f>
        <v/>
      </c>
      <c r="AA234" s="64" t="str">
        <f>IF(OR($B234="", $N234="", $O234="", $T234="", $Z234=""),"",ROUND(($N234*Lists!$AN$16)-($O234*Lists!$AN$17)-($T234*Lists!$AN$18)+($Z234*Lists!$AN$19),2))</f>
        <v/>
      </c>
      <c r="AB234" s="63" t="str">
        <f t="shared" si="13"/>
        <v/>
      </c>
      <c r="AC234" s="63" t="str">
        <f t="shared" si="14"/>
        <v/>
      </c>
      <c r="AD234" s="63" t="str">
        <f>IF($A234="","",IFERROR(IF(VLOOKUP($A234,'Risk Register'!$B$2:$H$1000,4,FALSE())&gt;=4,"Yes",""),""))</f>
        <v/>
      </c>
      <c r="AE234" s="63" t="str">
        <f t="shared" si="15"/>
        <v/>
      </c>
      <c r="AF234" s="62"/>
      <c r="AG234" s="62"/>
      <c r="AH234" s="62"/>
      <c r="AI234" s="62"/>
      <c r="AJ234" s="62"/>
      <c r="AK234" s="62"/>
      <c r="AL234" s="62"/>
      <c r="AM234" s="62"/>
      <c r="AN234" s="62"/>
      <c r="AO234" s="62"/>
      <c r="AP234" s="62"/>
      <c r="AQ234" s="80"/>
    </row>
    <row r="235" spans="1:43" ht="15.75" customHeight="1" x14ac:dyDescent="0.2">
      <c r="A235" s="63" t="str">
        <f t="shared" si="12"/>
        <v/>
      </c>
      <c r="B235" s="62"/>
      <c r="C235" s="62"/>
      <c r="D235" s="62"/>
      <c r="E235" s="62"/>
      <c r="F235" s="62"/>
      <c r="G235" s="62"/>
      <c r="H235" s="62"/>
      <c r="I235" s="66"/>
      <c r="J235" s="66"/>
      <c r="K235" s="66"/>
      <c r="L235" s="66"/>
      <c r="M235" s="66"/>
      <c r="N235" s="64" t="str">
        <f>IF(OR($B235="", $I235="", $J235="", $K235="", $L235="", $M235=""),"",ROUND(($I235*Lists!$AN$2)+($J235*Lists!$AN$3)+($K235*Lists!$AN$4)+($L235*Lists!$AN$5)+($M235*Lists!$AN$6),2))</f>
        <v/>
      </c>
      <c r="O235" s="64" t="str">
        <f>IF($A235="","",IFERROR(VLOOKUP($A235,'Risk Register'!$B$2:$I$1000,8,FALSE()),""))</f>
        <v/>
      </c>
      <c r="P235" s="66"/>
      <c r="Q235" s="66"/>
      <c r="R235" s="66"/>
      <c r="S235" s="66"/>
      <c r="T235" s="64" t="str">
        <f>IF(OR($B235="", $P235="", $Q235="", $R235="", $S235=""),"",ROUND(($P235*Lists!$AN$7)+($Q235*Lists!$AN$8)+($R235*Lists!$AN$9)+($S235*Lists!$AN$10),2))</f>
        <v/>
      </c>
      <c r="U235" s="66"/>
      <c r="V235" s="66"/>
      <c r="W235" s="66"/>
      <c r="X235" s="66"/>
      <c r="Y235" s="66"/>
      <c r="Z235" s="64" t="str">
        <f>IF(OR($B235="", $U235="", $V235="", $W235="", $X235="", $Y235=""),"",ROUND(($U235*Lists!$AN$11)+($V235*Lists!$AN$12)+($W235*Lists!$AN$13)+($X235*Lists!$AN$14)+($Y235*Lists!$AN$15),2))</f>
        <v/>
      </c>
      <c r="AA235" s="64" t="str">
        <f>IF(OR($B235="", $N235="", $O235="", $T235="", $Z235=""),"",ROUND(($N235*Lists!$AN$16)-($O235*Lists!$AN$17)-($T235*Lists!$AN$18)+($Z235*Lists!$AN$19),2))</f>
        <v/>
      </c>
      <c r="AB235" s="63" t="str">
        <f t="shared" si="13"/>
        <v/>
      </c>
      <c r="AC235" s="63" t="str">
        <f t="shared" si="14"/>
        <v/>
      </c>
      <c r="AD235" s="63" t="str">
        <f>IF($A235="","",IFERROR(IF(VLOOKUP($A235,'Risk Register'!$B$2:$H$1000,4,FALSE())&gt;=4,"Yes",""),""))</f>
        <v/>
      </c>
      <c r="AE235" s="63" t="str">
        <f t="shared" si="15"/>
        <v/>
      </c>
      <c r="AF235" s="62"/>
      <c r="AG235" s="62"/>
      <c r="AH235" s="62"/>
      <c r="AI235" s="62"/>
      <c r="AJ235" s="62"/>
      <c r="AK235" s="62"/>
      <c r="AL235" s="62"/>
      <c r="AM235" s="62"/>
      <c r="AN235" s="62"/>
      <c r="AO235" s="62"/>
      <c r="AP235" s="62"/>
      <c r="AQ235" s="80"/>
    </row>
    <row r="236" spans="1:43" ht="15.75" customHeight="1" x14ac:dyDescent="0.2">
      <c r="A236" s="63" t="str">
        <f t="shared" si="12"/>
        <v/>
      </c>
      <c r="B236" s="62"/>
      <c r="C236" s="62"/>
      <c r="D236" s="62"/>
      <c r="E236" s="62"/>
      <c r="F236" s="62"/>
      <c r="G236" s="62"/>
      <c r="H236" s="62"/>
      <c r="I236" s="66"/>
      <c r="J236" s="66"/>
      <c r="K236" s="66"/>
      <c r="L236" s="66"/>
      <c r="M236" s="66"/>
      <c r="N236" s="64" t="str">
        <f>IF(OR($B236="", $I236="", $J236="", $K236="", $L236="", $M236=""),"",ROUND(($I236*Lists!$AN$2)+($J236*Lists!$AN$3)+($K236*Lists!$AN$4)+($L236*Lists!$AN$5)+($M236*Lists!$AN$6),2))</f>
        <v/>
      </c>
      <c r="O236" s="64" t="str">
        <f>IF($A236="","",IFERROR(VLOOKUP($A236,'Risk Register'!$B$2:$I$1000,8,FALSE()),""))</f>
        <v/>
      </c>
      <c r="P236" s="66"/>
      <c r="Q236" s="66"/>
      <c r="R236" s="66"/>
      <c r="S236" s="66"/>
      <c r="T236" s="64" t="str">
        <f>IF(OR($B236="", $P236="", $Q236="", $R236="", $S236=""),"",ROUND(($P236*Lists!$AN$7)+($Q236*Lists!$AN$8)+($R236*Lists!$AN$9)+($S236*Lists!$AN$10),2))</f>
        <v/>
      </c>
      <c r="U236" s="66"/>
      <c r="V236" s="66"/>
      <c r="W236" s="66"/>
      <c r="X236" s="66"/>
      <c r="Y236" s="66"/>
      <c r="Z236" s="64" t="str">
        <f>IF(OR($B236="", $U236="", $V236="", $W236="", $X236="", $Y236=""),"",ROUND(($U236*Lists!$AN$11)+($V236*Lists!$AN$12)+($W236*Lists!$AN$13)+($X236*Lists!$AN$14)+($Y236*Lists!$AN$15),2))</f>
        <v/>
      </c>
      <c r="AA236" s="64" t="str">
        <f>IF(OR($B236="", $N236="", $O236="", $T236="", $Z236=""),"",ROUND(($N236*Lists!$AN$16)-($O236*Lists!$AN$17)-($T236*Lists!$AN$18)+($Z236*Lists!$AN$19),2))</f>
        <v/>
      </c>
      <c r="AB236" s="63" t="str">
        <f t="shared" si="13"/>
        <v/>
      </c>
      <c r="AC236" s="63" t="str">
        <f t="shared" si="14"/>
        <v/>
      </c>
      <c r="AD236" s="63" t="str">
        <f>IF($A236="","",IFERROR(IF(VLOOKUP($A236,'Risk Register'!$B$2:$H$1000,4,FALSE())&gt;=4,"Yes",""),""))</f>
        <v/>
      </c>
      <c r="AE236" s="63" t="str">
        <f t="shared" si="15"/>
        <v/>
      </c>
      <c r="AF236" s="62"/>
      <c r="AG236" s="62"/>
      <c r="AH236" s="62"/>
      <c r="AI236" s="62"/>
      <c r="AJ236" s="62"/>
      <c r="AK236" s="62"/>
      <c r="AL236" s="62"/>
      <c r="AM236" s="62"/>
      <c r="AN236" s="62"/>
      <c r="AO236" s="62"/>
      <c r="AP236" s="62"/>
      <c r="AQ236" s="80"/>
    </row>
    <row r="237" spans="1:43" ht="15.75" customHeight="1" x14ac:dyDescent="0.2">
      <c r="A237" s="63" t="str">
        <f t="shared" si="12"/>
        <v/>
      </c>
      <c r="B237" s="62"/>
      <c r="C237" s="62"/>
      <c r="D237" s="62"/>
      <c r="E237" s="62"/>
      <c r="F237" s="62"/>
      <c r="G237" s="62"/>
      <c r="H237" s="62"/>
      <c r="I237" s="66"/>
      <c r="J237" s="66"/>
      <c r="K237" s="66"/>
      <c r="L237" s="66"/>
      <c r="M237" s="66"/>
      <c r="N237" s="64" t="str">
        <f>IF(OR($B237="", $I237="", $J237="", $K237="", $L237="", $M237=""),"",ROUND(($I237*Lists!$AN$2)+($J237*Lists!$AN$3)+($K237*Lists!$AN$4)+($L237*Lists!$AN$5)+($M237*Lists!$AN$6),2))</f>
        <v/>
      </c>
      <c r="O237" s="64" t="str">
        <f>IF($A237="","",IFERROR(VLOOKUP($A237,'Risk Register'!$B$2:$I$1000,8,FALSE()),""))</f>
        <v/>
      </c>
      <c r="P237" s="66"/>
      <c r="Q237" s="66"/>
      <c r="R237" s="66"/>
      <c r="S237" s="66"/>
      <c r="T237" s="64" t="str">
        <f>IF(OR($B237="", $P237="", $Q237="", $R237="", $S237=""),"",ROUND(($P237*Lists!$AN$7)+($Q237*Lists!$AN$8)+($R237*Lists!$AN$9)+($S237*Lists!$AN$10),2))</f>
        <v/>
      </c>
      <c r="U237" s="66"/>
      <c r="V237" s="66"/>
      <c r="W237" s="66"/>
      <c r="X237" s="66"/>
      <c r="Y237" s="66"/>
      <c r="Z237" s="64" t="str">
        <f>IF(OR($B237="", $U237="", $V237="", $W237="", $X237="", $Y237=""),"",ROUND(($U237*Lists!$AN$11)+($V237*Lists!$AN$12)+($W237*Lists!$AN$13)+($X237*Lists!$AN$14)+($Y237*Lists!$AN$15),2))</f>
        <v/>
      </c>
      <c r="AA237" s="64" t="str">
        <f>IF(OR($B237="", $N237="", $O237="", $T237="", $Z237=""),"",ROUND(($N237*Lists!$AN$16)-($O237*Lists!$AN$17)-($T237*Lists!$AN$18)+($Z237*Lists!$AN$19),2))</f>
        <v/>
      </c>
      <c r="AB237" s="63" t="str">
        <f t="shared" si="13"/>
        <v/>
      </c>
      <c r="AC237" s="63" t="str">
        <f t="shared" si="14"/>
        <v/>
      </c>
      <c r="AD237" s="63" t="str">
        <f>IF($A237="","",IFERROR(IF(VLOOKUP($A237,'Risk Register'!$B$2:$H$1000,4,FALSE())&gt;=4,"Yes",""),""))</f>
        <v/>
      </c>
      <c r="AE237" s="63" t="str">
        <f t="shared" si="15"/>
        <v/>
      </c>
      <c r="AF237" s="62"/>
      <c r="AG237" s="62"/>
      <c r="AH237" s="62"/>
      <c r="AI237" s="62"/>
      <c r="AJ237" s="62"/>
      <c r="AK237" s="62"/>
      <c r="AL237" s="62"/>
      <c r="AM237" s="62"/>
      <c r="AN237" s="62"/>
      <c r="AO237" s="62"/>
      <c r="AP237" s="62"/>
      <c r="AQ237" s="80"/>
    </row>
    <row r="238" spans="1:43" ht="15.75" customHeight="1" x14ac:dyDescent="0.2">
      <c r="A238" s="63" t="str">
        <f t="shared" si="12"/>
        <v/>
      </c>
      <c r="B238" s="62"/>
      <c r="C238" s="62"/>
      <c r="D238" s="62"/>
      <c r="E238" s="62"/>
      <c r="F238" s="62"/>
      <c r="G238" s="62"/>
      <c r="H238" s="62"/>
      <c r="I238" s="66"/>
      <c r="J238" s="66"/>
      <c r="K238" s="66"/>
      <c r="L238" s="66"/>
      <c r="M238" s="66"/>
      <c r="N238" s="64" t="str">
        <f>IF(OR($B238="", $I238="", $J238="", $K238="", $L238="", $M238=""),"",ROUND(($I238*Lists!$AN$2)+($J238*Lists!$AN$3)+($K238*Lists!$AN$4)+($L238*Lists!$AN$5)+($M238*Lists!$AN$6),2))</f>
        <v/>
      </c>
      <c r="O238" s="64" t="str">
        <f>IF($A238="","",IFERROR(VLOOKUP($A238,'Risk Register'!$B$2:$I$1000,8,FALSE()),""))</f>
        <v/>
      </c>
      <c r="P238" s="66"/>
      <c r="Q238" s="66"/>
      <c r="R238" s="66"/>
      <c r="S238" s="66"/>
      <c r="T238" s="64" t="str">
        <f>IF(OR($B238="", $P238="", $Q238="", $R238="", $S238=""),"",ROUND(($P238*Lists!$AN$7)+($Q238*Lists!$AN$8)+($R238*Lists!$AN$9)+($S238*Lists!$AN$10),2))</f>
        <v/>
      </c>
      <c r="U238" s="66"/>
      <c r="V238" s="66"/>
      <c r="W238" s="66"/>
      <c r="X238" s="66"/>
      <c r="Y238" s="66"/>
      <c r="Z238" s="64" t="str">
        <f>IF(OR($B238="", $U238="", $V238="", $W238="", $X238="", $Y238=""),"",ROUND(($U238*Lists!$AN$11)+($V238*Lists!$AN$12)+($W238*Lists!$AN$13)+($X238*Lists!$AN$14)+($Y238*Lists!$AN$15),2))</f>
        <v/>
      </c>
      <c r="AA238" s="64" t="str">
        <f>IF(OR($B238="", $N238="", $O238="", $T238="", $Z238=""),"",ROUND(($N238*Lists!$AN$16)-($O238*Lists!$AN$17)-($T238*Lists!$AN$18)+($Z238*Lists!$AN$19),2))</f>
        <v/>
      </c>
      <c r="AB238" s="63" t="str">
        <f t="shared" si="13"/>
        <v/>
      </c>
      <c r="AC238" s="63" t="str">
        <f t="shared" si="14"/>
        <v/>
      </c>
      <c r="AD238" s="63" t="str">
        <f>IF($A238="","",IFERROR(IF(VLOOKUP($A238,'Risk Register'!$B$2:$H$1000,4,FALSE())&gt;=4,"Yes",""),""))</f>
        <v/>
      </c>
      <c r="AE238" s="63" t="str">
        <f t="shared" si="15"/>
        <v/>
      </c>
      <c r="AF238" s="62"/>
      <c r="AG238" s="62"/>
      <c r="AH238" s="62"/>
      <c r="AI238" s="62"/>
      <c r="AJ238" s="62"/>
      <c r="AK238" s="62"/>
      <c r="AL238" s="62"/>
      <c r="AM238" s="62"/>
      <c r="AN238" s="62"/>
      <c r="AO238" s="62"/>
      <c r="AP238" s="62"/>
      <c r="AQ238" s="80"/>
    </row>
    <row r="239" spans="1:43" ht="15.75" customHeight="1" x14ac:dyDescent="0.2">
      <c r="A239" s="63" t="str">
        <f t="shared" si="12"/>
        <v/>
      </c>
      <c r="B239" s="62"/>
      <c r="C239" s="62"/>
      <c r="D239" s="62"/>
      <c r="E239" s="62"/>
      <c r="F239" s="62"/>
      <c r="G239" s="62"/>
      <c r="H239" s="62"/>
      <c r="I239" s="66"/>
      <c r="J239" s="66"/>
      <c r="K239" s="66"/>
      <c r="L239" s="66"/>
      <c r="M239" s="66"/>
      <c r="N239" s="64" t="str">
        <f>IF(OR($B239="", $I239="", $J239="", $K239="", $L239="", $M239=""),"",ROUND(($I239*Lists!$AN$2)+($J239*Lists!$AN$3)+($K239*Lists!$AN$4)+($L239*Lists!$AN$5)+($M239*Lists!$AN$6),2))</f>
        <v/>
      </c>
      <c r="O239" s="64" t="str">
        <f>IF($A239="","",IFERROR(VLOOKUP($A239,'Risk Register'!$B$2:$I$1000,8,FALSE()),""))</f>
        <v/>
      </c>
      <c r="P239" s="66"/>
      <c r="Q239" s="66"/>
      <c r="R239" s="66"/>
      <c r="S239" s="66"/>
      <c r="T239" s="64" t="str">
        <f>IF(OR($B239="", $P239="", $Q239="", $R239="", $S239=""),"",ROUND(($P239*Lists!$AN$7)+($Q239*Lists!$AN$8)+($R239*Lists!$AN$9)+($S239*Lists!$AN$10),2))</f>
        <v/>
      </c>
      <c r="U239" s="66"/>
      <c r="V239" s="66"/>
      <c r="W239" s="66"/>
      <c r="X239" s="66"/>
      <c r="Y239" s="66"/>
      <c r="Z239" s="64" t="str">
        <f>IF(OR($B239="", $U239="", $V239="", $W239="", $X239="", $Y239=""),"",ROUND(($U239*Lists!$AN$11)+($V239*Lists!$AN$12)+($W239*Lists!$AN$13)+($X239*Lists!$AN$14)+($Y239*Lists!$AN$15),2))</f>
        <v/>
      </c>
      <c r="AA239" s="64" t="str">
        <f>IF(OR($B239="", $N239="", $O239="", $T239="", $Z239=""),"",ROUND(($N239*Lists!$AN$16)-($O239*Lists!$AN$17)-($T239*Lists!$AN$18)+($Z239*Lists!$AN$19),2))</f>
        <v/>
      </c>
      <c r="AB239" s="63" t="str">
        <f t="shared" si="13"/>
        <v/>
      </c>
      <c r="AC239" s="63" t="str">
        <f t="shared" si="14"/>
        <v/>
      </c>
      <c r="AD239" s="63" t="str">
        <f>IF($A239="","",IFERROR(IF(VLOOKUP($A239,'Risk Register'!$B$2:$H$1000,4,FALSE())&gt;=4,"Yes",""),""))</f>
        <v/>
      </c>
      <c r="AE239" s="63" t="str">
        <f t="shared" si="15"/>
        <v/>
      </c>
      <c r="AF239" s="62"/>
      <c r="AG239" s="62"/>
      <c r="AH239" s="62"/>
      <c r="AI239" s="62"/>
      <c r="AJ239" s="62"/>
      <c r="AK239" s="62"/>
      <c r="AL239" s="62"/>
      <c r="AM239" s="62"/>
      <c r="AN239" s="62"/>
      <c r="AO239" s="62"/>
      <c r="AP239" s="62"/>
      <c r="AQ239" s="80"/>
    </row>
    <row r="240" spans="1:43" ht="15.75" customHeight="1" x14ac:dyDescent="0.2">
      <c r="A240" s="63" t="str">
        <f t="shared" si="12"/>
        <v/>
      </c>
      <c r="B240" s="62"/>
      <c r="C240" s="62"/>
      <c r="D240" s="62"/>
      <c r="E240" s="62"/>
      <c r="F240" s="62"/>
      <c r="G240" s="62"/>
      <c r="H240" s="62"/>
      <c r="I240" s="66"/>
      <c r="J240" s="66"/>
      <c r="K240" s="66"/>
      <c r="L240" s="66"/>
      <c r="M240" s="66"/>
      <c r="N240" s="64" t="str">
        <f>IF(OR($B240="", $I240="", $J240="", $K240="", $L240="", $M240=""),"",ROUND(($I240*Lists!$AN$2)+($J240*Lists!$AN$3)+($K240*Lists!$AN$4)+($L240*Lists!$AN$5)+($M240*Lists!$AN$6),2))</f>
        <v/>
      </c>
      <c r="O240" s="64" t="str">
        <f>IF($A240="","",IFERROR(VLOOKUP($A240,'Risk Register'!$B$2:$I$1000,8,FALSE()),""))</f>
        <v/>
      </c>
      <c r="P240" s="66"/>
      <c r="Q240" s="66"/>
      <c r="R240" s="66"/>
      <c r="S240" s="66"/>
      <c r="T240" s="64" t="str">
        <f>IF(OR($B240="", $P240="", $Q240="", $R240="", $S240=""),"",ROUND(($P240*Lists!$AN$7)+($Q240*Lists!$AN$8)+($R240*Lists!$AN$9)+($S240*Lists!$AN$10),2))</f>
        <v/>
      </c>
      <c r="U240" s="66"/>
      <c r="V240" s="66"/>
      <c r="W240" s="66"/>
      <c r="X240" s="66"/>
      <c r="Y240" s="66"/>
      <c r="Z240" s="64" t="str">
        <f>IF(OR($B240="", $U240="", $V240="", $W240="", $X240="", $Y240=""),"",ROUND(($U240*Lists!$AN$11)+($V240*Lists!$AN$12)+($W240*Lists!$AN$13)+($X240*Lists!$AN$14)+($Y240*Lists!$AN$15),2))</f>
        <v/>
      </c>
      <c r="AA240" s="64" t="str">
        <f>IF(OR($B240="", $N240="", $O240="", $T240="", $Z240=""),"",ROUND(($N240*Lists!$AN$16)-($O240*Lists!$AN$17)-($T240*Lists!$AN$18)+($Z240*Lists!$AN$19),2))</f>
        <v/>
      </c>
      <c r="AB240" s="63" t="str">
        <f t="shared" si="13"/>
        <v/>
      </c>
      <c r="AC240" s="63" t="str">
        <f t="shared" si="14"/>
        <v/>
      </c>
      <c r="AD240" s="63" t="str">
        <f>IF($A240="","",IFERROR(IF(VLOOKUP($A240,'Risk Register'!$B$2:$H$1000,4,FALSE())&gt;=4,"Yes",""),""))</f>
        <v/>
      </c>
      <c r="AE240" s="63" t="str">
        <f t="shared" si="15"/>
        <v/>
      </c>
      <c r="AF240" s="62"/>
      <c r="AG240" s="62"/>
      <c r="AH240" s="62"/>
      <c r="AI240" s="62"/>
      <c r="AJ240" s="62"/>
      <c r="AK240" s="62"/>
      <c r="AL240" s="62"/>
      <c r="AM240" s="62"/>
      <c r="AN240" s="62"/>
      <c r="AO240" s="62"/>
      <c r="AP240" s="62"/>
      <c r="AQ240" s="80"/>
    </row>
    <row r="241" spans="1:43" ht="15.75" customHeight="1" x14ac:dyDescent="0.2">
      <c r="A241" s="63" t="str">
        <f t="shared" si="12"/>
        <v/>
      </c>
      <c r="B241" s="62"/>
      <c r="C241" s="62"/>
      <c r="D241" s="62"/>
      <c r="E241" s="62"/>
      <c r="F241" s="62"/>
      <c r="G241" s="62"/>
      <c r="H241" s="62"/>
      <c r="I241" s="66"/>
      <c r="J241" s="66"/>
      <c r="K241" s="66"/>
      <c r="L241" s="66"/>
      <c r="M241" s="66"/>
      <c r="N241" s="64" t="str">
        <f>IF(OR($B241="", $I241="", $J241="", $K241="", $L241="", $M241=""),"",ROUND(($I241*Lists!$AN$2)+($J241*Lists!$AN$3)+($K241*Lists!$AN$4)+($L241*Lists!$AN$5)+($M241*Lists!$AN$6),2))</f>
        <v/>
      </c>
      <c r="O241" s="64" t="str">
        <f>IF($A241="","",IFERROR(VLOOKUP($A241,'Risk Register'!$B$2:$I$1000,8,FALSE()),""))</f>
        <v/>
      </c>
      <c r="P241" s="66"/>
      <c r="Q241" s="66"/>
      <c r="R241" s="66"/>
      <c r="S241" s="66"/>
      <c r="T241" s="64" t="str">
        <f>IF(OR($B241="", $P241="", $Q241="", $R241="", $S241=""),"",ROUND(($P241*Lists!$AN$7)+($Q241*Lists!$AN$8)+($R241*Lists!$AN$9)+($S241*Lists!$AN$10),2))</f>
        <v/>
      </c>
      <c r="U241" s="66"/>
      <c r="V241" s="66"/>
      <c r="W241" s="66"/>
      <c r="X241" s="66"/>
      <c r="Y241" s="66"/>
      <c r="Z241" s="64" t="str">
        <f>IF(OR($B241="", $U241="", $V241="", $W241="", $X241="", $Y241=""),"",ROUND(($U241*Lists!$AN$11)+($V241*Lists!$AN$12)+($W241*Lists!$AN$13)+($X241*Lists!$AN$14)+($Y241*Lists!$AN$15),2))</f>
        <v/>
      </c>
      <c r="AA241" s="64" t="str">
        <f>IF(OR($B241="", $N241="", $O241="", $T241="", $Z241=""),"",ROUND(($N241*Lists!$AN$16)-($O241*Lists!$AN$17)-($T241*Lists!$AN$18)+($Z241*Lists!$AN$19),2))</f>
        <v/>
      </c>
      <c r="AB241" s="63" t="str">
        <f t="shared" si="13"/>
        <v/>
      </c>
      <c r="AC241" s="63" t="str">
        <f t="shared" si="14"/>
        <v/>
      </c>
      <c r="AD241" s="63" t="str">
        <f>IF($A241="","",IFERROR(IF(VLOOKUP($A241,'Risk Register'!$B$2:$H$1000,4,FALSE())&gt;=4,"Yes",""),""))</f>
        <v/>
      </c>
      <c r="AE241" s="63" t="str">
        <f t="shared" si="15"/>
        <v/>
      </c>
      <c r="AF241" s="62"/>
      <c r="AG241" s="62"/>
      <c r="AH241" s="62"/>
      <c r="AI241" s="62"/>
      <c r="AJ241" s="62"/>
      <c r="AK241" s="62"/>
      <c r="AL241" s="62"/>
      <c r="AM241" s="62"/>
      <c r="AN241" s="62"/>
      <c r="AO241" s="62"/>
      <c r="AP241" s="62"/>
      <c r="AQ241" s="80"/>
    </row>
    <row r="242" spans="1:43" ht="15.75" customHeight="1" x14ac:dyDescent="0.2">
      <c r="A242" s="63" t="str">
        <f t="shared" si="12"/>
        <v/>
      </c>
      <c r="B242" s="62"/>
      <c r="C242" s="62"/>
      <c r="D242" s="62"/>
      <c r="E242" s="62"/>
      <c r="F242" s="62"/>
      <c r="G242" s="62"/>
      <c r="H242" s="62"/>
      <c r="I242" s="66"/>
      <c r="J242" s="66"/>
      <c r="K242" s="66"/>
      <c r="L242" s="66"/>
      <c r="M242" s="66"/>
      <c r="N242" s="64" t="str">
        <f>IF(OR($B242="", $I242="", $J242="", $K242="", $L242="", $M242=""),"",ROUND(($I242*Lists!$AN$2)+($J242*Lists!$AN$3)+($K242*Lists!$AN$4)+($L242*Lists!$AN$5)+($M242*Lists!$AN$6),2))</f>
        <v/>
      </c>
      <c r="O242" s="64" t="str">
        <f>IF($A242="","",IFERROR(VLOOKUP($A242,'Risk Register'!$B$2:$I$1000,8,FALSE()),""))</f>
        <v/>
      </c>
      <c r="P242" s="66"/>
      <c r="Q242" s="66"/>
      <c r="R242" s="66"/>
      <c r="S242" s="66"/>
      <c r="T242" s="64" t="str">
        <f>IF(OR($B242="", $P242="", $Q242="", $R242="", $S242=""),"",ROUND(($P242*Lists!$AN$7)+($Q242*Lists!$AN$8)+($R242*Lists!$AN$9)+($S242*Lists!$AN$10),2))</f>
        <v/>
      </c>
      <c r="U242" s="66"/>
      <c r="V242" s="66"/>
      <c r="W242" s="66"/>
      <c r="X242" s="66"/>
      <c r="Y242" s="66"/>
      <c r="Z242" s="64" t="str">
        <f>IF(OR($B242="", $U242="", $V242="", $W242="", $X242="", $Y242=""),"",ROUND(($U242*Lists!$AN$11)+($V242*Lists!$AN$12)+($W242*Lists!$AN$13)+($X242*Lists!$AN$14)+($Y242*Lists!$AN$15),2))</f>
        <v/>
      </c>
      <c r="AA242" s="64" t="str">
        <f>IF(OR($B242="", $N242="", $O242="", $T242="", $Z242=""),"",ROUND(($N242*Lists!$AN$16)-($O242*Lists!$AN$17)-($T242*Lists!$AN$18)+($Z242*Lists!$AN$19),2))</f>
        <v/>
      </c>
      <c r="AB242" s="63" t="str">
        <f t="shared" si="13"/>
        <v/>
      </c>
      <c r="AC242" s="63" t="str">
        <f t="shared" si="14"/>
        <v/>
      </c>
      <c r="AD242" s="63" t="str">
        <f>IF($A242="","",IFERROR(IF(VLOOKUP($A242,'Risk Register'!$B$2:$H$1000,4,FALSE())&gt;=4,"Yes",""),""))</f>
        <v/>
      </c>
      <c r="AE242" s="63" t="str">
        <f t="shared" si="15"/>
        <v/>
      </c>
      <c r="AF242" s="62"/>
      <c r="AG242" s="62"/>
      <c r="AH242" s="62"/>
      <c r="AI242" s="62"/>
      <c r="AJ242" s="62"/>
      <c r="AK242" s="62"/>
      <c r="AL242" s="62"/>
      <c r="AM242" s="62"/>
      <c r="AN242" s="62"/>
      <c r="AO242" s="62"/>
      <c r="AP242" s="62"/>
      <c r="AQ242" s="80"/>
    </row>
    <row r="243" spans="1:43" ht="15.75" customHeight="1" x14ac:dyDescent="0.2">
      <c r="A243" s="63" t="str">
        <f t="shared" si="12"/>
        <v/>
      </c>
      <c r="B243" s="62"/>
      <c r="C243" s="62"/>
      <c r="D243" s="62"/>
      <c r="E243" s="62"/>
      <c r="F243" s="62"/>
      <c r="G243" s="62"/>
      <c r="H243" s="62"/>
      <c r="I243" s="66"/>
      <c r="J243" s="66"/>
      <c r="K243" s="66"/>
      <c r="L243" s="66"/>
      <c r="M243" s="66"/>
      <c r="N243" s="64" t="str">
        <f>IF(OR($B243="", $I243="", $J243="", $K243="", $L243="", $M243=""),"",ROUND(($I243*Lists!$AN$2)+($J243*Lists!$AN$3)+($K243*Lists!$AN$4)+($L243*Lists!$AN$5)+($M243*Lists!$AN$6),2))</f>
        <v/>
      </c>
      <c r="O243" s="64" t="str">
        <f>IF($A243="","",IFERROR(VLOOKUP($A243,'Risk Register'!$B$2:$I$1000,8,FALSE()),""))</f>
        <v/>
      </c>
      <c r="P243" s="66"/>
      <c r="Q243" s="66"/>
      <c r="R243" s="66"/>
      <c r="S243" s="66"/>
      <c r="T243" s="64" t="str">
        <f>IF(OR($B243="", $P243="", $Q243="", $R243="", $S243=""),"",ROUND(($P243*Lists!$AN$7)+($Q243*Lists!$AN$8)+($R243*Lists!$AN$9)+($S243*Lists!$AN$10),2))</f>
        <v/>
      </c>
      <c r="U243" s="66"/>
      <c r="V243" s="66"/>
      <c r="W243" s="66"/>
      <c r="X243" s="66"/>
      <c r="Y243" s="66"/>
      <c r="Z243" s="64" t="str">
        <f>IF(OR($B243="", $U243="", $V243="", $W243="", $X243="", $Y243=""),"",ROUND(($U243*Lists!$AN$11)+($V243*Lists!$AN$12)+($W243*Lists!$AN$13)+($X243*Lists!$AN$14)+($Y243*Lists!$AN$15),2))</f>
        <v/>
      </c>
      <c r="AA243" s="64" t="str">
        <f>IF(OR($B243="", $N243="", $O243="", $T243="", $Z243=""),"",ROUND(($N243*Lists!$AN$16)-($O243*Lists!$AN$17)-($T243*Lists!$AN$18)+($Z243*Lists!$AN$19),2))</f>
        <v/>
      </c>
      <c r="AB243" s="63" t="str">
        <f t="shared" si="13"/>
        <v/>
      </c>
      <c r="AC243" s="63" t="str">
        <f t="shared" si="14"/>
        <v/>
      </c>
      <c r="AD243" s="63" t="str">
        <f>IF($A243="","",IFERROR(IF(VLOOKUP($A243,'Risk Register'!$B$2:$H$1000,4,FALSE())&gt;=4,"Yes",""),""))</f>
        <v/>
      </c>
      <c r="AE243" s="63" t="str">
        <f t="shared" si="15"/>
        <v/>
      </c>
      <c r="AF243" s="62"/>
      <c r="AG243" s="62"/>
      <c r="AH243" s="62"/>
      <c r="AI243" s="62"/>
      <c r="AJ243" s="62"/>
      <c r="AK243" s="62"/>
      <c r="AL243" s="62"/>
      <c r="AM243" s="62"/>
      <c r="AN243" s="62"/>
      <c r="AO243" s="62"/>
      <c r="AP243" s="62"/>
      <c r="AQ243" s="80"/>
    </row>
    <row r="244" spans="1:43" ht="15.75" customHeight="1" x14ac:dyDescent="0.2">
      <c r="A244" s="63" t="str">
        <f t="shared" si="12"/>
        <v/>
      </c>
      <c r="B244" s="62"/>
      <c r="C244" s="62"/>
      <c r="D244" s="62"/>
      <c r="E244" s="62"/>
      <c r="F244" s="62"/>
      <c r="G244" s="62"/>
      <c r="H244" s="62"/>
      <c r="I244" s="66"/>
      <c r="J244" s="66"/>
      <c r="K244" s="66"/>
      <c r="L244" s="66"/>
      <c r="M244" s="66"/>
      <c r="N244" s="64" t="str">
        <f>IF(OR($B244="", $I244="", $J244="", $K244="", $L244="", $M244=""),"",ROUND(($I244*Lists!$AN$2)+($J244*Lists!$AN$3)+($K244*Lists!$AN$4)+($L244*Lists!$AN$5)+($M244*Lists!$AN$6),2))</f>
        <v/>
      </c>
      <c r="O244" s="64" t="str">
        <f>IF($A244="","",IFERROR(VLOOKUP($A244,'Risk Register'!$B$2:$I$1000,8,FALSE()),""))</f>
        <v/>
      </c>
      <c r="P244" s="66"/>
      <c r="Q244" s="66"/>
      <c r="R244" s="66"/>
      <c r="S244" s="66"/>
      <c r="T244" s="64" t="str">
        <f>IF(OR($B244="", $P244="", $Q244="", $R244="", $S244=""),"",ROUND(($P244*Lists!$AN$7)+($Q244*Lists!$AN$8)+($R244*Lists!$AN$9)+($S244*Lists!$AN$10),2))</f>
        <v/>
      </c>
      <c r="U244" s="66"/>
      <c r="V244" s="66"/>
      <c r="W244" s="66"/>
      <c r="X244" s="66"/>
      <c r="Y244" s="66"/>
      <c r="Z244" s="64" t="str">
        <f>IF(OR($B244="", $U244="", $V244="", $W244="", $X244="", $Y244=""),"",ROUND(($U244*Lists!$AN$11)+($V244*Lists!$AN$12)+($W244*Lists!$AN$13)+($X244*Lists!$AN$14)+($Y244*Lists!$AN$15),2))</f>
        <v/>
      </c>
      <c r="AA244" s="64" t="str">
        <f>IF(OR($B244="", $N244="", $O244="", $T244="", $Z244=""),"",ROUND(($N244*Lists!$AN$16)-($O244*Lists!$AN$17)-($T244*Lists!$AN$18)+($Z244*Lists!$AN$19),2))</f>
        <v/>
      </c>
      <c r="AB244" s="63" t="str">
        <f t="shared" si="13"/>
        <v/>
      </c>
      <c r="AC244" s="63" t="str">
        <f t="shared" si="14"/>
        <v/>
      </c>
      <c r="AD244" s="63" t="str">
        <f>IF($A244="","",IFERROR(IF(VLOOKUP($A244,'Risk Register'!$B$2:$H$1000,4,FALSE())&gt;=4,"Yes",""),""))</f>
        <v/>
      </c>
      <c r="AE244" s="63" t="str">
        <f t="shared" si="15"/>
        <v/>
      </c>
      <c r="AF244" s="62"/>
      <c r="AG244" s="62"/>
      <c r="AH244" s="62"/>
      <c r="AI244" s="62"/>
      <c r="AJ244" s="62"/>
      <c r="AK244" s="62"/>
      <c r="AL244" s="62"/>
      <c r="AM244" s="62"/>
      <c r="AN244" s="62"/>
      <c r="AO244" s="62"/>
      <c r="AP244" s="62"/>
      <c r="AQ244" s="80"/>
    </row>
    <row r="245" spans="1:43" ht="15.75" customHeight="1" x14ac:dyDescent="0.2">
      <c r="A245" s="63" t="str">
        <f t="shared" si="12"/>
        <v/>
      </c>
      <c r="B245" s="62"/>
      <c r="C245" s="62"/>
      <c r="D245" s="62"/>
      <c r="E245" s="62"/>
      <c r="F245" s="62"/>
      <c r="G245" s="62"/>
      <c r="H245" s="62"/>
      <c r="I245" s="66"/>
      <c r="J245" s="66"/>
      <c r="K245" s="66"/>
      <c r="L245" s="66"/>
      <c r="M245" s="66"/>
      <c r="N245" s="64" t="str">
        <f>IF(OR($B245="", $I245="", $J245="", $K245="", $L245="", $M245=""),"",ROUND(($I245*Lists!$AN$2)+($J245*Lists!$AN$3)+($K245*Lists!$AN$4)+($L245*Lists!$AN$5)+($M245*Lists!$AN$6),2))</f>
        <v/>
      </c>
      <c r="O245" s="64" t="str">
        <f>IF($A245="","",IFERROR(VLOOKUP($A245,'Risk Register'!$B$2:$I$1000,8,FALSE()),""))</f>
        <v/>
      </c>
      <c r="P245" s="66"/>
      <c r="Q245" s="66"/>
      <c r="R245" s="66"/>
      <c r="S245" s="66"/>
      <c r="T245" s="64" t="str">
        <f>IF(OR($B245="", $P245="", $Q245="", $R245="", $S245=""),"",ROUND(($P245*Lists!$AN$7)+($Q245*Lists!$AN$8)+($R245*Lists!$AN$9)+($S245*Lists!$AN$10),2))</f>
        <v/>
      </c>
      <c r="U245" s="66"/>
      <c r="V245" s="66"/>
      <c r="W245" s="66"/>
      <c r="X245" s="66"/>
      <c r="Y245" s="66"/>
      <c r="Z245" s="64" t="str">
        <f>IF(OR($B245="", $U245="", $V245="", $W245="", $X245="", $Y245=""),"",ROUND(($U245*Lists!$AN$11)+($V245*Lists!$AN$12)+($W245*Lists!$AN$13)+($X245*Lists!$AN$14)+($Y245*Lists!$AN$15),2))</f>
        <v/>
      </c>
      <c r="AA245" s="64" t="str">
        <f>IF(OR($B245="", $N245="", $O245="", $T245="", $Z245=""),"",ROUND(($N245*Lists!$AN$16)-($O245*Lists!$AN$17)-($T245*Lists!$AN$18)+($Z245*Lists!$AN$19),2))</f>
        <v/>
      </c>
      <c r="AB245" s="63" t="str">
        <f t="shared" si="13"/>
        <v/>
      </c>
      <c r="AC245" s="63" t="str">
        <f t="shared" si="14"/>
        <v/>
      </c>
      <c r="AD245" s="63" t="str">
        <f>IF($A245="","",IFERROR(IF(VLOOKUP($A245,'Risk Register'!$B$2:$H$1000,4,FALSE())&gt;=4,"Yes",""),""))</f>
        <v/>
      </c>
      <c r="AE245" s="63" t="str">
        <f t="shared" si="15"/>
        <v/>
      </c>
      <c r="AF245" s="62"/>
      <c r="AG245" s="62"/>
      <c r="AH245" s="62"/>
      <c r="AI245" s="62"/>
      <c r="AJ245" s="62"/>
      <c r="AK245" s="62"/>
      <c r="AL245" s="62"/>
      <c r="AM245" s="62"/>
      <c r="AN245" s="62"/>
      <c r="AO245" s="62"/>
      <c r="AP245" s="62"/>
      <c r="AQ245" s="80"/>
    </row>
    <row r="246" spans="1:43" ht="15.75" customHeight="1" x14ac:dyDescent="0.2">
      <c r="A246" s="63" t="str">
        <f t="shared" si="12"/>
        <v/>
      </c>
      <c r="B246" s="62"/>
      <c r="C246" s="62"/>
      <c r="D246" s="62"/>
      <c r="E246" s="62"/>
      <c r="F246" s="62"/>
      <c r="G246" s="62"/>
      <c r="H246" s="62"/>
      <c r="I246" s="66"/>
      <c r="J246" s="66"/>
      <c r="K246" s="66"/>
      <c r="L246" s="66"/>
      <c r="M246" s="66"/>
      <c r="N246" s="64" t="str">
        <f>IF(OR($B246="", $I246="", $J246="", $K246="", $L246="", $M246=""),"",ROUND(($I246*Lists!$AN$2)+($J246*Lists!$AN$3)+($K246*Lists!$AN$4)+($L246*Lists!$AN$5)+($M246*Lists!$AN$6),2))</f>
        <v/>
      </c>
      <c r="O246" s="64" t="str">
        <f>IF($A246="","",IFERROR(VLOOKUP($A246,'Risk Register'!$B$2:$I$1000,8,FALSE()),""))</f>
        <v/>
      </c>
      <c r="P246" s="66"/>
      <c r="Q246" s="66"/>
      <c r="R246" s="66"/>
      <c r="S246" s="66"/>
      <c r="T246" s="64" t="str">
        <f>IF(OR($B246="", $P246="", $Q246="", $R246="", $S246=""),"",ROUND(($P246*Lists!$AN$7)+($Q246*Lists!$AN$8)+($R246*Lists!$AN$9)+($S246*Lists!$AN$10),2))</f>
        <v/>
      </c>
      <c r="U246" s="66"/>
      <c r="V246" s="66"/>
      <c r="W246" s="66"/>
      <c r="X246" s="66"/>
      <c r="Y246" s="66"/>
      <c r="Z246" s="64" t="str">
        <f>IF(OR($B246="", $U246="", $V246="", $W246="", $X246="", $Y246=""),"",ROUND(($U246*Lists!$AN$11)+($V246*Lists!$AN$12)+($W246*Lists!$AN$13)+($X246*Lists!$AN$14)+($Y246*Lists!$AN$15),2))</f>
        <v/>
      </c>
      <c r="AA246" s="64" t="str">
        <f>IF(OR($B246="", $N246="", $O246="", $T246="", $Z246=""),"",ROUND(($N246*Lists!$AN$16)-($O246*Lists!$AN$17)-($T246*Lists!$AN$18)+($Z246*Lists!$AN$19),2))</f>
        <v/>
      </c>
      <c r="AB246" s="63" t="str">
        <f t="shared" si="13"/>
        <v/>
      </c>
      <c r="AC246" s="63" t="str">
        <f t="shared" si="14"/>
        <v/>
      </c>
      <c r="AD246" s="63" t="str">
        <f>IF($A246="","",IFERROR(IF(VLOOKUP($A246,'Risk Register'!$B$2:$H$1000,4,FALSE())&gt;=4,"Yes",""),""))</f>
        <v/>
      </c>
      <c r="AE246" s="63" t="str">
        <f t="shared" si="15"/>
        <v/>
      </c>
      <c r="AF246" s="62"/>
      <c r="AG246" s="62"/>
      <c r="AH246" s="62"/>
      <c r="AI246" s="62"/>
      <c r="AJ246" s="62"/>
      <c r="AK246" s="62"/>
      <c r="AL246" s="62"/>
      <c r="AM246" s="62"/>
      <c r="AN246" s="62"/>
      <c r="AO246" s="62"/>
      <c r="AP246" s="62"/>
      <c r="AQ246" s="80"/>
    </row>
    <row r="247" spans="1:43" ht="15.75" customHeight="1" x14ac:dyDescent="0.2">
      <c r="A247" s="63" t="str">
        <f t="shared" si="12"/>
        <v/>
      </c>
      <c r="B247" s="62"/>
      <c r="C247" s="62"/>
      <c r="D247" s="62"/>
      <c r="E247" s="62"/>
      <c r="F247" s="62"/>
      <c r="G247" s="62"/>
      <c r="H247" s="62"/>
      <c r="I247" s="66"/>
      <c r="J247" s="66"/>
      <c r="K247" s="66"/>
      <c r="L247" s="66"/>
      <c r="M247" s="66"/>
      <c r="N247" s="64" t="str">
        <f>IF(OR($B247="", $I247="", $J247="", $K247="", $L247="", $M247=""),"",ROUND(($I247*Lists!$AN$2)+($J247*Lists!$AN$3)+($K247*Lists!$AN$4)+($L247*Lists!$AN$5)+($M247*Lists!$AN$6),2))</f>
        <v/>
      </c>
      <c r="O247" s="64" t="str">
        <f>IF($A247="","",IFERROR(VLOOKUP($A247,'Risk Register'!$B$2:$I$1000,8,FALSE()),""))</f>
        <v/>
      </c>
      <c r="P247" s="66"/>
      <c r="Q247" s="66"/>
      <c r="R247" s="66"/>
      <c r="S247" s="66"/>
      <c r="T247" s="64" t="str">
        <f>IF(OR($B247="", $P247="", $Q247="", $R247="", $S247=""),"",ROUND(($P247*Lists!$AN$7)+($Q247*Lists!$AN$8)+($R247*Lists!$AN$9)+($S247*Lists!$AN$10),2))</f>
        <v/>
      </c>
      <c r="U247" s="66"/>
      <c r="V247" s="66"/>
      <c r="W247" s="66"/>
      <c r="X247" s="66"/>
      <c r="Y247" s="66"/>
      <c r="Z247" s="64" t="str">
        <f>IF(OR($B247="", $U247="", $V247="", $W247="", $X247="", $Y247=""),"",ROUND(($U247*Lists!$AN$11)+($V247*Lists!$AN$12)+($W247*Lists!$AN$13)+($X247*Lists!$AN$14)+($Y247*Lists!$AN$15),2))</f>
        <v/>
      </c>
      <c r="AA247" s="64" t="str">
        <f>IF(OR($B247="", $N247="", $O247="", $T247="", $Z247=""),"",ROUND(($N247*Lists!$AN$16)-($O247*Lists!$AN$17)-($T247*Lists!$AN$18)+($Z247*Lists!$AN$19),2))</f>
        <v/>
      </c>
      <c r="AB247" s="63" t="str">
        <f t="shared" si="13"/>
        <v/>
      </c>
      <c r="AC247" s="63" t="str">
        <f t="shared" si="14"/>
        <v/>
      </c>
      <c r="AD247" s="63" t="str">
        <f>IF($A247="","",IFERROR(IF(VLOOKUP($A247,'Risk Register'!$B$2:$H$1000,4,FALSE())&gt;=4,"Yes",""),""))</f>
        <v/>
      </c>
      <c r="AE247" s="63" t="str">
        <f t="shared" si="15"/>
        <v/>
      </c>
      <c r="AF247" s="62"/>
      <c r="AG247" s="62"/>
      <c r="AH247" s="62"/>
      <c r="AI247" s="62"/>
      <c r="AJ247" s="62"/>
      <c r="AK247" s="62"/>
      <c r="AL247" s="62"/>
      <c r="AM247" s="62"/>
      <c r="AN247" s="62"/>
      <c r="AO247" s="62"/>
      <c r="AP247" s="62"/>
      <c r="AQ247" s="80"/>
    </row>
    <row r="248" spans="1:43" ht="15.75" customHeight="1" x14ac:dyDescent="0.2">
      <c r="A248" s="63" t="str">
        <f t="shared" si="12"/>
        <v/>
      </c>
      <c r="B248" s="62"/>
      <c r="C248" s="62"/>
      <c r="D248" s="62"/>
      <c r="E248" s="62"/>
      <c r="F248" s="62"/>
      <c r="G248" s="62"/>
      <c r="H248" s="62"/>
      <c r="I248" s="66"/>
      <c r="J248" s="66"/>
      <c r="K248" s="66"/>
      <c r="L248" s="66"/>
      <c r="M248" s="66"/>
      <c r="N248" s="64" t="str">
        <f>IF(OR($B248="", $I248="", $J248="", $K248="", $L248="", $M248=""),"",ROUND(($I248*Lists!$AN$2)+($J248*Lists!$AN$3)+($K248*Lists!$AN$4)+($L248*Lists!$AN$5)+($M248*Lists!$AN$6),2))</f>
        <v/>
      </c>
      <c r="O248" s="64" t="str">
        <f>IF($A248="","",IFERROR(VLOOKUP($A248,'Risk Register'!$B$2:$I$1000,8,FALSE()),""))</f>
        <v/>
      </c>
      <c r="P248" s="66"/>
      <c r="Q248" s="66"/>
      <c r="R248" s="66"/>
      <c r="S248" s="66"/>
      <c r="T248" s="64" t="str">
        <f>IF(OR($B248="", $P248="", $Q248="", $R248="", $S248=""),"",ROUND(($P248*Lists!$AN$7)+($Q248*Lists!$AN$8)+($R248*Lists!$AN$9)+($S248*Lists!$AN$10),2))</f>
        <v/>
      </c>
      <c r="U248" s="66"/>
      <c r="V248" s="66"/>
      <c r="W248" s="66"/>
      <c r="X248" s="66"/>
      <c r="Y248" s="66"/>
      <c r="Z248" s="64" t="str">
        <f>IF(OR($B248="", $U248="", $V248="", $W248="", $X248="", $Y248=""),"",ROUND(($U248*Lists!$AN$11)+($V248*Lists!$AN$12)+($W248*Lists!$AN$13)+($X248*Lists!$AN$14)+($Y248*Lists!$AN$15),2))</f>
        <v/>
      </c>
      <c r="AA248" s="64" t="str">
        <f>IF(OR($B248="", $N248="", $O248="", $T248="", $Z248=""),"",ROUND(($N248*Lists!$AN$16)-($O248*Lists!$AN$17)-($T248*Lists!$AN$18)+($Z248*Lists!$AN$19),2))</f>
        <v/>
      </c>
      <c r="AB248" s="63" t="str">
        <f t="shared" si="13"/>
        <v/>
      </c>
      <c r="AC248" s="63" t="str">
        <f t="shared" si="14"/>
        <v/>
      </c>
      <c r="AD248" s="63" t="str">
        <f>IF($A248="","",IFERROR(IF(VLOOKUP($A248,'Risk Register'!$B$2:$H$1000,4,FALSE())&gt;=4,"Yes",""),""))</f>
        <v/>
      </c>
      <c r="AE248" s="63" t="str">
        <f t="shared" si="15"/>
        <v/>
      </c>
      <c r="AF248" s="62"/>
      <c r="AG248" s="62"/>
      <c r="AH248" s="62"/>
      <c r="AI248" s="62"/>
      <c r="AJ248" s="62"/>
      <c r="AK248" s="62"/>
      <c r="AL248" s="62"/>
      <c r="AM248" s="62"/>
      <c r="AN248" s="62"/>
      <c r="AO248" s="62"/>
      <c r="AP248" s="62"/>
      <c r="AQ248" s="80"/>
    </row>
    <row r="249" spans="1:43" ht="15.75" customHeight="1" x14ac:dyDescent="0.2">
      <c r="A249" s="63" t="str">
        <f t="shared" si="12"/>
        <v/>
      </c>
      <c r="B249" s="62"/>
      <c r="C249" s="62"/>
      <c r="D249" s="62"/>
      <c r="E249" s="62"/>
      <c r="F249" s="62"/>
      <c r="G249" s="62"/>
      <c r="H249" s="62"/>
      <c r="I249" s="66"/>
      <c r="J249" s="66"/>
      <c r="K249" s="66"/>
      <c r="L249" s="66"/>
      <c r="M249" s="66"/>
      <c r="N249" s="64" t="str">
        <f>IF(OR($B249="", $I249="", $J249="", $K249="", $L249="", $M249=""),"",ROUND(($I249*Lists!$AN$2)+($J249*Lists!$AN$3)+($K249*Lists!$AN$4)+($L249*Lists!$AN$5)+($M249*Lists!$AN$6),2))</f>
        <v/>
      </c>
      <c r="O249" s="64" t="str">
        <f>IF($A249="","",IFERROR(VLOOKUP($A249,'Risk Register'!$B$2:$I$1000,8,FALSE()),""))</f>
        <v/>
      </c>
      <c r="P249" s="66"/>
      <c r="Q249" s="66"/>
      <c r="R249" s="66"/>
      <c r="S249" s="66"/>
      <c r="T249" s="64" t="str">
        <f>IF(OR($B249="", $P249="", $Q249="", $R249="", $S249=""),"",ROUND(($P249*Lists!$AN$7)+($Q249*Lists!$AN$8)+($R249*Lists!$AN$9)+($S249*Lists!$AN$10),2))</f>
        <v/>
      </c>
      <c r="U249" s="66"/>
      <c r="V249" s="66"/>
      <c r="W249" s="66"/>
      <c r="X249" s="66"/>
      <c r="Y249" s="66"/>
      <c r="Z249" s="64" t="str">
        <f>IF(OR($B249="", $U249="", $V249="", $W249="", $X249="", $Y249=""),"",ROUND(($U249*Lists!$AN$11)+($V249*Lists!$AN$12)+($W249*Lists!$AN$13)+($X249*Lists!$AN$14)+($Y249*Lists!$AN$15),2))</f>
        <v/>
      </c>
      <c r="AA249" s="64" t="str">
        <f>IF(OR($B249="", $N249="", $O249="", $T249="", $Z249=""),"",ROUND(($N249*Lists!$AN$16)-($O249*Lists!$AN$17)-($T249*Lists!$AN$18)+($Z249*Lists!$AN$19),2))</f>
        <v/>
      </c>
      <c r="AB249" s="63" t="str">
        <f t="shared" si="13"/>
        <v/>
      </c>
      <c r="AC249" s="63" t="str">
        <f t="shared" si="14"/>
        <v/>
      </c>
      <c r="AD249" s="63" t="str">
        <f>IF($A249="","",IFERROR(IF(VLOOKUP($A249,'Risk Register'!$B$2:$H$1000,4,FALSE())&gt;=4,"Yes",""),""))</f>
        <v/>
      </c>
      <c r="AE249" s="63" t="str">
        <f t="shared" si="15"/>
        <v/>
      </c>
      <c r="AF249" s="62"/>
      <c r="AG249" s="62"/>
      <c r="AH249" s="62"/>
      <c r="AI249" s="62"/>
      <c r="AJ249" s="62"/>
      <c r="AK249" s="62"/>
      <c r="AL249" s="62"/>
      <c r="AM249" s="62"/>
      <c r="AN249" s="62"/>
      <c r="AO249" s="62"/>
      <c r="AP249" s="62"/>
      <c r="AQ249" s="80"/>
    </row>
    <row r="250" spans="1:43" ht="15.75" customHeight="1" x14ac:dyDescent="0.2">
      <c r="A250" s="63" t="str">
        <f t="shared" si="12"/>
        <v/>
      </c>
      <c r="B250" s="62"/>
      <c r="C250" s="62"/>
      <c r="D250" s="62"/>
      <c r="E250" s="62"/>
      <c r="F250" s="62"/>
      <c r="G250" s="62"/>
      <c r="H250" s="62"/>
      <c r="I250" s="66"/>
      <c r="J250" s="66"/>
      <c r="K250" s="66"/>
      <c r="L250" s="66"/>
      <c r="M250" s="66"/>
      <c r="N250" s="64" t="str">
        <f>IF(OR($B250="", $I250="", $J250="", $K250="", $L250="", $M250=""),"",ROUND(($I250*Lists!$AN$2)+($J250*Lists!$AN$3)+($K250*Lists!$AN$4)+($L250*Lists!$AN$5)+($M250*Lists!$AN$6),2))</f>
        <v/>
      </c>
      <c r="O250" s="64" t="str">
        <f>IF($A250="","",IFERROR(VLOOKUP($A250,'Risk Register'!$B$2:$I$1000,8,FALSE()),""))</f>
        <v/>
      </c>
      <c r="P250" s="66"/>
      <c r="Q250" s="66"/>
      <c r="R250" s="66"/>
      <c r="S250" s="66"/>
      <c r="T250" s="64" t="str">
        <f>IF(OR($B250="", $P250="", $Q250="", $R250="", $S250=""),"",ROUND(($P250*Lists!$AN$7)+($Q250*Lists!$AN$8)+($R250*Lists!$AN$9)+($S250*Lists!$AN$10),2))</f>
        <v/>
      </c>
      <c r="U250" s="66"/>
      <c r="V250" s="66"/>
      <c r="W250" s="66"/>
      <c r="X250" s="66"/>
      <c r="Y250" s="66"/>
      <c r="Z250" s="64" t="str">
        <f>IF(OR($B250="", $U250="", $V250="", $W250="", $X250="", $Y250=""),"",ROUND(($U250*Lists!$AN$11)+($V250*Lists!$AN$12)+($W250*Lists!$AN$13)+($X250*Lists!$AN$14)+($Y250*Lists!$AN$15),2))</f>
        <v/>
      </c>
      <c r="AA250" s="64" t="str">
        <f>IF(OR($B250="", $N250="", $O250="", $T250="", $Z250=""),"",ROUND(($N250*Lists!$AN$16)-($O250*Lists!$AN$17)-($T250*Lists!$AN$18)+($Z250*Lists!$AN$19),2))</f>
        <v/>
      </c>
      <c r="AB250" s="63" t="str">
        <f t="shared" si="13"/>
        <v/>
      </c>
      <c r="AC250" s="63" t="str">
        <f t="shared" si="14"/>
        <v/>
      </c>
      <c r="AD250" s="63" t="str">
        <f>IF($A250="","",IFERROR(IF(VLOOKUP($A250,'Risk Register'!$B$2:$H$1000,4,FALSE())&gt;=4,"Yes",""),""))</f>
        <v/>
      </c>
      <c r="AE250" s="63" t="str">
        <f t="shared" si="15"/>
        <v/>
      </c>
      <c r="AF250" s="62"/>
      <c r="AG250" s="62"/>
      <c r="AH250" s="62"/>
      <c r="AI250" s="62"/>
      <c r="AJ250" s="62"/>
      <c r="AK250" s="62"/>
      <c r="AL250" s="62"/>
      <c r="AM250" s="62"/>
      <c r="AN250" s="62"/>
      <c r="AO250" s="62"/>
      <c r="AP250" s="62"/>
      <c r="AQ250" s="80"/>
    </row>
    <row r="251" spans="1:43" ht="15.75" customHeight="1" x14ac:dyDescent="0.2">
      <c r="A251" s="63" t="str">
        <f t="shared" si="12"/>
        <v/>
      </c>
      <c r="B251" s="62"/>
      <c r="C251" s="62"/>
      <c r="D251" s="62"/>
      <c r="E251" s="62"/>
      <c r="F251" s="62"/>
      <c r="G251" s="62"/>
      <c r="H251" s="62"/>
      <c r="I251" s="66"/>
      <c r="J251" s="66"/>
      <c r="K251" s="66"/>
      <c r="L251" s="66"/>
      <c r="M251" s="66"/>
      <c r="N251" s="64" t="str">
        <f>IF(OR($B251="", $I251="", $J251="", $K251="", $L251="", $M251=""),"",ROUND(($I251*Lists!$AN$2)+($J251*Lists!$AN$3)+($K251*Lists!$AN$4)+($L251*Lists!$AN$5)+($M251*Lists!$AN$6),2))</f>
        <v/>
      </c>
      <c r="O251" s="64" t="str">
        <f>IF($A251="","",IFERROR(VLOOKUP($A251,'Risk Register'!$B$2:$I$1000,8,FALSE()),""))</f>
        <v/>
      </c>
      <c r="P251" s="66"/>
      <c r="Q251" s="66"/>
      <c r="R251" s="66"/>
      <c r="S251" s="66"/>
      <c r="T251" s="64" t="str">
        <f>IF(OR($B251="", $P251="", $Q251="", $R251="", $S251=""),"",ROUND(($P251*Lists!$AN$7)+($Q251*Lists!$AN$8)+($R251*Lists!$AN$9)+($S251*Lists!$AN$10),2))</f>
        <v/>
      </c>
      <c r="U251" s="66"/>
      <c r="V251" s="66"/>
      <c r="W251" s="66"/>
      <c r="X251" s="66"/>
      <c r="Y251" s="66"/>
      <c r="Z251" s="64" t="str">
        <f>IF(OR($B251="", $U251="", $V251="", $W251="", $X251="", $Y251=""),"",ROUND(($U251*Lists!$AN$11)+($V251*Lists!$AN$12)+($W251*Lists!$AN$13)+($X251*Lists!$AN$14)+($Y251*Lists!$AN$15),2))</f>
        <v/>
      </c>
      <c r="AA251" s="64" t="str">
        <f>IF(OR($B251="", $N251="", $O251="", $T251="", $Z251=""),"",ROUND(($N251*Lists!$AN$16)-($O251*Lists!$AN$17)-($T251*Lists!$AN$18)+($Z251*Lists!$AN$19),2))</f>
        <v/>
      </c>
      <c r="AB251" s="63" t="str">
        <f t="shared" si="13"/>
        <v/>
      </c>
      <c r="AC251" s="63" t="str">
        <f t="shared" si="14"/>
        <v/>
      </c>
      <c r="AD251" s="63" t="str">
        <f>IF($A251="","",IFERROR(IF(VLOOKUP($A251,'Risk Register'!$B$2:$H$1000,4,FALSE())&gt;=4,"Yes",""),""))</f>
        <v/>
      </c>
      <c r="AE251" s="63" t="str">
        <f t="shared" si="15"/>
        <v/>
      </c>
      <c r="AF251" s="62"/>
      <c r="AG251" s="62"/>
      <c r="AH251" s="62"/>
      <c r="AI251" s="62"/>
      <c r="AJ251" s="62"/>
      <c r="AK251" s="62"/>
      <c r="AL251" s="62"/>
      <c r="AM251" s="62"/>
      <c r="AN251" s="62"/>
      <c r="AO251" s="62"/>
      <c r="AP251" s="62"/>
      <c r="AQ251" s="80"/>
    </row>
    <row r="252" spans="1:43" ht="15.75" customHeight="1" x14ac:dyDescent="0.2">
      <c r="A252" s="63" t="str">
        <f t="shared" si="12"/>
        <v/>
      </c>
      <c r="B252" s="62"/>
      <c r="C252" s="62"/>
      <c r="D252" s="62"/>
      <c r="E252" s="62"/>
      <c r="F252" s="62"/>
      <c r="G252" s="62"/>
      <c r="H252" s="62"/>
      <c r="I252" s="66"/>
      <c r="J252" s="66"/>
      <c r="K252" s="66"/>
      <c r="L252" s="66"/>
      <c r="M252" s="66"/>
      <c r="N252" s="64" t="str">
        <f>IF(OR($B252="", $I252="", $J252="", $K252="", $L252="", $M252=""),"",ROUND(($I252*Lists!$AN$2)+($J252*Lists!$AN$3)+($K252*Lists!$AN$4)+($L252*Lists!$AN$5)+($M252*Lists!$AN$6),2))</f>
        <v/>
      </c>
      <c r="O252" s="64" t="str">
        <f>IF($A252="","",IFERROR(VLOOKUP($A252,'Risk Register'!$B$2:$I$1000,8,FALSE()),""))</f>
        <v/>
      </c>
      <c r="P252" s="66"/>
      <c r="Q252" s="66"/>
      <c r="R252" s="66"/>
      <c r="S252" s="66"/>
      <c r="T252" s="64" t="str">
        <f>IF(OR($B252="", $P252="", $Q252="", $R252="", $S252=""),"",ROUND(($P252*Lists!$AN$7)+($Q252*Lists!$AN$8)+($R252*Lists!$AN$9)+($S252*Lists!$AN$10),2))</f>
        <v/>
      </c>
      <c r="U252" s="66"/>
      <c r="V252" s="66"/>
      <c r="W252" s="66"/>
      <c r="X252" s="66"/>
      <c r="Y252" s="66"/>
      <c r="Z252" s="64" t="str">
        <f>IF(OR($B252="", $U252="", $V252="", $W252="", $X252="", $Y252=""),"",ROUND(($U252*Lists!$AN$11)+($V252*Lists!$AN$12)+($W252*Lists!$AN$13)+($X252*Lists!$AN$14)+($Y252*Lists!$AN$15),2))</f>
        <v/>
      </c>
      <c r="AA252" s="64" t="str">
        <f>IF(OR($B252="", $N252="", $O252="", $T252="", $Z252=""),"",ROUND(($N252*Lists!$AN$16)-($O252*Lists!$AN$17)-($T252*Lists!$AN$18)+($Z252*Lists!$AN$19),2))</f>
        <v/>
      </c>
      <c r="AB252" s="63" t="str">
        <f t="shared" si="13"/>
        <v/>
      </c>
      <c r="AC252" s="63" t="str">
        <f t="shared" si="14"/>
        <v/>
      </c>
      <c r="AD252" s="63" t="str">
        <f>IF($A252="","",IFERROR(IF(VLOOKUP($A252,'Risk Register'!$B$2:$H$1000,4,FALSE())&gt;=4,"Yes",""),""))</f>
        <v/>
      </c>
      <c r="AE252" s="63" t="str">
        <f t="shared" si="15"/>
        <v/>
      </c>
      <c r="AF252" s="62"/>
      <c r="AG252" s="62"/>
      <c r="AH252" s="62"/>
      <c r="AI252" s="62"/>
      <c r="AJ252" s="62"/>
      <c r="AK252" s="62"/>
      <c r="AL252" s="62"/>
      <c r="AM252" s="62"/>
      <c r="AN252" s="62"/>
      <c r="AO252" s="62"/>
      <c r="AP252" s="62"/>
      <c r="AQ252" s="80"/>
    </row>
    <row r="253" spans="1:43" ht="15.75" customHeight="1" x14ac:dyDescent="0.2">
      <c r="A253" s="63" t="str">
        <f t="shared" si="12"/>
        <v/>
      </c>
      <c r="B253" s="62"/>
      <c r="C253" s="62"/>
      <c r="D253" s="62"/>
      <c r="E253" s="62"/>
      <c r="F253" s="62"/>
      <c r="G253" s="62"/>
      <c r="H253" s="62"/>
      <c r="I253" s="66"/>
      <c r="J253" s="66"/>
      <c r="K253" s="66"/>
      <c r="L253" s="66"/>
      <c r="M253" s="66"/>
      <c r="N253" s="64" t="str">
        <f>IF(OR($B253="", $I253="", $J253="", $K253="", $L253="", $M253=""),"",ROUND(($I253*Lists!$AN$2)+($J253*Lists!$AN$3)+($K253*Lists!$AN$4)+($L253*Lists!$AN$5)+($M253*Lists!$AN$6),2))</f>
        <v/>
      </c>
      <c r="O253" s="64" t="str">
        <f>IF($A253="","",IFERROR(VLOOKUP($A253,'Risk Register'!$B$2:$I$1000,8,FALSE()),""))</f>
        <v/>
      </c>
      <c r="P253" s="66"/>
      <c r="Q253" s="66"/>
      <c r="R253" s="66"/>
      <c r="S253" s="66"/>
      <c r="T253" s="64" t="str">
        <f>IF(OR($B253="", $P253="", $Q253="", $R253="", $S253=""),"",ROUND(($P253*Lists!$AN$7)+($Q253*Lists!$AN$8)+($R253*Lists!$AN$9)+($S253*Lists!$AN$10),2))</f>
        <v/>
      </c>
      <c r="U253" s="66"/>
      <c r="V253" s="66"/>
      <c r="W253" s="66"/>
      <c r="X253" s="66"/>
      <c r="Y253" s="66"/>
      <c r="Z253" s="64" t="str">
        <f>IF(OR($B253="", $U253="", $V253="", $W253="", $X253="", $Y253=""),"",ROUND(($U253*Lists!$AN$11)+($V253*Lists!$AN$12)+($W253*Lists!$AN$13)+($X253*Lists!$AN$14)+($Y253*Lists!$AN$15),2))</f>
        <v/>
      </c>
      <c r="AA253" s="64" t="str">
        <f>IF(OR($B253="", $N253="", $O253="", $T253="", $Z253=""),"",ROUND(($N253*Lists!$AN$16)-($O253*Lists!$AN$17)-($T253*Lists!$AN$18)+($Z253*Lists!$AN$19),2))</f>
        <v/>
      </c>
      <c r="AB253" s="63" t="str">
        <f t="shared" si="13"/>
        <v/>
      </c>
      <c r="AC253" s="63" t="str">
        <f t="shared" si="14"/>
        <v/>
      </c>
      <c r="AD253" s="63" t="str">
        <f>IF($A253="","",IFERROR(IF(VLOOKUP($A253,'Risk Register'!$B$2:$H$1000,4,FALSE())&gt;=4,"Yes",""),""))</f>
        <v/>
      </c>
      <c r="AE253" s="63" t="str">
        <f t="shared" si="15"/>
        <v/>
      </c>
      <c r="AF253" s="62"/>
      <c r="AG253" s="62"/>
      <c r="AH253" s="62"/>
      <c r="AI253" s="62"/>
      <c r="AJ253" s="62"/>
      <c r="AK253" s="62"/>
      <c r="AL253" s="62"/>
      <c r="AM253" s="62"/>
      <c r="AN253" s="62"/>
      <c r="AO253" s="62"/>
      <c r="AP253" s="62"/>
      <c r="AQ253" s="80"/>
    </row>
    <row r="254" spans="1:43" ht="15.75" customHeight="1" x14ac:dyDescent="0.2">
      <c r="A254" s="63" t="str">
        <f t="shared" si="12"/>
        <v/>
      </c>
      <c r="B254" s="62"/>
      <c r="C254" s="62"/>
      <c r="D254" s="62"/>
      <c r="E254" s="62"/>
      <c r="F254" s="62"/>
      <c r="G254" s="62"/>
      <c r="H254" s="62"/>
      <c r="I254" s="66"/>
      <c r="J254" s="66"/>
      <c r="K254" s="66"/>
      <c r="L254" s="66"/>
      <c r="M254" s="66"/>
      <c r="N254" s="64" t="str">
        <f>IF(OR($B254="", $I254="", $J254="", $K254="", $L254="", $M254=""),"",ROUND(($I254*Lists!$AN$2)+($J254*Lists!$AN$3)+($K254*Lists!$AN$4)+($L254*Lists!$AN$5)+($M254*Lists!$AN$6),2))</f>
        <v/>
      </c>
      <c r="O254" s="64" t="str">
        <f>IF($A254="","",IFERROR(VLOOKUP($A254,'Risk Register'!$B$2:$I$1000,8,FALSE()),""))</f>
        <v/>
      </c>
      <c r="P254" s="66"/>
      <c r="Q254" s="66"/>
      <c r="R254" s="66"/>
      <c r="S254" s="66"/>
      <c r="T254" s="64" t="str">
        <f>IF(OR($B254="", $P254="", $Q254="", $R254="", $S254=""),"",ROUND(($P254*Lists!$AN$7)+($Q254*Lists!$AN$8)+($R254*Lists!$AN$9)+($S254*Lists!$AN$10),2))</f>
        <v/>
      </c>
      <c r="U254" s="66"/>
      <c r="V254" s="66"/>
      <c r="W254" s="66"/>
      <c r="X254" s="66"/>
      <c r="Y254" s="66"/>
      <c r="Z254" s="64" t="str">
        <f>IF(OR($B254="", $U254="", $V254="", $W254="", $X254="", $Y254=""),"",ROUND(($U254*Lists!$AN$11)+($V254*Lists!$AN$12)+($W254*Lists!$AN$13)+($X254*Lists!$AN$14)+($Y254*Lists!$AN$15),2))</f>
        <v/>
      </c>
      <c r="AA254" s="64" t="str">
        <f>IF(OR($B254="", $N254="", $O254="", $T254="", $Z254=""),"",ROUND(($N254*Lists!$AN$16)-($O254*Lists!$AN$17)-($T254*Lists!$AN$18)+($Z254*Lists!$AN$19),2))</f>
        <v/>
      </c>
      <c r="AB254" s="63" t="str">
        <f t="shared" si="13"/>
        <v/>
      </c>
      <c r="AC254" s="63" t="str">
        <f t="shared" si="14"/>
        <v/>
      </c>
      <c r="AD254" s="63" t="str">
        <f>IF($A254="","",IFERROR(IF(VLOOKUP($A254,'Risk Register'!$B$2:$H$1000,4,FALSE())&gt;=4,"Yes",""),""))</f>
        <v/>
      </c>
      <c r="AE254" s="63" t="str">
        <f t="shared" si="15"/>
        <v/>
      </c>
      <c r="AF254" s="62"/>
      <c r="AG254" s="62"/>
      <c r="AH254" s="62"/>
      <c r="AI254" s="62"/>
      <c r="AJ254" s="62"/>
      <c r="AK254" s="62"/>
      <c r="AL254" s="62"/>
      <c r="AM254" s="62"/>
      <c r="AN254" s="62"/>
      <c r="AO254" s="62"/>
      <c r="AP254" s="62"/>
      <c r="AQ254" s="80"/>
    </row>
    <row r="255" spans="1:43" ht="15.75" customHeight="1" x14ac:dyDescent="0.2">
      <c r="A255" s="63" t="str">
        <f t="shared" si="12"/>
        <v/>
      </c>
      <c r="B255" s="62"/>
      <c r="C255" s="62"/>
      <c r="D255" s="62"/>
      <c r="E255" s="62"/>
      <c r="F255" s="62"/>
      <c r="G255" s="62"/>
      <c r="H255" s="62"/>
      <c r="I255" s="66"/>
      <c r="J255" s="66"/>
      <c r="K255" s="66"/>
      <c r="L255" s="66"/>
      <c r="M255" s="66"/>
      <c r="N255" s="64" t="str">
        <f>IF(OR($B255="", $I255="", $J255="", $K255="", $L255="", $M255=""),"",ROUND(($I255*Lists!$AN$2)+($J255*Lists!$AN$3)+($K255*Lists!$AN$4)+($L255*Lists!$AN$5)+($M255*Lists!$AN$6),2))</f>
        <v/>
      </c>
      <c r="O255" s="64" t="str">
        <f>IF($A255="","",IFERROR(VLOOKUP($A255,'Risk Register'!$B$2:$I$1000,8,FALSE()),""))</f>
        <v/>
      </c>
      <c r="P255" s="66"/>
      <c r="Q255" s="66"/>
      <c r="R255" s="66"/>
      <c r="S255" s="66"/>
      <c r="T255" s="64" t="str">
        <f>IF(OR($B255="", $P255="", $Q255="", $R255="", $S255=""),"",ROUND(($P255*Lists!$AN$7)+($Q255*Lists!$AN$8)+($R255*Lists!$AN$9)+($S255*Lists!$AN$10),2))</f>
        <v/>
      </c>
      <c r="U255" s="66"/>
      <c r="V255" s="66"/>
      <c r="W255" s="66"/>
      <c r="X255" s="66"/>
      <c r="Y255" s="66"/>
      <c r="Z255" s="64" t="str">
        <f>IF(OR($B255="", $U255="", $V255="", $W255="", $X255="", $Y255=""),"",ROUND(($U255*Lists!$AN$11)+($V255*Lists!$AN$12)+($W255*Lists!$AN$13)+($X255*Lists!$AN$14)+($Y255*Lists!$AN$15),2))</f>
        <v/>
      </c>
      <c r="AA255" s="64" t="str">
        <f>IF(OR($B255="", $N255="", $O255="", $T255="", $Z255=""),"",ROUND(($N255*Lists!$AN$16)-($O255*Lists!$AN$17)-($T255*Lists!$AN$18)+($Z255*Lists!$AN$19),2))</f>
        <v/>
      </c>
      <c r="AB255" s="63" t="str">
        <f t="shared" si="13"/>
        <v/>
      </c>
      <c r="AC255" s="63" t="str">
        <f t="shared" si="14"/>
        <v/>
      </c>
      <c r="AD255" s="63" t="str">
        <f>IF($A255="","",IFERROR(IF(VLOOKUP($A255,'Risk Register'!$B$2:$H$1000,4,FALSE())&gt;=4,"Yes",""),""))</f>
        <v/>
      </c>
      <c r="AE255" s="63" t="str">
        <f t="shared" si="15"/>
        <v/>
      </c>
      <c r="AF255" s="62"/>
      <c r="AG255" s="62"/>
      <c r="AH255" s="62"/>
      <c r="AI255" s="62"/>
      <c r="AJ255" s="62"/>
      <c r="AK255" s="62"/>
      <c r="AL255" s="62"/>
      <c r="AM255" s="62"/>
      <c r="AN255" s="62"/>
      <c r="AO255" s="62"/>
      <c r="AP255" s="62"/>
      <c r="AQ255" s="80"/>
    </row>
    <row r="256" spans="1:43" ht="15.75" customHeight="1" x14ac:dyDescent="0.2">
      <c r="A256" s="63" t="str">
        <f t="shared" si="12"/>
        <v/>
      </c>
      <c r="B256" s="62"/>
      <c r="C256" s="62"/>
      <c r="D256" s="62"/>
      <c r="E256" s="62"/>
      <c r="F256" s="62"/>
      <c r="G256" s="62"/>
      <c r="H256" s="62"/>
      <c r="I256" s="66"/>
      <c r="J256" s="66"/>
      <c r="K256" s="66"/>
      <c r="L256" s="66"/>
      <c r="M256" s="66"/>
      <c r="N256" s="64" t="str">
        <f>IF(OR($B256="", $I256="", $J256="", $K256="", $L256="", $M256=""),"",ROUND(($I256*Lists!$AN$2)+($J256*Lists!$AN$3)+($K256*Lists!$AN$4)+($L256*Lists!$AN$5)+($M256*Lists!$AN$6),2))</f>
        <v/>
      </c>
      <c r="O256" s="64" t="str">
        <f>IF($A256="","",IFERROR(VLOOKUP($A256,'Risk Register'!$B$2:$I$1000,8,FALSE()),""))</f>
        <v/>
      </c>
      <c r="P256" s="66"/>
      <c r="Q256" s="66"/>
      <c r="R256" s="66"/>
      <c r="S256" s="66"/>
      <c r="T256" s="64" t="str">
        <f>IF(OR($B256="", $P256="", $Q256="", $R256="", $S256=""),"",ROUND(($P256*Lists!$AN$7)+($Q256*Lists!$AN$8)+($R256*Lists!$AN$9)+($S256*Lists!$AN$10),2))</f>
        <v/>
      </c>
      <c r="U256" s="66"/>
      <c r="V256" s="66"/>
      <c r="W256" s="66"/>
      <c r="X256" s="66"/>
      <c r="Y256" s="66"/>
      <c r="Z256" s="64" t="str">
        <f>IF(OR($B256="", $U256="", $V256="", $W256="", $X256="", $Y256=""),"",ROUND(($U256*Lists!$AN$11)+($V256*Lists!$AN$12)+($W256*Lists!$AN$13)+($X256*Lists!$AN$14)+($Y256*Lists!$AN$15),2))</f>
        <v/>
      </c>
      <c r="AA256" s="64" t="str">
        <f>IF(OR($B256="", $N256="", $O256="", $T256="", $Z256=""),"",ROUND(($N256*Lists!$AN$16)-($O256*Lists!$AN$17)-($T256*Lists!$AN$18)+($Z256*Lists!$AN$19),2))</f>
        <v/>
      </c>
      <c r="AB256" s="63" t="str">
        <f t="shared" si="13"/>
        <v/>
      </c>
      <c r="AC256" s="63" t="str">
        <f t="shared" si="14"/>
        <v/>
      </c>
      <c r="AD256" s="63" t="str">
        <f>IF($A256="","",IFERROR(IF(VLOOKUP($A256,'Risk Register'!$B$2:$H$1000,4,FALSE())&gt;=4,"Yes",""),""))</f>
        <v/>
      </c>
      <c r="AE256" s="63" t="str">
        <f t="shared" si="15"/>
        <v/>
      </c>
      <c r="AF256" s="62"/>
      <c r="AG256" s="62"/>
      <c r="AH256" s="62"/>
      <c r="AI256" s="62"/>
      <c r="AJ256" s="62"/>
      <c r="AK256" s="62"/>
      <c r="AL256" s="62"/>
      <c r="AM256" s="62"/>
      <c r="AN256" s="62"/>
      <c r="AO256" s="62"/>
      <c r="AP256" s="62"/>
      <c r="AQ256" s="80"/>
    </row>
    <row r="257" spans="1:43" ht="15.75" customHeight="1" x14ac:dyDescent="0.2">
      <c r="A257" s="63" t="str">
        <f t="shared" si="12"/>
        <v/>
      </c>
      <c r="B257" s="62"/>
      <c r="C257" s="62"/>
      <c r="D257" s="62"/>
      <c r="E257" s="62"/>
      <c r="F257" s="62"/>
      <c r="G257" s="62"/>
      <c r="H257" s="62"/>
      <c r="I257" s="66"/>
      <c r="J257" s="66"/>
      <c r="K257" s="66"/>
      <c r="L257" s="66"/>
      <c r="M257" s="66"/>
      <c r="N257" s="64" t="str">
        <f>IF(OR($B257="", $I257="", $J257="", $K257="", $L257="", $M257=""),"",ROUND(($I257*Lists!$AN$2)+($J257*Lists!$AN$3)+($K257*Lists!$AN$4)+($L257*Lists!$AN$5)+($M257*Lists!$AN$6),2))</f>
        <v/>
      </c>
      <c r="O257" s="64" t="str">
        <f>IF($A257="","",IFERROR(VLOOKUP($A257,'Risk Register'!$B$2:$I$1000,8,FALSE()),""))</f>
        <v/>
      </c>
      <c r="P257" s="66"/>
      <c r="Q257" s="66"/>
      <c r="R257" s="66"/>
      <c r="S257" s="66"/>
      <c r="T257" s="64" t="str">
        <f>IF(OR($B257="", $P257="", $Q257="", $R257="", $S257=""),"",ROUND(($P257*Lists!$AN$7)+($Q257*Lists!$AN$8)+($R257*Lists!$AN$9)+($S257*Lists!$AN$10),2))</f>
        <v/>
      </c>
      <c r="U257" s="66"/>
      <c r="V257" s="66"/>
      <c r="W257" s="66"/>
      <c r="X257" s="66"/>
      <c r="Y257" s="66"/>
      <c r="Z257" s="64" t="str">
        <f>IF(OR($B257="", $U257="", $V257="", $W257="", $X257="", $Y257=""),"",ROUND(($U257*Lists!$AN$11)+($V257*Lists!$AN$12)+($W257*Lists!$AN$13)+($X257*Lists!$AN$14)+($Y257*Lists!$AN$15),2))</f>
        <v/>
      </c>
      <c r="AA257" s="64" t="str">
        <f>IF(OR($B257="", $N257="", $O257="", $T257="", $Z257=""),"",ROUND(($N257*Lists!$AN$16)-($O257*Lists!$AN$17)-($T257*Lists!$AN$18)+($Z257*Lists!$AN$19),2))</f>
        <v/>
      </c>
      <c r="AB257" s="63" t="str">
        <f t="shared" si="13"/>
        <v/>
      </c>
      <c r="AC257" s="63" t="str">
        <f t="shared" si="14"/>
        <v/>
      </c>
      <c r="AD257" s="63" t="str">
        <f>IF($A257="","",IFERROR(IF(VLOOKUP($A257,'Risk Register'!$B$2:$H$1000,4,FALSE())&gt;=4,"Yes",""),""))</f>
        <v/>
      </c>
      <c r="AE257" s="63" t="str">
        <f t="shared" si="15"/>
        <v/>
      </c>
      <c r="AF257" s="62"/>
      <c r="AG257" s="62"/>
      <c r="AH257" s="62"/>
      <c r="AI257" s="62"/>
      <c r="AJ257" s="62"/>
      <c r="AK257" s="62"/>
      <c r="AL257" s="62"/>
      <c r="AM257" s="62"/>
      <c r="AN257" s="62"/>
      <c r="AO257" s="62"/>
      <c r="AP257" s="62"/>
      <c r="AQ257" s="80"/>
    </row>
    <row r="258" spans="1:43" ht="15.75" customHeight="1" x14ac:dyDescent="0.2">
      <c r="A258" s="63" t="str">
        <f t="shared" si="12"/>
        <v/>
      </c>
      <c r="B258" s="62"/>
      <c r="C258" s="62"/>
      <c r="D258" s="62"/>
      <c r="E258" s="62"/>
      <c r="F258" s="62"/>
      <c r="G258" s="62"/>
      <c r="H258" s="62"/>
      <c r="I258" s="66"/>
      <c r="J258" s="66"/>
      <c r="K258" s="66"/>
      <c r="L258" s="66"/>
      <c r="M258" s="66"/>
      <c r="N258" s="64" t="str">
        <f>IF(OR($B258="", $I258="", $J258="", $K258="", $L258="", $M258=""),"",ROUND(($I258*Lists!$AN$2)+($J258*Lists!$AN$3)+($K258*Lists!$AN$4)+($L258*Lists!$AN$5)+($M258*Lists!$AN$6),2))</f>
        <v/>
      </c>
      <c r="O258" s="64" t="str">
        <f>IF($A258="","",IFERROR(VLOOKUP($A258,'Risk Register'!$B$2:$I$1000,8,FALSE()),""))</f>
        <v/>
      </c>
      <c r="P258" s="66"/>
      <c r="Q258" s="66"/>
      <c r="R258" s="66"/>
      <c r="S258" s="66"/>
      <c r="T258" s="64" t="str">
        <f>IF(OR($B258="", $P258="", $Q258="", $R258="", $S258=""),"",ROUND(($P258*Lists!$AN$7)+($Q258*Lists!$AN$8)+($R258*Lists!$AN$9)+($S258*Lists!$AN$10),2))</f>
        <v/>
      </c>
      <c r="U258" s="66"/>
      <c r="V258" s="66"/>
      <c r="W258" s="66"/>
      <c r="X258" s="66"/>
      <c r="Y258" s="66"/>
      <c r="Z258" s="64" t="str">
        <f>IF(OR($B258="", $U258="", $V258="", $W258="", $X258="", $Y258=""),"",ROUND(($U258*Lists!$AN$11)+($V258*Lists!$AN$12)+($W258*Lists!$AN$13)+($X258*Lists!$AN$14)+($Y258*Lists!$AN$15),2))</f>
        <v/>
      </c>
      <c r="AA258" s="64" t="str">
        <f>IF(OR($B258="", $N258="", $O258="", $T258="", $Z258=""),"",ROUND(($N258*Lists!$AN$16)-($O258*Lists!$AN$17)-($T258*Lists!$AN$18)+($Z258*Lists!$AN$19),2))</f>
        <v/>
      </c>
      <c r="AB258" s="63" t="str">
        <f t="shared" si="13"/>
        <v/>
      </c>
      <c r="AC258" s="63" t="str">
        <f t="shared" si="14"/>
        <v/>
      </c>
      <c r="AD258" s="63" t="str">
        <f>IF($A258="","",IFERROR(IF(VLOOKUP($A258,'Risk Register'!$B$2:$H$1000,4,FALSE())&gt;=4,"Yes",""),""))</f>
        <v/>
      </c>
      <c r="AE258" s="63" t="str">
        <f t="shared" si="15"/>
        <v/>
      </c>
      <c r="AF258" s="62"/>
      <c r="AG258" s="62"/>
      <c r="AH258" s="62"/>
      <c r="AI258" s="62"/>
      <c r="AJ258" s="62"/>
      <c r="AK258" s="62"/>
      <c r="AL258" s="62"/>
      <c r="AM258" s="62"/>
      <c r="AN258" s="62"/>
      <c r="AO258" s="62"/>
      <c r="AP258" s="62"/>
      <c r="AQ258" s="80"/>
    </row>
    <row r="259" spans="1:43" ht="15.75" customHeight="1" x14ac:dyDescent="0.2">
      <c r="A259" s="63" t="str">
        <f t="shared" si="12"/>
        <v/>
      </c>
      <c r="B259" s="62"/>
      <c r="C259" s="62"/>
      <c r="D259" s="62"/>
      <c r="E259" s="62"/>
      <c r="F259" s="62"/>
      <c r="G259" s="62"/>
      <c r="H259" s="62"/>
      <c r="I259" s="66"/>
      <c r="J259" s="66"/>
      <c r="K259" s="66"/>
      <c r="L259" s="66"/>
      <c r="M259" s="66"/>
      <c r="N259" s="64" t="str">
        <f>IF(OR($B259="", $I259="", $J259="", $K259="", $L259="", $M259=""),"",ROUND(($I259*Lists!$AN$2)+($J259*Lists!$AN$3)+($K259*Lists!$AN$4)+($L259*Lists!$AN$5)+($M259*Lists!$AN$6),2))</f>
        <v/>
      </c>
      <c r="O259" s="64" t="str">
        <f>IF($A259="","",IFERROR(VLOOKUP($A259,'Risk Register'!$B$2:$I$1000,8,FALSE()),""))</f>
        <v/>
      </c>
      <c r="P259" s="66"/>
      <c r="Q259" s="66"/>
      <c r="R259" s="66"/>
      <c r="S259" s="66"/>
      <c r="T259" s="64" t="str">
        <f>IF(OR($B259="", $P259="", $Q259="", $R259="", $S259=""),"",ROUND(($P259*Lists!$AN$7)+($Q259*Lists!$AN$8)+($R259*Lists!$AN$9)+($S259*Lists!$AN$10),2))</f>
        <v/>
      </c>
      <c r="U259" s="66"/>
      <c r="V259" s="66"/>
      <c r="W259" s="66"/>
      <c r="X259" s="66"/>
      <c r="Y259" s="66"/>
      <c r="Z259" s="64" t="str">
        <f>IF(OR($B259="", $U259="", $V259="", $W259="", $X259="", $Y259=""),"",ROUND(($U259*Lists!$AN$11)+($V259*Lists!$AN$12)+($W259*Lists!$AN$13)+($X259*Lists!$AN$14)+($Y259*Lists!$AN$15),2))</f>
        <v/>
      </c>
      <c r="AA259" s="64" t="str">
        <f>IF(OR($B259="", $N259="", $O259="", $T259="", $Z259=""),"",ROUND(($N259*Lists!$AN$16)-($O259*Lists!$AN$17)-($T259*Lists!$AN$18)+($Z259*Lists!$AN$19),2))</f>
        <v/>
      </c>
      <c r="AB259" s="63" t="str">
        <f t="shared" si="13"/>
        <v/>
      </c>
      <c r="AC259" s="63" t="str">
        <f t="shared" si="14"/>
        <v/>
      </c>
      <c r="AD259" s="63" t="str">
        <f>IF($A259="","",IFERROR(IF(VLOOKUP($A259,'Risk Register'!$B$2:$H$1000,4,FALSE())&gt;=4,"Yes",""),""))</f>
        <v/>
      </c>
      <c r="AE259" s="63" t="str">
        <f t="shared" si="15"/>
        <v/>
      </c>
      <c r="AF259" s="62"/>
      <c r="AG259" s="62"/>
      <c r="AH259" s="62"/>
      <c r="AI259" s="62"/>
      <c r="AJ259" s="62"/>
      <c r="AK259" s="62"/>
      <c r="AL259" s="62"/>
      <c r="AM259" s="62"/>
      <c r="AN259" s="62"/>
      <c r="AO259" s="62"/>
      <c r="AP259" s="62"/>
      <c r="AQ259" s="80"/>
    </row>
    <row r="260" spans="1:43" ht="15.75" customHeight="1" x14ac:dyDescent="0.2">
      <c r="A260" s="63" t="str">
        <f t="shared" si="12"/>
        <v/>
      </c>
      <c r="B260" s="62"/>
      <c r="C260" s="62"/>
      <c r="D260" s="62"/>
      <c r="E260" s="62"/>
      <c r="F260" s="62"/>
      <c r="G260" s="62"/>
      <c r="H260" s="62"/>
      <c r="I260" s="66"/>
      <c r="J260" s="66"/>
      <c r="K260" s="66"/>
      <c r="L260" s="66"/>
      <c r="M260" s="66"/>
      <c r="N260" s="64" t="str">
        <f>IF(OR($B260="", $I260="", $J260="", $K260="", $L260="", $M260=""),"",ROUND(($I260*Lists!$AN$2)+($J260*Lists!$AN$3)+($K260*Lists!$AN$4)+($L260*Lists!$AN$5)+($M260*Lists!$AN$6),2))</f>
        <v/>
      </c>
      <c r="O260" s="64" t="str">
        <f>IF($A260="","",IFERROR(VLOOKUP($A260,'Risk Register'!$B$2:$I$1000,8,FALSE()),""))</f>
        <v/>
      </c>
      <c r="P260" s="66"/>
      <c r="Q260" s="66"/>
      <c r="R260" s="66"/>
      <c r="S260" s="66"/>
      <c r="T260" s="64" t="str">
        <f>IF(OR($B260="", $P260="", $Q260="", $R260="", $S260=""),"",ROUND(($P260*Lists!$AN$7)+($Q260*Lists!$AN$8)+($R260*Lists!$AN$9)+($S260*Lists!$AN$10),2))</f>
        <v/>
      </c>
      <c r="U260" s="66"/>
      <c r="V260" s="66"/>
      <c r="W260" s="66"/>
      <c r="X260" s="66"/>
      <c r="Y260" s="66"/>
      <c r="Z260" s="64" t="str">
        <f>IF(OR($B260="", $U260="", $V260="", $W260="", $X260="", $Y260=""),"",ROUND(($U260*Lists!$AN$11)+($V260*Lists!$AN$12)+($W260*Lists!$AN$13)+($X260*Lists!$AN$14)+($Y260*Lists!$AN$15),2))</f>
        <v/>
      </c>
      <c r="AA260" s="64" t="str">
        <f>IF(OR($B260="", $N260="", $O260="", $T260="", $Z260=""),"",ROUND(($N260*Lists!$AN$16)-($O260*Lists!$AN$17)-($T260*Lists!$AN$18)+($Z260*Lists!$AN$19),2))</f>
        <v/>
      </c>
      <c r="AB260" s="63" t="str">
        <f t="shared" si="13"/>
        <v/>
      </c>
      <c r="AC260" s="63" t="str">
        <f t="shared" si="14"/>
        <v/>
      </c>
      <c r="AD260" s="63" t="str">
        <f>IF($A260="","",IFERROR(IF(VLOOKUP($A260,'Risk Register'!$B$2:$H$1000,4,FALSE())&gt;=4,"Yes",""),""))</f>
        <v/>
      </c>
      <c r="AE260" s="63" t="str">
        <f t="shared" si="15"/>
        <v/>
      </c>
      <c r="AF260" s="62"/>
      <c r="AG260" s="62"/>
      <c r="AH260" s="62"/>
      <c r="AI260" s="62"/>
      <c r="AJ260" s="62"/>
      <c r="AK260" s="62"/>
      <c r="AL260" s="62"/>
      <c r="AM260" s="62"/>
      <c r="AN260" s="62"/>
      <c r="AO260" s="62"/>
      <c r="AP260" s="62"/>
      <c r="AQ260" s="80"/>
    </row>
    <row r="261" spans="1:43" ht="15.75" customHeight="1" x14ac:dyDescent="0.2">
      <c r="A261" s="63" t="str">
        <f t="shared" si="12"/>
        <v/>
      </c>
      <c r="B261" s="62"/>
      <c r="C261" s="62"/>
      <c r="D261" s="62"/>
      <c r="E261" s="62"/>
      <c r="F261" s="62"/>
      <c r="G261" s="62"/>
      <c r="H261" s="62"/>
      <c r="I261" s="66"/>
      <c r="J261" s="66"/>
      <c r="K261" s="66"/>
      <c r="L261" s="66"/>
      <c r="M261" s="66"/>
      <c r="N261" s="64" t="str">
        <f>IF(OR($B261="", $I261="", $J261="", $K261="", $L261="", $M261=""),"",ROUND(($I261*Lists!$AN$2)+($J261*Lists!$AN$3)+($K261*Lists!$AN$4)+($L261*Lists!$AN$5)+($M261*Lists!$AN$6),2))</f>
        <v/>
      </c>
      <c r="O261" s="64" t="str">
        <f>IF($A261="","",IFERROR(VLOOKUP($A261,'Risk Register'!$B$2:$I$1000,8,FALSE()),""))</f>
        <v/>
      </c>
      <c r="P261" s="66"/>
      <c r="Q261" s="66"/>
      <c r="R261" s="66"/>
      <c r="S261" s="66"/>
      <c r="T261" s="64" t="str">
        <f>IF(OR($B261="", $P261="", $Q261="", $R261="", $S261=""),"",ROUND(($P261*Lists!$AN$7)+($Q261*Lists!$AN$8)+($R261*Lists!$AN$9)+($S261*Lists!$AN$10),2))</f>
        <v/>
      </c>
      <c r="U261" s="66"/>
      <c r="V261" s="66"/>
      <c r="W261" s="66"/>
      <c r="X261" s="66"/>
      <c r="Y261" s="66"/>
      <c r="Z261" s="64" t="str">
        <f>IF(OR($B261="", $U261="", $V261="", $W261="", $X261="", $Y261=""),"",ROUND(($U261*Lists!$AN$11)+($V261*Lists!$AN$12)+($W261*Lists!$AN$13)+($X261*Lists!$AN$14)+($Y261*Lists!$AN$15),2))</f>
        <v/>
      </c>
      <c r="AA261" s="64" t="str">
        <f>IF(OR($B261="", $N261="", $O261="", $T261="", $Z261=""),"",ROUND(($N261*Lists!$AN$16)-($O261*Lists!$AN$17)-($T261*Lists!$AN$18)+($Z261*Lists!$AN$19),2))</f>
        <v/>
      </c>
      <c r="AB261" s="63" t="str">
        <f t="shared" si="13"/>
        <v/>
      </c>
      <c r="AC261" s="63" t="str">
        <f t="shared" si="14"/>
        <v/>
      </c>
      <c r="AD261" s="63" t="str">
        <f>IF($A261="","",IFERROR(IF(VLOOKUP($A261,'Risk Register'!$B$2:$H$1000,4,FALSE())&gt;=4,"Yes",""),""))</f>
        <v/>
      </c>
      <c r="AE261" s="63" t="str">
        <f t="shared" si="15"/>
        <v/>
      </c>
      <c r="AF261" s="62"/>
      <c r="AG261" s="62"/>
      <c r="AH261" s="62"/>
      <c r="AI261" s="62"/>
      <c r="AJ261" s="62"/>
      <c r="AK261" s="62"/>
      <c r="AL261" s="62"/>
      <c r="AM261" s="62"/>
      <c r="AN261" s="62"/>
      <c r="AO261" s="62"/>
      <c r="AP261" s="62"/>
      <c r="AQ261" s="80"/>
    </row>
    <row r="262" spans="1:43" ht="15.75" customHeight="1" x14ac:dyDescent="0.2">
      <c r="A262" s="63" t="str">
        <f t="shared" si="12"/>
        <v/>
      </c>
      <c r="B262" s="62"/>
      <c r="C262" s="62"/>
      <c r="D262" s="62"/>
      <c r="E262" s="62"/>
      <c r="F262" s="62"/>
      <c r="G262" s="62"/>
      <c r="H262" s="62"/>
      <c r="I262" s="66"/>
      <c r="J262" s="66"/>
      <c r="K262" s="66"/>
      <c r="L262" s="66"/>
      <c r="M262" s="66"/>
      <c r="N262" s="64" t="str">
        <f>IF(OR($B262="", $I262="", $J262="", $K262="", $L262="", $M262=""),"",ROUND(($I262*Lists!$AN$2)+($J262*Lists!$AN$3)+($K262*Lists!$AN$4)+($L262*Lists!$AN$5)+($M262*Lists!$AN$6),2))</f>
        <v/>
      </c>
      <c r="O262" s="64" t="str">
        <f>IF($A262="","",IFERROR(VLOOKUP($A262,'Risk Register'!$B$2:$I$1000,8,FALSE()),""))</f>
        <v/>
      </c>
      <c r="P262" s="66"/>
      <c r="Q262" s="66"/>
      <c r="R262" s="66"/>
      <c r="S262" s="66"/>
      <c r="T262" s="64" t="str">
        <f>IF(OR($B262="", $P262="", $Q262="", $R262="", $S262=""),"",ROUND(($P262*Lists!$AN$7)+($Q262*Lists!$AN$8)+($R262*Lists!$AN$9)+($S262*Lists!$AN$10),2))</f>
        <v/>
      </c>
      <c r="U262" s="66"/>
      <c r="V262" s="66"/>
      <c r="W262" s="66"/>
      <c r="X262" s="66"/>
      <c r="Y262" s="66"/>
      <c r="Z262" s="64" t="str">
        <f>IF(OR($B262="", $U262="", $V262="", $W262="", $X262="", $Y262=""),"",ROUND(($U262*Lists!$AN$11)+($V262*Lists!$AN$12)+($W262*Lists!$AN$13)+($X262*Lists!$AN$14)+($Y262*Lists!$AN$15),2))</f>
        <v/>
      </c>
      <c r="AA262" s="64" t="str">
        <f>IF(OR($B262="", $N262="", $O262="", $T262="", $Z262=""),"",ROUND(($N262*Lists!$AN$16)-($O262*Lists!$AN$17)-($T262*Lists!$AN$18)+($Z262*Lists!$AN$19),2))</f>
        <v/>
      </c>
      <c r="AB262" s="63" t="str">
        <f t="shared" si="13"/>
        <v/>
      </c>
      <c r="AC262" s="63" t="str">
        <f t="shared" si="14"/>
        <v/>
      </c>
      <c r="AD262" s="63" t="str">
        <f>IF($A262="","",IFERROR(IF(VLOOKUP($A262,'Risk Register'!$B$2:$H$1000,4,FALSE())&gt;=4,"Yes",""),""))</f>
        <v/>
      </c>
      <c r="AE262" s="63" t="str">
        <f t="shared" si="15"/>
        <v/>
      </c>
      <c r="AF262" s="62"/>
      <c r="AG262" s="62"/>
      <c r="AH262" s="62"/>
      <c r="AI262" s="62"/>
      <c r="AJ262" s="62"/>
      <c r="AK262" s="62"/>
      <c r="AL262" s="62"/>
      <c r="AM262" s="62"/>
      <c r="AN262" s="62"/>
      <c r="AO262" s="62"/>
      <c r="AP262" s="62"/>
      <c r="AQ262" s="80"/>
    </row>
    <row r="263" spans="1:43" ht="15.75" customHeight="1" x14ac:dyDescent="0.2">
      <c r="A263" s="63" t="str">
        <f t="shared" si="12"/>
        <v/>
      </c>
      <c r="B263" s="62"/>
      <c r="C263" s="62"/>
      <c r="D263" s="62"/>
      <c r="E263" s="62"/>
      <c r="F263" s="62"/>
      <c r="G263" s="62"/>
      <c r="H263" s="62"/>
      <c r="I263" s="66"/>
      <c r="J263" s="66"/>
      <c r="K263" s="66"/>
      <c r="L263" s="66"/>
      <c r="M263" s="66"/>
      <c r="N263" s="64" t="str">
        <f>IF(OR($B263="", $I263="", $J263="", $K263="", $L263="", $M263=""),"",ROUND(($I263*Lists!$AN$2)+($J263*Lists!$AN$3)+($K263*Lists!$AN$4)+($L263*Lists!$AN$5)+($M263*Lists!$AN$6),2))</f>
        <v/>
      </c>
      <c r="O263" s="64" t="str">
        <f>IF($A263="","",IFERROR(VLOOKUP($A263,'Risk Register'!$B$2:$I$1000,8,FALSE()),""))</f>
        <v/>
      </c>
      <c r="P263" s="66"/>
      <c r="Q263" s="66"/>
      <c r="R263" s="66"/>
      <c r="S263" s="66"/>
      <c r="T263" s="64" t="str">
        <f>IF(OR($B263="", $P263="", $Q263="", $R263="", $S263=""),"",ROUND(($P263*Lists!$AN$7)+($Q263*Lists!$AN$8)+($R263*Lists!$AN$9)+($S263*Lists!$AN$10),2))</f>
        <v/>
      </c>
      <c r="U263" s="66"/>
      <c r="V263" s="66"/>
      <c r="W263" s="66"/>
      <c r="X263" s="66"/>
      <c r="Y263" s="66"/>
      <c r="Z263" s="64" t="str">
        <f>IF(OR($B263="", $U263="", $V263="", $W263="", $X263="", $Y263=""),"",ROUND(($U263*Lists!$AN$11)+($V263*Lists!$AN$12)+($W263*Lists!$AN$13)+($X263*Lists!$AN$14)+($Y263*Lists!$AN$15),2))</f>
        <v/>
      </c>
      <c r="AA263" s="64" t="str">
        <f>IF(OR($B263="", $N263="", $O263="", $T263="", $Z263=""),"",ROUND(($N263*Lists!$AN$16)-($O263*Lists!$AN$17)-($T263*Lists!$AN$18)+($Z263*Lists!$AN$19),2))</f>
        <v/>
      </c>
      <c r="AB263" s="63" t="str">
        <f t="shared" si="13"/>
        <v/>
      </c>
      <c r="AC263" s="63" t="str">
        <f t="shared" si="14"/>
        <v/>
      </c>
      <c r="AD263" s="63" t="str">
        <f>IF($A263="","",IFERROR(IF(VLOOKUP($A263,'Risk Register'!$B$2:$H$1000,4,FALSE())&gt;=4,"Yes",""),""))</f>
        <v/>
      </c>
      <c r="AE263" s="63" t="str">
        <f t="shared" si="15"/>
        <v/>
      </c>
      <c r="AF263" s="62"/>
      <c r="AG263" s="62"/>
      <c r="AH263" s="62"/>
      <c r="AI263" s="62"/>
      <c r="AJ263" s="62"/>
      <c r="AK263" s="62"/>
      <c r="AL263" s="62"/>
      <c r="AM263" s="62"/>
      <c r="AN263" s="62"/>
      <c r="AO263" s="62"/>
      <c r="AP263" s="62"/>
      <c r="AQ263" s="80"/>
    </row>
    <row r="264" spans="1:43" ht="15.75" customHeight="1" x14ac:dyDescent="0.2">
      <c r="A264" s="63" t="str">
        <f t="shared" si="12"/>
        <v/>
      </c>
      <c r="B264" s="62"/>
      <c r="C264" s="62"/>
      <c r="D264" s="62"/>
      <c r="E264" s="62"/>
      <c r="F264" s="62"/>
      <c r="G264" s="62"/>
      <c r="H264" s="62"/>
      <c r="I264" s="66"/>
      <c r="J264" s="66"/>
      <c r="K264" s="66"/>
      <c r="L264" s="66"/>
      <c r="M264" s="66"/>
      <c r="N264" s="64" t="str">
        <f>IF(OR($B264="", $I264="", $J264="", $K264="", $L264="", $M264=""),"",ROUND(($I264*Lists!$AN$2)+($J264*Lists!$AN$3)+($K264*Lists!$AN$4)+($L264*Lists!$AN$5)+($M264*Lists!$AN$6),2))</f>
        <v/>
      </c>
      <c r="O264" s="64" t="str">
        <f>IF($A264="","",IFERROR(VLOOKUP($A264,'Risk Register'!$B$2:$I$1000,8,FALSE()),""))</f>
        <v/>
      </c>
      <c r="P264" s="66"/>
      <c r="Q264" s="66"/>
      <c r="R264" s="66"/>
      <c r="S264" s="66"/>
      <c r="T264" s="64" t="str">
        <f>IF(OR($B264="", $P264="", $Q264="", $R264="", $S264=""),"",ROUND(($P264*Lists!$AN$7)+($Q264*Lists!$AN$8)+($R264*Lists!$AN$9)+($S264*Lists!$AN$10),2))</f>
        <v/>
      </c>
      <c r="U264" s="66"/>
      <c r="V264" s="66"/>
      <c r="W264" s="66"/>
      <c r="X264" s="66"/>
      <c r="Y264" s="66"/>
      <c r="Z264" s="64" t="str">
        <f>IF(OR($B264="", $U264="", $V264="", $W264="", $X264="", $Y264=""),"",ROUND(($U264*Lists!$AN$11)+($V264*Lists!$AN$12)+($W264*Lists!$AN$13)+($X264*Lists!$AN$14)+($Y264*Lists!$AN$15),2))</f>
        <v/>
      </c>
      <c r="AA264" s="64" t="str">
        <f>IF(OR($B264="", $N264="", $O264="", $T264="", $Z264=""),"",ROUND(($N264*Lists!$AN$16)-($O264*Lists!$AN$17)-($T264*Lists!$AN$18)+($Z264*Lists!$AN$19),2))</f>
        <v/>
      </c>
      <c r="AB264" s="63" t="str">
        <f t="shared" si="13"/>
        <v/>
      </c>
      <c r="AC264" s="63" t="str">
        <f t="shared" si="14"/>
        <v/>
      </c>
      <c r="AD264" s="63" t="str">
        <f>IF($A264="","",IFERROR(IF(VLOOKUP($A264,'Risk Register'!$B$2:$H$1000,4,FALSE())&gt;=4,"Yes",""),""))</f>
        <v/>
      </c>
      <c r="AE264" s="63" t="str">
        <f t="shared" si="15"/>
        <v/>
      </c>
      <c r="AF264" s="62"/>
      <c r="AG264" s="62"/>
      <c r="AH264" s="62"/>
      <c r="AI264" s="62"/>
      <c r="AJ264" s="62"/>
      <c r="AK264" s="62"/>
      <c r="AL264" s="62"/>
      <c r="AM264" s="62"/>
      <c r="AN264" s="62"/>
      <c r="AO264" s="62"/>
      <c r="AP264" s="62"/>
      <c r="AQ264" s="80"/>
    </row>
    <row r="265" spans="1:43" ht="15.75" customHeight="1" x14ac:dyDescent="0.2">
      <c r="A265" s="63" t="str">
        <f t="shared" si="12"/>
        <v/>
      </c>
      <c r="B265" s="62"/>
      <c r="C265" s="62"/>
      <c r="D265" s="62"/>
      <c r="E265" s="62"/>
      <c r="F265" s="62"/>
      <c r="G265" s="62"/>
      <c r="H265" s="62"/>
      <c r="I265" s="66"/>
      <c r="J265" s="66"/>
      <c r="K265" s="66"/>
      <c r="L265" s="66"/>
      <c r="M265" s="66"/>
      <c r="N265" s="64" t="str">
        <f>IF(OR($B265="", $I265="", $J265="", $K265="", $L265="", $M265=""),"",ROUND(($I265*Lists!$AN$2)+($J265*Lists!$AN$3)+($K265*Lists!$AN$4)+($L265*Lists!$AN$5)+($M265*Lists!$AN$6),2))</f>
        <v/>
      </c>
      <c r="O265" s="64" t="str">
        <f>IF($A265="","",IFERROR(VLOOKUP($A265,'Risk Register'!$B$2:$I$1000,8,FALSE()),""))</f>
        <v/>
      </c>
      <c r="P265" s="66"/>
      <c r="Q265" s="66"/>
      <c r="R265" s="66"/>
      <c r="S265" s="66"/>
      <c r="T265" s="64" t="str">
        <f>IF(OR($B265="", $P265="", $Q265="", $R265="", $S265=""),"",ROUND(($P265*Lists!$AN$7)+($Q265*Lists!$AN$8)+($R265*Lists!$AN$9)+($S265*Lists!$AN$10),2))</f>
        <v/>
      </c>
      <c r="U265" s="66"/>
      <c r="V265" s="66"/>
      <c r="W265" s="66"/>
      <c r="X265" s="66"/>
      <c r="Y265" s="66"/>
      <c r="Z265" s="64" t="str">
        <f>IF(OR($B265="", $U265="", $V265="", $W265="", $X265="", $Y265=""),"",ROUND(($U265*Lists!$AN$11)+($V265*Lists!$AN$12)+($W265*Lists!$AN$13)+($X265*Lists!$AN$14)+($Y265*Lists!$AN$15),2))</f>
        <v/>
      </c>
      <c r="AA265" s="64" t="str">
        <f>IF(OR($B265="", $N265="", $O265="", $T265="", $Z265=""),"",ROUND(($N265*Lists!$AN$16)-($O265*Lists!$AN$17)-($T265*Lists!$AN$18)+($Z265*Lists!$AN$19),2))</f>
        <v/>
      </c>
      <c r="AB265" s="63" t="str">
        <f t="shared" si="13"/>
        <v/>
      </c>
      <c r="AC265" s="63" t="str">
        <f t="shared" si="14"/>
        <v/>
      </c>
      <c r="AD265" s="63" t="str">
        <f>IF($A265="","",IFERROR(IF(VLOOKUP($A265,'Risk Register'!$B$2:$H$1000,4,FALSE())&gt;=4,"Yes",""),""))</f>
        <v/>
      </c>
      <c r="AE265" s="63" t="str">
        <f t="shared" si="15"/>
        <v/>
      </c>
      <c r="AF265" s="62"/>
      <c r="AG265" s="62"/>
      <c r="AH265" s="62"/>
      <c r="AI265" s="62"/>
      <c r="AJ265" s="62"/>
      <c r="AK265" s="62"/>
      <c r="AL265" s="62"/>
      <c r="AM265" s="62"/>
      <c r="AN265" s="62"/>
      <c r="AO265" s="62"/>
      <c r="AP265" s="62"/>
      <c r="AQ265" s="80"/>
    </row>
    <row r="266" spans="1:43" ht="15.75" customHeight="1" x14ac:dyDescent="0.2">
      <c r="A266" s="63" t="str">
        <f t="shared" si="12"/>
        <v/>
      </c>
      <c r="B266" s="62"/>
      <c r="C266" s="62"/>
      <c r="D266" s="62"/>
      <c r="E266" s="62"/>
      <c r="F266" s="62"/>
      <c r="G266" s="62"/>
      <c r="H266" s="62"/>
      <c r="I266" s="66"/>
      <c r="J266" s="66"/>
      <c r="K266" s="66"/>
      <c r="L266" s="66"/>
      <c r="M266" s="66"/>
      <c r="N266" s="64" t="str">
        <f>IF(OR($B266="", $I266="", $J266="", $K266="", $L266="", $M266=""),"",ROUND(($I266*Lists!$AN$2)+($J266*Lists!$AN$3)+($K266*Lists!$AN$4)+($L266*Lists!$AN$5)+($M266*Lists!$AN$6),2))</f>
        <v/>
      </c>
      <c r="O266" s="64" t="str">
        <f>IF($A266="","",IFERROR(VLOOKUP($A266,'Risk Register'!$B$2:$I$1000,8,FALSE()),""))</f>
        <v/>
      </c>
      <c r="P266" s="66"/>
      <c r="Q266" s="66"/>
      <c r="R266" s="66"/>
      <c r="S266" s="66"/>
      <c r="T266" s="64" t="str">
        <f>IF(OR($B266="", $P266="", $Q266="", $R266="", $S266=""),"",ROUND(($P266*Lists!$AN$7)+($Q266*Lists!$AN$8)+($R266*Lists!$AN$9)+($S266*Lists!$AN$10),2))</f>
        <v/>
      </c>
      <c r="U266" s="66"/>
      <c r="V266" s="66"/>
      <c r="W266" s="66"/>
      <c r="X266" s="66"/>
      <c r="Y266" s="66"/>
      <c r="Z266" s="64" t="str">
        <f>IF(OR($B266="", $U266="", $V266="", $W266="", $X266="", $Y266=""),"",ROUND(($U266*Lists!$AN$11)+($V266*Lists!$AN$12)+($W266*Lists!$AN$13)+($X266*Lists!$AN$14)+($Y266*Lists!$AN$15),2))</f>
        <v/>
      </c>
      <c r="AA266" s="64" t="str">
        <f>IF(OR($B266="", $N266="", $O266="", $T266="", $Z266=""),"",ROUND(($N266*Lists!$AN$16)-($O266*Lists!$AN$17)-($T266*Lists!$AN$18)+($Z266*Lists!$AN$19),2))</f>
        <v/>
      </c>
      <c r="AB266" s="63" t="str">
        <f t="shared" si="13"/>
        <v/>
      </c>
      <c r="AC266" s="63" t="str">
        <f t="shared" si="14"/>
        <v/>
      </c>
      <c r="AD266" s="63" t="str">
        <f>IF($A266="","",IFERROR(IF(VLOOKUP($A266,'Risk Register'!$B$2:$H$1000,4,FALSE())&gt;=4,"Yes",""),""))</f>
        <v/>
      </c>
      <c r="AE266" s="63" t="str">
        <f t="shared" si="15"/>
        <v/>
      </c>
      <c r="AF266" s="62"/>
      <c r="AG266" s="62"/>
      <c r="AH266" s="62"/>
      <c r="AI266" s="62"/>
      <c r="AJ266" s="62"/>
      <c r="AK266" s="62"/>
      <c r="AL266" s="62"/>
      <c r="AM266" s="62"/>
      <c r="AN266" s="62"/>
      <c r="AO266" s="62"/>
      <c r="AP266" s="62"/>
      <c r="AQ266" s="80"/>
    </row>
    <row r="267" spans="1:43" ht="15.75" customHeight="1" x14ac:dyDescent="0.2">
      <c r="A267" s="63" t="str">
        <f t="shared" si="12"/>
        <v/>
      </c>
      <c r="B267" s="62"/>
      <c r="C267" s="62"/>
      <c r="D267" s="62"/>
      <c r="E267" s="62"/>
      <c r="F267" s="62"/>
      <c r="G267" s="62"/>
      <c r="H267" s="62"/>
      <c r="I267" s="66"/>
      <c r="J267" s="66"/>
      <c r="K267" s="66"/>
      <c r="L267" s="66"/>
      <c r="M267" s="66"/>
      <c r="N267" s="64" t="str">
        <f>IF(OR($B267="", $I267="", $J267="", $K267="", $L267="", $M267=""),"",ROUND(($I267*Lists!$AN$2)+($J267*Lists!$AN$3)+($K267*Lists!$AN$4)+($L267*Lists!$AN$5)+($M267*Lists!$AN$6),2))</f>
        <v/>
      </c>
      <c r="O267" s="64" t="str">
        <f>IF($A267="","",IFERROR(VLOOKUP($A267,'Risk Register'!$B$2:$I$1000,8,FALSE()),""))</f>
        <v/>
      </c>
      <c r="P267" s="66"/>
      <c r="Q267" s="66"/>
      <c r="R267" s="66"/>
      <c r="S267" s="66"/>
      <c r="T267" s="64" t="str">
        <f>IF(OR($B267="", $P267="", $Q267="", $R267="", $S267=""),"",ROUND(($P267*Lists!$AN$7)+($Q267*Lists!$AN$8)+($R267*Lists!$AN$9)+($S267*Lists!$AN$10),2))</f>
        <v/>
      </c>
      <c r="U267" s="66"/>
      <c r="V267" s="66"/>
      <c r="W267" s="66"/>
      <c r="X267" s="66"/>
      <c r="Y267" s="66"/>
      <c r="Z267" s="64" t="str">
        <f>IF(OR($B267="", $U267="", $V267="", $W267="", $X267="", $Y267=""),"",ROUND(($U267*Lists!$AN$11)+($V267*Lists!$AN$12)+($W267*Lists!$AN$13)+($X267*Lists!$AN$14)+($Y267*Lists!$AN$15),2))</f>
        <v/>
      </c>
      <c r="AA267" s="64" t="str">
        <f>IF(OR($B267="", $N267="", $O267="", $T267="", $Z267=""),"",ROUND(($N267*Lists!$AN$16)-($O267*Lists!$AN$17)-($T267*Lists!$AN$18)+($Z267*Lists!$AN$19),2))</f>
        <v/>
      </c>
      <c r="AB267" s="63" t="str">
        <f t="shared" si="13"/>
        <v/>
      </c>
      <c r="AC267" s="63" t="str">
        <f t="shared" si="14"/>
        <v/>
      </c>
      <c r="AD267" s="63" t="str">
        <f>IF($A267="","",IFERROR(IF(VLOOKUP($A267,'Risk Register'!$B$2:$H$1000,4,FALSE())&gt;=4,"Yes",""),""))</f>
        <v/>
      </c>
      <c r="AE267" s="63" t="str">
        <f t="shared" si="15"/>
        <v/>
      </c>
      <c r="AF267" s="62"/>
      <c r="AG267" s="62"/>
      <c r="AH267" s="62"/>
      <c r="AI267" s="62"/>
      <c r="AJ267" s="62"/>
      <c r="AK267" s="62"/>
      <c r="AL267" s="62"/>
      <c r="AM267" s="62"/>
      <c r="AN267" s="62"/>
      <c r="AO267" s="62"/>
      <c r="AP267" s="62"/>
      <c r="AQ267" s="80"/>
    </row>
    <row r="268" spans="1:43" ht="15.75" customHeight="1" x14ac:dyDescent="0.2">
      <c r="A268" s="63" t="str">
        <f t="shared" si="12"/>
        <v/>
      </c>
      <c r="B268" s="62"/>
      <c r="C268" s="62"/>
      <c r="D268" s="62"/>
      <c r="E268" s="62"/>
      <c r="F268" s="62"/>
      <c r="G268" s="62"/>
      <c r="H268" s="62"/>
      <c r="I268" s="66"/>
      <c r="J268" s="66"/>
      <c r="K268" s="66"/>
      <c r="L268" s="66"/>
      <c r="M268" s="66"/>
      <c r="N268" s="64" t="str">
        <f>IF(OR($B268="", $I268="", $J268="", $K268="", $L268="", $M268=""),"",ROUND(($I268*Lists!$AN$2)+($J268*Lists!$AN$3)+($K268*Lists!$AN$4)+($L268*Lists!$AN$5)+($M268*Lists!$AN$6),2))</f>
        <v/>
      </c>
      <c r="O268" s="64" t="str">
        <f>IF($A268="","",IFERROR(VLOOKUP($A268,'Risk Register'!$B$2:$I$1000,8,FALSE()),""))</f>
        <v/>
      </c>
      <c r="P268" s="66"/>
      <c r="Q268" s="66"/>
      <c r="R268" s="66"/>
      <c r="S268" s="66"/>
      <c r="T268" s="64" t="str">
        <f>IF(OR($B268="", $P268="", $Q268="", $R268="", $S268=""),"",ROUND(($P268*Lists!$AN$7)+($Q268*Lists!$AN$8)+($R268*Lists!$AN$9)+($S268*Lists!$AN$10),2))</f>
        <v/>
      </c>
      <c r="U268" s="66"/>
      <c r="V268" s="66"/>
      <c r="W268" s="66"/>
      <c r="X268" s="66"/>
      <c r="Y268" s="66"/>
      <c r="Z268" s="64" t="str">
        <f>IF(OR($B268="", $U268="", $V268="", $W268="", $X268="", $Y268=""),"",ROUND(($U268*Lists!$AN$11)+($V268*Lists!$AN$12)+($W268*Lists!$AN$13)+($X268*Lists!$AN$14)+($Y268*Lists!$AN$15),2))</f>
        <v/>
      </c>
      <c r="AA268" s="64" t="str">
        <f>IF(OR($B268="", $N268="", $O268="", $T268="", $Z268=""),"",ROUND(($N268*Lists!$AN$16)-($O268*Lists!$AN$17)-($T268*Lists!$AN$18)+($Z268*Lists!$AN$19),2))</f>
        <v/>
      </c>
      <c r="AB268" s="63" t="str">
        <f t="shared" si="13"/>
        <v/>
      </c>
      <c r="AC268" s="63" t="str">
        <f t="shared" si="14"/>
        <v/>
      </c>
      <c r="AD268" s="63" t="str">
        <f>IF($A268="","",IFERROR(IF(VLOOKUP($A268,'Risk Register'!$B$2:$H$1000,4,FALSE())&gt;=4,"Yes",""),""))</f>
        <v/>
      </c>
      <c r="AE268" s="63" t="str">
        <f t="shared" si="15"/>
        <v/>
      </c>
      <c r="AF268" s="62"/>
      <c r="AG268" s="62"/>
      <c r="AH268" s="62"/>
      <c r="AI268" s="62"/>
      <c r="AJ268" s="62"/>
      <c r="AK268" s="62"/>
      <c r="AL268" s="62"/>
      <c r="AM268" s="62"/>
      <c r="AN268" s="62"/>
      <c r="AO268" s="62"/>
      <c r="AP268" s="62"/>
      <c r="AQ268" s="80"/>
    </row>
    <row r="269" spans="1:43" ht="15.75" customHeight="1" x14ac:dyDescent="0.2">
      <c r="A269" s="63" t="str">
        <f t="shared" si="12"/>
        <v/>
      </c>
      <c r="B269" s="62"/>
      <c r="C269" s="62"/>
      <c r="D269" s="62"/>
      <c r="E269" s="62"/>
      <c r="F269" s="62"/>
      <c r="G269" s="62"/>
      <c r="H269" s="62"/>
      <c r="I269" s="66"/>
      <c r="J269" s="66"/>
      <c r="K269" s="66"/>
      <c r="L269" s="66"/>
      <c r="M269" s="66"/>
      <c r="N269" s="64" t="str">
        <f>IF(OR($B269="", $I269="", $J269="", $K269="", $L269="", $M269=""),"",ROUND(($I269*Lists!$AN$2)+($J269*Lists!$AN$3)+($K269*Lists!$AN$4)+($L269*Lists!$AN$5)+($M269*Lists!$AN$6),2))</f>
        <v/>
      </c>
      <c r="O269" s="64" t="str">
        <f>IF($A269="","",IFERROR(VLOOKUP($A269,'Risk Register'!$B$2:$I$1000,8,FALSE()),""))</f>
        <v/>
      </c>
      <c r="P269" s="66"/>
      <c r="Q269" s="66"/>
      <c r="R269" s="66"/>
      <c r="S269" s="66"/>
      <c r="T269" s="64" t="str">
        <f>IF(OR($B269="", $P269="", $Q269="", $R269="", $S269=""),"",ROUND(($P269*Lists!$AN$7)+($Q269*Lists!$AN$8)+($R269*Lists!$AN$9)+($S269*Lists!$AN$10),2))</f>
        <v/>
      </c>
      <c r="U269" s="66"/>
      <c r="V269" s="66"/>
      <c r="W269" s="66"/>
      <c r="X269" s="66"/>
      <c r="Y269" s="66"/>
      <c r="Z269" s="64" t="str">
        <f>IF(OR($B269="", $U269="", $V269="", $W269="", $X269="", $Y269=""),"",ROUND(($U269*Lists!$AN$11)+($V269*Lists!$AN$12)+($W269*Lists!$AN$13)+($X269*Lists!$AN$14)+($Y269*Lists!$AN$15),2))</f>
        <v/>
      </c>
      <c r="AA269" s="64" t="str">
        <f>IF(OR($B269="", $N269="", $O269="", $T269="", $Z269=""),"",ROUND(($N269*Lists!$AN$16)-($O269*Lists!$AN$17)-($T269*Lists!$AN$18)+($Z269*Lists!$AN$19),2))</f>
        <v/>
      </c>
      <c r="AB269" s="63" t="str">
        <f t="shared" si="13"/>
        <v/>
      </c>
      <c r="AC269" s="63" t="str">
        <f t="shared" si="14"/>
        <v/>
      </c>
      <c r="AD269" s="63" t="str">
        <f>IF($A269="","",IFERROR(IF(VLOOKUP($A269,'Risk Register'!$B$2:$H$1000,4,FALSE())&gt;=4,"Yes",""),""))</f>
        <v/>
      </c>
      <c r="AE269" s="63" t="str">
        <f t="shared" si="15"/>
        <v/>
      </c>
      <c r="AF269" s="62"/>
      <c r="AG269" s="62"/>
      <c r="AH269" s="62"/>
      <c r="AI269" s="62"/>
      <c r="AJ269" s="62"/>
      <c r="AK269" s="62"/>
      <c r="AL269" s="62"/>
      <c r="AM269" s="62"/>
      <c r="AN269" s="62"/>
      <c r="AO269" s="62"/>
      <c r="AP269" s="62"/>
      <c r="AQ269" s="80"/>
    </row>
    <row r="270" spans="1:43" ht="15.75" customHeight="1" x14ac:dyDescent="0.2">
      <c r="A270" s="63" t="str">
        <f t="shared" si="12"/>
        <v/>
      </c>
      <c r="B270" s="62"/>
      <c r="C270" s="62"/>
      <c r="D270" s="62"/>
      <c r="E270" s="62"/>
      <c r="F270" s="62"/>
      <c r="G270" s="62"/>
      <c r="H270" s="62"/>
      <c r="I270" s="66"/>
      <c r="J270" s="66"/>
      <c r="K270" s="66"/>
      <c r="L270" s="66"/>
      <c r="M270" s="66"/>
      <c r="N270" s="64" t="str">
        <f>IF(OR($B270="", $I270="", $J270="", $K270="", $L270="", $M270=""),"",ROUND(($I270*Lists!$AN$2)+($J270*Lists!$AN$3)+($K270*Lists!$AN$4)+($L270*Lists!$AN$5)+($M270*Lists!$AN$6),2))</f>
        <v/>
      </c>
      <c r="O270" s="64" t="str">
        <f>IF($A270="","",IFERROR(VLOOKUP($A270,'Risk Register'!$B$2:$I$1000,8,FALSE()),""))</f>
        <v/>
      </c>
      <c r="P270" s="66"/>
      <c r="Q270" s="66"/>
      <c r="R270" s="66"/>
      <c r="S270" s="66"/>
      <c r="T270" s="64" t="str">
        <f>IF(OR($B270="", $P270="", $Q270="", $R270="", $S270=""),"",ROUND(($P270*Lists!$AN$7)+($Q270*Lists!$AN$8)+($R270*Lists!$AN$9)+($S270*Lists!$AN$10),2))</f>
        <v/>
      </c>
      <c r="U270" s="66"/>
      <c r="V270" s="66"/>
      <c r="W270" s="66"/>
      <c r="X270" s="66"/>
      <c r="Y270" s="66"/>
      <c r="Z270" s="64" t="str">
        <f>IF(OR($B270="", $U270="", $V270="", $W270="", $X270="", $Y270=""),"",ROUND(($U270*Lists!$AN$11)+($V270*Lists!$AN$12)+($W270*Lists!$AN$13)+($X270*Lists!$AN$14)+($Y270*Lists!$AN$15),2))</f>
        <v/>
      </c>
      <c r="AA270" s="64" t="str">
        <f>IF(OR($B270="", $N270="", $O270="", $T270="", $Z270=""),"",ROUND(($N270*Lists!$AN$16)-($O270*Lists!$AN$17)-($T270*Lists!$AN$18)+($Z270*Lists!$AN$19),2))</f>
        <v/>
      </c>
      <c r="AB270" s="63" t="str">
        <f t="shared" si="13"/>
        <v/>
      </c>
      <c r="AC270" s="63" t="str">
        <f t="shared" si="14"/>
        <v/>
      </c>
      <c r="AD270" s="63" t="str">
        <f>IF($A270="","",IFERROR(IF(VLOOKUP($A270,'Risk Register'!$B$2:$H$1000,4,FALSE())&gt;=4,"Yes",""),""))</f>
        <v/>
      </c>
      <c r="AE270" s="63" t="str">
        <f t="shared" si="15"/>
        <v/>
      </c>
      <c r="AF270" s="62"/>
      <c r="AG270" s="62"/>
      <c r="AH270" s="62"/>
      <c r="AI270" s="62"/>
      <c r="AJ270" s="62"/>
      <c r="AK270" s="62"/>
      <c r="AL270" s="62"/>
      <c r="AM270" s="62"/>
      <c r="AN270" s="62"/>
      <c r="AO270" s="62"/>
      <c r="AP270" s="62"/>
      <c r="AQ270" s="80"/>
    </row>
    <row r="271" spans="1:43" ht="15.75" customHeight="1" x14ac:dyDescent="0.2">
      <c r="A271" s="63" t="str">
        <f t="shared" si="12"/>
        <v/>
      </c>
      <c r="B271" s="62"/>
      <c r="C271" s="62"/>
      <c r="D271" s="62"/>
      <c r="E271" s="62"/>
      <c r="F271" s="62"/>
      <c r="G271" s="62"/>
      <c r="H271" s="62"/>
      <c r="I271" s="66"/>
      <c r="J271" s="66"/>
      <c r="K271" s="66"/>
      <c r="L271" s="66"/>
      <c r="M271" s="66"/>
      <c r="N271" s="64" t="str">
        <f>IF(OR($B271="", $I271="", $J271="", $K271="", $L271="", $M271=""),"",ROUND(($I271*Lists!$AN$2)+($J271*Lists!$AN$3)+($K271*Lists!$AN$4)+($L271*Lists!$AN$5)+($M271*Lists!$AN$6),2))</f>
        <v/>
      </c>
      <c r="O271" s="64" t="str">
        <f>IF($A271="","",IFERROR(VLOOKUP($A271,'Risk Register'!$B$2:$I$1000,8,FALSE()),""))</f>
        <v/>
      </c>
      <c r="P271" s="66"/>
      <c r="Q271" s="66"/>
      <c r="R271" s="66"/>
      <c r="S271" s="66"/>
      <c r="T271" s="64" t="str">
        <f>IF(OR($B271="", $P271="", $Q271="", $R271="", $S271=""),"",ROUND(($P271*Lists!$AN$7)+($Q271*Lists!$AN$8)+($R271*Lists!$AN$9)+($S271*Lists!$AN$10),2))</f>
        <v/>
      </c>
      <c r="U271" s="66"/>
      <c r="V271" s="66"/>
      <c r="W271" s="66"/>
      <c r="X271" s="66"/>
      <c r="Y271" s="66"/>
      <c r="Z271" s="64" t="str">
        <f>IF(OR($B271="", $U271="", $V271="", $W271="", $X271="", $Y271=""),"",ROUND(($U271*Lists!$AN$11)+($V271*Lists!$AN$12)+($W271*Lists!$AN$13)+($X271*Lists!$AN$14)+($Y271*Lists!$AN$15),2))</f>
        <v/>
      </c>
      <c r="AA271" s="64" t="str">
        <f>IF(OR($B271="", $N271="", $O271="", $T271="", $Z271=""),"",ROUND(($N271*Lists!$AN$16)-($O271*Lists!$AN$17)-($T271*Lists!$AN$18)+($Z271*Lists!$AN$19),2))</f>
        <v/>
      </c>
      <c r="AB271" s="63" t="str">
        <f t="shared" si="13"/>
        <v/>
      </c>
      <c r="AC271" s="63" t="str">
        <f t="shared" si="14"/>
        <v/>
      </c>
      <c r="AD271" s="63" t="str">
        <f>IF($A271="","",IFERROR(IF(VLOOKUP($A271,'Risk Register'!$B$2:$H$1000,4,FALSE())&gt;=4,"Yes",""),""))</f>
        <v/>
      </c>
      <c r="AE271" s="63" t="str">
        <f t="shared" si="15"/>
        <v/>
      </c>
      <c r="AF271" s="62"/>
      <c r="AG271" s="62"/>
      <c r="AH271" s="62"/>
      <c r="AI271" s="62"/>
      <c r="AJ271" s="62"/>
      <c r="AK271" s="62"/>
      <c r="AL271" s="62"/>
      <c r="AM271" s="62"/>
      <c r="AN271" s="62"/>
      <c r="AO271" s="62"/>
      <c r="AP271" s="62"/>
      <c r="AQ271" s="80"/>
    </row>
    <row r="272" spans="1:43" ht="15.75" customHeight="1" x14ac:dyDescent="0.2">
      <c r="A272" s="63" t="str">
        <f t="shared" si="12"/>
        <v/>
      </c>
      <c r="B272" s="62"/>
      <c r="C272" s="62"/>
      <c r="D272" s="62"/>
      <c r="E272" s="62"/>
      <c r="F272" s="62"/>
      <c r="G272" s="62"/>
      <c r="H272" s="62"/>
      <c r="I272" s="66"/>
      <c r="J272" s="66"/>
      <c r="K272" s="66"/>
      <c r="L272" s="66"/>
      <c r="M272" s="66"/>
      <c r="N272" s="64" t="str">
        <f>IF(OR($B272="", $I272="", $J272="", $K272="", $L272="", $M272=""),"",ROUND(($I272*Lists!$AN$2)+($J272*Lists!$AN$3)+($K272*Lists!$AN$4)+($L272*Lists!$AN$5)+($M272*Lists!$AN$6),2))</f>
        <v/>
      </c>
      <c r="O272" s="64" t="str">
        <f>IF($A272="","",IFERROR(VLOOKUP($A272,'Risk Register'!$B$2:$I$1000,8,FALSE()),""))</f>
        <v/>
      </c>
      <c r="P272" s="66"/>
      <c r="Q272" s="66"/>
      <c r="R272" s="66"/>
      <c r="S272" s="66"/>
      <c r="T272" s="64" t="str">
        <f>IF(OR($B272="", $P272="", $Q272="", $R272="", $S272=""),"",ROUND(($P272*Lists!$AN$7)+($Q272*Lists!$AN$8)+($R272*Lists!$AN$9)+($S272*Lists!$AN$10),2))</f>
        <v/>
      </c>
      <c r="U272" s="66"/>
      <c r="V272" s="66"/>
      <c r="W272" s="66"/>
      <c r="X272" s="66"/>
      <c r="Y272" s="66"/>
      <c r="Z272" s="64" t="str">
        <f>IF(OR($B272="", $U272="", $V272="", $W272="", $X272="", $Y272=""),"",ROUND(($U272*Lists!$AN$11)+($V272*Lists!$AN$12)+($W272*Lists!$AN$13)+($X272*Lists!$AN$14)+($Y272*Lists!$AN$15),2))</f>
        <v/>
      </c>
      <c r="AA272" s="64" t="str">
        <f>IF(OR($B272="", $N272="", $O272="", $T272="", $Z272=""),"",ROUND(($N272*Lists!$AN$16)-($O272*Lists!$AN$17)-($T272*Lists!$AN$18)+($Z272*Lists!$AN$19),2))</f>
        <v/>
      </c>
      <c r="AB272" s="63" t="str">
        <f t="shared" si="13"/>
        <v/>
      </c>
      <c r="AC272" s="63" t="str">
        <f t="shared" si="14"/>
        <v/>
      </c>
      <c r="AD272" s="63" t="str">
        <f>IF($A272="","",IFERROR(IF(VLOOKUP($A272,'Risk Register'!$B$2:$H$1000,4,FALSE())&gt;=4,"Yes",""),""))</f>
        <v/>
      </c>
      <c r="AE272" s="63" t="str">
        <f t="shared" si="15"/>
        <v/>
      </c>
      <c r="AF272" s="62"/>
      <c r="AG272" s="62"/>
      <c r="AH272" s="62"/>
      <c r="AI272" s="62"/>
      <c r="AJ272" s="62"/>
      <c r="AK272" s="62"/>
      <c r="AL272" s="62"/>
      <c r="AM272" s="62"/>
      <c r="AN272" s="62"/>
      <c r="AO272" s="62"/>
      <c r="AP272" s="62"/>
      <c r="AQ272" s="80"/>
    </row>
    <row r="273" spans="1:43" ht="15.75" customHeight="1" x14ac:dyDescent="0.2">
      <c r="A273" s="63" t="str">
        <f t="shared" si="12"/>
        <v/>
      </c>
      <c r="B273" s="62"/>
      <c r="C273" s="62"/>
      <c r="D273" s="62"/>
      <c r="E273" s="62"/>
      <c r="F273" s="62"/>
      <c r="G273" s="62"/>
      <c r="H273" s="62"/>
      <c r="I273" s="66"/>
      <c r="J273" s="66"/>
      <c r="K273" s="66"/>
      <c r="L273" s="66"/>
      <c r="M273" s="66"/>
      <c r="N273" s="64" t="str">
        <f>IF(OR($B273="", $I273="", $J273="", $K273="", $L273="", $M273=""),"",ROUND(($I273*Lists!$AN$2)+($J273*Lists!$AN$3)+($K273*Lists!$AN$4)+($L273*Lists!$AN$5)+($M273*Lists!$AN$6),2))</f>
        <v/>
      </c>
      <c r="O273" s="64" t="str">
        <f>IF($A273="","",IFERROR(VLOOKUP($A273,'Risk Register'!$B$2:$I$1000,8,FALSE()),""))</f>
        <v/>
      </c>
      <c r="P273" s="66"/>
      <c r="Q273" s="66"/>
      <c r="R273" s="66"/>
      <c r="S273" s="66"/>
      <c r="T273" s="64" t="str">
        <f>IF(OR($B273="", $P273="", $Q273="", $R273="", $S273=""),"",ROUND(($P273*Lists!$AN$7)+($Q273*Lists!$AN$8)+($R273*Lists!$AN$9)+($S273*Lists!$AN$10),2))</f>
        <v/>
      </c>
      <c r="U273" s="66"/>
      <c r="V273" s="66"/>
      <c r="W273" s="66"/>
      <c r="X273" s="66"/>
      <c r="Y273" s="66"/>
      <c r="Z273" s="64" t="str">
        <f>IF(OR($B273="", $U273="", $V273="", $W273="", $X273="", $Y273=""),"",ROUND(($U273*Lists!$AN$11)+($V273*Lists!$AN$12)+($W273*Lists!$AN$13)+($X273*Lists!$AN$14)+($Y273*Lists!$AN$15),2))</f>
        <v/>
      </c>
      <c r="AA273" s="64" t="str">
        <f>IF(OR($B273="", $N273="", $O273="", $T273="", $Z273=""),"",ROUND(($N273*Lists!$AN$16)-($O273*Lists!$AN$17)-($T273*Lists!$AN$18)+($Z273*Lists!$AN$19),2))</f>
        <v/>
      </c>
      <c r="AB273" s="63" t="str">
        <f t="shared" si="13"/>
        <v/>
      </c>
      <c r="AC273" s="63" t="str">
        <f t="shared" si="14"/>
        <v/>
      </c>
      <c r="AD273" s="63" t="str">
        <f>IF($A273="","",IFERROR(IF(VLOOKUP($A273,'Risk Register'!$B$2:$H$1000,4,FALSE())&gt;=4,"Yes",""),""))</f>
        <v/>
      </c>
      <c r="AE273" s="63" t="str">
        <f t="shared" si="15"/>
        <v/>
      </c>
      <c r="AF273" s="62"/>
      <c r="AG273" s="62"/>
      <c r="AH273" s="62"/>
      <c r="AI273" s="62"/>
      <c r="AJ273" s="62"/>
      <c r="AK273" s="62"/>
      <c r="AL273" s="62"/>
      <c r="AM273" s="62"/>
      <c r="AN273" s="62"/>
      <c r="AO273" s="62"/>
      <c r="AP273" s="62"/>
      <c r="AQ273" s="80"/>
    </row>
    <row r="274" spans="1:43" ht="15.75" customHeight="1" x14ac:dyDescent="0.2">
      <c r="A274" s="63" t="str">
        <f t="shared" si="12"/>
        <v/>
      </c>
      <c r="B274" s="62"/>
      <c r="C274" s="62"/>
      <c r="D274" s="62"/>
      <c r="E274" s="62"/>
      <c r="F274" s="62"/>
      <c r="G274" s="62"/>
      <c r="H274" s="62"/>
      <c r="I274" s="66"/>
      <c r="J274" s="66"/>
      <c r="K274" s="66"/>
      <c r="L274" s="66"/>
      <c r="M274" s="66"/>
      <c r="N274" s="64" t="str">
        <f>IF(OR($B274="", $I274="", $J274="", $K274="", $L274="", $M274=""),"",ROUND(($I274*Lists!$AN$2)+($J274*Lists!$AN$3)+($K274*Lists!$AN$4)+($L274*Lists!$AN$5)+($M274*Lists!$AN$6),2))</f>
        <v/>
      </c>
      <c r="O274" s="64" t="str">
        <f>IF($A274="","",IFERROR(VLOOKUP($A274,'Risk Register'!$B$2:$I$1000,8,FALSE()),""))</f>
        <v/>
      </c>
      <c r="P274" s="66"/>
      <c r="Q274" s="66"/>
      <c r="R274" s="66"/>
      <c r="S274" s="66"/>
      <c r="T274" s="64" t="str">
        <f>IF(OR($B274="", $P274="", $Q274="", $R274="", $S274=""),"",ROUND(($P274*Lists!$AN$7)+($Q274*Lists!$AN$8)+($R274*Lists!$AN$9)+($S274*Lists!$AN$10),2))</f>
        <v/>
      </c>
      <c r="U274" s="66"/>
      <c r="V274" s="66"/>
      <c r="W274" s="66"/>
      <c r="X274" s="66"/>
      <c r="Y274" s="66"/>
      <c r="Z274" s="64" t="str">
        <f>IF(OR($B274="", $U274="", $V274="", $W274="", $X274="", $Y274=""),"",ROUND(($U274*Lists!$AN$11)+($V274*Lists!$AN$12)+($W274*Lists!$AN$13)+($X274*Lists!$AN$14)+($Y274*Lists!$AN$15),2))</f>
        <v/>
      </c>
      <c r="AA274" s="64" t="str">
        <f>IF(OR($B274="", $N274="", $O274="", $T274="", $Z274=""),"",ROUND(($N274*Lists!$AN$16)-($O274*Lists!$AN$17)-($T274*Lists!$AN$18)+($Z274*Lists!$AN$19),2))</f>
        <v/>
      </c>
      <c r="AB274" s="63" t="str">
        <f t="shared" si="13"/>
        <v/>
      </c>
      <c r="AC274" s="63" t="str">
        <f t="shared" si="14"/>
        <v/>
      </c>
      <c r="AD274" s="63" t="str">
        <f>IF($A274="","",IFERROR(IF(VLOOKUP($A274,'Risk Register'!$B$2:$H$1000,4,FALSE())&gt;=4,"Yes",""),""))</f>
        <v/>
      </c>
      <c r="AE274" s="63" t="str">
        <f t="shared" si="15"/>
        <v/>
      </c>
      <c r="AF274" s="62"/>
      <c r="AG274" s="62"/>
      <c r="AH274" s="62"/>
      <c r="AI274" s="62"/>
      <c r="AJ274" s="62"/>
      <c r="AK274" s="62"/>
      <c r="AL274" s="62"/>
      <c r="AM274" s="62"/>
      <c r="AN274" s="62"/>
      <c r="AO274" s="62"/>
      <c r="AP274" s="62"/>
      <c r="AQ274" s="80"/>
    </row>
    <row r="275" spans="1:43" ht="15.75" customHeight="1" x14ac:dyDescent="0.2">
      <c r="A275" s="63" t="str">
        <f t="shared" si="12"/>
        <v/>
      </c>
      <c r="B275" s="62"/>
      <c r="C275" s="62"/>
      <c r="D275" s="62"/>
      <c r="E275" s="62"/>
      <c r="F275" s="62"/>
      <c r="G275" s="62"/>
      <c r="H275" s="62"/>
      <c r="I275" s="66"/>
      <c r="J275" s="66"/>
      <c r="K275" s="66"/>
      <c r="L275" s="66"/>
      <c r="M275" s="66"/>
      <c r="N275" s="64" t="str">
        <f>IF(OR($B275="", $I275="", $J275="", $K275="", $L275="", $M275=""),"",ROUND(($I275*Lists!$AN$2)+($J275*Lists!$AN$3)+($K275*Lists!$AN$4)+($L275*Lists!$AN$5)+($M275*Lists!$AN$6),2))</f>
        <v/>
      </c>
      <c r="O275" s="64" t="str">
        <f>IF($A275="","",IFERROR(VLOOKUP($A275,'Risk Register'!$B$2:$I$1000,8,FALSE()),""))</f>
        <v/>
      </c>
      <c r="P275" s="66"/>
      <c r="Q275" s="66"/>
      <c r="R275" s="66"/>
      <c r="S275" s="66"/>
      <c r="T275" s="64" t="str">
        <f>IF(OR($B275="", $P275="", $Q275="", $R275="", $S275=""),"",ROUND(($P275*Lists!$AN$7)+($Q275*Lists!$AN$8)+($R275*Lists!$AN$9)+($S275*Lists!$AN$10),2))</f>
        <v/>
      </c>
      <c r="U275" s="66"/>
      <c r="V275" s="66"/>
      <c r="W275" s="66"/>
      <c r="X275" s="66"/>
      <c r="Y275" s="66"/>
      <c r="Z275" s="64" t="str">
        <f>IF(OR($B275="", $U275="", $V275="", $W275="", $X275="", $Y275=""),"",ROUND(($U275*Lists!$AN$11)+($V275*Lists!$AN$12)+($W275*Lists!$AN$13)+($X275*Lists!$AN$14)+($Y275*Lists!$AN$15),2))</f>
        <v/>
      </c>
      <c r="AA275" s="64" t="str">
        <f>IF(OR($B275="", $N275="", $O275="", $T275="", $Z275=""),"",ROUND(($N275*Lists!$AN$16)-($O275*Lists!$AN$17)-($T275*Lists!$AN$18)+($Z275*Lists!$AN$19),2))</f>
        <v/>
      </c>
      <c r="AB275" s="63" t="str">
        <f t="shared" si="13"/>
        <v/>
      </c>
      <c r="AC275" s="63" t="str">
        <f t="shared" si="14"/>
        <v/>
      </c>
      <c r="AD275" s="63" t="str">
        <f>IF($A275="","",IFERROR(IF(VLOOKUP($A275,'Risk Register'!$B$2:$H$1000,4,FALSE())&gt;=4,"Yes",""),""))</f>
        <v/>
      </c>
      <c r="AE275" s="63" t="str">
        <f t="shared" si="15"/>
        <v/>
      </c>
      <c r="AF275" s="62"/>
      <c r="AG275" s="62"/>
      <c r="AH275" s="62"/>
      <c r="AI275" s="62"/>
      <c r="AJ275" s="62"/>
      <c r="AK275" s="62"/>
      <c r="AL275" s="62"/>
      <c r="AM275" s="62"/>
      <c r="AN275" s="62"/>
      <c r="AO275" s="62"/>
      <c r="AP275" s="62"/>
      <c r="AQ275" s="80"/>
    </row>
    <row r="276" spans="1:43" ht="15.75" customHeight="1" x14ac:dyDescent="0.2">
      <c r="A276" s="63" t="str">
        <f t="shared" si="12"/>
        <v/>
      </c>
      <c r="B276" s="62"/>
      <c r="C276" s="62"/>
      <c r="D276" s="62"/>
      <c r="E276" s="62"/>
      <c r="F276" s="62"/>
      <c r="G276" s="62"/>
      <c r="H276" s="62"/>
      <c r="I276" s="66"/>
      <c r="J276" s="66"/>
      <c r="K276" s="66"/>
      <c r="L276" s="66"/>
      <c r="M276" s="66"/>
      <c r="N276" s="64" t="str">
        <f>IF(OR($B276="", $I276="", $J276="", $K276="", $L276="", $M276=""),"",ROUND(($I276*Lists!$AN$2)+($J276*Lists!$AN$3)+($K276*Lists!$AN$4)+($L276*Lists!$AN$5)+($M276*Lists!$AN$6),2))</f>
        <v/>
      </c>
      <c r="O276" s="64" t="str">
        <f>IF($A276="","",IFERROR(VLOOKUP($A276,'Risk Register'!$B$2:$I$1000,8,FALSE()),""))</f>
        <v/>
      </c>
      <c r="P276" s="66"/>
      <c r="Q276" s="66"/>
      <c r="R276" s="66"/>
      <c r="S276" s="66"/>
      <c r="T276" s="64" t="str">
        <f>IF(OR($B276="", $P276="", $Q276="", $R276="", $S276=""),"",ROUND(($P276*Lists!$AN$7)+($Q276*Lists!$AN$8)+($R276*Lists!$AN$9)+($S276*Lists!$AN$10),2))</f>
        <v/>
      </c>
      <c r="U276" s="66"/>
      <c r="V276" s="66"/>
      <c r="W276" s="66"/>
      <c r="X276" s="66"/>
      <c r="Y276" s="66"/>
      <c r="Z276" s="64" t="str">
        <f>IF(OR($B276="", $U276="", $V276="", $W276="", $X276="", $Y276=""),"",ROUND(($U276*Lists!$AN$11)+($V276*Lists!$AN$12)+($W276*Lists!$AN$13)+($X276*Lists!$AN$14)+($Y276*Lists!$AN$15),2))</f>
        <v/>
      </c>
      <c r="AA276" s="64" t="str">
        <f>IF(OR($B276="", $N276="", $O276="", $T276="", $Z276=""),"",ROUND(($N276*Lists!$AN$16)-($O276*Lists!$AN$17)-($T276*Lists!$AN$18)+($Z276*Lists!$AN$19),2))</f>
        <v/>
      </c>
      <c r="AB276" s="63" t="str">
        <f t="shared" si="13"/>
        <v/>
      </c>
      <c r="AC276" s="63" t="str">
        <f t="shared" si="14"/>
        <v/>
      </c>
      <c r="AD276" s="63" t="str">
        <f>IF($A276="","",IFERROR(IF(VLOOKUP($A276,'Risk Register'!$B$2:$H$1000,4,FALSE())&gt;=4,"Yes",""),""))</f>
        <v/>
      </c>
      <c r="AE276" s="63" t="str">
        <f t="shared" si="15"/>
        <v/>
      </c>
      <c r="AF276" s="62"/>
      <c r="AG276" s="62"/>
      <c r="AH276" s="62"/>
      <c r="AI276" s="62"/>
      <c r="AJ276" s="62"/>
      <c r="AK276" s="62"/>
      <c r="AL276" s="62"/>
      <c r="AM276" s="62"/>
      <c r="AN276" s="62"/>
      <c r="AO276" s="62"/>
      <c r="AP276" s="62"/>
      <c r="AQ276" s="80"/>
    </row>
    <row r="277" spans="1:43" ht="15.75" customHeight="1" x14ac:dyDescent="0.2">
      <c r="A277" s="63" t="str">
        <f t="shared" si="12"/>
        <v/>
      </c>
      <c r="B277" s="62"/>
      <c r="C277" s="62"/>
      <c r="D277" s="62"/>
      <c r="E277" s="62"/>
      <c r="F277" s="62"/>
      <c r="G277" s="62"/>
      <c r="H277" s="62"/>
      <c r="I277" s="66"/>
      <c r="J277" s="66"/>
      <c r="K277" s="66"/>
      <c r="L277" s="66"/>
      <c r="M277" s="66"/>
      <c r="N277" s="64" t="str">
        <f>IF(OR($B277="", $I277="", $J277="", $K277="", $L277="", $M277=""),"",ROUND(($I277*Lists!$AN$2)+($J277*Lists!$AN$3)+($K277*Lists!$AN$4)+($L277*Lists!$AN$5)+($M277*Lists!$AN$6),2))</f>
        <v/>
      </c>
      <c r="O277" s="64" t="str">
        <f>IF($A277="","",IFERROR(VLOOKUP($A277,'Risk Register'!$B$2:$I$1000,8,FALSE()),""))</f>
        <v/>
      </c>
      <c r="P277" s="66"/>
      <c r="Q277" s="66"/>
      <c r="R277" s="66"/>
      <c r="S277" s="66"/>
      <c r="T277" s="64" t="str">
        <f>IF(OR($B277="", $P277="", $Q277="", $R277="", $S277=""),"",ROUND(($P277*Lists!$AN$7)+($Q277*Lists!$AN$8)+($R277*Lists!$AN$9)+($S277*Lists!$AN$10),2))</f>
        <v/>
      </c>
      <c r="U277" s="66"/>
      <c r="V277" s="66"/>
      <c r="W277" s="66"/>
      <c r="X277" s="66"/>
      <c r="Y277" s="66"/>
      <c r="Z277" s="64" t="str">
        <f>IF(OR($B277="", $U277="", $V277="", $W277="", $X277="", $Y277=""),"",ROUND(($U277*Lists!$AN$11)+($V277*Lists!$AN$12)+($W277*Lists!$AN$13)+($X277*Lists!$AN$14)+($Y277*Lists!$AN$15),2))</f>
        <v/>
      </c>
      <c r="AA277" s="64" t="str">
        <f>IF(OR($B277="", $N277="", $O277="", $T277="", $Z277=""),"",ROUND(($N277*Lists!$AN$16)-($O277*Lists!$AN$17)-($T277*Lists!$AN$18)+($Z277*Lists!$AN$19),2))</f>
        <v/>
      </c>
      <c r="AB277" s="63" t="str">
        <f t="shared" si="13"/>
        <v/>
      </c>
      <c r="AC277" s="63" t="str">
        <f t="shared" si="14"/>
        <v/>
      </c>
      <c r="AD277" s="63" t="str">
        <f>IF($A277="","",IFERROR(IF(VLOOKUP($A277,'Risk Register'!$B$2:$H$1000,4,FALSE())&gt;=4,"Yes",""),""))</f>
        <v/>
      </c>
      <c r="AE277" s="63" t="str">
        <f t="shared" si="15"/>
        <v/>
      </c>
      <c r="AF277" s="62"/>
      <c r="AG277" s="62"/>
      <c r="AH277" s="62"/>
      <c r="AI277" s="62"/>
      <c r="AJ277" s="62"/>
      <c r="AK277" s="62"/>
      <c r="AL277" s="62"/>
      <c r="AM277" s="62"/>
      <c r="AN277" s="62"/>
      <c r="AO277" s="62"/>
      <c r="AP277" s="62"/>
      <c r="AQ277" s="80"/>
    </row>
    <row r="278" spans="1:43" ht="15.75" customHeight="1" x14ac:dyDescent="0.2">
      <c r="A278" s="63" t="str">
        <f t="shared" si="12"/>
        <v/>
      </c>
      <c r="B278" s="62"/>
      <c r="C278" s="62"/>
      <c r="D278" s="62"/>
      <c r="E278" s="62"/>
      <c r="F278" s="62"/>
      <c r="G278" s="62"/>
      <c r="H278" s="62"/>
      <c r="I278" s="66"/>
      <c r="J278" s="66"/>
      <c r="K278" s="66"/>
      <c r="L278" s="66"/>
      <c r="M278" s="66"/>
      <c r="N278" s="64" t="str">
        <f>IF(OR($B278="", $I278="", $J278="", $K278="", $L278="", $M278=""),"",ROUND(($I278*Lists!$AN$2)+($J278*Lists!$AN$3)+($K278*Lists!$AN$4)+($L278*Lists!$AN$5)+($M278*Lists!$AN$6),2))</f>
        <v/>
      </c>
      <c r="O278" s="64" t="str">
        <f>IF($A278="","",IFERROR(VLOOKUP($A278,'Risk Register'!$B$2:$I$1000,8,FALSE()),""))</f>
        <v/>
      </c>
      <c r="P278" s="66"/>
      <c r="Q278" s="66"/>
      <c r="R278" s="66"/>
      <c r="S278" s="66"/>
      <c r="T278" s="64" t="str">
        <f>IF(OR($B278="", $P278="", $Q278="", $R278="", $S278=""),"",ROUND(($P278*Lists!$AN$7)+($Q278*Lists!$AN$8)+($R278*Lists!$AN$9)+($S278*Lists!$AN$10),2))</f>
        <v/>
      </c>
      <c r="U278" s="66"/>
      <c r="V278" s="66"/>
      <c r="W278" s="66"/>
      <c r="X278" s="66"/>
      <c r="Y278" s="66"/>
      <c r="Z278" s="64" t="str">
        <f>IF(OR($B278="", $U278="", $V278="", $W278="", $X278="", $Y278=""),"",ROUND(($U278*Lists!$AN$11)+($V278*Lists!$AN$12)+($W278*Lists!$AN$13)+($X278*Lists!$AN$14)+($Y278*Lists!$AN$15),2))</f>
        <v/>
      </c>
      <c r="AA278" s="64" t="str">
        <f>IF(OR($B278="", $N278="", $O278="", $T278="", $Z278=""),"",ROUND(($N278*Lists!$AN$16)-($O278*Lists!$AN$17)-($T278*Lists!$AN$18)+($Z278*Lists!$AN$19),2))</f>
        <v/>
      </c>
      <c r="AB278" s="63" t="str">
        <f t="shared" si="13"/>
        <v/>
      </c>
      <c r="AC278" s="63" t="str">
        <f t="shared" si="14"/>
        <v/>
      </c>
      <c r="AD278" s="63" t="str">
        <f>IF($A278="","",IFERROR(IF(VLOOKUP($A278,'Risk Register'!$B$2:$H$1000,4,FALSE())&gt;=4,"Yes",""),""))</f>
        <v/>
      </c>
      <c r="AE278" s="63" t="str">
        <f t="shared" si="15"/>
        <v/>
      </c>
      <c r="AF278" s="62"/>
      <c r="AG278" s="62"/>
      <c r="AH278" s="62"/>
      <c r="AI278" s="62"/>
      <c r="AJ278" s="62"/>
      <c r="AK278" s="62"/>
      <c r="AL278" s="62"/>
      <c r="AM278" s="62"/>
      <c r="AN278" s="62"/>
      <c r="AO278" s="62"/>
      <c r="AP278" s="62"/>
      <c r="AQ278" s="80"/>
    </row>
    <row r="279" spans="1:43" ht="15.75" customHeight="1" x14ac:dyDescent="0.2">
      <c r="A279" s="63" t="str">
        <f t="shared" ref="A279:A342" si="16">IF($B279="","", "APM-" &amp; RIGHT("0000"&amp;ROW()-1,4))</f>
        <v/>
      </c>
      <c r="B279" s="62"/>
      <c r="C279" s="62"/>
      <c r="D279" s="62"/>
      <c r="E279" s="62"/>
      <c r="F279" s="62"/>
      <c r="G279" s="62"/>
      <c r="H279" s="62"/>
      <c r="I279" s="66"/>
      <c r="J279" s="66"/>
      <c r="K279" s="66"/>
      <c r="L279" s="66"/>
      <c r="M279" s="66"/>
      <c r="N279" s="64" t="str">
        <f>IF(OR($B279="", $I279="", $J279="", $K279="", $L279="", $M279=""),"",ROUND(($I279*Lists!$AN$2)+($J279*Lists!$AN$3)+($K279*Lists!$AN$4)+($L279*Lists!$AN$5)+($M279*Lists!$AN$6),2))</f>
        <v/>
      </c>
      <c r="O279" s="64" t="str">
        <f>IF($A279="","",IFERROR(VLOOKUP($A279,'Risk Register'!$B$2:$I$1000,8,FALSE()),""))</f>
        <v/>
      </c>
      <c r="P279" s="66"/>
      <c r="Q279" s="66"/>
      <c r="R279" s="66"/>
      <c r="S279" s="66"/>
      <c r="T279" s="64" t="str">
        <f>IF(OR($B279="", $P279="", $Q279="", $R279="", $S279=""),"",ROUND(($P279*Lists!$AN$7)+($Q279*Lists!$AN$8)+($R279*Lists!$AN$9)+($S279*Lists!$AN$10),2))</f>
        <v/>
      </c>
      <c r="U279" s="66"/>
      <c r="V279" s="66"/>
      <c r="W279" s="66"/>
      <c r="X279" s="66"/>
      <c r="Y279" s="66"/>
      <c r="Z279" s="64" t="str">
        <f>IF(OR($B279="", $U279="", $V279="", $W279="", $X279="", $Y279=""),"",ROUND(($U279*Lists!$AN$11)+($V279*Lists!$AN$12)+($W279*Lists!$AN$13)+($X279*Lists!$AN$14)+($Y279*Lists!$AN$15),2))</f>
        <v/>
      </c>
      <c r="AA279" s="64" t="str">
        <f>IF(OR($B279="", $N279="", $O279="", $T279="", $Z279=""),"",ROUND(($N279*Lists!$AN$16)-($O279*Lists!$AN$17)-($T279*Lists!$AN$18)+($Z279*Lists!$AN$19),2))</f>
        <v/>
      </c>
      <c r="AB279" s="63" t="str">
        <f t="shared" ref="AB279:AB342" si="17">IF($AA279="","",IF($AA279&gt;=3.5,"INVEST",IF($AA279&gt;=2.5,"TOLERATE",IF($AA279&gt;=1.5,"MIGRATE / MODERNIZE","RETIRE"))))</f>
        <v/>
      </c>
      <c r="AC279" s="63" t="str">
        <f t="shared" ref="AC279:AC342" si="18">IF($B279="","",IF($J279&gt;=4,"Yes",""))</f>
        <v/>
      </c>
      <c r="AD279" s="63" t="str">
        <f>IF($A279="","",IFERROR(IF(VLOOKUP($A279,'Risk Register'!$B$2:$H$1000,4,FALSE())&gt;=4,"Yes",""),""))</f>
        <v/>
      </c>
      <c r="AE279" s="63" t="str">
        <f t="shared" ref="AE279:AE342" si="19">IF(OR($N279="", $O279=""),"",IF($N279&gt;=3.5,IF($O279&gt;=3.5,"High Value / High Risk","High Value / Low Risk"),IF($O279&gt;=3.5,"Low Value / High Risk","Low Value / Low Risk")))</f>
        <v/>
      </c>
      <c r="AF279" s="62"/>
      <c r="AG279" s="62"/>
      <c r="AH279" s="62"/>
      <c r="AI279" s="62"/>
      <c r="AJ279" s="62"/>
      <c r="AK279" s="62"/>
      <c r="AL279" s="62"/>
      <c r="AM279" s="62"/>
      <c r="AN279" s="62"/>
      <c r="AO279" s="62"/>
      <c r="AP279" s="62"/>
      <c r="AQ279" s="80"/>
    </row>
    <row r="280" spans="1:43" ht="15.75" customHeight="1" x14ac:dyDescent="0.2">
      <c r="A280" s="63" t="str">
        <f t="shared" si="16"/>
        <v/>
      </c>
      <c r="B280" s="62"/>
      <c r="C280" s="62"/>
      <c r="D280" s="62"/>
      <c r="E280" s="62"/>
      <c r="F280" s="62"/>
      <c r="G280" s="62"/>
      <c r="H280" s="62"/>
      <c r="I280" s="66"/>
      <c r="J280" s="66"/>
      <c r="K280" s="66"/>
      <c r="L280" s="66"/>
      <c r="M280" s="66"/>
      <c r="N280" s="64" t="str">
        <f>IF(OR($B280="", $I280="", $J280="", $K280="", $L280="", $M280=""),"",ROUND(($I280*Lists!$AN$2)+($J280*Lists!$AN$3)+($K280*Lists!$AN$4)+($L280*Lists!$AN$5)+($M280*Lists!$AN$6),2))</f>
        <v/>
      </c>
      <c r="O280" s="64" t="str">
        <f>IF($A280="","",IFERROR(VLOOKUP($A280,'Risk Register'!$B$2:$I$1000,8,FALSE()),""))</f>
        <v/>
      </c>
      <c r="P280" s="66"/>
      <c r="Q280" s="66"/>
      <c r="R280" s="66"/>
      <c r="S280" s="66"/>
      <c r="T280" s="64" t="str">
        <f>IF(OR($B280="", $P280="", $Q280="", $R280="", $S280=""),"",ROUND(($P280*Lists!$AN$7)+($Q280*Lists!$AN$8)+($R280*Lists!$AN$9)+($S280*Lists!$AN$10),2))</f>
        <v/>
      </c>
      <c r="U280" s="66"/>
      <c r="V280" s="66"/>
      <c r="W280" s="66"/>
      <c r="X280" s="66"/>
      <c r="Y280" s="66"/>
      <c r="Z280" s="64" t="str">
        <f>IF(OR($B280="", $U280="", $V280="", $W280="", $X280="", $Y280=""),"",ROUND(($U280*Lists!$AN$11)+($V280*Lists!$AN$12)+($W280*Lists!$AN$13)+($X280*Lists!$AN$14)+($Y280*Lists!$AN$15),2))</f>
        <v/>
      </c>
      <c r="AA280" s="64" t="str">
        <f>IF(OR($B280="", $N280="", $O280="", $T280="", $Z280=""),"",ROUND(($N280*Lists!$AN$16)-($O280*Lists!$AN$17)-($T280*Lists!$AN$18)+($Z280*Lists!$AN$19),2))</f>
        <v/>
      </c>
      <c r="AB280" s="63" t="str">
        <f t="shared" si="17"/>
        <v/>
      </c>
      <c r="AC280" s="63" t="str">
        <f t="shared" si="18"/>
        <v/>
      </c>
      <c r="AD280" s="63" t="str">
        <f>IF($A280="","",IFERROR(IF(VLOOKUP($A280,'Risk Register'!$B$2:$H$1000,4,FALSE())&gt;=4,"Yes",""),""))</f>
        <v/>
      </c>
      <c r="AE280" s="63" t="str">
        <f t="shared" si="19"/>
        <v/>
      </c>
      <c r="AF280" s="62"/>
      <c r="AG280" s="62"/>
      <c r="AH280" s="62"/>
      <c r="AI280" s="62"/>
      <c r="AJ280" s="62"/>
      <c r="AK280" s="62"/>
      <c r="AL280" s="62"/>
      <c r="AM280" s="62"/>
      <c r="AN280" s="62"/>
      <c r="AO280" s="62"/>
      <c r="AP280" s="62"/>
      <c r="AQ280" s="80"/>
    </row>
    <row r="281" spans="1:43" ht="15.75" customHeight="1" x14ac:dyDescent="0.2">
      <c r="A281" s="63" t="str">
        <f t="shared" si="16"/>
        <v/>
      </c>
      <c r="B281" s="62"/>
      <c r="C281" s="62"/>
      <c r="D281" s="62"/>
      <c r="E281" s="62"/>
      <c r="F281" s="62"/>
      <c r="G281" s="62"/>
      <c r="H281" s="62"/>
      <c r="I281" s="66"/>
      <c r="J281" s="66"/>
      <c r="K281" s="66"/>
      <c r="L281" s="66"/>
      <c r="M281" s="66"/>
      <c r="N281" s="64" t="str">
        <f>IF(OR($B281="", $I281="", $J281="", $K281="", $L281="", $M281=""),"",ROUND(($I281*Lists!$AN$2)+($J281*Lists!$AN$3)+($K281*Lists!$AN$4)+($L281*Lists!$AN$5)+($M281*Lists!$AN$6),2))</f>
        <v/>
      </c>
      <c r="O281" s="64" t="str">
        <f>IF($A281="","",IFERROR(VLOOKUP($A281,'Risk Register'!$B$2:$I$1000,8,FALSE()),""))</f>
        <v/>
      </c>
      <c r="P281" s="66"/>
      <c r="Q281" s="66"/>
      <c r="R281" s="66"/>
      <c r="S281" s="66"/>
      <c r="T281" s="64" t="str">
        <f>IF(OR($B281="", $P281="", $Q281="", $R281="", $S281=""),"",ROUND(($P281*Lists!$AN$7)+($Q281*Lists!$AN$8)+($R281*Lists!$AN$9)+($S281*Lists!$AN$10),2))</f>
        <v/>
      </c>
      <c r="U281" s="66"/>
      <c r="V281" s="66"/>
      <c r="W281" s="66"/>
      <c r="X281" s="66"/>
      <c r="Y281" s="66"/>
      <c r="Z281" s="64" t="str">
        <f>IF(OR($B281="", $U281="", $V281="", $W281="", $X281="", $Y281=""),"",ROUND(($U281*Lists!$AN$11)+($V281*Lists!$AN$12)+($W281*Lists!$AN$13)+($X281*Lists!$AN$14)+($Y281*Lists!$AN$15),2))</f>
        <v/>
      </c>
      <c r="AA281" s="64" t="str">
        <f>IF(OR($B281="", $N281="", $O281="", $T281="", $Z281=""),"",ROUND(($N281*Lists!$AN$16)-($O281*Lists!$AN$17)-($T281*Lists!$AN$18)+($Z281*Lists!$AN$19),2))</f>
        <v/>
      </c>
      <c r="AB281" s="63" t="str">
        <f t="shared" si="17"/>
        <v/>
      </c>
      <c r="AC281" s="63" t="str">
        <f t="shared" si="18"/>
        <v/>
      </c>
      <c r="AD281" s="63" t="str">
        <f>IF($A281="","",IFERROR(IF(VLOOKUP($A281,'Risk Register'!$B$2:$H$1000,4,FALSE())&gt;=4,"Yes",""),""))</f>
        <v/>
      </c>
      <c r="AE281" s="63" t="str">
        <f t="shared" si="19"/>
        <v/>
      </c>
      <c r="AF281" s="62"/>
      <c r="AG281" s="62"/>
      <c r="AH281" s="62"/>
      <c r="AI281" s="62"/>
      <c r="AJ281" s="62"/>
      <c r="AK281" s="62"/>
      <c r="AL281" s="62"/>
      <c r="AM281" s="62"/>
      <c r="AN281" s="62"/>
      <c r="AO281" s="62"/>
      <c r="AP281" s="62"/>
      <c r="AQ281" s="80"/>
    </row>
    <row r="282" spans="1:43" ht="15.75" customHeight="1" x14ac:dyDescent="0.2">
      <c r="A282" s="63" t="str">
        <f t="shared" si="16"/>
        <v/>
      </c>
      <c r="B282" s="62"/>
      <c r="C282" s="62"/>
      <c r="D282" s="62"/>
      <c r="E282" s="62"/>
      <c r="F282" s="62"/>
      <c r="G282" s="62"/>
      <c r="H282" s="62"/>
      <c r="I282" s="66"/>
      <c r="J282" s="66"/>
      <c r="K282" s="66"/>
      <c r="L282" s="66"/>
      <c r="M282" s="66"/>
      <c r="N282" s="64" t="str">
        <f>IF(OR($B282="", $I282="", $J282="", $K282="", $L282="", $M282=""),"",ROUND(($I282*Lists!$AN$2)+($J282*Lists!$AN$3)+($K282*Lists!$AN$4)+($L282*Lists!$AN$5)+($M282*Lists!$AN$6),2))</f>
        <v/>
      </c>
      <c r="O282" s="64" t="str">
        <f>IF($A282="","",IFERROR(VLOOKUP($A282,'Risk Register'!$B$2:$I$1000,8,FALSE()),""))</f>
        <v/>
      </c>
      <c r="P282" s="66"/>
      <c r="Q282" s="66"/>
      <c r="R282" s="66"/>
      <c r="S282" s="66"/>
      <c r="T282" s="64" t="str">
        <f>IF(OR($B282="", $P282="", $Q282="", $R282="", $S282=""),"",ROUND(($P282*Lists!$AN$7)+($Q282*Lists!$AN$8)+($R282*Lists!$AN$9)+($S282*Lists!$AN$10),2))</f>
        <v/>
      </c>
      <c r="U282" s="66"/>
      <c r="V282" s="66"/>
      <c r="W282" s="66"/>
      <c r="X282" s="66"/>
      <c r="Y282" s="66"/>
      <c r="Z282" s="64" t="str">
        <f>IF(OR($B282="", $U282="", $V282="", $W282="", $X282="", $Y282=""),"",ROUND(($U282*Lists!$AN$11)+($V282*Lists!$AN$12)+($W282*Lists!$AN$13)+($X282*Lists!$AN$14)+($Y282*Lists!$AN$15),2))</f>
        <v/>
      </c>
      <c r="AA282" s="64" t="str">
        <f>IF(OR($B282="", $N282="", $O282="", $T282="", $Z282=""),"",ROUND(($N282*Lists!$AN$16)-($O282*Lists!$AN$17)-($T282*Lists!$AN$18)+($Z282*Lists!$AN$19),2))</f>
        <v/>
      </c>
      <c r="AB282" s="63" t="str">
        <f t="shared" si="17"/>
        <v/>
      </c>
      <c r="AC282" s="63" t="str">
        <f t="shared" si="18"/>
        <v/>
      </c>
      <c r="AD282" s="63" t="str">
        <f>IF($A282="","",IFERROR(IF(VLOOKUP($A282,'Risk Register'!$B$2:$H$1000,4,FALSE())&gt;=4,"Yes",""),""))</f>
        <v/>
      </c>
      <c r="AE282" s="63" t="str">
        <f t="shared" si="19"/>
        <v/>
      </c>
      <c r="AF282" s="62"/>
      <c r="AG282" s="62"/>
      <c r="AH282" s="62"/>
      <c r="AI282" s="62"/>
      <c r="AJ282" s="62"/>
      <c r="AK282" s="62"/>
      <c r="AL282" s="62"/>
      <c r="AM282" s="62"/>
      <c r="AN282" s="62"/>
      <c r="AO282" s="62"/>
      <c r="AP282" s="62"/>
      <c r="AQ282" s="80"/>
    </row>
    <row r="283" spans="1:43" ht="15.75" customHeight="1" x14ac:dyDescent="0.2">
      <c r="A283" s="63" t="str">
        <f t="shared" si="16"/>
        <v/>
      </c>
      <c r="B283" s="62"/>
      <c r="C283" s="62"/>
      <c r="D283" s="62"/>
      <c r="E283" s="62"/>
      <c r="F283" s="62"/>
      <c r="G283" s="62"/>
      <c r="H283" s="62"/>
      <c r="I283" s="66"/>
      <c r="J283" s="66"/>
      <c r="K283" s="66"/>
      <c r="L283" s="66"/>
      <c r="M283" s="66"/>
      <c r="N283" s="64" t="str">
        <f>IF(OR($B283="", $I283="", $J283="", $K283="", $L283="", $M283=""),"",ROUND(($I283*Lists!$AN$2)+($J283*Lists!$AN$3)+($K283*Lists!$AN$4)+($L283*Lists!$AN$5)+($M283*Lists!$AN$6),2))</f>
        <v/>
      </c>
      <c r="O283" s="64" t="str">
        <f>IF($A283="","",IFERROR(VLOOKUP($A283,'Risk Register'!$B$2:$I$1000,8,FALSE()),""))</f>
        <v/>
      </c>
      <c r="P283" s="66"/>
      <c r="Q283" s="66"/>
      <c r="R283" s="66"/>
      <c r="S283" s="66"/>
      <c r="T283" s="64" t="str">
        <f>IF(OR($B283="", $P283="", $Q283="", $R283="", $S283=""),"",ROUND(($P283*Lists!$AN$7)+($Q283*Lists!$AN$8)+($R283*Lists!$AN$9)+($S283*Lists!$AN$10),2))</f>
        <v/>
      </c>
      <c r="U283" s="66"/>
      <c r="V283" s="66"/>
      <c r="W283" s="66"/>
      <c r="X283" s="66"/>
      <c r="Y283" s="66"/>
      <c r="Z283" s="64" t="str">
        <f>IF(OR($B283="", $U283="", $V283="", $W283="", $X283="", $Y283=""),"",ROUND(($U283*Lists!$AN$11)+($V283*Lists!$AN$12)+($W283*Lists!$AN$13)+($X283*Lists!$AN$14)+($Y283*Lists!$AN$15),2))</f>
        <v/>
      </c>
      <c r="AA283" s="64" t="str">
        <f>IF(OR($B283="", $N283="", $O283="", $T283="", $Z283=""),"",ROUND(($N283*Lists!$AN$16)-($O283*Lists!$AN$17)-($T283*Lists!$AN$18)+($Z283*Lists!$AN$19),2))</f>
        <v/>
      </c>
      <c r="AB283" s="63" t="str">
        <f t="shared" si="17"/>
        <v/>
      </c>
      <c r="AC283" s="63" t="str">
        <f t="shared" si="18"/>
        <v/>
      </c>
      <c r="AD283" s="63" t="str">
        <f>IF($A283="","",IFERROR(IF(VLOOKUP($A283,'Risk Register'!$B$2:$H$1000,4,FALSE())&gt;=4,"Yes",""),""))</f>
        <v/>
      </c>
      <c r="AE283" s="63" t="str">
        <f t="shared" si="19"/>
        <v/>
      </c>
      <c r="AF283" s="62"/>
      <c r="AG283" s="62"/>
      <c r="AH283" s="62"/>
      <c r="AI283" s="62"/>
      <c r="AJ283" s="62"/>
      <c r="AK283" s="62"/>
      <c r="AL283" s="62"/>
      <c r="AM283" s="62"/>
      <c r="AN283" s="62"/>
      <c r="AO283" s="62"/>
      <c r="AP283" s="62"/>
      <c r="AQ283" s="80"/>
    </row>
    <row r="284" spans="1:43" ht="15.75" customHeight="1" x14ac:dyDescent="0.2">
      <c r="A284" s="63" t="str">
        <f t="shared" si="16"/>
        <v/>
      </c>
      <c r="B284" s="62"/>
      <c r="C284" s="62"/>
      <c r="D284" s="62"/>
      <c r="E284" s="62"/>
      <c r="F284" s="62"/>
      <c r="G284" s="62"/>
      <c r="H284" s="62"/>
      <c r="I284" s="66"/>
      <c r="J284" s="66"/>
      <c r="K284" s="66"/>
      <c r="L284" s="66"/>
      <c r="M284" s="66"/>
      <c r="N284" s="64" t="str">
        <f>IF(OR($B284="", $I284="", $J284="", $K284="", $L284="", $M284=""),"",ROUND(($I284*Lists!$AN$2)+($J284*Lists!$AN$3)+($K284*Lists!$AN$4)+($L284*Lists!$AN$5)+($M284*Lists!$AN$6),2))</f>
        <v/>
      </c>
      <c r="O284" s="64" t="str">
        <f>IF($A284="","",IFERROR(VLOOKUP($A284,'Risk Register'!$B$2:$I$1000,8,FALSE()),""))</f>
        <v/>
      </c>
      <c r="P284" s="66"/>
      <c r="Q284" s="66"/>
      <c r="R284" s="66"/>
      <c r="S284" s="66"/>
      <c r="T284" s="64" t="str">
        <f>IF(OR($B284="", $P284="", $Q284="", $R284="", $S284=""),"",ROUND(($P284*Lists!$AN$7)+($Q284*Lists!$AN$8)+($R284*Lists!$AN$9)+($S284*Lists!$AN$10),2))</f>
        <v/>
      </c>
      <c r="U284" s="66"/>
      <c r="V284" s="66"/>
      <c r="W284" s="66"/>
      <c r="X284" s="66"/>
      <c r="Y284" s="66"/>
      <c r="Z284" s="64" t="str">
        <f>IF(OR($B284="", $U284="", $V284="", $W284="", $X284="", $Y284=""),"",ROUND(($U284*Lists!$AN$11)+($V284*Lists!$AN$12)+($W284*Lists!$AN$13)+($X284*Lists!$AN$14)+($Y284*Lists!$AN$15),2))</f>
        <v/>
      </c>
      <c r="AA284" s="64" t="str">
        <f>IF(OR($B284="", $N284="", $O284="", $T284="", $Z284=""),"",ROUND(($N284*Lists!$AN$16)-($O284*Lists!$AN$17)-($T284*Lists!$AN$18)+($Z284*Lists!$AN$19),2))</f>
        <v/>
      </c>
      <c r="AB284" s="63" t="str">
        <f t="shared" si="17"/>
        <v/>
      </c>
      <c r="AC284" s="63" t="str">
        <f t="shared" si="18"/>
        <v/>
      </c>
      <c r="AD284" s="63" t="str">
        <f>IF($A284="","",IFERROR(IF(VLOOKUP($A284,'Risk Register'!$B$2:$H$1000,4,FALSE())&gt;=4,"Yes",""),""))</f>
        <v/>
      </c>
      <c r="AE284" s="63" t="str">
        <f t="shared" si="19"/>
        <v/>
      </c>
      <c r="AF284" s="62"/>
      <c r="AG284" s="62"/>
      <c r="AH284" s="62"/>
      <c r="AI284" s="62"/>
      <c r="AJ284" s="62"/>
      <c r="AK284" s="62"/>
      <c r="AL284" s="62"/>
      <c r="AM284" s="62"/>
      <c r="AN284" s="62"/>
      <c r="AO284" s="62"/>
      <c r="AP284" s="62"/>
      <c r="AQ284" s="80"/>
    </row>
    <row r="285" spans="1:43" ht="15.75" customHeight="1" x14ac:dyDescent="0.2">
      <c r="A285" s="63" t="str">
        <f t="shared" si="16"/>
        <v/>
      </c>
      <c r="B285" s="62"/>
      <c r="C285" s="62"/>
      <c r="D285" s="62"/>
      <c r="E285" s="62"/>
      <c r="F285" s="62"/>
      <c r="G285" s="62"/>
      <c r="H285" s="62"/>
      <c r="I285" s="66"/>
      <c r="J285" s="66"/>
      <c r="K285" s="66"/>
      <c r="L285" s="66"/>
      <c r="M285" s="66"/>
      <c r="N285" s="64" t="str">
        <f>IF(OR($B285="", $I285="", $J285="", $K285="", $L285="", $M285=""),"",ROUND(($I285*Lists!$AN$2)+($J285*Lists!$AN$3)+($K285*Lists!$AN$4)+($L285*Lists!$AN$5)+($M285*Lists!$AN$6),2))</f>
        <v/>
      </c>
      <c r="O285" s="64" t="str">
        <f>IF($A285="","",IFERROR(VLOOKUP($A285,'Risk Register'!$B$2:$I$1000,8,FALSE()),""))</f>
        <v/>
      </c>
      <c r="P285" s="66"/>
      <c r="Q285" s="66"/>
      <c r="R285" s="66"/>
      <c r="S285" s="66"/>
      <c r="T285" s="64" t="str">
        <f>IF(OR($B285="", $P285="", $Q285="", $R285="", $S285=""),"",ROUND(($P285*Lists!$AN$7)+($Q285*Lists!$AN$8)+($R285*Lists!$AN$9)+($S285*Lists!$AN$10),2))</f>
        <v/>
      </c>
      <c r="U285" s="66"/>
      <c r="V285" s="66"/>
      <c r="W285" s="66"/>
      <c r="X285" s="66"/>
      <c r="Y285" s="66"/>
      <c r="Z285" s="64" t="str">
        <f>IF(OR($B285="", $U285="", $V285="", $W285="", $X285="", $Y285=""),"",ROUND(($U285*Lists!$AN$11)+($V285*Lists!$AN$12)+($W285*Lists!$AN$13)+($X285*Lists!$AN$14)+($Y285*Lists!$AN$15),2))</f>
        <v/>
      </c>
      <c r="AA285" s="64" t="str">
        <f>IF(OR($B285="", $N285="", $O285="", $T285="", $Z285=""),"",ROUND(($N285*Lists!$AN$16)-($O285*Lists!$AN$17)-($T285*Lists!$AN$18)+($Z285*Lists!$AN$19),2))</f>
        <v/>
      </c>
      <c r="AB285" s="63" t="str">
        <f t="shared" si="17"/>
        <v/>
      </c>
      <c r="AC285" s="63" t="str">
        <f t="shared" si="18"/>
        <v/>
      </c>
      <c r="AD285" s="63" t="str">
        <f>IF($A285="","",IFERROR(IF(VLOOKUP($A285,'Risk Register'!$B$2:$H$1000,4,FALSE())&gt;=4,"Yes",""),""))</f>
        <v/>
      </c>
      <c r="AE285" s="63" t="str">
        <f t="shared" si="19"/>
        <v/>
      </c>
      <c r="AF285" s="62"/>
      <c r="AG285" s="62"/>
      <c r="AH285" s="62"/>
      <c r="AI285" s="62"/>
      <c r="AJ285" s="62"/>
      <c r="AK285" s="62"/>
      <c r="AL285" s="62"/>
      <c r="AM285" s="62"/>
      <c r="AN285" s="62"/>
      <c r="AO285" s="62"/>
      <c r="AP285" s="62"/>
      <c r="AQ285" s="80"/>
    </row>
    <row r="286" spans="1:43" ht="15.75" customHeight="1" x14ac:dyDescent="0.2">
      <c r="A286" s="63" t="str">
        <f t="shared" si="16"/>
        <v/>
      </c>
      <c r="B286" s="62"/>
      <c r="C286" s="62"/>
      <c r="D286" s="62"/>
      <c r="E286" s="62"/>
      <c r="F286" s="62"/>
      <c r="G286" s="62"/>
      <c r="H286" s="62"/>
      <c r="I286" s="66"/>
      <c r="J286" s="66"/>
      <c r="K286" s="66"/>
      <c r="L286" s="66"/>
      <c r="M286" s="66"/>
      <c r="N286" s="64" t="str">
        <f>IF(OR($B286="", $I286="", $J286="", $K286="", $L286="", $M286=""),"",ROUND(($I286*Lists!$AN$2)+($J286*Lists!$AN$3)+($K286*Lists!$AN$4)+($L286*Lists!$AN$5)+($M286*Lists!$AN$6),2))</f>
        <v/>
      </c>
      <c r="O286" s="64" t="str">
        <f>IF($A286="","",IFERROR(VLOOKUP($A286,'Risk Register'!$B$2:$I$1000,8,FALSE()),""))</f>
        <v/>
      </c>
      <c r="P286" s="66"/>
      <c r="Q286" s="66"/>
      <c r="R286" s="66"/>
      <c r="S286" s="66"/>
      <c r="T286" s="64" t="str">
        <f>IF(OR($B286="", $P286="", $Q286="", $R286="", $S286=""),"",ROUND(($P286*Lists!$AN$7)+($Q286*Lists!$AN$8)+($R286*Lists!$AN$9)+($S286*Lists!$AN$10),2))</f>
        <v/>
      </c>
      <c r="U286" s="66"/>
      <c r="V286" s="66"/>
      <c r="W286" s="66"/>
      <c r="X286" s="66"/>
      <c r="Y286" s="66"/>
      <c r="Z286" s="64" t="str">
        <f>IF(OR($B286="", $U286="", $V286="", $W286="", $X286="", $Y286=""),"",ROUND(($U286*Lists!$AN$11)+($V286*Lists!$AN$12)+($W286*Lists!$AN$13)+($X286*Lists!$AN$14)+($Y286*Lists!$AN$15),2))</f>
        <v/>
      </c>
      <c r="AA286" s="64" t="str">
        <f>IF(OR($B286="", $N286="", $O286="", $T286="", $Z286=""),"",ROUND(($N286*Lists!$AN$16)-($O286*Lists!$AN$17)-($T286*Lists!$AN$18)+($Z286*Lists!$AN$19),2))</f>
        <v/>
      </c>
      <c r="AB286" s="63" t="str">
        <f t="shared" si="17"/>
        <v/>
      </c>
      <c r="AC286" s="63" t="str">
        <f t="shared" si="18"/>
        <v/>
      </c>
      <c r="AD286" s="63" t="str">
        <f>IF($A286="","",IFERROR(IF(VLOOKUP($A286,'Risk Register'!$B$2:$H$1000,4,FALSE())&gt;=4,"Yes",""),""))</f>
        <v/>
      </c>
      <c r="AE286" s="63" t="str">
        <f t="shared" si="19"/>
        <v/>
      </c>
      <c r="AF286" s="62"/>
      <c r="AG286" s="62"/>
      <c r="AH286" s="62"/>
      <c r="AI286" s="62"/>
      <c r="AJ286" s="62"/>
      <c r="AK286" s="62"/>
      <c r="AL286" s="62"/>
      <c r="AM286" s="62"/>
      <c r="AN286" s="62"/>
      <c r="AO286" s="62"/>
      <c r="AP286" s="62"/>
      <c r="AQ286" s="80"/>
    </row>
    <row r="287" spans="1:43" ht="15.75" customHeight="1" x14ac:dyDescent="0.2">
      <c r="A287" s="63" t="str">
        <f t="shared" si="16"/>
        <v/>
      </c>
      <c r="B287" s="62"/>
      <c r="C287" s="62"/>
      <c r="D287" s="62"/>
      <c r="E287" s="62"/>
      <c r="F287" s="62"/>
      <c r="G287" s="62"/>
      <c r="H287" s="62"/>
      <c r="I287" s="66"/>
      <c r="J287" s="66"/>
      <c r="K287" s="66"/>
      <c r="L287" s="66"/>
      <c r="M287" s="66"/>
      <c r="N287" s="64" t="str">
        <f>IF(OR($B287="", $I287="", $J287="", $K287="", $L287="", $M287=""),"",ROUND(($I287*Lists!$AN$2)+($J287*Lists!$AN$3)+($K287*Lists!$AN$4)+($L287*Lists!$AN$5)+($M287*Lists!$AN$6),2))</f>
        <v/>
      </c>
      <c r="O287" s="64" t="str">
        <f>IF($A287="","",IFERROR(VLOOKUP($A287,'Risk Register'!$B$2:$I$1000,8,FALSE()),""))</f>
        <v/>
      </c>
      <c r="P287" s="66"/>
      <c r="Q287" s="66"/>
      <c r="R287" s="66"/>
      <c r="S287" s="66"/>
      <c r="T287" s="64" t="str">
        <f>IF(OR($B287="", $P287="", $Q287="", $R287="", $S287=""),"",ROUND(($P287*Lists!$AN$7)+($Q287*Lists!$AN$8)+($R287*Lists!$AN$9)+($S287*Lists!$AN$10),2))</f>
        <v/>
      </c>
      <c r="U287" s="66"/>
      <c r="V287" s="66"/>
      <c r="W287" s="66"/>
      <c r="X287" s="66"/>
      <c r="Y287" s="66"/>
      <c r="Z287" s="64" t="str">
        <f>IF(OR($B287="", $U287="", $V287="", $W287="", $X287="", $Y287=""),"",ROUND(($U287*Lists!$AN$11)+($V287*Lists!$AN$12)+($W287*Lists!$AN$13)+($X287*Lists!$AN$14)+($Y287*Lists!$AN$15),2))</f>
        <v/>
      </c>
      <c r="AA287" s="64" t="str">
        <f>IF(OR($B287="", $N287="", $O287="", $T287="", $Z287=""),"",ROUND(($N287*Lists!$AN$16)-($O287*Lists!$AN$17)-($T287*Lists!$AN$18)+($Z287*Lists!$AN$19),2))</f>
        <v/>
      </c>
      <c r="AB287" s="63" t="str">
        <f t="shared" si="17"/>
        <v/>
      </c>
      <c r="AC287" s="63" t="str">
        <f t="shared" si="18"/>
        <v/>
      </c>
      <c r="AD287" s="63" t="str">
        <f>IF($A287="","",IFERROR(IF(VLOOKUP($A287,'Risk Register'!$B$2:$H$1000,4,FALSE())&gt;=4,"Yes",""),""))</f>
        <v/>
      </c>
      <c r="AE287" s="63" t="str">
        <f t="shared" si="19"/>
        <v/>
      </c>
      <c r="AF287" s="62"/>
      <c r="AG287" s="62"/>
      <c r="AH287" s="62"/>
      <c r="AI287" s="62"/>
      <c r="AJ287" s="62"/>
      <c r="AK287" s="62"/>
      <c r="AL287" s="62"/>
      <c r="AM287" s="62"/>
      <c r="AN287" s="62"/>
      <c r="AO287" s="62"/>
      <c r="AP287" s="62"/>
      <c r="AQ287" s="80"/>
    </row>
    <row r="288" spans="1:43" ht="15.75" customHeight="1" x14ac:dyDescent="0.2">
      <c r="A288" s="63" t="str">
        <f t="shared" si="16"/>
        <v/>
      </c>
      <c r="B288" s="62"/>
      <c r="C288" s="62"/>
      <c r="D288" s="62"/>
      <c r="E288" s="62"/>
      <c r="F288" s="62"/>
      <c r="G288" s="62"/>
      <c r="H288" s="62"/>
      <c r="I288" s="66"/>
      <c r="J288" s="66"/>
      <c r="K288" s="66"/>
      <c r="L288" s="66"/>
      <c r="M288" s="66"/>
      <c r="N288" s="64" t="str">
        <f>IF(OR($B288="", $I288="", $J288="", $K288="", $L288="", $M288=""),"",ROUND(($I288*Lists!$AN$2)+($J288*Lists!$AN$3)+($K288*Lists!$AN$4)+($L288*Lists!$AN$5)+($M288*Lists!$AN$6),2))</f>
        <v/>
      </c>
      <c r="O288" s="64" t="str">
        <f>IF($A288="","",IFERROR(VLOOKUP($A288,'Risk Register'!$B$2:$I$1000,8,FALSE()),""))</f>
        <v/>
      </c>
      <c r="P288" s="66"/>
      <c r="Q288" s="66"/>
      <c r="R288" s="66"/>
      <c r="S288" s="66"/>
      <c r="T288" s="64" t="str">
        <f>IF(OR($B288="", $P288="", $Q288="", $R288="", $S288=""),"",ROUND(($P288*Lists!$AN$7)+($Q288*Lists!$AN$8)+($R288*Lists!$AN$9)+($S288*Lists!$AN$10),2))</f>
        <v/>
      </c>
      <c r="U288" s="66"/>
      <c r="V288" s="66"/>
      <c r="W288" s="66"/>
      <c r="X288" s="66"/>
      <c r="Y288" s="66"/>
      <c r="Z288" s="64" t="str">
        <f>IF(OR($B288="", $U288="", $V288="", $W288="", $X288="", $Y288=""),"",ROUND(($U288*Lists!$AN$11)+($V288*Lists!$AN$12)+($W288*Lists!$AN$13)+($X288*Lists!$AN$14)+($Y288*Lists!$AN$15),2))</f>
        <v/>
      </c>
      <c r="AA288" s="64" t="str">
        <f>IF(OR($B288="", $N288="", $O288="", $T288="", $Z288=""),"",ROUND(($N288*Lists!$AN$16)-($O288*Lists!$AN$17)-($T288*Lists!$AN$18)+($Z288*Lists!$AN$19),2))</f>
        <v/>
      </c>
      <c r="AB288" s="63" t="str">
        <f t="shared" si="17"/>
        <v/>
      </c>
      <c r="AC288" s="63" t="str">
        <f t="shared" si="18"/>
        <v/>
      </c>
      <c r="AD288" s="63" t="str">
        <f>IF($A288="","",IFERROR(IF(VLOOKUP($A288,'Risk Register'!$B$2:$H$1000,4,FALSE())&gt;=4,"Yes",""),""))</f>
        <v/>
      </c>
      <c r="AE288" s="63" t="str">
        <f t="shared" si="19"/>
        <v/>
      </c>
      <c r="AF288" s="62"/>
      <c r="AG288" s="62"/>
      <c r="AH288" s="62"/>
      <c r="AI288" s="62"/>
      <c r="AJ288" s="62"/>
      <c r="AK288" s="62"/>
      <c r="AL288" s="62"/>
      <c r="AM288" s="62"/>
      <c r="AN288" s="62"/>
      <c r="AO288" s="62"/>
      <c r="AP288" s="62"/>
      <c r="AQ288" s="80"/>
    </row>
    <row r="289" spans="1:43" ht="15.75" customHeight="1" x14ac:dyDescent="0.2">
      <c r="A289" s="63" t="str">
        <f t="shared" si="16"/>
        <v/>
      </c>
      <c r="B289" s="62"/>
      <c r="C289" s="62"/>
      <c r="D289" s="62"/>
      <c r="E289" s="62"/>
      <c r="F289" s="62"/>
      <c r="G289" s="62"/>
      <c r="H289" s="62"/>
      <c r="I289" s="66"/>
      <c r="J289" s="66"/>
      <c r="K289" s="66"/>
      <c r="L289" s="66"/>
      <c r="M289" s="66"/>
      <c r="N289" s="64" t="str">
        <f>IF(OR($B289="", $I289="", $J289="", $K289="", $L289="", $M289=""),"",ROUND(($I289*Lists!$AN$2)+($J289*Lists!$AN$3)+($K289*Lists!$AN$4)+($L289*Lists!$AN$5)+($M289*Lists!$AN$6),2))</f>
        <v/>
      </c>
      <c r="O289" s="64" t="str">
        <f>IF($A289="","",IFERROR(VLOOKUP($A289,'Risk Register'!$B$2:$I$1000,8,FALSE()),""))</f>
        <v/>
      </c>
      <c r="P289" s="66"/>
      <c r="Q289" s="66"/>
      <c r="R289" s="66"/>
      <c r="S289" s="66"/>
      <c r="T289" s="64" t="str">
        <f>IF(OR($B289="", $P289="", $Q289="", $R289="", $S289=""),"",ROUND(($P289*Lists!$AN$7)+($Q289*Lists!$AN$8)+($R289*Lists!$AN$9)+($S289*Lists!$AN$10),2))</f>
        <v/>
      </c>
      <c r="U289" s="66"/>
      <c r="V289" s="66"/>
      <c r="W289" s="66"/>
      <c r="X289" s="66"/>
      <c r="Y289" s="66"/>
      <c r="Z289" s="64" t="str">
        <f>IF(OR($B289="", $U289="", $V289="", $W289="", $X289="", $Y289=""),"",ROUND(($U289*Lists!$AN$11)+($V289*Lists!$AN$12)+($W289*Lists!$AN$13)+($X289*Lists!$AN$14)+($Y289*Lists!$AN$15),2))</f>
        <v/>
      </c>
      <c r="AA289" s="64" t="str">
        <f>IF(OR($B289="", $N289="", $O289="", $T289="", $Z289=""),"",ROUND(($N289*Lists!$AN$16)-($O289*Lists!$AN$17)-($T289*Lists!$AN$18)+($Z289*Lists!$AN$19),2))</f>
        <v/>
      </c>
      <c r="AB289" s="63" t="str">
        <f t="shared" si="17"/>
        <v/>
      </c>
      <c r="AC289" s="63" t="str">
        <f t="shared" si="18"/>
        <v/>
      </c>
      <c r="AD289" s="63" t="str">
        <f>IF($A289="","",IFERROR(IF(VLOOKUP($A289,'Risk Register'!$B$2:$H$1000,4,FALSE())&gt;=4,"Yes",""),""))</f>
        <v/>
      </c>
      <c r="AE289" s="63" t="str">
        <f t="shared" si="19"/>
        <v/>
      </c>
      <c r="AF289" s="62"/>
      <c r="AG289" s="62"/>
      <c r="AH289" s="62"/>
      <c r="AI289" s="62"/>
      <c r="AJ289" s="62"/>
      <c r="AK289" s="62"/>
      <c r="AL289" s="62"/>
      <c r="AM289" s="62"/>
      <c r="AN289" s="62"/>
      <c r="AO289" s="62"/>
      <c r="AP289" s="62"/>
      <c r="AQ289" s="80"/>
    </row>
    <row r="290" spans="1:43" ht="15.75" customHeight="1" x14ac:dyDescent="0.2">
      <c r="A290" s="63" t="str">
        <f t="shared" si="16"/>
        <v/>
      </c>
      <c r="B290" s="62"/>
      <c r="C290" s="62"/>
      <c r="D290" s="62"/>
      <c r="E290" s="62"/>
      <c r="F290" s="62"/>
      <c r="G290" s="62"/>
      <c r="H290" s="62"/>
      <c r="I290" s="66"/>
      <c r="J290" s="66"/>
      <c r="K290" s="66"/>
      <c r="L290" s="66"/>
      <c r="M290" s="66"/>
      <c r="N290" s="64" t="str">
        <f>IF(OR($B290="", $I290="", $J290="", $K290="", $L290="", $M290=""),"",ROUND(($I290*Lists!$AN$2)+($J290*Lists!$AN$3)+($K290*Lists!$AN$4)+($L290*Lists!$AN$5)+($M290*Lists!$AN$6),2))</f>
        <v/>
      </c>
      <c r="O290" s="64" t="str">
        <f>IF($A290="","",IFERROR(VLOOKUP($A290,'Risk Register'!$B$2:$I$1000,8,FALSE()),""))</f>
        <v/>
      </c>
      <c r="P290" s="66"/>
      <c r="Q290" s="66"/>
      <c r="R290" s="66"/>
      <c r="S290" s="66"/>
      <c r="T290" s="64" t="str">
        <f>IF(OR($B290="", $P290="", $Q290="", $R290="", $S290=""),"",ROUND(($P290*Lists!$AN$7)+($Q290*Lists!$AN$8)+($R290*Lists!$AN$9)+($S290*Lists!$AN$10),2))</f>
        <v/>
      </c>
      <c r="U290" s="66"/>
      <c r="V290" s="66"/>
      <c r="W290" s="66"/>
      <c r="X290" s="66"/>
      <c r="Y290" s="66"/>
      <c r="Z290" s="64" t="str">
        <f>IF(OR($B290="", $U290="", $V290="", $W290="", $X290="", $Y290=""),"",ROUND(($U290*Lists!$AN$11)+($V290*Lists!$AN$12)+($W290*Lists!$AN$13)+($X290*Lists!$AN$14)+($Y290*Lists!$AN$15),2))</f>
        <v/>
      </c>
      <c r="AA290" s="64" t="str">
        <f>IF(OR($B290="", $N290="", $O290="", $T290="", $Z290=""),"",ROUND(($N290*Lists!$AN$16)-($O290*Lists!$AN$17)-($T290*Lists!$AN$18)+($Z290*Lists!$AN$19),2))</f>
        <v/>
      </c>
      <c r="AB290" s="63" t="str">
        <f t="shared" si="17"/>
        <v/>
      </c>
      <c r="AC290" s="63" t="str">
        <f t="shared" si="18"/>
        <v/>
      </c>
      <c r="AD290" s="63" t="str">
        <f>IF($A290="","",IFERROR(IF(VLOOKUP($A290,'Risk Register'!$B$2:$H$1000,4,FALSE())&gt;=4,"Yes",""),""))</f>
        <v/>
      </c>
      <c r="AE290" s="63" t="str">
        <f t="shared" si="19"/>
        <v/>
      </c>
      <c r="AF290" s="62"/>
      <c r="AG290" s="62"/>
      <c r="AH290" s="62"/>
      <c r="AI290" s="62"/>
      <c r="AJ290" s="62"/>
      <c r="AK290" s="62"/>
      <c r="AL290" s="62"/>
      <c r="AM290" s="62"/>
      <c r="AN290" s="62"/>
      <c r="AO290" s="62"/>
      <c r="AP290" s="62"/>
      <c r="AQ290" s="80"/>
    </row>
    <row r="291" spans="1:43" ht="15.75" customHeight="1" x14ac:dyDescent="0.2">
      <c r="A291" s="63" t="str">
        <f t="shared" si="16"/>
        <v/>
      </c>
      <c r="B291" s="62"/>
      <c r="C291" s="62"/>
      <c r="D291" s="62"/>
      <c r="E291" s="62"/>
      <c r="F291" s="62"/>
      <c r="G291" s="62"/>
      <c r="H291" s="62"/>
      <c r="I291" s="66"/>
      <c r="J291" s="66"/>
      <c r="K291" s="66"/>
      <c r="L291" s="66"/>
      <c r="M291" s="66"/>
      <c r="N291" s="64" t="str">
        <f>IF(OR($B291="", $I291="", $J291="", $K291="", $L291="", $M291=""),"",ROUND(($I291*Lists!$AN$2)+($J291*Lists!$AN$3)+($K291*Lists!$AN$4)+($L291*Lists!$AN$5)+($M291*Lists!$AN$6),2))</f>
        <v/>
      </c>
      <c r="O291" s="64" t="str">
        <f>IF($A291="","",IFERROR(VLOOKUP($A291,'Risk Register'!$B$2:$I$1000,8,FALSE()),""))</f>
        <v/>
      </c>
      <c r="P291" s="66"/>
      <c r="Q291" s="66"/>
      <c r="R291" s="66"/>
      <c r="S291" s="66"/>
      <c r="T291" s="64" t="str">
        <f>IF(OR($B291="", $P291="", $Q291="", $R291="", $S291=""),"",ROUND(($P291*Lists!$AN$7)+($Q291*Lists!$AN$8)+($R291*Lists!$AN$9)+($S291*Lists!$AN$10),2))</f>
        <v/>
      </c>
      <c r="U291" s="66"/>
      <c r="V291" s="66"/>
      <c r="W291" s="66"/>
      <c r="X291" s="66"/>
      <c r="Y291" s="66"/>
      <c r="Z291" s="64" t="str">
        <f>IF(OR($B291="", $U291="", $V291="", $W291="", $X291="", $Y291=""),"",ROUND(($U291*Lists!$AN$11)+($V291*Lists!$AN$12)+($W291*Lists!$AN$13)+($X291*Lists!$AN$14)+($Y291*Lists!$AN$15),2))</f>
        <v/>
      </c>
      <c r="AA291" s="64" t="str">
        <f>IF(OR($B291="", $N291="", $O291="", $T291="", $Z291=""),"",ROUND(($N291*Lists!$AN$16)-($O291*Lists!$AN$17)-($T291*Lists!$AN$18)+($Z291*Lists!$AN$19),2))</f>
        <v/>
      </c>
      <c r="AB291" s="63" t="str">
        <f t="shared" si="17"/>
        <v/>
      </c>
      <c r="AC291" s="63" t="str">
        <f t="shared" si="18"/>
        <v/>
      </c>
      <c r="AD291" s="63" t="str">
        <f>IF($A291="","",IFERROR(IF(VLOOKUP($A291,'Risk Register'!$B$2:$H$1000,4,FALSE())&gt;=4,"Yes",""),""))</f>
        <v/>
      </c>
      <c r="AE291" s="63" t="str">
        <f t="shared" si="19"/>
        <v/>
      </c>
      <c r="AF291" s="62"/>
      <c r="AG291" s="62"/>
      <c r="AH291" s="62"/>
      <c r="AI291" s="62"/>
      <c r="AJ291" s="62"/>
      <c r="AK291" s="62"/>
      <c r="AL291" s="62"/>
      <c r="AM291" s="62"/>
      <c r="AN291" s="62"/>
      <c r="AO291" s="62"/>
      <c r="AP291" s="62"/>
      <c r="AQ291" s="80"/>
    </row>
    <row r="292" spans="1:43" ht="15.75" customHeight="1" x14ac:dyDescent="0.2">
      <c r="A292" s="63" t="str">
        <f t="shared" si="16"/>
        <v/>
      </c>
      <c r="B292" s="62"/>
      <c r="C292" s="62"/>
      <c r="D292" s="62"/>
      <c r="E292" s="62"/>
      <c r="F292" s="62"/>
      <c r="G292" s="62"/>
      <c r="H292" s="62"/>
      <c r="I292" s="66"/>
      <c r="J292" s="66"/>
      <c r="K292" s="66"/>
      <c r="L292" s="66"/>
      <c r="M292" s="66"/>
      <c r="N292" s="64" t="str">
        <f>IF(OR($B292="", $I292="", $J292="", $K292="", $L292="", $M292=""),"",ROUND(($I292*Lists!$AN$2)+($J292*Lists!$AN$3)+($K292*Lists!$AN$4)+($L292*Lists!$AN$5)+($M292*Lists!$AN$6),2))</f>
        <v/>
      </c>
      <c r="O292" s="64" t="str">
        <f>IF($A292="","",IFERROR(VLOOKUP($A292,'Risk Register'!$B$2:$I$1000,8,FALSE()),""))</f>
        <v/>
      </c>
      <c r="P292" s="66"/>
      <c r="Q292" s="66"/>
      <c r="R292" s="66"/>
      <c r="S292" s="66"/>
      <c r="T292" s="64" t="str">
        <f>IF(OR($B292="", $P292="", $Q292="", $R292="", $S292=""),"",ROUND(($P292*Lists!$AN$7)+($Q292*Lists!$AN$8)+($R292*Lists!$AN$9)+($S292*Lists!$AN$10),2))</f>
        <v/>
      </c>
      <c r="U292" s="66"/>
      <c r="V292" s="66"/>
      <c r="W292" s="66"/>
      <c r="X292" s="66"/>
      <c r="Y292" s="66"/>
      <c r="Z292" s="64" t="str">
        <f>IF(OR($B292="", $U292="", $V292="", $W292="", $X292="", $Y292=""),"",ROUND(($U292*Lists!$AN$11)+($V292*Lists!$AN$12)+($W292*Lists!$AN$13)+($X292*Lists!$AN$14)+($Y292*Lists!$AN$15),2))</f>
        <v/>
      </c>
      <c r="AA292" s="64" t="str">
        <f>IF(OR($B292="", $N292="", $O292="", $T292="", $Z292=""),"",ROUND(($N292*Lists!$AN$16)-($O292*Lists!$AN$17)-($T292*Lists!$AN$18)+($Z292*Lists!$AN$19),2))</f>
        <v/>
      </c>
      <c r="AB292" s="63" t="str">
        <f t="shared" si="17"/>
        <v/>
      </c>
      <c r="AC292" s="63" t="str">
        <f t="shared" si="18"/>
        <v/>
      </c>
      <c r="AD292" s="63" t="str">
        <f>IF($A292="","",IFERROR(IF(VLOOKUP($A292,'Risk Register'!$B$2:$H$1000,4,FALSE())&gt;=4,"Yes",""),""))</f>
        <v/>
      </c>
      <c r="AE292" s="63" t="str">
        <f t="shared" si="19"/>
        <v/>
      </c>
      <c r="AF292" s="62"/>
      <c r="AG292" s="62"/>
      <c r="AH292" s="62"/>
      <c r="AI292" s="62"/>
      <c r="AJ292" s="62"/>
      <c r="AK292" s="62"/>
      <c r="AL292" s="62"/>
      <c r="AM292" s="62"/>
      <c r="AN292" s="62"/>
      <c r="AO292" s="62"/>
      <c r="AP292" s="62"/>
      <c r="AQ292" s="80"/>
    </row>
    <row r="293" spans="1:43" ht="15.75" customHeight="1" x14ac:dyDescent="0.2">
      <c r="A293" s="63" t="str">
        <f t="shared" si="16"/>
        <v/>
      </c>
      <c r="B293" s="62"/>
      <c r="C293" s="62"/>
      <c r="D293" s="62"/>
      <c r="E293" s="62"/>
      <c r="F293" s="62"/>
      <c r="G293" s="62"/>
      <c r="H293" s="62"/>
      <c r="I293" s="66"/>
      <c r="J293" s="66"/>
      <c r="K293" s="66"/>
      <c r="L293" s="66"/>
      <c r="M293" s="66"/>
      <c r="N293" s="64" t="str">
        <f>IF(OR($B293="", $I293="", $J293="", $K293="", $L293="", $M293=""),"",ROUND(($I293*Lists!$AN$2)+($J293*Lists!$AN$3)+($K293*Lists!$AN$4)+($L293*Lists!$AN$5)+($M293*Lists!$AN$6),2))</f>
        <v/>
      </c>
      <c r="O293" s="64" t="str">
        <f>IF($A293="","",IFERROR(VLOOKUP($A293,'Risk Register'!$B$2:$I$1000,8,FALSE()),""))</f>
        <v/>
      </c>
      <c r="P293" s="66"/>
      <c r="Q293" s="66"/>
      <c r="R293" s="66"/>
      <c r="S293" s="66"/>
      <c r="T293" s="64" t="str">
        <f>IF(OR($B293="", $P293="", $Q293="", $R293="", $S293=""),"",ROUND(($P293*Lists!$AN$7)+($Q293*Lists!$AN$8)+($R293*Lists!$AN$9)+($S293*Lists!$AN$10),2))</f>
        <v/>
      </c>
      <c r="U293" s="66"/>
      <c r="V293" s="66"/>
      <c r="W293" s="66"/>
      <c r="X293" s="66"/>
      <c r="Y293" s="66"/>
      <c r="Z293" s="64" t="str">
        <f>IF(OR($B293="", $U293="", $V293="", $W293="", $X293="", $Y293=""),"",ROUND(($U293*Lists!$AN$11)+($V293*Lists!$AN$12)+($W293*Lists!$AN$13)+($X293*Lists!$AN$14)+($Y293*Lists!$AN$15),2))</f>
        <v/>
      </c>
      <c r="AA293" s="64" t="str">
        <f>IF(OR($B293="", $N293="", $O293="", $T293="", $Z293=""),"",ROUND(($N293*Lists!$AN$16)-($O293*Lists!$AN$17)-($T293*Lists!$AN$18)+($Z293*Lists!$AN$19),2))</f>
        <v/>
      </c>
      <c r="AB293" s="63" t="str">
        <f t="shared" si="17"/>
        <v/>
      </c>
      <c r="AC293" s="63" t="str">
        <f t="shared" si="18"/>
        <v/>
      </c>
      <c r="AD293" s="63" t="str">
        <f>IF($A293="","",IFERROR(IF(VLOOKUP($A293,'Risk Register'!$B$2:$H$1000,4,FALSE())&gt;=4,"Yes",""),""))</f>
        <v/>
      </c>
      <c r="AE293" s="63" t="str">
        <f t="shared" si="19"/>
        <v/>
      </c>
      <c r="AF293" s="62"/>
      <c r="AG293" s="62"/>
      <c r="AH293" s="62"/>
      <c r="AI293" s="62"/>
      <c r="AJ293" s="62"/>
      <c r="AK293" s="62"/>
      <c r="AL293" s="62"/>
      <c r="AM293" s="62"/>
      <c r="AN293" s="62"/>
      <c r="AO293" s="62"/>
      <c r="AP293" s="62"/>
      <c r="AQ293" s="80"/>
    </row>
    <row r="294" spans="1:43" ht="15.75" customHeight="1" x14ac:dyDescent="0.2">
      <c r="A294" s="63" t="str">
        <f t="shared" si="16"/>
        <v/>
      </c>
      <c r="B294" s="62"/>
      <c r="C294" s="62"/>
      <c r="D294" s="62"/>
      <c r="E294" s="62"/>
      <c r="F294" s="62"/>
      <c r="G294" s="62"/>
      <c r="H294" s="62"/>
      <c r="I294" s="66"/>
      <c r="J294" s="66"/>
      <c r="K294" s="66"/>
      <c r="L294" s="66"/>
      <c r="M294" s="66"/>
      <c r="N294" s="64" t="str">
        <f>IF(OR($B294="", $I294="", $J294="", $K294="", $L294="", $M294=""),"",ROUND(($I294*Lists!$AN$2)+($J294*Lists!$AN$3)+($K294*Lists!$AN$4)+($L294*Lists!$AN$5)+($M294*Lists!$AN$6),2))</f>
        <v/>
      </c>
      <c r="O294" s="64" t="str">
        <f>IF($A294="","",IFERROR(VLOOKUP($A294,'Risk Register'!$B$2:$I$1000,8,FALSE()),""))</f>
        <v/>
      </c>
      <c r="P294" s="66"/>
      <c r="Q294" s="66"/>
      <c r="R294" s="66"/>
      <c r="S294" s="66"/>
      <c r="T294" s="64" t="str">
        <f>IF(OR($B294="", $P294="", $Q294="", $R294="", $S294=""),"",ROUND(($P294*Lists!$AN$7)+($Q294*Lists!$AN$8)+($R294*Lists!$AN$9)+($S294*Lists!$AN$10),2))</f>
        <v/>
      </c>
      <c r="U294" s="66"/>
      <c r="V294" s="66"/>
      <c r="W294" s="66"/>
      <c r="X294" s="66"/>
      <c r="Y294" s="66"/>
      <c r="Z294" s="64" t="str">
        <f>IF(OR($B294="", $U294="", $V294="", $W294="", $X294="", $Y294=""),"",ROUND(($U294*Lists!$AN$11)+($V294*Lists!$AN$12)+($W294*Lists!$AN$13)+($X294*Lists!$AN$14)+($Y294*Lists!$AN$15),2))</f>
        <v/>
      </c>
      <c r="AA294" s="64" t="str">
        <f>IF(OR($B294="", $N294="", $O294="", $T294="", $Z294=""),"",ROUND(($N294*Lists!$AN$16)-($O294*Lists!$AN$17)-($T294*Lists!$AN$18)+($Z294*Lists!$AN$19),2))</f>
        <v/>
      </c>
      <c r="AB294" s="63" t="str">
        <f t="shared" si="17"/>
        <v/>
      </c>
      <c r="AC294" s="63" t="str">
        <f t="shared" si="18"/>
        <v/>
      </c>
      <c r="AD294" s="63" t="str">
        <f>IF($A294="","",IFERROR(IF(VLOOKUP($A294,'Risk Register'!$B$2:$H$1000,4,FALSE())&gt;=4,"Yes",""),""))</f>
        <v/>
      </c>
      <c r="AE294" s="63" t="str">
        <f t="shared" si="19"/>
        <v/>
      </c>
      <c r="AF294" s="62"/>
      <c r="AG294" s="62"/>
      <c r="AH294" s="62"/>
      <c r="AI294" s="62"/>
      <c r="AJ294" s="62"/>
      <c r="AK294" s="62"/>
      <c r="AL294" s="62"/>
      <c r="AM294" s="62"/>
      <c r="AN294" s="62"/>
      <c r="AO294" s="62"/>
      <c r="AP294" s="62"/>
      <c r="AQ294" s="80"/>
    </row>
    <row r="295" spans="1:43" ht="15.75" customHeight="1" x14ac:dyDescent="0.2">
      <c r="A295" s="63" t="str">
        <f t="shared" si="16"/>
        <v/>
      </c>
      <c r="B295" s="62"/>
      <c r="C295" s="62"/>
      <c r="D295" s="62"/>
      <c r="E295" s="62"/>
      <c r="F295" s="62"/>
      <c r="G295" s="62"/>
      <c r="H295" s="62"/>
      <c r="I295" s="66"/>
      <c r="J295" s="66"/>
      <c r="K295" s="66"/>
      <c r="L295" s="66"/>
      <c r="M295" s="66"/>
      <c r="N295" s="64" t="str">
        <f>IF(OR($B295="", $I295="", $J295="", $K295="", $L295="", $M295=""),"",ROUND(($I295*Lists!$AN$2)+($J295*Lists!$AN$3)+($K295*Lists!$AN$4)+($L295*Lists!$AN$5)+($M295*Lists!$AN$6),2))</f>
        <v/>
      </c>
      <c r="O295" s="64" t="str">
        <f>IF($A295="","",IFERROR(VLOOKUP($A295,'Risk Register'!$B$2:$I$1000,8,FALSE()),""))</f>
        <v/>
      </c>
      <c r="P295" s="66"/>
      <c r="Q295" s="66"/>
      <c r="R295" s="66"/>
      <c r="S295" s="66"/>
      <c r="T295" s="64" t="str">
        <f>IF(OR($B295="", $P295="", $Q295="", $R295="", $S295=""),"",ROUND(($P295*Lists!$AN$7)+($Q295*Lists!$AN$8)+($R295*Lists!$AN$9)+($S295*Lists!$AN$10),2))</f>
        <v/>
      </c>
      <c r="U295" s="66"/>
      <c r="V295" s="66"/>
      <c r="W295" s="66"/>
      <c r="X295" s="66"/>
      <c r="Y295" s="66"/>
      <c r="Z295" s="64" t="str">
        <f>IF(OR($B295="", $U295="", $V295="", $W295="", $X295="", $Y295=""),"",ROUND(($U295*Lists!$AN$11)+($V295*Lists!$AN$12)+($W295*Lists!$AN$13)+($X295*Lists!$AN$14)+($Y295*Lists!$AN$15),2))</f>
        <v/>
      </c>
      <c r="AA295" s="64" t="str">
        <f>IF(OR($B295="", $N295="", $O295="", $T295="", $Z295=""),"",ROUND(($N295*Lists!$AN$16)-($O295*Lists!$AN$17)-($T295*Lists!$AN$18)+($Z295*Lists!$AN$19),2))</f>
        <v/>
      </c>
      <c r="AB295" s="63" t="str">
        <f t="shared" si="17"/>
        <v/>
      </c>
      <c r="AC295" s="63" t="str">
        <f t="shared" si="18"/>
        <v/>
      </c>
      <c r="AD295" s="63" t="str">
        <f>IF($A295="","",IFERROR(IF(VLOOKUP($A295,'Risk Register'!$B$2:$H$1000,4,FALSE())&gt;=4,"Yes",""),""))</f>
        <v/>
      </c>
      <c r="AE295" s="63" t="str">
        <f t="shared" si="19"/>
        <v/>
      </c>
      <c r="AF295" s="62"/>
      <c r="AG295" s="62"/>
      <c r="AH295" s="62"/>
      <c r="AI295" s="62"/>
      <c r="AJ295" s="62"/>
      <c r="AK295" s="62"/>
      <c r="AL295" s="62"/>
      <c r="AM295" s="62"/>
      <c r="AN295" s="62"/>
      <c r="AO295" s="62"/>
      <c r="AP295" s="62"/>
      <c r="AQ295" s="80"/>
    </row>
    <row r="296" spans="1:43" ht="15.75" customHeight="1" x14ac:dyDescent="0.2">
      <c r="A296" s="63" t="str">
        <f t="shared" si="16"/>
        <v/>
      </c>
      <c r="B296" s="62"/>
      <c r="C296" s="62"/>
      <c r="D296" s="62"/>
      <c r="E296" s="62"/>
      <c r="F296" s="62"/>
      <c r="G296" s="62"/>
      <c r="H296" s="62"/>
      <c r="I296" s="66"/>
      <c r="J296" s="66"/>
      <c r="K296" s="66"/>
      <c r="L296" s="66"/>
      <c r="M296" s="66"/>
      <c r="N296" s="64" t="str">
        <f>IF(OR($B296="", $I296="", $J296="", $K296="", $L296="", $M296=""),"",ROUND(($I296*Lists!$AN$2)+($J296*Lists!$AN$3)+($K296*Lists!$AN$4)+($L296*Lists!$AN$5)+($M296*Lists!$AN$6),2))</f>
        <v/>
      </c>
      <c r="O296" s="64" t="str">
        <f>IF($A296="","",IFERROR(VLOOKUP($A296,'Risk Register'!$B$2:$I$1000,8,FALSE()),""))</f>
        <v/>
      </c>
      <c r="P296" s="66"/>
      <c r="Q296" s="66"/>
      <c r="R296" s="66"/>
      <c r="S296" s="66"/>
      <c r="T296" s="64" t="str">
        <f>IF(OR($B296="", $P296="", $Q296="", $R296="", $S296=""),"",ROUND(($P296*Lists!$AN$7)+($Q296*Lists!$AN$8)+($R296*Lists!$AN$9)+($S296*Lists!$AN$10),2))</f>
        <v/>
      </c>
      <c r="U296" s="66"/>
      <c r="V296" s="66"/>
      <c r="W296" s="66"/>
      <c r="X296" s="66"/>
      <c r="Y296" s="66"/>
      <c r="Z296" s="64" t="str">
        <f>IF(OR($B296="", $U296="", $V296="", $W296="", $X296="", $Y296=""),"",ROUND(($U296*Lists!$AN$11)+($V296*Lists!$AN$12)+($W296*Lists!$AN$13)+($X296*Lists!$AN$14)+($Y296*Lists!$AN$15),2))</f>
        <v/>
      </c>
      <c r="AA296" s="64" t="str">
        <f>IF(OR($B296="", $N296="", $O296="", $T296="", $Z296=""),"",ROUND(($N296*Lists!$AN$16)-($O296*Lists!$AN$17)-($T296*Lists!$AN$18)+($Z296*Lists!$AN$19),2))</f>
        <v/>
      </c>
      <c r="AB296" s="63" t="str">
        <f t="shared" si="17"/>
        <v/>
      </c>
      <c r="AC296" s="63" t="str">
        <f t="shared" si="18"/>
        <v/>
      </c>
      <c r="AD296" s="63" t="str">
        <f>IF($A296="","",IFERROR(IF(VLOOKUP($A296,'Risk Register'!$B$2:$H$1000,4,FALSE())&gt;=4,"Yes",""),""))</f>
        <v/>
      </c>
      <c r="AE296" s="63" t="str">
        <f t="shared" si="19"/>
        <v/>
      </c>
      <c r="AF296" s="62"/>
      <c r="AG296" s="62"/>
      <c r="AH296" s="62"/>
      <c r="AI296" s="62"/>
      <c r="AJ296" s="62"/>
      <c r="AK296" s="62"/>
      <c r="AL296" s="62"/>
      <c r="AM296" s="62"/>
      <c r="AN296" s="62"/>
      <c r="AO296" s="62"/>
      <c r="AP296" s="62"/>
      <c r="AQ296" s="80"/>
    </row>
    <row r="297" spans="1:43" ht="15.75" customHeight="1" x14ac:dyDescent="0.2">
      <c r="A297" s="63" t="str">
        <f t="shared" si="16"/>
        <v/>
      </c>
      <c r="B297" s="62"/>
      <c r="C297" s="62"/>
      <c r="D297" s="62"/>
      <c r="E297" s="62"/>
      <c r="F297" s="62"/>
      <c r="G297" s="62"/>
      <c r="H297" s="62"/>
      <c r="I297" s="66"/>
      <c r="J297" s="66"/>
      <c r="K297" s="66"/>
      <c r="L297" s="66"/>
      <c r="M297" s="66"/>
      <c r="N297" s="64" t="str">
        <f>IF(OR($B297="", $I297="", $J297="", $K297="", $L297="", $M297=""),"",ROUND(($I297*Lists!$AN$2)+($J297*Lists!$AN$3)+($K297*Lists!$AN$4)+($L297*Lists!$AN$5)+($M297*Lists!$AN$6),2))</f>
        <v/>
      </c>
      <c r="O297" s="64" t="str">
        <f>IF($A297="","",IFERROR(VLOOKUP($A297,'Risk Register'!$B$2:$I$1000,8,FALSE()),""))</f>
        <v/>
      </c>
      <c r="P297" s="66"/>
      <c r="Q297" s="66"/>
      <c r="R297" s="66"/>
      <c r="S297" s="66"/>
      <c r="T297" s="64" t="str">
        <f>IF(OR($B297="", $P297="", $Q297="", $R297="", $S297=""),"",ROUND(($P297*Lists!$AN$7)+($Q297*Lists!$AN$8)+($R297*Lists!$AN$9)+($S297*Lists!$AN$10),2))</f>
        <v/>
      </c>
      <c r="U297" s="66"/>
      <c r="V297" s="66"/>
      <c r="W297" s="66"/>
      <c r="X297" s="66"/>
      <c r="Y297" s="66"/>
      <c r="Z297" s="64" t="str">
        <f>IF(OR($B297="", $U297="", $V297="", $W297="", $X297="", $Y297=""),"",ROUND(($U297*Lists!$AN$11)+($V297*Lists!$AN$12)+($W297*Lists!$AN$13)+($X297*Lists!$AN$14)+($Y297*Lists!$AN$15),2))</f>
        <v/>
      </c>
      <c r="AA297" s="64" t="str">
        <f>IF(OR($B297="", $N297="", $O297="", $T297="", $Z297=""),"",ROUND(($N297*Lists!$AN$16)-($O297*Lists!$AN$17)-($T297*Lists!$AN$18)+($Z297*Lists!$AN$19),2))</f>
        <v/>
      </c>
      <c r="AB297" s="63" t="str">
        <f t="shared" si="17"/>
        <v/>
      </c>
      <c r="AC297" s="63" t="str">
        <f t="shared" si="18"/>
        <v/>
      </c>
      <c r="AD297" s="63" t="str">
        <f>IF($A297="","",IFERROR(IF(VLOOKUP($A297,'Risk Register'!$B$2:$H$1000,4,FALSE())&gt;=4,"Yes",""),""))</f>
        <v/>
      </c>
      <c r="AE297" s="63" t="str">
        <f t="shared" si="19"/>
        <v/>
      </c>
      <c r="AF297" s="62"/>
      <c r="AG297" s="62"/>
      <c r="AH297" s="62"/>
      <c r="AI297" s="62"/>
      <c r="AJ297" s="62"/>
      <c r="AK297" s="62"/>
      <c r="AL297" s="62"/>
      <c r="AM297" s="62"/>
      <c r="AN297" s="62"/>
      <c r="AO297" s="62"/>
      <c r="AP297" s="62"/>
      <c r="AQ297" s="80"/>
    </row>
    <row r="298" spans="1:43" ht="15.75" customHeight="1" x14ac:dyDescent="0.2">
      <c r="A298" s="63" t="str">
        <f t="shared" si="16"/>
        <v/>
      </c>
      <c r="B298" s="62"/>
      <c r="C298" s="62"/>
      <c r="D298" s="62"/>
      <c r="E298" s="62"/>
      <c r="F298" s="62"/>
      <c r="G298" s="62"/>
      <c r="H298" s="62"/>
      <c r="I298" s="66"/>
      <c r="J298" s="66"/>
      <c r="K298" s="66"/>
      <c r="L298" s="66"/>
      <c r="M298" s="66"/>
      <c r="N298" s="64" t="str">
        <f>IF(OR($B298="", $I298="", $J298="", $K298="", $L298="", $M298=""),"",ROUND(($I298*Lists!$AN$2)+($J298*Lists!$AN$3)+($K298*Lists!$AN$4)+($L298*Lists!$AN$5)+($M298*Lists!$AN$6),2))</f>
        <v/>
      </c>
      <c r="O298" s="64" t="str">
        <f>IF($A298="","",IFERROR(VLOOKUP($A298,'Risk Register'!$B$2:$I$1000,8,FALSE()),""))</f>
        <v/>
      </c>
      <c r="P298" s="66"/>
      <c r="Q298" s="66"/>
      <c r="R298" s="66"/>
      <c r="S298" s="66"/>
      <c r="T298" s="64" t="str">
        <f>IF(OR($B298="", $P298="", $Q298="", $R298="", $S298=""),"",ROUND(($P298*Lists!$AN$7)+($Q298*Lists!$AN$8)+($R298*Lists!$AN$9)+($S298*Lists!$AN$10),2))</f>
        <v/>
      </c>
      <c r="U298" s="66"/>
      <c r="V298" s="66"/>
      <c r="W298" s="66"/>
      <c r="X298" s="66"/>
      <c r="Y298" s="66"/>
      <c r="Z298" s="64" t="str">
        <f>IF(OR($B298="", $U298="", $V298="", $W298="", $X298="", $Y298=""),"",ROUND(($U298*Lists!$AN$11)+($V298*Lists!$AN$12)+($W298*Lists!$AN$13)+($X298*Lists!$AN$14)+($Y298*Lists!$AN$15),2))</f>
        <v/>
      </c>
      <c r="AA298" s="64" t="str">
        <f>IF(OR($B298="", $N298="", $O298="", $T298="", $Z298=""),"",ROUND(($N298*Lists!$AN$16)-($O298*Lists!$AN$17)-($T298*Lists!$AN$18)+($Z298*Lists!$AN$19),2))</f>
        <v/>
      </c>
      <c r="AB298" s="63" t="str">
        <f t="shared" si="17"/>
        <v/>
      </c>
      <c r="AC298" s="63" t="str">
        <f t="shared" si="18"/>
        <v/>
      </c>
      <c r="AD298" s="63" t="str">
        <f>IF($A298="","",IFERROR(IF(VLOOKUP($A298,'Risk Register'!$B$2:$H$1000,4,FALSE())&gt;=4,"Yes",""),""))</f>
        <v/>
      </c>
      <c r="AE298" s="63" t="str">
        <f t="shared" si="19"/>
        <v/>
      </c>
      <c r="AF298" s="62"/>
      <c r="AG298" s="62"/>
      <c r="AH298" s="62"/>
      <c r="AI298" s="62"/>
      <c r="AJ298" s="62"/>
      <c r="AK298" s="62"/>
      <c r="AL298" s="62"/>
      <c r="AM298" s="62"/>
      <c r="AN298" s="62"/>
      <c r="AO298" s="62"/>
      <c r="AP298" s="62"/>
      <c r="AQ298" s="80"/>
    </row>
    <row r="299" spans="1:43" ht="15.75" customHeight="1" x14ac:dyDescent="0.2">
      <c r="A299" s="63" t="str">
        <f t="shared" si="16"/>
        <v/>
      </c>
      <c r="B299" s="62"/>
      <c r="C299" s="62"/>
      <c r="D299" s="62"/>
      <c r="E299" s="62"/>
      <c r="F299" s="62"/>
      <c r="G299" s="62"/>
      <c r="H299" s="62"/>
      <c r="I299" s="66"/>
      <c r="J299" s="66"/>
      <c r="K299" s="66"/>
      <c r="L299" s="66"/>
      <c r="M299" s="66"/>
      <c r="N299" s="64" t="str">
        <f>IF(OR($B299="", $I299="", $J299="", $K299="", $L299="", $M299=""),"",ROUND(($I299*Lists!$AN$2)+($J299*Lists!$AN$3)+($K299*Lists!$AN$4)+($L299*Lists!$AN$5)+($M299*Lists!$AN$6),2))</f>
        <v/>
      </c>
      <c r="O299" s="64" t="str">
        <f>IF($A299="","",IFERROR(VLOOKUP($A299,'Risk Register'!$B$2:$I$1000,8,FALSE()),""))</f>
        <v/>
      </c>
      <c r="P299" s="66"/>
      <c r="Q299" s="66"/>
      <c r="R299" s="66"/>
      <c r="S299" s="66"/>
      <c r="T299" s="64" t="str">
        <f>IF(OR($B299="", $P299="", $Q299="", $R299="", $S299=""),"",ROUND(($P299*Lists!$AN$7)+($Q299*Lists!$AN$8)+($R299*Lists!$AN$9)+($S299*Lists!$AN$10),2))</f>
        <v/>
      </c>
      <c r="U299" s="66"/>
      <c r="V299" s="66"/>
      <c r="W299" s="66"/>
      <c r="X299" s="66"/>
      <c r="Y299" s="66"/>
      <c r="Z299" s="64" t="str">
        <f>IF(OR($B299="", $U299="", $V299="", $W299="", $X299="", $Y299=""),"",ROUND(($U299*Lists!$AN$11)+($V299*Lists!$AN$12)+($W299*Lists!$AN$13)+($X299*Lists!$AN$14)+($Y299*Lists!$AN$15),2))</f>
        <v/>
      </c>
      <c r="AA299" s="64" t="str">
        <f>IF(OR($B299="", $N299="", $O299="", $T299="", $Z299=""),"",ROUND(($N299*Lists!$AN$16)-($O299*Lists!$AN$17)-($T299*Lists!$AN$18)+($Z299*Lists!$AN$19),2))</f>
        <v/>
      </c>
      <c r="AB299" s="63" t="str">
        <f t="shared" si="17"/>
        <v/>
      </c>
      <c r="AC299" s="63" t="str">
        <f t="shared" si="18"/>
        <v/>
      </c>
      <c r="AD299" s="63" t="str">
        <f>IF($A299="","",IFERROR(IF(VLOOKUP($A299,'Risk Register'!$B$2:$H$1000,4,FALSE())&gt;=4,"Yes",""),""))</f>
        <v/>
      </c>
      <c r="AE299" s="63" t="str">
        <f t="shared" si="19"/>
        <v/>
      </c>
      <c r="AF299" s="62"/>
      <c r="AG299" s="62"/>
      <c r="AH299" s="62"/>
      <c r="AI299" s="62"/>
      <c r="AJ299" s="62"/>
      <c r="AK299" s="62"/>
      <c r="AL299" s="62"/>
      <c r="AM299" s="62"/>
      <c r="AN299" s="62"/>
      <c r="AO299" s="62"/>
      <c r="AP299" s="62"/>
      <c r="AQ299" s="80"/>
    </row>
    <row r="300" spans="1:43" ht="15.75" customHeight="1" x14ac:dyDescent="0.2">
      <c r="A300" s="63" t="str">
        <f t="shared" si="16"/>
        <v/>
      </c>
      <c r="B300" s="62"/>
      <c r="C300" s="62"/>
      <c r="D300" s="62"/>
      <c r="E300" s="62"/>
      <c r="F300" s="62"/>
      <c r="G300" s="62"/>
      <c r="H300" s="62"/>
      <c r="I300" s="66"/>
      <c r="J300" s="66"/>
      <c r="K300" s="66"/>
      <c r="L300" s="66"/>
      <c r="M300" s="66"/>
      <c r="N300" s="64" t="str">
        <f>IF(OR($B300="", $I300="", $J300="", $K300="", $L300="", $M300=""),"",ROUND(($I300*Lists!$AN$2)+($J300*Lists!$AN$3)+($K300*Lists!$AN$4)+($L300*Lists!$AN$5)+($M300*Lists!$AN$6),2))</f>
        <v/>
      </c>
      <c r="O300" s="64" t="str">
        <f>IF($A300="","",IFERROR(VLOOKUP($A300,'Risk Register'!$B$2:$I$1000,8,FALSE()),""))</f>
        <v/>
      </c>
      <c r="P300" s="66"/>
      <c r="Q300" s="66"/>
      <c r="R300" s="66"/>
      <c r="S300" s="66"/>
      <c r="T300" s="64" t="str">
        <f>IF(OR($B300="", $P300="", $Q300="", $R300="", $S300=""),"",ROUND(($P300*Lists!$AN$7)+($Q300*Lists!$AN$8)+($R300*Lists!$AN$9)+($S300*Lists!$AN$10),2))</f>
        <v/>
      </c>
      <c r="U300" s="66"/>
      <c r="V300" s="66"/>
      <c r="W300" s="66"/>
      <c r="X300" s="66"/>
      <c r="Y300" s="66"/>
      <c r="Z300" s="64" t="str">
        <f>IF(OR($B300="", $U300="", $V300="", $W300="", $X300="", $Y300=""),"",ROUND(($U300*Lists!$AN$11)+($V300*Lists!$AN$12)+($W300*Lists!$AN$13)+($X300*Lists!$AN$14)+($Y300*Lists!$AN$15),2))</f>
        <v/>
      </c>
      <c r="AA300" s="64" t="str">
        <f>IF(OR($B300="", $N300="", $O300="", $T300="", $Z300=""),"",ROUND(($N300*Lists!$AN$16)-($O300*Lists!$AN$17)-($T300*Lists!$AN$18)+($Z300*Lists!$AN$19),2))</f>
        <v/>
      </c>
      <c r="AB300" s="63" t="str">
        <f t="shared" si="17"/>
        <v/>
      </c>
      <c r="AC300" s="63" t="str">
        <f t="shared" si="18"/>
        <v/>
      </c>
      <c r="AD300" s="63" t="str">
        <f>IF($A300="","",IFERROR(IF(VLOOKUP($A300,'Risk Register'!$B$2:$H$1000,4,FALSE())&gt;=4,"Yes",""),""))</f>
        <v/>
      </c>
      <c r="AE300" s="63" t="str">
        <f t="shared" si="19"/>
        <v/>
      </c>
      <c r="AF300" s="62"/>
      <c r="AG300" s="62"/>
      <c r="AH300" s="62"/>
      <c r="AI300" s="62"/>
      <c r="AJ300" s="62"/>
      <c r="AK300" s="62"/>
      <c r="AL300" s="62"/>
      <c r="AM300" s="62"/>
      <c r="AN300" s="62"/>
      <c r="AO300" s="62"/>
      <c r="AP300" s="62"/>
      <c r="AQ300" s="80"/>
    </row>
    <row r="301" spans="1:43" ht="15.75" customHeight="1" x14ac:dyDescent="0.2">
      <c r="A301" s="63" t="str">
        <f t="shared" si="16"/>
        <v/>
      </c>
      <c r="B301" s="62"/>
      <c r="C301" s="62"/>
      <c r="D301" s="62"/>
      <c r="E301" s="62"/>
      <c r="F301" s="62"/>
      <c r="G301" s="62"/>
      <c r="H301" s="62"/>
      <c r="I301" s="66"/>
      <c r="J301" s="66"/>
      <c r="K301" s="66"/>
      <c r="L301" s="66"/>
      <c r="M301" s="66"/>
      <c r="N301" s="64" t="str">
        <f>IF(OR($B301="", $I301="", $J301="", $K301="", $L301="", $M301=""),"",ROUND(($I301*Lists!$AN$2)+($J301*Lists!$AN$3)+($K301*Lists!$AN$4)+($L301*Lists!$AN$5)+($M301*Lists!$AN$6),2))</f>
        <v/>
      </c>
      <c r="O301" s="64" t="str">
        <f>IF($A301="","",IFERROR(VLOOKUP($A301,'Risk Register'!$B$2:$I$1000,8,FALSE()),""))</f>
        <v/>
      </c>
      <c r="P301" s="66"/>
      <c r="Q301" s="66"/>
      <c r="R301" s="66"/>
      <c r="S301" s="66"/>
      <c r="T301" s="64" t="str">
        <f>IF(OR($B301="", $P301="", $Q301="", $R301="", $S301=""),"",ROUND(($P301*Lists!$AN$7)+($Q301*Lists!$AN$8)+($R301*Lists!$AN$9)+($S301*Lists!$AN$10),2))</f>
        <v/>
      </c>
      <c r="U301" s="66"/>
      <c r="V301" s="66"/>
      <c r="W301" s="66"/>
      <c r="X301" s="66"/>
      <c r="Y301" s="66"/>
      <c r="Z301" s="64" t="str">
        <f>IF(OR($B301="", $U301="", $V301="", $W301="", $X301="", $Y301=""),"",ROUND(($U301*Lists!$AN$11)+($V301*Lists!$AN$12)+($W301*Lists!$AN$13)+($X301*Lists!$AN$14)+($Y301*Lists!$AN$15),2))</f>
        <v/>
      </c>
      <c r="AA301" s="64" t="str">
        <f>IF(OR($B301="", $N301="", $O301="", $T301="", $Z301=""),"",ROUND(($N301*Lists!$AN$16)-($O301*Lists!$AN$17)-($T301*Lists!$AN$18)+($Z301*Lists!$AN$19),2))</f>
        <v/>
      </c>
      <c r="AB301" s="63" t="str">
        <f t="shared" si="17"/>
        <v/>
      </c>
      <c r="AC301" s="63" t="str">
        <f t="shared" si="18"/>
        <v/>
      </c>
      <c r="AD301" s="63" t="str">
        <f>IF($A301="","",IFERROR(IF(VLOOKUP($A301,'Risk Register'!$B$2:$H$1000,4,FALSE())&gt;=4,"Yes",""),""))</f>
        <v/>
      </c>
      <c r="AE301" s="63" t="str">
        <f t="shared" si="19"/>
        <v/>
      </c>
      <c r="AF301" s="62"/>
      <c r="AG301" s="62"/>
      <c r="AH301" s="62"/>
      <c r="AI301" s="62"/>
      <c r="AJ301" s="62"/>
      <c r="AK301" s="62"/>
      <c r="AL301" s="62"/>
      <c r="AM301" s="62"/>
      <c r="AN301" s="62"/>
      <c r="AO301" s="62"/>
      <c r="AP301" s="62"/>
      <c r="AQ301" s="80"/>
    </row>
    <row r="302" spans="1:43" ht="15.75" customHeight="1" x14ac:dyDescent="0.2">
      <c r="A302" s="63" t="str">
        <f t="shared" si="16"/>
        <v/>
      </c>
      <c r="B302" s="62"/>
      <c r="C302" s="62"/>
      <c r="D302" s="62"/>
      <c r="E302" s="62"/>
      <c r="F302" s="62"/>
      <c r="G302" s="62"/>
      <c r="H302" s="62"/>
      <c r="I302" s="66"/>
      <c r="J302" s="66"/>
      <c r="K302" s="66"/>
      <c r="L302" s="66"/>
      <c r="M302" s="66"/>
      <c r="N302" s="64" t="str">
        <f>IF(OR($B302="", $I302="", $J302="", $K302="", $L302="", $M302=""),"",ROUND(($I302*Lists!$AN$2)+($J302*Lists!$AN$3)+($K302*Lists!$AN$4)+($L302*Lists!$AN$5)+($M302*Lists!$AN$6),2))</f>
        <v/>
      </c>
      <c r="O302" s="64" t="str">
        <f>IF($A302="","",IFERROR(VLOOKUP($A302,'Risk Register'!$B$2:$I$1000,8,FALSE()),""))</f>
        <v/>
      </c>
      <c r="P302" s="66"/>
      <c r="Q302" s="66"/>
      <c r="R302" s="66"/>
      <c r="S302" s="66"/>
      <c r="T302" s="64" t="str">
        <f>IF(OR($B302="", $P302="", $Q302="", $R302="", $S302=""),"",ROUND(($P302*Lists!$AN$7)+($Q302*Lists!$AN$8)+($R302*Lists!$AN$9)+($S302*Lists!$AN$10),2))</f>
        <v/>
      </c>
      <c r="U302" s="66"/>
      <c r="V302" s="66"/>
      <c r="W302" s="66"/>
      <c r="X302" s="66"/>
      <c r="Y302" s="66"/>
      <c r="Z302" s="64" t="str">
        <f>IF(OR($B302="", $U302="", $V302="", $W302="", $X302="", $Y302=""),"",ROUND(($U302*Lists!$AN$11)+($V302*Lists!$AN$12)+($W302*Lists!$AN$13)+($X302*Lists!$AN$14)+($Y302*Lists!$AN$15),2))</f>
        <v/>
      </c>
      <c r="AA302" s="64" t="str">
        <f>IF(OR($B302="", $N302="", $O302="", $T302="", $Z302=""),"",ROUND(($N302*Lists!$AN$16)-($O302*Lists!$AN$17)-($T302*Lists!$AN$18)+($Z302*Lists!$AN$19),2))</f>
        <v/>
      </c>
      <c r="AB302" s="63" t="str">
        <f t="shared" si="17"/>
        <v/>
      </c>
      <c r="AC302" s="63" t="str">
        <f t="shared" si="18"/>
        <v/>
      </c>
      <c r="AD302" s="63" t="str">
        <f>IF($A302="","",IFERROR(IF(VLOOKUP($A302,'Risk Register'!$B$2:$H$1000,4,FALSE())&gt;=4,"Yes",""),""))</f>
        <v/>
      </c>
      <c r="AE302" s="63" t="str">
        <f t="shared" si="19"/>
        <v/>
      </c>
      <c r="AF302" s="62"/>
      <c r="AG302" s="62"/>
      <c r="AH302" s="62"/>
      <c r="AI302" s="62"/>
      <c r="AJ302" s="62"/>
      <c r="AK302" s="62"/>
      <c r="AL302" s="62"/>
      <c r="AM302" s="62"/>
      <c r="AN302" s="62"/>
      <c r="AO302" s="62"/>
      <c r="AP302" s="62"/>
      <c r="AQ302" s="80"/>
    </row>
    <row r="303" spans="1:43" ht="15.75" customHeight="1" x14ac:dyDescent="0.2">
      <c r="A303" s="63" t="str">
        <f t="shared" si="16"/>
        <v/>
      </c>
      <c r="B303" s="62"/>
      <c r="C303" s="62"/>
      <c r="D303" s="62"/>
      <c r="E303" s="62"/>
      <c r="F303" s="62"/>
      <c r="G303" s="62"/>
      <c r="H303" s="62"/>
      <c r="I303" s="66"/>
      <c r="J303" s="66"/>
      <c r="K303" s="66"/>
      <c r="L303" s="66"/>
      <c r="M303" s="66"/>
      <c r="N303" s="64" t="str">
        <f>IF(OR($B303="", $I303="", $J303="", $K303="", $L303="", $M303=""),"",ROUND(($I303*Lists!$AN$2)+($J303*Lists!$AN$3)+($K303*Lists!$AN$4)+($L303*Lists!$AN$5)+($M303*Lists!$AN$6),2))</f>
        <v/>
      </c>
      <c r="O303" s="64" t="str">
        <f>IF($A303="","",IFERROR(VLOOKUP($A303,'Risk Register'!$B$2:$I$1000,8,FALSE()),""))</f>
        <v/>
      </c>
      <c r="P303" s="66"/>
      <c r="Q303" s="66"/>
      <c r="R303" s="66"/>
      <c r="S303" s="66"/>
      <c r="T303" s="64" t="str">
        <f>IF(OR($B303="", $P303="", $Q303="", $R303="", $S303=""),"",ROUND(($P303*Lists!$AN$7)+($Q303*Lists!$AN$8)+($R303*Lists!$AN$9)+($S303*Lists!$AN$10),2))</f>
        <v/>
      </c>
      <c r="U303" s="66"/>
      <c r="V303" s="66"/>
      <c r="W303" s="66"/>
      <c r="X303" s="66"/>
      <c r="Y303" s="66"/>
      <c r="Z303" s="64" t="str">
        <f>IF(OR($B303="", $U303="", $V303="", $W303="", $X303="", $Y303=""),"",ROUND(($U303*Lists!$AN$11)+($V303*Lists!$AN$12)+($W303*Lists!$AN$13)+($X303*Lists!$AN$14)+($Y303*Lists!$AN$15),2))</f>
        <v/>
      </c>
      <c r="AA303" s="64" t="str">
        <f>IF(OR($B303="", $N303="", $O303="", $T303="", $Z303=""),"",ROUND(($N303*Lists!$AN$16)-($O303*Lists!$AN$17)-($T303*Lists!$AN$18)+($Z303*Lists!$AN$19),2))</f>
        <v/>
      </c>
      <c r="AB303" s="63" t="str">
        <f t="shared" si="17"/>
        <v/>
      </c>
      <c r="AC303" s="63" t="str">
        <f t="shared" si="18"/>
        <v/>
      </c>
      <c r="AD303" s="63" t="str">
        <f>IF($A303="","",IFERROR(IF(VLOOKUP($A303,'Risk Register'!$B$2:$H$1000,4,FALSE())&gt;=4,"Yes",""),""))</f>
        <v/>
      </c>
      <c r="AE303" s="63" t="str">
        <f t="shared" si="19"/>
        <v/>
      </c>
      <c r="AF303" s="62"/>
      <c r="AG303" s="62"/>
      <c r="AH303" s="62"/>
      <c r="AI303" s="62"/>
      <c r="AJ303" s="62"/>
      <c r="AK303" s="62"/>
      <c r="AL303" s="62"/>
      <c r="AM303" s="62"/>
      <c r="AN303" s="62"/>
      <c r="AO303" s="62"/>
      <c r="AP303" s="62"/>
      <c r="AQ303" s="80"/>
    </row>
    <row r="304" spans="1:43" ht="15.75" customHeight="1" x14ac:dyDescent="0.2">
      <c r="A304" s="63" t="str">
        <f t="shared" si="16"/>
        <v/>
      </c>
      <c r="B304" s="62"/>
      <c r="C304" s="62"/>
      <c r="D304" s="62"/>
      <c r="E304" s="62"/>
      <c r="F304" s="62"/>
      <c r="G304" s="62"/>
      <c r="H304" s="62"/>
      <c r="I304" s="66"/>
      <c r="J304" s="66"/>
      <c r="K304" s="66"/>
      <c r="L304" s="66"/>
      <c r="M304" s="66"/>
      <c r="N304" s="64" t="str">
        <f>IF(OR($B304="", $I304="", $J304="", $K304="", $L304="", $M304=""),"",ROUND(($I304*Lists!$AN$2)+($J304*Lists!$AN$3)+($K304*Lists!$AN$4)+($L304*Lists!$AN$5)+($M304*Lists!$AN$6),2))</f>
        <v/>
      </c>
      <c r="O304" s="64" t="str">
        <f>IF($A304="","",IFERROR(VLOOKUP($A304,'Risk Register'!$B$2:$I$1000,8,FALSE()),""))</f>
        <v/>
      </c>
      <c r="P304" s="66"/>
      <c r="Q304" s="66"/>
      <c r="R304" s="66"/>
      <c r="S304" s="66"/>
      <c r="T304" s="64" t="str">
        <f>IF(OR($B304="", $P304="", $Q304="", $R304="", $S304=""),"",ROUND(($P304*Lists!$AN$7)+($Q304*Lists!$AN$8)+($R304*Lists!$AN$9)+($S304*Lists!$AN$10),2))</f>
        <v/>
      </c>
      <c r="U304" s="66"/>
      <c r="V304" s="66"/>
      <c r="W304" s="66"/>
      <c r="X304" s="66"/>
      <c r="Y304" s="66"/>
      <c r="Z304" s="64" t="str">
        <f>IF(OR($B304="", $U304="", $V304="", $W304="", $X304="", $Y304=""),"",ROUND(($U304*Lists!$AN$11)+($V304*Lists!$AN$12)+($W304*Lists!$AN$13)+($X304*Lists!$AN$14)+($Y304*Lists!$AN$15),2))</f>
        <v/>
      </c>
      <c r="AA304" s="64" t="str">
        <f>IF(OR($B304="", $N304="", $O304="", $T304="", $Z304=""),"",ROUND(($N304*Lists!$AN$16)-($O304*Lists!$AN$17)-($T304*Lists!$AN$18)+($Z304*Lists!$AN$19),2))</f>
        <v/>
      </c>
      <c r="AB304" s="63" t="str">
        <f t="shared" si="17"/>
        <v/>
      </c>
      <c r="AC304" s="63" t="str">
        <f t="shared" si="18"/>
        <v/>
      </c>
      <c r="AD304" s="63" t="str">
        <f>IF($A304="","",IFERROR(IF(VLOOKUP($A304,'Risk Register'!$B$2:$H$1000,4,FALSE())&gt;=4,"Yes",""),""))</f>
        <v/>
      </c>
      <c r="AE304" s="63" t="str">
        <f t="shared" si="19"/>
        <v/>
      </c>
      <c r="AF304" s="62"/>
      <c r="AG304" s="62"/>
      <c r="AH304" s="62"/>
      <c r="AI304" s="62"/>
      <c r="AJ304" s="62"/>
      <c r="AK304" s="62"/>
      <c r="AL304" s="62"/>
      <c r="AM304" s="62"/>
      <c r="AN304" s="62"/>
      <c r="AO304" s="62"/>
      <c r="AP304" s="62"/>
      <c r="AQ304" s="80"/>
    </row>
    <row r="305" spans="1:43" ht="15.75" customHeight="1" x14ac:dyDescent="0.2">
      <c r="A305" s="63" t="str">
        <f t="shared" si="16"/>
        <v/>
      </c>
      <c r="B305" s="62"/>
      <c r="C305" s="62"/>
      <c r="D305" s="62"/>
      <c r="E305" s="62"/>
      <c r="F305" s="62"/>
      <c r="G305" s="62"/>
      <c r="H305" s="62"/>
      <c r="I305" s="66"/>
      <c r="J305" s="66"/>
      <c r="K305" s="66"/>
      <c r="L305" s="66"/>
      <c r="M305" s="66"/>
      <c r="N305" s="64" t="str">
        <f>IF(OR($B305="", $I305="", $J305="", $K305="", $L305="", $M305=""),"",ROUND(($I305*Lists!$AN$2)+($J305*Lists!$AN$3)+($K305*Lists!$AN$4)+($L305*Lists!$AN$5)+($M305*Lists!$AN$6),2))</f>
        <v/>
      </c>
      <c r="O305" s="64" t="str">
        <f>IF($A305="","",IFERROR(VLOOKUP($A305,'Risk Register'!$B$2:$I$1000,8,FALSE()),""))</f>
        <v/>
      </c>
      <c r="P305" s="66"/>
      <c r="Q305" s="66"/>
      <c r="R305" s="66"/>
      <c r="S305" s="66"/>
      <c r="T305" s="64" t="str">
        <f>IF(OR($B305="", $P305="", $Q305="", $R305="", $S305=""),"",ROUND(($P305*Lists!$AN$7)+($Q305*Lists!$AN$8)+($R305*Lists!$AN$9)+($S305*Lists!$AN$10),2))</f>
        <v/>
      </c>
      <c r="U305" s="66"/>
      <c r="V305" s="66"/>
      <c r="W305" s="66"/>
      <c r="X305" s="66"/>
      <c r="Y305" s="66"/>
      <c r="Z305" s="64" t="str">
        <f>IF(OR($B305="", $U305="", $V305="", $W305="", $X305="", $Y305=""),"",ROUND(($U305*Lists!$AN$11)+($V305*Lists!$AN$12)+($W305*Lists!$AN$13)+($X305*Lists!$AN$14)+($Y305*Lists!$AN$15),2))</f>
        <v/>
      </c>
      <c r="AA305" s="64" t="str">
        <f>IF(OR($B305="", $N305="", $O305="", $T305="", $Z305=""),"",ROUND(($N305*Lists!$AN$16)-($O305*Lists!$AN$17)-($T305*Lists!$AN$18)+($Z305*Lists!$AN$19),2))</f>
        <v/>
      </c>
      <c r="AB305" s="63" t="str">
        <f t="shared" si="17"/>
        <v/>
      </c>
      <c r="AC305" s="63" t="str">
        <f t="shared" si="18"/>
        <v/>
      </c>
      <c r="AD305" s="63" t="str">
        <f>IF($A305="","",IFERROR(IF(VLOOKUP($A305,'Risk Register'!$B$2:$H$1000,4,FALSE())&gt;=4,"Yes",""),""))</f>
        <v/>
      </c>
      <c r="AE305" s="63" t="str">
        <f t="shared" si="19"/>
        <v/>
      </c>
      <c r="AF305" s="62"/>
      <c r="AG305" s="62"/>
      <c r="AH305" s="62"/>
      <c r="AI305" s="62"/>
      <c r="AJ305" s="62"/>
      <c r="AK305" s="62"/>
      <c r="AL305" s="62"/>
      <c r="AM305" s="62"/>
      <c r="AN305" s="62"/>
      <c r="AO305" s="62"/>
      <c r="AP305" s="62"/>
      <c r="AQ305" s="80"/>
    </row>
    <row r="306" spans="1:43" ht="15.75" customHeight="1" x14ac:dyDescent="0.2">
      <c r="A306" s="63" t="str">
        <f t="shared" si="16"/>
        <v/>
      </c>
      <c r="B306" s="62"/>
      <c r="C306" s="62"/>
      <c r="D306" s="62"/>
      <c r="E306" s="62"/>
      <c r="F306" s="62"/>
      <c r="G306" s="62"/>
      <c r="H306" s="62"/>
      <c r="I306" s="66"/>
      <c r="J306" s="66"/>
      <c r="K306" s="66"/>
      <c r="L306" s="66"/>
      <c r="M306" s="66"/>
      <c r="N306" s="64" t="str">
        <f>IF(OR($B306="", $I306="", $J306="", $K306="", $L306="", $M306=""),"",ROUND(($I306*Lists!$AN$2)+($J306*Lists!$AN$3)+($K306*Lists!$AN$4)+($L306*Lists!$AN$5)+($M306*Lists!$AN$6),2))</f>
        <v/>
      </c>
      <c r="O306" s="64" t="str">
        <f>IF($A306="","",IFERROR(VLOOKUP($A306,'Risk Register'!$B$2:$I$1000,8,FALSE()),""))</f>
        <v/>
      </c>
      <c r="P306" s="66"/>
      <c r="Q306" s="66"/>
      <c r="R306" s="66"/>
      <c r="S306" s="66"/>
      <c r="T306" s="64" t="str">
        <f>IF(OR($B306="", $P306="", $Q306="", $R306="", $S306=""),"",ROUND(($P306*Lists!$AN$7)+($Q306*Lists!$AN$8)+($R306*Lists!$AN$9)+($S306*Lists!$AN$10),2))</f>
        <v/>
      </c>
      <c r="U306" s="66"/>
      <c r="V306" s="66"/>
      <c r="W306" s="66"/>
      <c r="X306" s="66"/>
      <c r="Y306" s="66"/>
      <c r="Z306" s="64" t="str">
        <f>IF(OR($B306="", $U306="", $V306="", $W306="", $X306="", $Y306=""),"",ROUND(($U306*Lists!$AN$11)+($V306*Lists!$AN$12)+($W306*Lists!$AN$13)+($X306*Lists!$AN$14)+($Y306*Lists!$AN$15),2))</f>
        <v/>
      </c>
      <c r="AA306" s="64" t="str">
        <f>IF(OR($B306="", $N306="", $O306="", $T306="", $Z306=""),"",ROUND(($N306*Lists!$AN$16)-($O306*Lists!$AN$17)-($T306*Lists!$AN$18)+($Z306*Lists!$AN$19),2))</f>
        <v/>
      </c>
      <c r="AB306" s="63" t="str">
        <f t="shared" si="17"/>
        <v/>
      </c>
      <c r="AC306" s="63" t="str">
        <f t="shared" si="18"/>
        <v/>
      </c>
      <c r="AD306" s="63" t="str">
        <f>IF($A306="","",IFERROR(IF(VLOOKUP($A306,'Risk Register'!$B$2:$H$1000,4,FALSE())&gt;=4,"Yes",""),""))</f>
        <v/>
      </c>
      <c r="AE306" s="63" t="str">
        <f t="shared" si="19"/>
        <v/>
      </c>
      <c r="AF306" s="62"/>
      <c r="AG306" s="62"/>
      <c r="AH306" s="62"/>
      <c r="AI306" s="62"/>
      <c r="AJ306" s="62"/>
      <c r="AK306" s="62"/>
      <c r="AL306" s="62"/>
      <c r="AM306" s="62"/>
      <c r="AN306" s="62"/>
      <c r="AO306" s="62"/>
      <c r="AP306" s="62"/>
      <c r="AQ306" s="80"/>
    </row>
    <row r="307" spans="1:43" ht="15.75" customHeight="1" x14ac:dyDescent="0.2">
      <c r="A307" s="63" t="str">
        <f t="shared" si="16"/>
        <v/>
      </c>
      <c r="B307" s="62"/>
      <c r="C307" s="62"/>
      <c r="D307" s="62"/>
      <c r="E307" s="62"/>
      <c r="F307" s="62"/>
      <c r="G307" s="62"/>
      <c r="H307" s="62"/>
      <c r="I307" s="66"/>
      <c r="J307" s="66"/>
      <c r="K307" s="66"/>
      <c r="L307" s="66"/>
      <c r="M307" s="66"/>
      <c r="N307" s="64" t="str">
        <f>IF(OR($B307="", $I307="", $J307="", $K307="", $L307="", $M307=""),"",ROUND(($I307*Lists!$AN$2)+($J307*Lists!$AN$3)+($K307*Lists!$AN$4)+($L307*Lists!$AN$5)+($M307*Lists!$AN$6),2))</f>
        <v/>
      </c>
      <c r="O307" s="64" t="str">
        <f>IF($A307="","",IFERROR(VLOOKUP($A307,'Risk Register'!$B$2:$I$1000,8,FALSE()),""))</f>
        <v/>
      </c>
      <c r="P307" s="66"/>
      <c r="Q307" s="66"/>
      <c r="R307" s="66"/>
      <c r="S307" s="66"/>
      <c r="T307" s="64" t="str">
        <f>IF(OR($B307="", $P307="", $Q307="", $R307="", $S307=""),"",ROUND(($P307*Lists!$AN$7)+($Q307*Lists!$AN$8)+($R307*Lists!$AN$9)+($S307*Lists!$AN$10),2))</f>
        <v/>
      </c>
      <c r="U307" s="66"/>
      <c r="V307" s="66"/>
      <c r="W307" s="66"/>
      <c r="X307" s="66"/>
      <c r="Y307" s="66"/>
      <c r="Z307" s="64" t="str">
        <f>IF(OR($B307="", $U307="", $V307="", $W307="", $X307="", $Y307=""),"",ROUND(($U307*Lists!$AN$11)+($V307*Lists!$AN$12)+($W307*Lists!$AN$13)+($X307*Lists!$AN$14)+($Y307*Lists!$AN$15),2))</f>
        <v/>
      </c>
      <c r="AA307" s="64" t="str">
        <f>IF(OR($B307="", $N307="", $O307="", $T307="", $Z307=""),"",ROUND(($N307*Lists!$AN$16)-($O307*Lists!$AN$17)-($T307*Lists!$AN$18)+($Z307*Lists!$AN$19),2))</f>
        <v/>
      </c>
      <c r="AB307" s="63" t="str">
        <f t="shared" si="17"/>
        <v/>
      </c>
      <c r="AC307" s="63" t="str">
        <f t="shared" si="18"/>
        <v/>
      </c>
      <c r="AD307" s="63" t="str">
        <f>IF($A307="","",IFERROR(IF(VLOOKUP($A307,'Risk Register'!$B$2:$H$1000,4,FALSE())&gt;=4,"Yes",""),""))</f>
        <v/>
      </c>
      <c r="AE307" s="63" t="str">
        <f t="shared" si="19"/>
        <v/>
      </c>
      <c r="AF307" s="62"/>
      <c r="AG307" s="62"/>
      <c r="AH307" s="62"/>
      <c r="AI307" s="62"/>
      <c r="AJ307" s="62"/>
      <c r="AK307" s="62"/>
      <c r="AL307" s="62"/>
      <c r="AM307" s="62"/>
      <c r="AN307" s="62"/>
      <c r="AO307" s="62"/>
      <c r="AP307" s="62"/>
      <c r="AQ307" s="80"/>
    </row>
    <row r="308" spans="1:43" ht="15.75" customHeight="1" x14ac:dyDescent="0.2">
      <c r="A308" s="63" t="str">
        <f t="shared" si="16"/>
        <v/>
      </c>
      <c r="B308" s="62"/>
      <c r="C308" s="62"/>
      <c r="D308" s="62"/>
      <c r="E308" s="62"/>
      <c r="F308" s="62"/>
      <c r="G308" s="62"/>
      <c r="H308" s="62"/>
      <c r="I308" s="66"/>
      <c r="J308" s="66"/>
      <c r="K308" s="66"/>
      <c r="L308" s="66"/>
      <c r="M308" s="66"/>
      <c r="N308" s="64" t="str">
        <f>IF(OR($B308="", $I308="", $J308="", $K308="", $L308="", $M308=""),"",ROUND(($I308*Lists!$AN$2)+($J308*Lists!$AN$3)+($K308*Lists!$AN$4)+($L308*Lists!$AN$5)+($M308*Lists!$AN$6),2))</f>
        <v/>
      </c>
      <c r="O308" s="64" t="str">
        <f>IF($A308="","",IFERROR(VLOOKUP($A308,'Risk Register'!$B$2:$I$1000,8,FALSE()),""))</f>
        <v/>
      </c>
      <c r="P308" s="66"/>
      <c r="Q308" s="66"/>
      <c r="R308" s="66"/>
      <c r="S308" s="66"/>
      <c r="T308" s="64" t="str">
        <f>IF(OR($B308="", $P308="", $Q308="", $R308="", $S308=""),"",ROUND(($P308*Lists!$AN$7)+($Q308*Lists!$AN$8)+($R308*Lists!$AN$9)+($S308*Lists!$AN$10),2))</f>
        <v/>
      </c>
      <c r="U308" s="66"/>
      <c r="V308" s="66"/>
      <c r="W308" s="66"/>
      <c r="X308" s="66"/>
      <c r="Y308" s="66"/>
      <c r="Z308" s="64" t="str">
        <f>IF(OR($B308="", $U308="", $V308="", $W308="", $X308="", $Y308=""),"",ROUND(($U308*Lists!$AN$11)+($V308*Lists!$AN$12)+($W308*Lists!$AN$13)+($X308*Lists!$AN$14)+($Y308*Lists!$AN$15),2))</f>
        <v/>
      </c>
      <c r="AA308" s="64" t="str">
        <f>IF(OR($B308="", $N308="", $O308="", $T308="", $Z308=""),"",ROUND(($N308*Lists!$AN$16)-($O308*Lists!$AN$17)-($T308*Lists!$AN$18)+($Z308*Lists!$AN$19),2))</f>
        <v/>
      </c>
      <c r="AB308" s="63" t="str">
        <f t="shared" si="17"/>
        <v/>
      </c>
      <c r="AC308" s="63" t="str">
        <f t="shared" si="18"/>
        <v/>
      </c>
      <c r="AD308" s="63" t="str">
        <f>IF($A308="","",IFERROR(IF(VLOOKUP($A308,'Risk Register'!$B$2:$H$1000,4,FALSE())&gt;=4,"Yes",""),""))</f>
        <v/>
      </c>
      <c r="AE308" s="63" t="str">
        <f t="shared" si="19"/>
        <v/>
      </c>
      <c r="AF308" s="62"/>
      <c r="AG308" s="62"/>
      <c r="AH308" s="62"/>
      <c r="AI308" s="62"/>
      <c r="AJ308" s="62"/>
      <c r="AK308" s="62"/>
      <c r="AL308" s="62"/>
      <c r="AM308" s="62"/>
      <c r="AN308" s="62"/>
      <c r="AO308" s="62"/>
      <c r="AP308" s="62"/>
      <c r="AQ308" s="80"/>
    </row>
    <row r="309" spans="1:43" ht="15.75" customHeight="1" x14ac:dyDescent="0.2">
      <c r="A309" s="63" t="str">
        <f t="shared" si="16"/>
        <v/>
      </c>
      <c r="B309" s="62"/>
      <c r="C309" s="62"/>
      <c r="D309" s="62"/>
      <c r="E309" s="62"/>
      <c r="F309" s="62"/>
      <c r="G309" s="62"/>
      <c r="H309" s="62"/>
      <c r="I309" s="66"/>
      <c r="J309" s="66"/>
      <c r="K309" s="66"/>
      <c r="L309" s="66"/>
      <c r="M309" s="66"/>
      <c r="N309" s="64" t="str">
        <f>IF(OR($B309="", $I309="", $J309="", $K309="", $L309="", $M309=""),"",ROUND(($I309*Lists!$AN$2)+($J309*Lists!$AN$3)+($K309*Lists!$AN$4)+($L309*Lists!$AN$5)+($M309*Lists!$AN$6),2))</f>
        <v/>
      </c>
      <c r="O309" s="64" t="str">
        <f>IF($A309="","",IFERROR(VLOOKUP($A309,'Risk Register'!$B$2:$I$1000,8,FALSE()),""))</f>
        <v/>
      </c>
      <c r="P309" s="66"/>
      <c r="Q309" s="66"/>
      <c r="R309" s="66"/>
      <c r="S309" s="66"/>
      <c r="T309" s="64" t="str">
        <f>IF(OR($B309="", $P309="", $Q309="", $R309="", $S309=""),"",ROUND(($P309*Lists!$AN$7)+($Q309*Lists!$AN$8)+($R309*Lists!$AN$9)+($S309*Lists!$AN$10),2))</f>
        <v/>
      </c>
      <c r="U309" s="66"/>
      <c r="V309" s="66"/>
      <c r="W309" s="66"/>
      <c r="X309" s="66"/>
      <c r="Y309" s="66"/>
      <c r="Z309" s="64" t="str">
        <f>IF(OR($B309="", $U309="", $V309="", $W309="", $X309="", $Y309=""),"",ROUND(($U309*Lists!$AN$11)+($V309*Lists!$AN$12)+($W309*Lists!$AN$13)+($X309*Lists!$AN$14)+($Y309*Lists!$AN$15),2))</f>
        <v/>
      </c>
      <c r="AA309" s="64" t="str">
        <f>IF(OR($B309="", $N309="", $O309="", $T309="", $Z309=""),"",ROUND(($N309*Lists!$AN$16)-($O309*Lists!$AN$17)-($T309*Lists!$AN$18)+($Z309*Lists!$AN$19),2))</f>
        <v/>
      </c>
      <c r="AB309" s="63" t="str">
        <f t="shared" si="17"/>
        <v/>
      </c>
      <c r="AC309" s="63" t="str">
        <f t="shared" si="18"/>
        <v/>
      </c>
      <c r="AD309" s="63" t="str">
        <f>IF($A309="","",IFERROR(IF(VLOOKUP($A309,'Risk Register'!$B$2:$H$1000,4,FALSE())&gt;=4,"Yes",""),""))</f>
        <v/>
      </c>
      <c r="AE309" s="63" t="str">
        <f t="shared" si="19"/>
        <v/>
      </c>
      <c r="AF309" s="62"/>
      <c r="AG309" s="62"/>
      <c r="AH309" s="62"/>
      <c r="AI309" s="62"/>
      <c r="AJ309" s="62"/>
      <c r="AK309" s="62"/>
      <c r="AL309" s="62"/>
      <c r="AM309" s="62"/>
      <c r="AN309" s="62"/>
      <c r="AO309" s="62"/>
      <c r="AP309" s="62"/>
      <c r="AQ309" s="80"/>
    </row>
    <row r="310" spans="1:43" ht="15.75" customHeight="1" x14ac:dyDescent="0.2">
      <c r="A310" s="63" t="str">
        <f t="shared" si="16"/>
        <v/>
      </c>
      <c r="B310" s="62"/>
      <c r="C310" s="62"/>
      <c r="D310" s="62"/>
      <c r="E310" s="62"/>
      <c r="F310" s="62"/>
      <c r="G310" s="62"/>
      <c r="H310" s="62"/>
      <c r="I310" s="66"/>
      <c r="J310" s="66"/>
      <c r="K310" s="66"/>
      <c r="L310" s="66"/>
      <c r="M310" s="66"/>
      <c r="N310" s="64" t="str">
        <f>IF(OR($B310="", $I310="", $J310="", $K310="", $L310="", $M310=""),"",ROUND(($I310*Lists!$AN$2)+($J310*Lists!$AN$3)+($K310*Lists!$AN$4)+($L310*Lists!$AN$5)+($M310*Lists!$AN$6),2))</f>
        <v/>
      </c>
      <c r="O310" s="64" t="str">
        <f>IF($A310="","",IFERROR(VLOOKUP($A310,'Risk Register'!$B$2:$I$1000,8,FALSE()),""))</f>
        <v/>
      </c>
      <c r="P310" s="66"/>
      <c r="Q310" s="66"/>
      <c r="R310" s="66"/>
      <c r="S310" s="66"/>
      <c r="T310" s="64" t="str">
        <f>IF(OR($B310="", $P310="", $Q310="", $R310="", $S310=""),"",ROUND(($P310*Lists!$AN$7)+($Q310*Lists!$AN$8)+($R310*Lists!$AN$9)+($S310*Lists!$AN$10),2))</f>
        <v/>
      </c>
      <c r="U310" s="66"/>
      <c r="V310" s="66"/>
      <c r="W310" s="66"/>
      <c r="X310" s="66"/>
      <c r="Y310" s="66"/>
      <c r="Z310" s="64" t="str">
        <f>IF(OR($B310="", $U310="", $V310="", $W310="", $X310="", $Y310=""),"",ROUND(($U310*Lists!$AN$11)+($V310*Lists!$AN$12)+($W310*Lists!$AN$13)+($X310*Lists!$AN$14)+($Y310*Lists!$AN$15),2))</f>
        <v/>
      </c>
      <c r="AA310" s="64" t="str">
        <f>IF(OR($B310="", $N310="", $O310="", $T310="", $Z310=""),"",ROUND(($N310*Lists!$AN$16)-($O310*Lists!$AN$17)-($T310*Lists!$AN$18)+($Z310*Lists!$AN$19),2))</f>
        <v/>
      </c>
      <c r="AB310" s="63" t="str">
        <f t="shared" si="17"/>
        <v/>
      </c>
      <c r="AC310" s="63" t="str">
        <f t="shared" si="18"/>
        <v/>
      </c>
      <c r="AD310" s="63" t="str">
        <f>IF($A310="","",IFERROR(IF(VLOOKUP($A310,'Risk Register'!$B$2:$H$1000,4,FALSE())&gt;=4,"Yes",""),""))</f>
        <v/>
      </c>
      <c r="AE310" s="63" t="str">
        <f t="shared" si="19"/>
        <v/>
      </c>
      <c r="AF310" s="62"/>
      <c r="AG310" s="62"/>
      <c r="AH310" s="62"/>
      <c r="AI310" s="62"/>
      <c r="AJ310" s="62"/>
      <c r="AK310" s="62"/>
      <c r="AL310" s="62"/>
      <c r="AM310" s="62"/>
      <c r="AN310" s="62"/>
      <c r="AO310" s="62"/>
      <c r="AP310" s="62"/>
      <c r="AQ310" s="80"/>
    </row>
    <row r="311" spans="1:43" ht="15.75" customHeight="1" x14ac:dyDescent="0.2">
      <c r="A311" s="63" t="str">
        <f t="shared" si="16"/>
        <v/>
      </c>
      <c r="B311" s="62"/>
      <c r="C311" s="62"/>
      <c r="D311" s="62"/>
      <c r="E311" s="62"/>
      <c r="F311" s="62"/>
      <c r="G311" s="62"/>
      <c r="H311" s="62"/>
      <c r="I311" s="66"/>
      <c r="J311" s="66"/>
      <c r="K311" s="66"/>
      <c r="L311" s="66"/>
      <c r="M311" s="66"/>
      <c r="N311" s="64" t="str">
        <f>IF(OR($B311="", $I311="", $J311="", $K311="", $L311="", $M311=""),"",ROUND(($I311*Lists!$AN$2)+($J311*Lists!$AN$3)+($K311*Lists!$AN$4)+($L311*Lists!$AN$5)+($M311*Lists!$AN$6),2))</f>
        <v/>
      </c>
      <c r="O311" s="64" t="str">
        <f>IF($A311="","",IFERROR(VLOOKUP($A311,'Risk Register'!$B$2:$I$1000,8,FALSE()),""))</f>
        <v/>
      </c>
      <c r="P311" s="66"/>
      <c r="Q311" s="66"/>
      <c r="R311" s="66"/>
      <c r="S311" s="66"/>
      <c r="T311" s="64" t="str">
        <f>IF(OR($B311="", $P311="", $Q311="", $R311="", $S311=""),"",ROUND(($P311*Lists!$AN$7)+($Q311*Lists!$AN$8)+($R311*Lists!$AN$9)+($S311*Lists!$AN$10),2))</f>
        <v/>
      </c>
      <c r="U311" s="66"/>
      <c r="V311" s="66"/>
      <c r="W311" s="66"/>
      <c r="X311" s="66"/>
      <c r="Y311" s="66"/>
      <c r="Z311" s="64" t="str">
        <f>IF(OR($B311="", $U311="", $V311="", $W311="", $X311="", $Y311=""),"",ROUND(($U311*Lists!$AN$11)+($V311*Lists!$AN$12)+($W311*Lists!$AN$13)+($X311*Lists!$AN$14)+($Y311*Lists!$AN$15),2))</f>
        <v/>
      </c>
      <c r="AA311" s="64" t="str">
        <f>IF(OR($B311="", $N311="", $O311="", $T311="", $Z311=""),"",ROUND(($N311*Lists!$AN$16)-($O311*Lists!$AN$17)-($T311*Lists!$AN$18)+($Z311*Lists!$AN$19),2))</f>
        <v/>
      </c>
      <c r="AB311" s="63" t="str">
        <f t="shared" si="17"/>
        <v/>
      </c>
      <c r="AC311" s="63" t="str">
        <f t="shared" si="18"/>
        <v/>
      </c>
      <c r="AD311" s="63" t="str">
        <f>IF($A311="","",IFERROR(IF(VLOOKUP($A311,'Risk Register'!$B$2:$H$1000,4,FALSE())&gt;=4,"Yes",""),""))</f>
        <v/>
      </c>
      <c r="AE311" s="63" t="str">
        <f t="shared" si="19"/>
        <v/>
      </c>
      <c r="AF311" s="62"/>
      <c r="AG311" s="62"/>
      <c r="AH311" s="62"/>
      <c r="AI311" s="62"/>
      <c r="AJ311" s="62"/>
      <c r="AK311" s="62"/>
      <c r="AL311" s="62"/>
      <c r="AM311" s="62"/>
      <c r="AN311" s="62"/>
      <c r="AO311" s="62"/>
      <c r="AP311" s="62"/>
      <c r="AQ311" s="80"/>
    </row>
    <row r="312" spans="1:43" ht="15.75" customHeight="1" x14ac:dyDescent="0.2">
      <c r="A312" s="63" t="str">
        <f t="shared" si="16"/>
        <v/>
      </c>
      <c r="B312" s="62"/>
      <c r="C312" s="62"/>
      <c r="D312" s="62"/>
      <c r="E312" s="62"/>
      <c r="F312" s="62"/>
      <c r="G312" s="62"/>
      <c r="H312" s="62"/>
      <c r="I312" s="66"/>
      <c r="J312" s="66"/>
      <c r="K312" s="66"/>
      <c r="L312" s="66"/>
      <c r="M312" s="66"/>
      <c r="N312" s="64" t="str">
        <f>IF(OR($B312="", $I312="", $J312="", $K312="", $L312="", $M312=""),"",ROUND(($I312*Lists!$AN$2)+($J312*Lists!$AN$3)+($K312*Lists!$AN$4)+($L312*Lists!$AN$5)+($M312*Lists!$AN$6),2))</f>
        <v/>
      </c>
      <c r="O312" s="64" t="str">
        <f>IF($A312="","",IFERROR(VLOOKUP($A312,'Risk Register'!$B$2:$I$1000,8,FALSE()),""))</f>
        <v/>
      </c>
      <c r="P312" s="66"/>
      <c r="Q312" s="66"/>
      <c r="R312" s="66"/>
      <c r="S312" s="66"/>
      <c r="T312" s="64" t="str">
        <f>IF(OR($B312="", $P312="", $Q312="", $R312="", $S312=""),"",ROUND(($P312*Lists!$AN$7)+($Q312*Lists!$AN$8)+($R312*Lists!$AN$9)+($S312*Lists!$AN$10),2))</f>
        <v/>
      </c>
      <c r="U312" s="66"/>
      <c r="V312" s="66"/>
      <c r="W312" s="66"/>
      <c r="X312" s="66"/>
      <c r="Y312" s="66"/>
      <c r="Z312" s="64" t="str">
        <f>IF(OR($B312="", $U312="", $V312="", $W312="", $X312="", $Y312=""),"",ROUND(($U312*Lists!$AN$11)+($V312*Lists!$AN$12)+($W312*Lists!$AN$13)+($X312*Lists!$AN$14)+($Y312*Lists!$AN$15),2))</f>
        <v/>
      </c>
      <c r="AA312" s="64" t="str">
        <f>IF(OR($B312="", $N312="", $O312="", $T312="", $Z312=""),"",ROUND(($N312*Lists!$AN$16)-($O312*Lists!$AN$17)-($T312*Lists!$AN$18)+($Z312*Lists!$AN$19),2))</f>
        <v/>
      </c>
      <c r="AB312" s="63" t="str">
        <f t="shared" si="17"/>
        <v/>
      </c>
      <c r="AC312" s="63" t="str">
        <f t="shared" si="18"/>
        <v/>
      </c>
      <c r="AD312" s="63" t="str">
        <f>IF($A312="","",IFERROR(IF(VLOOKUP($A312,'Risk Register'!$B$2:$H$1000,4,FALSE())&gt;=4,"Yes",""),""))</f>
        <v/>
      </c>
      <c r="AE312" s="63" t="str">
        <f t="shared" si="19"/>
        <v/>
      </c>
      <c r="AF312" s="62"/>
      <c r="AG312" s="62"/>
      <c r="AH312" s="62"/>
      <c r="AI312" s="62"/>
      <c r="AJ312" s="62"/>
      <c r="AK312" s="62"/>
      <c r="AL312" s="62"/>
      <c r="AM312" s="62"/>
      <c r="AN312" s="62"/>
      <c r="AO312" s="62"/>
      <c r="AP312" s="62"/>
      <c r="AQ312" s="80"/>
    </row>
    <row r="313" spans="1:43" ht="15.75" customHeight="1" x14ac:dyDescent="0.2">
      <c r="A313" s="63" t="str">
        <f t="shared" si="16"/>
        <v/>
      </c>
      <c r="B313" s="62"/>
      <c r="C313" s="62"/>
      <c r="D313" s="62"/>
      <c r="E313" s="62"/>
      <c r="F313" s="62"/>
      <c r="G313" s="62"/>
      <c r="H313" s="62"/>
      <c r="I313" s="66"/>
      <c r="J313" s="66"/>
      <c r="K313" s="66"/>
      <c r="L313" s="66"/>
      <c r="M313" s="66"/>
      <c r="N313" s="64" t="str">
        <f>IF(OR($B313="", $I313="", $J313="", $K313="", $L313="", $M313=""),"",ROUND(($I313*Lists!$AN$2)+($J313*Lists!$AN$3)+($K313*Lists!$AN$4)+($L313*Lists!$AN$5)+($M313*Lists!$AN$6),2))</f>
        <v/>
      </c>
      <c r="O313" s="64" t="str">
        <f>IF($A313="","",IFERROR(VLOOKUP($A313,'Risk Register'!$B$2:$I$1000,8,FALSE()),""))</f>
        <v/>
      </c>
      <c r="P313" s="66"/>
      <c r="Q313" s="66"/>
      <c r="R313" s="66"/>
      <c r="S313" s="66"/>
      <c r="T313" s="64" t="str">
        <f>IF(OR($B313="", $P313="", $Q313="", $R313="", $S313=""),"",ROUND(($P313*Lists!$AN$7)+($Q313*Lists!$AN$8)+($R313*Lists!$AN$9)+($S313*Lists!$AN$10),2))</f>
        <v/>
      </c>
      <c r="U313" s="66"/>
      <c r="V313" s="66"/>
      <c r="W313" s="66"/>
      <c r="X313" s="66"/>
      <c r="Y313" s="66"/>
      <c r="Z313" s="64" t="str">
        <f>IF(OR($B313="", $U313="", $V313="", $W313="", $X313="", $Y313=""),"",ROUND(($U313*Lists!$AN$11)+($V313*Lists!$AN$12)+($W313*Lists!$AN$13)+($X313*Lists!$AN$14)+($Y313*Lists!$AN$15),2))</f>
        <v/>
      </c>
      <c r="AA313" s="64" t="str">
        <f>IF(OR($B313="", $N313="", $O313="", $T313="", $Z313=""),"",ROUND(($N313*Lists!$AN$16)-($O313*Lists!$AN$17)-($T313*Lists!$AN$18)+($Z313*Lists!$AN$19),2))</f>
        <v/>
      </c>
      <c r="AB313" s="63" t="str">
        <f t="shared" si="17"/>
        <v/>
      </c>
      <c r="AC313" s="63" t="str">
        <f t="shared" si="18"/>
        <v/>
      </c>
      <c r="AD313" s="63" t="str">
        <f>IF($A313="","",IFERROR(IF(VLOOKUP($A313,'Risk Register'!$B$2:$H$1000,4,FALSE())&gt;=4,"Yes",""),""))</f>
        <v/>
      </c>
      <c r="AE313" s="63" t="str">
        <f t="shared" si="19"/>
        <v/>
      </c>
      <c r="AF313" s="62"/>
      <c r="AG313" s="62"/>
      <c r="AH313" s="62"/>
      <c r="AI313" s="62"/>
      <c r="AJ313" s="62"/>
      <c r="AK313" s="62"/>
      <c r="AL313" s="62"/>
      <c r="AM313" s="62"/>
      <c r="AN313" s="62"/>
      <c r="AO313" s="62"/>
      <c r="AP313" s="62"/>
      <c r="AQ313" s="80"/>
    </row>
    <row r="314" spans="1:43" ht="15.75" customHeight="1" x14ac:dyDescent="0.2">
      <c r="A314" s="63" t="str">
        <f t="shared" si="16"/>
        <v/>
      </c>
      <c r="B314" s="62"/>
      <c r="C314" s="62"/>
      <c r="D314" s="62"/>
      <c r="E314" s="62"/>
      <c r="F314" s="62"/>
      <c r="G314" s="62"/>
      <c r="H314" s="62"/>
      <c r="I314" s="66"/>
      <c r="J314" s="66"/>
      <c r="K314" s="66"/>
      <c r="L314" s="66"/>
      <c r="M314" s="66"/>
      <c r="N314" s="64" t="str">
        <f>IF(OR($B314="", $I314="", $J314="", $K314="", $L314="", $M314=""),"",ROUND(($I314*Lists!$AN$2)+($J314*Lists!$AN$3)+($K314*Lists!$AN$4)+($L314*Lists!$AN$5)+($M314*Lists!$AN$6),2))</f>
        <v/>
      </c>
      <c r="O314" s="64" t="str">
        <f>IF($A314="","",IFERROR(VLOOKUP($A314,'Risk Register'!$B$2:$I$1000,8,FALSE()),""))</f>
        <v/>
      </c>
      <c r="P314" s="66"/>
      <c r="Q314" s="66"/>
      <c r="R314" s="66"/>
      <c r="S314" s="66"/>
      <c r="T314" s="64" t="str">
        <f>IF(OR($B314="", $P314="", $Q314="", $R314="", $S314=""),"",ROUND(($P314*Lists!$AN$7)+($Q314*Lists!$AN$8)+($R314*Lists!$AN$9)+($S314*Lists!$AN$10),2))</f>
        <v/>
      </c>
      <c r="U314" s="66"/>
      <c r="V314" s="66"/>
      <c r="W314" s="66"/>
      <c r="X314" s="66"/>
      <c r="Y314" s="66"/>
      <c r="Z314" s="64" t="str">
        <f>IF(OR($B314="", $U314="", $V314="", $W314="", $X314="", $Y314=""),"",ROUND(($U314*Lists!$AN$11)+($V314*Lists!$AN$12)+($W314*Lists!$AN$13)+($X314*Lists!$AN$14)+($Y314*Lists!$AN$15),2))</f>
        <v/>
      </c>
      <c r="AA314" s="64" t="str">
        <f>IF(OR($B314="", $N314="", $O314="", $T314="", $Z314=""),"",ROUND(($N314*Lists!$AN$16)-($O314*Lists!$AN$17)-($T314*Lists!$AN$18)+($Z314*Lists!$AN$19),2))</f>
        <v/>
      </c>
      <c r="AB314" s="63" t="str">
        <f t="shared" si="17"/>
        <v/>
      </c>
      <c r="AC314" s="63" t="str">
        <f t="shared" si="18"/>
        <v/>
      </c>
      <c r="AD314" s="63" t="str">
        <f>IF($A314="","",IFERROR(IF(VLOOKUP($A314,'Risk Register'!$B$2:$H$1000,4,FALSE())&gt;=4,"Yes",""),""))</f>
        <v/>
      </c>
      <c r="AE314" s="63" t="str">
        <f t="shared" si="19"/>
        <v/>
      </c>
      <c r="AF314" s="62"/>
      <c r="AG314" s="62"/>
      <c r="AH314" s="62"/>
      <c r="AI314" s="62"/>
      <c r="AJ314" s="62"/>
      <c r="AK314" s="62"/>
      <c r="AL314" s="62"/>
      <c r="AM314" s="62"/>
      <c r="AN314" s="62"/>
      <c r="AO314" s="62"/>
      <c r="AP314" s="62"/>
      <c r="AQ314" s="80"/>
    </row>
    <row r="315" spans="1:43" ht="15.75" customHeight="1" x14ac:dyDescent="0.2">
      <c r="A315" s="63" t="str">
        <f t="shared" si="16"/>
        <v/>
      </c>
      <c r="B315" s="62"/>
      <c r="C315" s="62"/>
      <c r="D315" s="62"/>
      <c r="E315" s="62"/>
      <c r="F315" s="62"/>
      <c r="G315" s="62"/>
      <c r="H315" s="62"/>
      <c r="I315" s="66"/>
      <c r="J315" s="66"/>
      <c r="K315" s="66"/>
      <c r="L315" s="66"/>
      <c r="M315" s="66"/>
      <c r="N315" s="64" t="str">
        <f>IF(OR($B315="", $I315="", $J315="", $K315="", $L315="", $M315=""),"",ROUND(($I315*Lists!$AN$2)+($J315*Lists!$AN$3)+($K315*Lists!$AN$4)+($L315*Lists!$AN$5)+($M315*Lists!$AN$6),2))</f>
        <v/>
      </c>
      <c r="O315" s="64" t="str">
        <f>IF($A315="","",IFERROR(VLOOKUP($A315,'Risk Register'!$B$2:$I$1000,8,FALSE()),""))</f>
        <v/>
      </c>
      <c r="P315" s="66"/>
      <c r="Q315" s="66"/>
      <c r="R315" s="66"/>
      <c r="S315" s="66"/>
      <c r="T315" s="64" t="str">
        <f>IF(OR($B315="", $P315="", $Q315="", $R315="", $S315=""),"",ROUND(($P315*Lists!$AN$7)+($Q315*Lists!$AN$8)+($R315*Lists!$AN$9)+($S315*Lists!$AN$10),2))</f>
        <v/>
      </c>
      <c r="U315" s="66"/>
      <c r="V315" s="66"/>
      <c r="W315" s="66"/>
      <c r="X315" s="66"/>
      <c r="Y315" s="66"/>
      <c r="Z315" s="64" t="str">
        <f>IF(OR($B315="", $U315="", $V315="", $W315="", $X315="", $Y315=""),"",ROUND(($U315*Lists!$AN$11)+($V315*Lists!$AN$12)+($W315*Lists!$AN$13)+($X315*Lists!$AN$14)+($Y315*Lists!$AN$15),2))</f>
        <v/>
      </c>
      <c r="AA315" s="64" t="str">
        <f>IF(OR($B315="", $N315="", $O315="", $T315="", $Z315=""),"",ROUND(($N315*Lists!$AN$16)-($O315*Lists!$AN$17)-($T315*Lists!$AN$18)+($Z315*Lists!$AN$19),2))</f>
        <v/>
      </c>
      <c r="AB315" s="63" t="str">
        <f t="shared" si="17"/>
        <v/>
      </c>
      <c r="AC315" s="63" t="str">
        <f t="shared" si="18"/>
        <v/>
      </c>
      <c r="AD315" s="63" t="str">
        <f>IF($A315="","",IFERROR(IF(VLOOKUP($A315,'Risk Register'!$B$2:$H$1000,4,FALSE())&gt;=4,"Yes",""),""))</f>
        <v/>
      </c>
      <c r="AE315" s="63" t="str">
        <f t="shared" si="19"/>
        <v/>
      </c>
      <c r="AF315" s="62"/>
      <c r="AG315" s="62"/>
      <c r="AH315" s="62"/>
      <c r="AI315" s="62"/>
      <c r="AJ315" s="62"/>
      <c r="AK315" s="62"/>
      <c r="AL315" s="62"/>
      <c r="AM315" s="62"/>
      <c r="AN315" s="62"/>
      <c r="AO315" s="62"/>
      <c r="AP315" s="62"/>
      <c r="AQ315" s="80"/>
    </row>
    <row r="316" spans="1:43" ht="15.75" customHeight="1" x14ac:dyDescent="0.2">
      <c r="A316" s="63" t="str">
        <f t="shared" si="16"/>
        <v/>
      </c>
      <c r="B316" s="62"/>
      <c r="C316" s="62"/>
      <c r="D316" s="62"/>
      <c r="E316" s="62"/>
      <c r="F316" s="62"/>
      <c r="G316" s="62"/>
      <c r="H316" s="62"/>
      <c r="I316" s="66"/>
      <c r="J316" s="66"/>
      <c r="K316" s="66"/>
      <c r="L316" s="66"/>
      <c r="M316" s="66"/>
      <c r="N316" s="64" t="str">
        <f>IF(OR($B316="", $I316="", $J316="", $K316="", $L316="", $M316=""),"",ROUND(($I316*Lists!$AN$2)+($J316*Lists!$AN$3)+($K316*Lists!$AN$4)+($L316*Lists!$AN$5)+($M316*Lists!$AN$6),2))</f>
        <v/>
      </c>
      <c r="O316" s="64" t="str">
        <f>IF($A316="","",IFERROR(VLOOKUP($A316,'Risk Register'!$B$2:$I$1000,8,FALSE()),""))</f>
        <v/>
      </c>
      <c r="P316" s="66"/>
      <c r="Q316" s="66"/>
      <c r="R316" s="66"/>
      <c r="S316" s="66"/>
      <c r="T316" s="64" t="str">
        <f>IF(OR($B316="", $P316="", $Q316="", $R316="", $S316=""),"",ROUND(($P316*Lists!$AN$7)+($Q316*Lists!$AN$8)+($R316*Lists!$AN$9)+($S316*Lists!$AN$10),2))</f>
        <v/>
      </c>
      <c r="U316" s="66"/>
      <c r="V316" s="66"/>
      <c r="W316" s="66"/>
      <c r="X316" s="66"/>
      <c r="Y316" s="66"/>
      <c r="Z316" s="64" t="str">
        <f>IF(OR($B316="", $U316="", $V316="", $W316="", $X316="", $Y316=""),"",ROUND(($U316*Lists!$AN$11)+($V316*Lists!$AN$12)+($W316*Lists!$AN$13)+($X316*Lists!$AN$14)+($Y316*Lists!$AN$15),2))</f>
        <v/>
      </c>
      <c r="AA316" s="64" t="str">
        <f>IF(OR($B316="", $N316="", $O316="", $T316="", $Z316=""),"",ROUND(($N316*Lists!$AN$16)-($O316*Lists!$AN$17)-($T316*Lists!$AN$18)+($Z316*Lists!$AN$19),2))</f>
        <v/>
      </c>
      <c r="AB316" s="63" t="str">
        <f t="shared" si="17"/>
        <v/>
      </c>
      <c r="AC316" s="63" t="str">
        <f t="shared" si="18"/>
        <v/>
      </c>
      <c r="AD316" s="63" t="str">
        <f>IF($A316="","",IFERROR(IF(VLOOKUP($A316,'Risk Register'!$B$2:$H$1000,4,FALSE())&gt;=4,"Yes",""),""))</f>
        <v/>
      </c>
      <c r="AE316" s="63" t="str">
        <f t="shared" si="19"/>
        <v/>
      </c>
      <c r="AF316" s="62"/>
      <c r="AG316" s="62"/>
      <c r="AH316" s="62"/>
      <c r="AI316" s="62"/>
      <c r="AJ316" s="62"/>
      <c r="AK316" s="62"/>
      <c r="AL316" s="62"/>
      <c r="AM316" s="62"/>
      <c r="AN316" s="62"/>
      <c r="AO316" s="62"/>
      <c r="AP316" s="62"/>
      <c r="AQ316" s="80"/>
    </row>
    <row r="317" spans="1:43" ht="15.75" customHeight="1" x14ac:dyDescent="0.2">
      <c r="A317" s="63" t="str">
        <f t="shared" si="16"/>
        <v/>
      </c>
      <c r="B317" s="62"/>
      <c r="C317" s="62"/>
      <c r="D317" s="62"/>
      <c r="E317" s="62"/>
      <c r="F317" s="62"/>
      <c r="G317" s="62"/>
      <c r="H317" s="62"/>
      <c r="I317" s="66"/>
      <c r="J317" s="66"/>
      <c r="K317" s="66"/>
      <c r="L317" s="66"/>
      <c r="M317" s="66"/>
      <c r="N317" s="64" t="str">
        <f>IF(OR($B317="", $I317="", $J317="", $K317="", $L317="", $M317=""),"",ROUND(($I317*Lists!$AN$2)+($J317*Lists!$AN$3)+($K317*Lists!$AN$4)+($L317*Lists!$AN$5)+($M317*Lists!$AN$6),2))</f>
        <v/>
      </c>
      <c r="O317" s="64" t="str">
        <f>IF($A317="","",IFERROR(VLOOKUP($A317,'Risk Register'!$B$2:$I$1000,8,FALSE()),""))</f>
        <v/>
      </c>
      <c r="P317" s="66"/>
      <c r="Q317" s="66"/>
      <c r="R317" s="66"/>
      <c r="S317" s="66"/>
      <c r="T317" s="64" t="str">
        <f>IF(OR($B317="", $P317="", $Q317="", $R317="", $S317=""),"",ROUND(($P317*Lists!$AN$7)+($Q317*Lists!$AN$8)+($R317*Lists!$AN$9)+($S317*Lists!$AN$10),2))</f>
        <v/>
      </c>
      <c r="U317" s="66"/>
      <c r="V317" s="66"/>
      <c r="W317" s="66"/>
      <c r="X317" s="66"/>
      <c r="Y317" s="66"/>
      <c r="Z317" s="64" t="str">
        <f>IF(OR($B317="", $U317="", $V317="", $W317="", $X317="", $Y317=""),"",ROUND(($U317*Lists!$AN$11)+($V317*Lists!$AN$12)+($W317*Lists!$AN$13)+($X317*Lists!$AN$14)+($Y317*Lists!$AN$15),2))</f>
        <v/>
      </c>
      <c r="AA317" s="64" t="str">
        <f>IF(OR($B317="", $N317="", $O317="", $T317="", $Z317=""),"",ROUND(($N317*Lists!$AN$16)-($O317*Lists!$AN$17)-($T317*Lists!$AN$18)+($Z317*Lists!$AN$19),2))</f>
        <v/>
      </c>
      <c r="AB317" s="63" t="str">
        <f t="shared" si="17"/>
        <v/>
      </c>
      <c r="AC317" s="63" t="str">
        <f t="shared" si="18"/>
        <v/>
      </c>
      <c r="AD317" s="63" t="str">
        <f>IF($A317="","",IFERROR(IF(VLOOKUP($A317,'Risk Register'!$B$2:$H$1000,4,FALSE())&gt;=4,"Yes",""),""))</f>
        <v/>
      </c>
      <c r="AE317" s="63" t="str">
        <f t="shared" si="19"/>
        <v/>
      </c>
      <c r="AF317" s="62"/>
      <c r="AG317" s="62"/>
      <c r="AH317" s="62"/>
      <c r="AI317" s="62"/>
      <c r="AJ317" s="62"/>
      <c r="AK317" s="62"/>
      <c r="AL317" s="62"/>
      <c r="AM317" s="62"/>
      <c r="AN317" s="62"/>
      <c r="AO317" s="62"/>
      <c r="AP317" s="62"/>
      <c r="AQ317" s="80"/>
    </row>
    <row r="318" spans="1:43" ht="15.75" customHeight="1" x14ac:dyDescent="0.2">
      <c r="A318" s="63" t="str">
        <f t="shared" si="16"/>
        <v/>
      </c>
      <c r="B318" s="62"/>
      <c r="C318" s="62"/>
      <c r="D318" s="62"/>
      <c r="E318" s="62"/>
      <c r="F318" s="62"/>
      <c r="G318" s="62"/>
      <c r="H318" s="62"/>
      <c r="I318" s="66"/>
      <c r="J318" s="66"/>
      <c r="K318" s="66"/>
      <c r="L318" s="66"/>
      <c r="M318" s="66"/>
      <c r="N318" s="64" t="str">
        <f>IF(OR($B318="", $I318="", $J318="", $K318="", $L318="", $M318=""),"",ROUND(($I318*Lists!$AN$2)+($J318*Lists!$AN$3)+($K318*Lists!$AN$4)+($L318*Lists!$AN$5)+($M318*Lists!$AN$6),2))</f>
        <v/>
      </c>
      <c r="O318" s="64" t="str">
        <f>IF($A318="","",IFERROR(VLOOKUP($A318,'Risk Register'!$B$2:$I$1000,8,FALSE()),""))</f>
        <v/>
      </c>
      <c r="P318" s="66"/>
      <c r="Q318" s="66"/>
      <c r="R318" s="66"/>
      <c r="S318" s="66"/>
      <c r="T318" s="64" t="str">
        <f>IF(OR($B318="", $P318="", $Q318="", $R318="", $S318=""),"",ROUND(($P318*Lists!$AN$7)+($Q318*Lists!$AN$8)+($R318*Lists!$AN$9)+($S318*Lists!$AN$10),2))</f>
        <v/>
      </c>
      <c r="U318" s="66"/>
      <c r="V318" s="66"/>
      <c r="W318" s="66"/>
      <c r="X318" s="66"/>
      <c r="Y318" s="66"/>
      <c r="Z318" s="64" t="str">
        <f>IF(OR($B318="", $U318="", $V318="", $W318="", $X318="", $Y318=""),"",ROUND(($U318*Lists!$AN$11)+($V318*Lists!$AN$12)+($W318*Lists!$AN$13)+($X318*Lists!$AN$14)+($Y318*Lists!$AN$15),2))</f>
        <v/>
      </c>
      <c r="AA318" s="64" t="str">
        <f>IF(OR($B318="", $N318="", $O318="", $T318="", $Z318=""),"",ROUND(($N318*Lists!$AN$16)-($O318*Lists!$AN$17)-($T318*Lists!$AN$18)+($Z318*Lists!$AN$19),2))</f>
        <v/>
      </c>
      <c r="AB318" s="63" t="str">
        <f t="shared" si="17"/>
        <v/>
      </c>
      <c r="AC318" s="63" t="str">
        <f t="shared" si="18"/>
        <v/>
      </c>
      <c r="AD318" s="63" t="str">
        <f>IF($A318="","",IFERROR(IF(VLOOKUP($A318,'Risk Register'!$B$2:$H$1000,4,FALSE())&gt;=4,"Yes",""),""))</f>
        <v/>
      </c>
      <c r="AE318" s="63" t="str">
        <f t="shared" si="19"/>
        <v/>
      </c>
      <c r="AF318" s="62"/>
      <c r="AG318" s="62"/>
      <c r="AH318" s="62"/>
      <c r="AI318" s="62"/>
      <c r="AJ318" s="62"/>
      <c r="AK318" s="62"/>
      <c r="AL318" s="62"/>
      <c r="AM318" s="62"/>
      <c r="AN318" s="62"/>
      <c r="AO318" s="62"/>
      <c r="AP318" s="62"/>
      <c r="AQ318" s="80"/>
    </row>
    <row r="319" spans="1:43" ht="15.75" customHeight="1" x14ac:dyDescent="0.2">
      <c r="A319" s="63" t="str">
        <f t="shared" si="16"/>
        <v/>
      </c>
      <c r="B319" s="62"/>
      <c r="C319" s="62"/>
      <c r="D319" s="62"/>
      <c r="E319" s="62"/>
      <c r="F319" s="62"/>
      <c r="G319" s="62"/>
      <c r="H319" s="62"/>
      <c r="I319" s="66"/>
      <c r="J319" s="66"/>
      <c r="K319" s="66"/>
      <c r="L319" s="66"/>
      <c r="M319" s="66"/>
      <c r="N319" s="64" t="str">
        <f>IF(OR($B319="", $I319="", $J319="", $K319="", $L319="", $M319=""),"",ROUND(($I319*Lists!$AN$2)+($J319*Lists!$AN$3)+($K319*Lists!$AN$4)+($L319*Lists!$AN$5)+($M319*Lists!$AN$6),2))</f>
        <v/>
      </c>
      <c r="O319" s="64" t="str">
        <f>IF($A319="","",IFERROR(VLOOKUP($A319,'Risk Register'!$B$2:$I$1000,8,FALSE()),""))</f>
        <v/>
      </c>
      <c r="P319" s="66"/>
      <c r="Q319" s="66"/>
      <c r="R319" s="66"/>
      <c r="S319" s="66"/>
      <c r="T319" s="64" t="str">
        <f>IF(OR($B319="", $P319="", $Q319="", $R319="", $S319=""),"",ROUND(($P319*Lists!$AN$7)+($Q319*Lists!$AN$8)+($R319*Lists!$AN$9)+($S319*Lists!$AN$10),2))</f>
        <v/>
      </c>
      <c r="U319" s="66"/>
      <c r="V319" s="66"/>
      <c r="W319" s="66"/>
      <c r="X319" s="66"/>
      <c r="Y319" s="66"/>
      <c r="Z319" s="64" t="str">
        <f>IF(OR($B319="", $U319="", $V319="", $W319="", $X319="", $Y319=""),"",ROUND(($U319*Lists!$AN$11)+($V319*Lists!$AN$12)+($W319*Lists!$AN$13)+($X319*Lists!$AN$14)+($Y319*Lists!$AN$15),2))</f>
        <v/>
      </c>
      <c r="AA319" s="64" t="str">
        <f>IF(OR($B319="", $N319="", $O319="", $T319="", $Z319=""),"",ROUND(($N319*Lists!$AN$16)-($O319*Lists!$AN$17)-($T319*Lists!$AN$18)+($Z319*Lists!$AN$19),2))</f>
        <v/>
      </c>
      <c r="AB319" s="63" t="str">
        <f t="shared" si="17"/>
        <v/>
      </c>
      <c r="AC319" s="63" t="str">
        <f t="shared" si="18"/>
        <v/>
      </c>
      <c r="AD319" s="63" t="str">
        <f>IF($A319="","",IFERROR(IF(VLOOKUP($A319,'Risk Register'!$B$2:$H$1000,4,FALSE())&gt;=4,"Yes",""),""))</f>
        <v/>
      </c>
      <c r="AE319" s="63" t="str">
        <f t="shared" si="19"/>
        <v/>
      </c>
      <c r="AF319" s="62"/>
      <c r="AG319" s="62"/>
      <c r="AH319" s="62"/>
      <c r="AI319" s="62"/>
      <c r="AJ319" s="62"/>
      <c r="AK319" s="62"/>
      <c r="AL319" s="62"/>
      <c r="AM319" s="62"/>
      <c r="AN319" s="62"/>
      <c r="AO319" s="62"/>
      <c r="AP319" s="62"/>
      <c r="AQ319" s="80"/>
    </row>
    <row r="320" spans="1:43" ht="15.75" customHeight="1" x14ac:dyDescent="0.2">
      <c r="A320" s="63" t="str">
        <f t="shared" si="16"/>
        <v/>
      </c>
      <c r="B320" s="62"/>
      <c r="C320" s="62"/>
      <c r="D320" s="62"/>
      <c r="E320" s="62"/>
      <c r="F320" s="62"/>
      <c r="G320" s="62"/>
      <c r="H320" s="62"/>
      <c r="I320" s="66"/>
      <c r="J320" s="66"/>
      <c r="K320" s="66"/>
      <c r="L320" s="66"/>
      <c r="M320" s="66"/>
      <c r="N320" s="64" t="str">
        <f>IF(OR($B320="", $I320="", $J320="", $K320="", $L320="", $M320=""),"",ROUND(($I320*Lists!$AN$2)+($J320*Lists!$AN$3)+($K320*Lists!$AN$4)+($L320*Lists!$AN$5)+($M320*Lists!$AN$6),2))</f>
        <v/>
      </c>
      <c r="O320" s="64" t="str">
        <f>IF($A320="","",IFERROR(VLOOKUP($A320,'Risk Register'!$B$2:$I$1000,8,FALSE()),""))</f>
        <v/>
      </c>
      <c r="P320" s="66"/>
      <c r="Q320" s="66"/>
      <c r="R320" s="66"/>
      <c r="S320" s="66"/>
      <c r="T320" s="64" t="str">
        <f>IF(OR($B320="", $P320="", $Q320="", $R320="", $S320=""),"",ROUND(($P320*Lists!$AN$7)+($Q320*Lists!$AN$8)+($R320*Lists!$AN$9)+($S320*Lists!$AN$10),2))</f>
        <v/>
      </c>
      <c r="U320" s="66"/>
      <c r="V320" s="66"/>
      <c r="W320" s="66"/>
      <c r="X320" s="66"/>
      <c r="Y320" s="66"/>
      <c r="Z320" s="64" t="str">
        <f>IF(OR($B320="", $U320="", $V320="", $W320="", $X320="", $Y320=""),"",ROUND(($U320*Lists!$AN$11)+($V320*Lists!$AN$12)+($W320*Lists!$AN$13)+($X320*Lists!$AN$14)+($Y320*Lists!$AN$15),2))</f>
        <v/>
      </c>
      <c r="AA320" s="64" t="str">
        <f>IF(OR($B320="", $N320="", $O320="", $T320="", $Z320=""),"",ROUND(($N320*Lists!$AN$16)-($O320*Lists!$AN$17)-($T320*Lists!$AN$18)+($Z320*Lists!$AN$19),2))</f>
        <v/>
      </c>
      <c r="AB320" s="63" t="str">
        <f t="shared" si="17"/>
        <v/>
      </c>
      <c r="AC320" s="63" t="str">
        <f t="shared" si="18"/>
        <v/>
      </c>
      <c r="AD320" s="63" t="str">
        <f>IF($A320="","",IFERROR(IF(VLOOKUP($A320,'Risk Register'!$B$2:$H$1000,4,FALSE())&gt;=4,"Yes",""),""))</f>
        <v/>
      </c>
      <c r="AE320" s="63" t="str">
        <f t="shared" si="19"/>
        <v/>
      </c>
      <c r="AF320" s="62"/>
      <c r="AG320" s="62"/>
      <c r="AH320" s="62"/>
      <c r="AI320" s="62"/>
      <c r="AJ320" s="62"/>
      <c r="AK320" s="62"/>
      <c r="AL320" s="62"/>
      <c r="AM320" s="62"/>
      <c r="AN320" s="62"/>
      <c r="AO320" s="62"/>
      <c r="AP320" s="62"/>
      <c r="AQ320" s="80"/>
    </row>
    <row r="321" spans="1:43" ht="15.75" customHeight="1" x14ac:dyDescent="0.2">
      <c r="A321" s="63" t="str">
        <f t="shared" si="16"/>
        <v/>
      </c>
      <c r="B321" s="62"/>
      <c r="C321" s="62"/>
      <c r="D321" s="62"/>
      <c r="E321" s="62"/>
      <c r="F321" s="62"/>
      <c r="G321" s="62"/>
      <c r="H321" s="62"/>
      <c r="I321" s="66"/>
      <c r="J321" s="66"/>
      <c r="K321" s="66"/>
      <c r="L321" s="66"/>
      <c r="M321" s="66"/>
      <c r="N321" s="64" t="str">
        <f>IF(OR($B321="", $I321="", $J321="", $K321="", $L321="", $M321=""),"",ROUND(($I321*Lists!$AN$2)+($J321*Lists!$AN$3)+($K321*Lists!$AN$4)+($L321*Lists!$AN$5)+($M321*Lists!$AN$6),2))</f>
        <v/>
      </c>
      <c r="O321" s="64" t="str">
        <f>IF($A321="","",IFERROR(VLOOKUP($A321,'Risk Register'!$B$2:$I$1000,8,FALSE()),""))</f>
        <v/>
      </c>
      <c r="P321" s="66"/>
      <c r="Q321" s="66"/>
      <c r="R321" s="66"/>
      <c r="S321" s="66"/>
      <c r="T321" s="64" t="str">
        <f>IF(OR($B321="", $P321="", $Q321="", $R321="", $S321=""),"",ROUND(($P321*Lists!$AN$7)+($Q321*Lists!$AN$8)+($R321*Lists!$AN$9)+($S321*Lists!$AN$10),2))</f>
        <v/>
      </c>
      <c r="U321" s="66"/>
      <c r="V321" s="66"/>
      <c r="W321" s="66"/>
      <c r="X321" s="66"/>
      <c r="Y321" s="66"/>
      <c r="Z321" s="64" t="str">
        <f>IF(OR($B321="", $U321="", $V321="", $W321="", $X321="", $Y321=""),"",ROUND(($U321*Lists!$AN$11)+($V321*Lists!$AN$12)+($W321*Lists!$AN$13)+($X321*Lists!$AN$14)+($Y321*Lists!$AN$15),2))</f>
        <v/>
      </c>
      <c r="AA321" s="64" t="str">
        <f>IF(OR($B321="", $N321="", $O321="", $T321="", $Z321=""),"",ROUND(($N321*Lists!$AN$16)-($O321*Lists!$AN$17)-($T321*Lists!$AN$18)+($Z321*Lists!$AN$19),2))</f>
        <v/>
      </c>
      <c r="AB321" s="63" t="str">
        <f t="shared" si="17"/>
        <v/>
      </c>
      <c r="AC321" s="63" t="str">
        <f t="shared" si="18"/>
        <v/>
      </c>
      <c r="AD321" s="63" t="str">
        <f>IF($A321="","",IFERROR(IF(VLOOKUP($A321,'Risk Register'!$B$2:$H$1000,4,FALSE())&gt;=4,"Yes",""),""))</f>
        <v/>
      </c>
      <c r="AE321" s="63" t="str">
        <f t="shared" si="19"/>
        <v/>
      </c>
      <c r="AF321" s="62"/>
      <c r="AG321" s="62"/>
      <c r="AH321" s="62"/>
      <c r="AI321" s="62"/>
      <c r="AJ321" s="62"/>
      <c r="AK321" s="62"/>
      <c r="AL321" s="62"/>
      <c r="AM321" s="62"/>
      <c r="AN321" s="62"/>
      <c r="AO321" s="62"/>
      <c r="AP321" s="62"/>
      <c r="AQ321" s="80"/>
    </row>
    <row r="322" spans="1:43" ht="15.75" customHeight="1" x14ac:dyDescent="0.2">
      <c r="A322" s="63" t="str">
        <f t="shared" si="16"/>
        <v/>
      </c>
      <c r="B322" s="62"/>
      <c r="C322" s="62"/>
      <c r="D322" s="62"/>
      <c r="E322" s="62"/>
      <c r="F322" s="62"/>
      <c r="G322" s="62"/>
      <c r="H322" s="62"/>
      <c r="I322" s="66"/>
      <c r="J322" s="66"/>
      <c r="K322" s="66"/>
      <c r="L322" s="66"/>
      <c r="M322" s="66"/>
      <c r="N322" s="64" t="str">
        <f>IF(OR($B322="", $I322="", $J322="", $K322="", $L322="", $M322=""),"",ROUND(($I322*Lists!$AN$2)+($J322*Lists!$AN$3)+($K322*Lists!$AN$4)+($L322*Lists!$AN$5)+($M322*Lists!$AN$6),2))</f>
        <v/>
      </c>
      <c r="O322" s="64" t="str">
        <f>IF($A322="","",IFERROR(VLOOKUP($A322,'Risk Register'!$B$2:$I$1000,8,FALSE()),""))</f>
        <v/>
      </c>
      <c r="P322" s="66"/>
      <c r="Q322" s="66"/>
      <c r="R322" s="66"/>
      <c r="S322" s="66"/>
      <c r="T322" s="64" t="str">
        <f>IF(OR($B322="", $P322="", $Q322="", $R322="", $S322=""),"",ROUND(($P322*Lists!$AN$7)+($Q322*Lists!$AN$8)+($R322*Lists!$AN$9)+($S322*Lists!$AN$10),2))</f>
        <v/>
      </c>
      <c r="U322" s="66"/>
      <c r="V322" s="66"/>
      <c r="W322" s="66"/>
      <c r="X322" s="66"/>
      <c r="Y322" s="66"/>
      <c r="Z322" s="64" t="str">
        <f>IF(OR($B322="", $U322="", $V322="", $W322="", $X322="", $Y322=""),"",ROUND(($U322*Lists!$AN$11)+($V322*Lists!$AN$12)+($W322*Lists!$AN$13)+($X322*Lists!$AN$14)+($Y322*Lists!$AN$15),2))</f>
        <v/>
      </c>
      <c r="AA322" s="64" t="str">
        <f>IF(OR($B322="", $N322="", $O322="", $T322="", $Z322=""),"",ROUND(($N322*Lists!$AN$16)-($O322*Lists!$AN$17)-($T322*Lists!$AN$18)+($Z322*Lists!$AN$19),2))</f>
        <v/>
      </c>
      <c r="AB322" s="63" t="str">
        <f t="shared" si="17"/>
        <v/>
      </c>
      <c r="AC322" s="63" t="str">
        <f t="shared" si="18"/>
        <v/>
      </c>
      <c r="AD322" s="63" t="str">
        <f>IF($A322="","",IFERROR(IF(VLOOKUP($A322,'Risk Register'!$B$2:$H$1000,4,FALSE())&gt;=4,"Yes",""),""))</f>
        <v/>
      </c>
      <c r="AE322" s="63" t="str">
        <f t="shared" si="19"/>
        <v/>
      </c>
      <c r="AF322" s="62"/>
      <c r="AG322" s="62"/>
      <c r="AH322" s="62"/>
      <c r="AI322" s="62"/>
      <c r="AJ322" s="62"/>
      <c r="AK322" s="62"/>
      <c r="AL322" s="62"/>
      <c r="AM322" s="62"/>
      <c r="AN322" s="62"/>
      <c r="AO322" s="62"/>
      <c r="AP322" s="62"/>
      <c r="AQ322" s="80"/>
    </row>
    <row r="323" spans="1:43" ht="15.75" customHeight="1" x14ac:dyDescent="0.2">
      <c r="A323" s="63" t="str">
        <f t="shared" si="16"/>
        <v/>
      </c>
      <c r="B323" s="62"/>
      <c r="C323" s="62"/>
      <c r="D323" s="62"/>
      <c r="E323" s="62"/>
      <c r="F323" s="62"/>
      <c r="G323" s="62"/>
      <c r="H323" s="62"/>
      <c r="I323" s="66"/>
      <c r="J323" s="66"/>
      <c r="K323" s="66"/>
      <c r="L323" s="66"/>
      <c r="M323" s="66"/>
      <c r="N323" s="64" t="str">
        <f>IF(OR($B323="", $I323="", $J323="", $K323="", $L323="", $M323=""),"",ROUND(($I323*Lists!$AN$2)+($J323*Lists!$AN$3)+($K323*Lists!$AN$4)+($L323*Lists!$AN$5)+($M323*Lists!$AN$6),2))</f>
        <v/>
      </c>
      <c r="O323" s="64" t="str">
        <f>IF($A323="","",IFERROR(VLOOKUP($A323,'Risk Register'!$B$2:$I$1000,8,FALSE()),""))</f>
        <v/>
      </c>
      <c r="P323" s="66"/>
      <c r="Q323" s="66"/>
      <c r="R323" s="66"/>
      <c r="S323" s="66"/>
      <c r="T323" s="64" t="str">
        <f>IF(OR($B323="", $P323="", $Q323="", $R323="", $S323=""),"",ROUND(($P323*Lists!$AN$7)+($Q323*Lists!$AN$8)+($R323*Lists!$AN$9)+($S323*Lists!$AN$10),2))</f>
        <v/>
      </c>
      <c r="U323" s="66"/>
      <c r="V323" s="66"/>
      <c r="W323" s="66"/>
      <c r="X323" s="66"/>
      <c r="Y323" s="66"/>
      <c r="Z323" s="64" t="str">
        <f>IF(OR($B323="", $U323="", $V323="", $W323="", $X323="", $Y323=""),"",ROUND(($U323*Lists!$AN$11)+($V323*Lists!$AN$12)+($W323*Lists!$AN$13)+($X323*Lists!$AN$14)+($Y323*Lists!$AN$15),2))</f>
        <v/>
      </c>
      <c r="AA323" s="64" t="str">
        <f>IF(OR($B323="", $N323="", $O323="", $T323="", $Z323=""),"",ROUND(($N323*Lists!$AN$16)-($O323*Lists!$AN$17)-($T323*Lists!$AN$18)+($Z323*Lists!$AN$19),2))</f>
        <v/>
      </c>
      <c r="AB323" s="63" t="str">
        <f t="shared" si="17"/>
        <v/>
      </c>
      <c r="AC323" s="63" t="str">
        <f t="shared" si="18"/>
        <v/>
      </c>
      <c r="AD323" s="63" t="str">
        <f>IF($A323="","",IFERROR(IF(VLOOKUP($A323,'Risk Register'!$B$2:$H$1000,4,FALSE())&gt;=4,"Yes",""),""))</f>
        <v/>
      </c>
      <c r="AE323" s="63" t="str">
        <f t="shared" si="19"/>
        <v/>
      </c>
      <c r="AF323" s="62"/>
      <c r="AG323" s="62"/>
      <c r="AH323" s="62"/>
      <c r="AI323" s="62"/>
      <c r="AJ323" s="62"/>
      <c r="AK323" s="62"/>
      <c r="AL323" s="62"/>
      <c r="AM323" s="62"/>
      <c r="AN323" s="62"/>
      <c r="AO323" s="62"/>
      <c r="AP323" s="62"/>
      <c r="AQ323" s="80"/>
    </row>
    <row r="324" spans="1:43" ht="15.75" customHeight="1" x14ac:dyDescent="0.2">
      <c r="A324" s="63" t="str">
        <f t="shared" si="16"/>
        <v/>
      </c>
      <c r="B324" s="62"/>
      <c r="C324" s="62"/>
      <c r="D324" s="62"/>
      <c r="E324" s="62"/>
      <c r="F324" s="62"/>
      <c r="G324" s="62"/>
      <c r="H324" s="62"/>
      <c r="I324" s="66"/>
      <c r="J324" s="66"/>
      <c r="K324" s="66"/>
      <c r="L324" s="66"/>
      <c r="M324" s="66"/>
      <c r="N324" s="64" t="str">
        <f>IF(OR($B324="", $I324="", $J324="", $K324="", $L324="", $M324=""),"",ROUND(($I324*Lists!$AN$2)+($J324*Lists!$AN$3)+($K324*Lists!$AN$4)+($L324*Lists!$AN$5)+($M324*Lists!$AN$6),2))</f>
        <v/>
      </c>
      <c r="O324" s="64" t="str">
        <f>IF($A324="","",IFERROR(VLOOKUP($A324,'Risk Register'!$B$2:$I$1000,8,FALSE()),""))</f>
        <v/>
      </c>
      <c r="P324" s="66"/>
      <c r="Q324" s="66"/>
      <c r="R324" s="66"/>
      <c r="S324" s="66"/>
      <c r="T324" s="64" t="str">
        <f>IF(OR($B324="", $P324="", $Q324="", $R324="", $S324=""),"",ROUND(($P324*Lists!$AN$7)+($Q324*Lists!$AN$8)+($R324*Lists!$AN$9)+($S324*Lists!$AN$10),2))</f>
        <v/>
      </c>
      <c r="U324" s="66"/>
      <c r="V324" s="66"/>
      <c r="W324" s="66"/>
      <c r="X324" s="66"/>
      <c r="Y324" s="66"/>
      <c r="Z324" s="64" t="str">
        <f>IF(OR($B324="", $U324="", $V324="", $W324="", $X324="", $Y324=""),"",ROUND(($U324*Lists!$AN$11)+($V324*Lists!$AN$12)+($W324*Lists!$AN$13)+($X324*Lists!$AN$14)+($Y324*Lists!$AN$15),2))</f>
        <v/>
      </c>
      <c r="AA324" s="64" t="str">
        <f>IF(OR($B324="", $N324="", $O324="", $T324="", $Z324=""),"",ROUND(($N324*Lists!$AN$16)-($O324*Lists!$AN$17)-($T324*Lists!$AN$18)+($Z324*Lists!$AN$19),2))</f>
        <v/>
      </c>
      <c r="AB324" s="63" t="str">
        <f t="shared" si="17"/>
        <v/>
      </c>
      <c r="AC324" s="63" t="str">
        <f t="shared" si="18"/>
        <v/>
      </c>
      <c r="AD324" s="63" t="str">
        <f>IF($A324="","",IFERROR(IF(VLOOKUP($A324,'Risk Register'!$B$2:$H$1000,4,FALSE())&gt;=4,"Yes",""),""))</f>
        <v/>
      </c>
      <c r="AE324" s="63" t="str">
        <f t="shared" si="19"/>
        <v/>
      </c>
      <c r="AF324" s="62"/>
      <c r="AG324" s="62"/>
      <c r="AH324" s="62"/>
      <c r="AI324" s="62"/>
      <c r="AJ324" s="62"/>
      <c r="AK324" s="62"/>
      <c r="AL324" s="62"/>
      <c r="AM324" s="62"/>
      <c r="AN324" s="62"/>
      <c r="AO324" s="62"/>
      <c r="AP324" s="62"/>
      <c r="AQ324" s="80"/>
    </row>
    <row r="325" spans="1:43" ht="15.75" customHeight="1" x14ac:dyDescent="0.2">
      <c r="A325" s="63" t="str">
        <f t="shared" si="16"/>
        <v/>
      </c>
      <c r="B325" s="62"/>
      <c r="C325" s="62"/>
      <c r="D325" s="62"/>
      <c r="E325" s="62"/>
      <c r="F325" s="62"/>
      <c r="G325" s="62"/>
      <c r="H325" s="62"/>
      <c r="I325" s="66"/>
      <c r="J325" s="66"/>
      <c r="K325" s="66"/>
      <c r="L325" s="66"/>
      <c r="M325" s="66"/>
      <c r="N325" s="64" t="str">
        <f>IF(OR($B325="", $I325="", $J325="", $K325="", $L325="", $M325=""),"",ROUND(($I325*Lists!$AN$2)+($J325*Lists!$AN$3)+($K325*Lists!$AN$4)+($L325*Lists!$AN$5)+($M325*Lists!$AN$6),2))</f>
        <v/>
      </c>
      <c r="O325" s="64" t="str">
        <f>IF($A325="","",IFERROR(VLOOKUP($A325,'Risk Register'!$B$2:$I$1000,8,FALSE()),""))</f>
        <v/>
      </c>
      <c r="P325" s="66"/>
      <c r="Q325" s="66"/>
      <c r="R325" s="66"/>
      <c r="S325" s="66"/>
      <c r="T325" s="64" t="str">
        <f>IF(OR($B325="", $P325="", $Q325="", $R325="", $S325=""),"",ROUND(($P325*Lists!$AN$7)+($Q325*Lists!$AN$8)+($R325*Lists!$AN$9)+($S325*Lists!$AN$10),2))</f>
        <v/>
      </c>
      <c r="U325" s="66"/>
      <c r="V325" s="66"/>
      <c r="W325" s="66"/>
      <c r="X325" s="66"/>
      <c r="Y325" s="66"/>
      <c r="Z325" s="64" t="str">
        <f>IF(OR($B325="", $U325="", $V325="", $W325="", $X325="", $Y325=""),"",ROUND(($U325*Lists!$AN$11)+($V325*Lists!$AN$12)+($W325*Lists!$AN$13)+($X325*Lists!$AN$14)+($Y325*Lists!$AN$15),2))</f>
        <v/>
      </c>
      <c r="AA325" s="64" t="str">
        <f>IF(OR($B325="", $N325="", $O325="", $T325="", $Z325=""),"",ROUND(($N325*Lists!$AN$16)-($O325*Lists!$AN$17)-($T325*Lists!$AN$18)+($Z325*Lists!$AN$19),2))</f>
        <v/>
      </c>
      <c r="AB325" s="63" t="str">
        <f t="shared" si="17"/>
        <v/>
      </c>
      <c r="AC325" s="63" t="str">
        <f t="shared" si="18"/>
        <v/>
      </c>
      <c r="AD325" s="63" t="str">
        <f>IF($A325="","",IFERROR(IF(VLOOKUP($A325,'Risk Register'!$B$2:$H$1000,4,FALSE())&gt;=4,"Yes",""),""))</f>
        <v/>
      </c>
      <c r="AE325" s="63" t="str">
        <f t="shared" si="19"/>
        <v/>
      </c>
      <c r="AF325" s="62"/>
      <c r="AG325" s="62"/>
      <c r="AH325" s="62"/>
      <c r="AI325" s="62"/>
      <c r="AJ325" s="62"/>
      <c r="AK325" s="62"/>
      <c r="AL325" s="62"/>
      <c r="AM325" s="62"/>
      <c r="AN325" s="62"/>
      <c r="AO325" s="62"/>
      <c r="AP325" s="62"/>
      <c r="AQ325" s="80"/>
    </row>
    <row r="326" spans="1:43" ht="15.75" customHeight="1" x14ac:dyDescent="0.2">
      <c r="A326" s="63" t="str">
        <f t="shared" si="16"/>
        <v/>
      </c>
      <c r="B326" s="62"/>
      <c r="C326" s="62"/>
      <c r="D326" s="62"/>
      <c r="E326" s="62"/>
      <c r="F326" s="62"/>
      <c r="G326" s="62"/>
      <c r="H326" s="62"/>
      <c r="I326" s="66"/>
      <c r="J326" s="66"/>
      <c r="K326" s="66"/>
      <c r="L326" s="66"/>
      <c r="M326" s="66"/>
      <c r="N326" s="64" t="str">
        <f>IF(OR($B326="", $I326="", $J326="", $K326="", $L326="", $M326=""),"",ROUND(($I326*Lists!$AN$2)+($J326*Lists!$AN$3)+($K326*Lists!$AN$4)+($L326*Lists!$AN$5)+($M326*Lists!$AN$6),2))</f>
        <v/>
      </c>
      <c r="O326" s="64" t="str">
        <f>IF($A326="","",IFERROR(VLOOKUP($A326,'Risk Register'!$B$2:$I$1000,8,FALSE()),""))</f>
        <v/>
      </c>
      <c r="P326" s="66"/>
      <c r="Q326" s="66"/>
      <c r="R326" s="66"/>
      <c r="S326" s="66"/>
      <c r="T326" s="64" t="str">
        <f>IF(OR($B326="", $P326="", $Q326="", $R326="", $S326=""),"",ROUND(($P326*Lists!$AN$7)+($Q326*Lists!$AN$8)+($R326*Lists!$AN$9)+($S326*Lists!$AN$10),2))</f>
        <v/>
      </c>
      <c r="U326" s="66"/>
      <c r="V326" s="66"/>
      <c r="W326" s="66"/>
      <c r="X326" s="66"/>
      <c r="Y326" s="66"/>
      <c r="Z326" s="64" t="str">
        <f>IF(OR($B326="", $U326="", $V326="", $W326="", $X326="", $Y326=""),"",ROUND(($U326*Lists!$AN$11)+($V326*Lists!$AN$12)+($W326*Lists!$AN$13)+($X326*Lists!$AN$14)+($Y326*Lists!$AN$15),2))</f>
        <v/>
      </c>
      <c r="AA326" s="64" t="str">
        <f>IF(OR($B326="", $N326="", $O326="", $T326="", $Z326=""),"",ROUND(($N326*Lists!$AN$16)-($O326*Lists!$AN$17)-($T326*Lists!$AN$18)+($Z326*Lists!$AN$19),2))</f>
        <v/>
      </c>
      <c r="AB326" s="63" t="str">
        <f t="shared" si="17"/>
        <v/>
      </c>
      <c r="AC326" s="63" t="str">
        <f t="shared" si="18"/>
        <v/>
      </c>
      <c r="AD326" s="63" t="str">
        <f>IF($A326="","",IFERROR(IF(VLOOKUP($A326,'Risk Register'!$B$2:$H$1000,4,FALSE())&gt;=4,"Yes",""),""))</f>
        <v/>
      </c>
      <c r="AE326" s="63" t="str">
        <f t="shared" si="19"/>
        <v/>
      </c>
      <c r="AF326" s="62"/>
      <c r="AG326" s="62"/>
      <c r="AH326" s="62"/>
      <c r="AI326" s="62"/>
      <c r="AJ326" s="62"/>
      <c r="AK326" s="62"/>
      <c r="AL326" s="62"/>
      <c r="AM326" s="62"/>
      <c r="AN326" s="62"/>
      <c r="AO326" s="62"/>
      <c r="AP326" s="62"/>
      <c r="AQ326" s="80"/>
    </row>
    <row r="327" spans="1:43" ht="15.75" customHeight="1" x14ac:dyDescent="0.2">
      <c r="A327" s="63" t="str">
        <f t="shared" si="16"/>
        <v/>
      </c>
      <c r="B327" s="62"/>
      <c r="C327" s="62"/>
      <c r="D327" s="62"/>
      <c r="E327" s="62"/>
      <c r="F327" s="62"/>
      <c r="G327" s="62"/>
      <c r="H327" s="62"/>
      <c r="I327" s="66"/>
      <c r="J327" s="66"/>
      <c r="K327" s="66"/>
      <c r="L327" s="66"/>
      <c r="M327" s="66"/>
      <c r="N327" s="64" t="str">
        <f>IF(OR($B327="", $I327="", $J327="", $K327="", $L327="", $M327=""),"",ROUND(($I327*Lists!$AN$2)+($J327*Lists!$AN$3)+($K327*Lists!$AN$4)+($L327*Lists!$AN$5)+($M327*Lists!$AN$6),2))</f>
        <v/>
      </c>
      <c r="O327" s="64" t="str">
        <f>IF($A327="","",IFERROR(VLOOKUP($A327,'Risk Register'!$B$2:$I$1000,8,FALSE()),""))</f>
        <v/>
      </c>
      <c r="P327" s="66"/>
      <c r="Q327" s="66"/>
      <c r="R327" s="66"/>
      <c r="S327" s="66"/>
      <c r="T327" s="64" t="str">
        <f>IF(OR($B327="", $P327="", $Q327="", $R327="", $S327=""),"",ROUND(($P327*Lists!$AN$7)+($Q327*Lists!$AN$8)+($R327*Lists!$AN$9)+($S327*Lists!$AN$10),2))</f>
        <v/>
      </c>
      <c r="U327" s="66"/>
      <c r="V327" s="66"/>
      <c r="W327" s="66"/>
      <c r="X327" s="66"/>
      <c r="Y327" s="66"/>
      <c r="Z327" s="64" t="str">
        <f>IF(OR($B327="", $U327="", $V327="", $W327="", $X327="", $Y327=""),"",ROUND(($U327*Lists!$AN$11)+($V327*Lists!$AN$12)+($W327*Lists!$AN$13)+($X327*Lists!$AN$14)+($Y327*Lists!$AN$15),2))</f>
        <v/>
      </c>
      <c r="AA327" s="64" t="str">
        <f>IF(OR($B327="", $N327="", $O327="", $T327="", $Z327=""),"",ROUND(($N327*Lists!$AN$16)-($O327*Lists!$AN$17)-($T327*Lists!$AN$18)+($Z327*Lists!$AN$19),2))</f>
        <v/>
      </c>
      <c r="AB327" s="63" t="str">
        <f t="shared" si="17"/>
        <v/>
      </c>
      <c r="AC327" s="63" t="str">
        <f t="shared" si="18"/>
        <v/>
      </c>
      <c r="AD327" s="63" t="str">
        <f>IF($A327="","",IFERROR(IF(VLOOKUP($A327,'Risk Register'!$B$2:$H$1000,4,FALSE())&gt;=4,"Yes",""),""))</f>
        <v/>
      </c>
      <c r="AE327" s="63" t="str">
        <f t="shared" si="19"/>
        <v/>
      </c>
      <c r="AF327" s="62"/>
      <c r="AG327" s="62"/>
      <c r="AH327" s="62"/>
      <c r="AI327" s="62"/>
      <c r="AJ327" s="62"/>
      <c r="AK327" s="62"/>
      <c r="AL327" s="62"/>
      <c r="AM327" s="62"/>
      <c r="AN327" s="62"/>
      <c r="AO327" s="62"/>
      <c r="AP327" s="62"/>
      <c r="AQ327" s="80"/>
    </row>
    <row r="328" spans="1:43" ht="15.75" customHeight="1" x14ac:dyDescent="0.2">
      <c r="A328" s="63" t="str">
        <f t="shared" si="16"/>
        <v/>
      </c>
      <c r="B328" s="62"/>
      <c r="C328" s="62"/>
      <c r="D328" s="62"/>
      <c r="E328" s="62"/>
      <c r="F328" s="62"/>
      <c r="G328" s="62"/>
      <c r="H328" s="62"/>
      <c r="I328" s="66"/>
      <c r="J328" s="66"/>
      <c r="K328" s="66"/>
      <c r="L328" s="66"/>
      <c r="M328" s="66"/>
      <c r="N328" s="64" t="str">
        <f>IF(OR($B328="", $I328="", $J328="", $K328="", $L328="", $M328=""),"",ROUND(($I328*Lists!$AN$2)+($J328*Lists!$AN$3)+($K328*Lists!$AN$4)+($L328*Lists!$AN$5)+($M328*Lists!$AN$6),2))</f>
        <v/>
      </c>
      <c r="O328" s="64" t="str">
        <f>IF($A328="","",IFERROR(VLOOKUP($A328,'Risk Register'!$B$2:$I$1000,8,FALSE()),""))</f>
        <v/>
      </c>
      <c r="P328" s="66"/>
      <c r="Q328" s="66"/>
      <c r="R328" s="66"/>
      <c r="S328" s="66"/>
      <c r="T328" s="64" t="str">
        <f>IF(OR($B328="", $P328="", $Q328="", $R328="", $S328=""),"",ROUND(($P328*Lists!$AN$7)+($Q328*Lists!$AN$8)+($R328*Lists!$AN$9)+($S328*Lists!$AN$10),2))</f>
        <v/>
      </c>
      <c r="U328" s="66"/>
      <c r="V328" s="66"/>
      <c r="W328" s="66"/>
      <c r="X328" s="66"/>
      <c r="Y328" s="66"/>
      <c r="Z328" s="64" t="str">
        <f>IF(OR($B328="", $U328="", $V328="", $W328="", $X328="", $Y328=""),"",ROUND(($U328*Lists!$AN$11)+($V328*Lists!$AN$12)+($W328*Lists!$AN$13)+($X328*Lists!$AN$14)+($Y328*Lists!$AN$15),2))</f>
        <v/>
      </c>
      <c r="AA328" s="64" t="str">
        <f>IF(OR($B328="", $N328="", $O328="", $T328="", $Z328=""),"",ROUND(($N328*Lists!$AN$16)-($O328*Lists!$AN$17)-($T328*Lists!$AN$18)+($Z328*Lists!$AN$19),2))</f>
        <v/>
      </c>
      <c r="AB328" s="63" t="str">
        <f t="shared" si="17"/>
        <v/>
      </c>
      <c r="AC328" s="63" t="str">
        <f t="shared" si="18"/>
        <v/>
      </c>
      <c r="AD328" s="63" t="str">
        <f>IF($A328="","",IFERROR(IF(VLOOKUP($A328,'Risk Register'!$B$2:$H$1000,4,FALSE())&gt;=4,"Yes",""),""))</f>
        <v/>
      </c>
      <c r="AE328" s="63" t="str">
        <f t="shared" si="19"/>
        <v/>
      </c>
      <c r="AF328" s="62"/>
      <c r="AG328" s="62"/>
      <c r="AH328" s="62"/>
      <c r="AI328" s="62"/>
      <c r="AJ328" s="62"/>
      <c r="AK328" s="62"/>
      <c r="AL328" s="62"/>
      <c r="AM328" s="62"/>
      <c r="AN328" s="62"/>
      <c r="AO328" s="62"/>
      <c r="AP328" s="62"/>
      <c r="AQ328" s="80"/>
    </row>
    <row r="329" spans="1:43" ht="15.75" customHeight="1" x14ac:dyDescent="0.2">
      <c r="A329" s="63" t="str">
        <f t="shared" si="16"/>
        <v/>
      </c>
      <c r="B329" s="62"/>
      <c r="C329" s="62"/>
      <c r="D329" s="62"/>
      <c r="E329" s="62"/>
      <c r="F329" s="62"/>
      <c r="G329" s="62"/>
      <c r="H329" s="62"/>
      <c r="I329" s="66"/>
      <c r="J329" s="66"/>
      <c r="K329" s="66"/>
      <c r="L329" s="66"/>
      <c r="M329" s="66"/>
      <c r="N329" s="64" t="str">
        <f>IF(OR($B329="", $I329="", $J329="", $K329="", $L329="", $M329=""),"",ROUND(($I329*Lists!$AN$2)+($J329*Lists!$AN$3)+($K329*Lists!$AN$4)+($L329*Lists!$AN$5)+($M329*Lists!$AN$6),2))</f>
        <v/>
      </c>
      <c r="O329" s="64" t="str">
        <f>IF($A329="","",IFERROR(VLOOKUP($A329,'Risk Register'!$B$2:$I$1000,8,FALSE()),""))</f>
        <v/>
      </c>
      <c r="P329" s="66"/>
      <c r="Q329" s="66"/>
      <c r="R329" s="66"/>
      <c r="S329" s="66"/>
      <c r="T329" s="64" t="str">
        <f>IF(OR($B329="", $P329="", $Q329="", $R329="", $S329=""),"",ROUND(($P329*Lists!$AN$7)+($Q329*Lists!$AN$8)+($R329*Lists!$AN$9)+($S329*Lists!$AN$10),2))</f>
        <v/>
      </c>
      <c r="U329" s="66"/>
      <c r="V329" s="66"/>
      <c r="W329" s="66"/>
      <c r="X329" s="66"/>
      <c r="Y329" s="66"/>
      <c r="Z329" s="64" t="str">
        <f>IF(OR($B329="", $U329="", $V329="", $W329="", $X329="", $Y329=""),"",ROUND(($U329*Lists!$AN$11)+($V329*Lists!$AN$12)+($W329*Lists!$AN$13)+($X329*Lists!$AN$14)+($Y329*Lists!$AN$15),2))</f>
        <v/>
      </c>
      <c r="AA329" s="64" t="str">
        <f>IF(OR($B329="", $N329="", $O329="", $T329="", $Z329=""),"",ROUND(($N329*Lists!$AN$16)-($O329*Lists!$AN$17)-($T329*Lists!$AN$18)+($Z329*Lists!$AN$19),2))</f>
        <v/>
      </c>
      <c r="AB329" s="63" t="str">
        <f t="shared" si="17"/>
        <v/>
      </c>
      <c r="AC329" s="63" t="str">
        <f t="shared" si="18"/>
        <v/>
      </c>
      <c r="AD329" s="63" t="str">
        <f>IF($A329="","",IFERROR(IF(VLOOKUP($A329,'Risk Register'!$B$2:$H$1000,4,FALSE())&gt;=4,"Yes",""),""))</f>
        <v/>
      </c>
      <c r="AE329" s="63" t="str">
        <f t="shared" si="19"/>
        <v/>
      </c>
      <c r="AF329" s="62"/>
      <c r="AG329" s="62"/>
      <c r="AH329" s="62"/>
      <c r="AI329" s="62"/>
      <c r="AJ329" s="62"/>
      <c r="AK329" s="62"/>
      <c r="AL329" s="62"/>
      <c r="AM329" s="62"/>
      <c r="AN329" s="62"/>
      <c r="AO329" s="62"/>
      <c r="AP329" s="62"/>
      <c r="AQ329" s="80"/>
    </row>
    <row r="330" spans="1:43" ht="15.75" customHeight="1" x14ac:dyDescent="0.2">
      <c r="A330" s="63" t="str">
        <f t="shared" si="16"/>
        <v/>
      </c>
      <c r="B330" s="62"/>
      <c r="C330" s="62"/>
      <c r="D330" s="62"/>
      <c r="E330" s="62"/>
      <c r="F330" s="62"/>
      <c r="G330" s="62"/>
      <c r="H330" s="62"/>
      <c r="I330" s="66"/>
      <c r="J330" s="66"/>
      <c r="K330" s="66"/>
      <c r="L330" s="66"/>
      <c r="M330" s="66"/>
      <c r="N330" s="64" t="str">
        <f>IF(OR($B330="", $I330="", $J330="", $K330="", $L330="", $M330=""),"",ROUND(($I330*Lists!$AN$2)+($J330*Lists!$AN$3)+($K330*Lists!$AN$4)+($L330*Lists!$AN$5)+($M330*Lists!$AN$6),2))</f>
        <v/>
      </c>
      <c r="O330" s="64" t="str">
        <f>IF($A330="","",IFERROR(VLOOKUP($A330,'Risk Register'!$B$2:$I$1000,8,FALSE()),""))</f>
        <v/>
      </c>
      <c r="P330" s="66"/>
      <c r="Q330" s="66"/>
      <c r="R330" s="66"/>
      <c r="S330" s="66"/>
      <c r="T330" s="64" t="str">
        <f>IF(OR($B330="", $P330="", $Q330="", $R330="", $S330=""),"",ROUND(($P330*Lists!$AN$7)+($Q330*Lists!$AN$8)+($R330*Lists!$AN$9)+($S330*Lists!$AN$10),2))</f>
        <v/>
      </c>
      <c r="U330" s="66"/>
      <c r="V330" s="66"/>
      <c r="W330" s="66"/>
      <c r="X330" s="66"/>
      <c r="Y330" s="66"/>
      <c r="Z330" s="64" t="str">
        <f>IF(OR($B330="", $U330="", $V330="", $W330="", $X330="", $Y330=""),"",ROUND(($U330*Lists!$AN$11)+($V330*Lists!$AN$12)+($W330*Lists!$AN$13)+($X330*Lists!$AN$14)+($Y330*Lists!$AN$15),2))</f>
        <v/>
      </c>
      <c r="AA330" s="64" t="str">
        <f>IF(OR($B330="", $N330="", $O330="", $T330="", $Z330=""),"",ROUND(($N330*Lists!$AN$16)-($O330*Lists!$AN$17)-($T330*Lists!$AN$18)+($Z330*Lists!$AN$19),2))</f>
        <v/>
      </c>
      <c r="AB330" s="63" t="str">
        <f t="shared" si="17"/>
        <v/>
      </c>
      <c r="AC330" s="63" t="str">
        <f t="shared" si="18"/>
        <v/>
      </c>
      <c r="AD330" s="63" t="str">
        <f>IF($A330="","",IFERROR(IF(VLOOKUP($A330,'Risk Register'!$B$2:$H$1000,4,FALSE())&gt;=4,"Yes",""),""))</f>
        <v/>
      </c>
      <c r="AE330" s="63" t="str">
        <f t="shared" si="19"/>
        <v/>
      </c>
      <c r="AF330" s="62"/>
      <c r="AG330" s="62"/>
      <c r="AH330" s="62"/>
      <c r="AI330" s="62"/>
      <c r="AJ330" s="62"/>
      <c r="AK330" s="62"/>
      <c r="AL330" s="62"/>
      <c r="AM330" s="62"/>
      <c r="AN330" s="62"/>
      <c r="AO330" s="62"/>
      <c r="AP330" s="62"/>
      <c r="AQ330" s="80"/>
    </row>
    <row r="331" spans="1:43" ht="15.75" customHeight="1" x14ac:dyDescent="0.2">
      <c r="A331" s="63" t="str">
        <f t="shared" si="16"/>
        <v/>
      </c>
      <c r="B331" s="62"/>
      <c r="C331" s="62"/>
      <c r="D331" s="62"/>
      <c r="E331" s="62"/>
      <c r="F331" s="62"/>
      <c r="G331" s="62"/>
      <c r="H331" s="62"/>
      <c r="I331" s="66"/>
      <c r="J331" s="66"/>
      <c r="K331" s="66"/>
      <c r="L331" s="66"/>
      <c r="M331" s="66"/>
      <c r="N331" s="64" t="str">
        <f>IF(OR($B331="", $I331="", $J331="", $K331="", $L331="", $M331=""),"",ROUND(($I331*Lists!$AN$2)+($J331*Lists!$AN$3)+($K331*Lists!$AN$4)+($L331*Lists!$AN$5)+($M331*Lists!$AN$6),2))</f>
        <v/>
      </c>
      <c r="O331" s="64" t="str">
        <f>IF($A331="","",IFERROR(VLOOKUP($A331,'Risk Register'!$B$2:$I$1000,8,FALSE()),""))</f>
        <v/>
      </c>
      <c r="P331" s="66"/>
      <c r="Q331" s="66"/>
      <c r="R331" s="66"/>
      <c r="S331" s="66"/>
      <c r="T331" s="64" t="str">
        <f>IF(OR($B331="", $P331="", $Q331="", $R331="", $S331=""),"",ROUND(($P331*Lists!$AN$7)+($Q331*Lists!$AN$8)+($R331*Lists!$AN$9)+($S331*Lists!$AN$10),2))</f>
        <v/>
      </c>
      <c r="U331" s="66"/>
      <c r="V331" s="66"/>
      <c r="W331" s="66"/>
      <c r="X331" s="66"/>
      <c r="Y331" s="66"/>
      <c r="Z331" s="64" t="str">
        <f>IF(OR($B331="", $U331="", $V331="", $W331="", $X331="", $Y331=""),"",ROUND(($U331*Lists!$AN$11)+($V331*Lists!$AN$12)+($W331*Lists!$AN$13)+($X331*Lists!$AN$14)+($Y331*Lists!$AN$15),2))</f>
        <v/>
      </c>
      <c r="AA331" s="64" t="str">
        <f>IF(OR($B331="", $N331="", $O331="", $T331="", $Z331=""),"",ROUND(($N331*Lists!$AN$16)-($O331*Lists!$AN$17)-($T331*Lists!$AN$18)+($Z331*Lists!$AN$19),2))</f>
        <v/>
      </c>
      <c r="AB331" s="63" t="str">
        <f t="shared" si="17"/>
        <v/>
      </c>
      <c r="AC331" s="63" t="str">
        <f t="shared" si="18"/>
        <v/>
      </c>
      <c r="AD331" s="63" t="str">
        <f>IF($A331="","",IFERROR(IF(VLOOKUP($A331,'Risk Register'!$B$2:$H$1000,4,FALSE())&gt;=4,"Yes",""),""))</f>
        <v/>
      </c>
      <c r="AE331" s="63" t="str">
        <f t="shared" si="19"/>
        <v/>
      </c>
      <c r="AF331" s="62"/>
      <c r="AG331" s="62"/>
      <c r="AH331" s="62"/>
      <c r="AI331" s="62"/>
      <c r="AJ331" s="62"/>
      <c r="AK331" s="62"/>
      <c r="AL331" s="62"/>
      <c r="AM331" s="62"/>
      <c r="AN331" s="62"/>
      <c r="AO331" s="62"/>
      <c r="AP331" s="62"/>
      <c r="AQ331" s="80"/>
    </row>
    <row r="332" spans="1:43" ht="15.75" customHeight="1" x14ac:dyDescent="0.2">
      <c r="A332" s="63" t="str">
        <f t="shared" si="16"/>
        <v/>
      </c>
      <c r="B332" s="62"/>
      <c r="C332" s="62"/>
      <c r="D332" s="62"/>
      <c r="E332" s="62"/>
      <c r="F332" s="62"/>
      <c r="G332" s="62"/>
      <c r="H332" s="62"/>
      <c r="I332" s="66"/>
      <c r="J332" s="66"/>
      <c r="K332" s="66"/>
      <c r="L332" s="66"/>
      <c r="M332" s="66"/>
      <c r="N332" s="64" t="str">
        <f>IF(OR($B332="", $I332="", $J332="", $K332="", $L332="", $M332=""),"",ROUND(($I332*Lists!$AN$2)+($J332*Lists!$AN$3)+($K332*Lists!$AN$4)+($L332*Lists!$AN$5)+($M332*Lists!$AN$6),2))</f>
        <v/>
      </c>
      <c r="O332" s="64" t="str">
        <f>IF($A332="","",IFERROR(VLOOKUP($A332,'Risk Register'!$B$2:$I$1000,8,FALSE()),""))</f>
        <v/>
      </c>
      <c r="P332" s="66"/>
      <c r="Q332" s="66"/>
      <c r="R332" s="66"/>
      <c r="S332" s="66"/>
      <c r="T332" s="64" t="str">
        <f>IF(OR($B332="", $P332="", $Q332="", $R332="", $S332=""),"",ROUND(($P332*Lists!$AN$7)+($Q332*Lists!$AN$8)+($R332*Lists!$AN$9)+($S332*Lists!$AN$10),2))</f>
        <v/>
      </c>
      <c r="U332" s="66"/>
      <c r="V332" s="66"/>
      <c r="W332" s="66"/>
      <c r="X332" s="66"/>
      <c r="Y332" s="66"/>
      <c r="Z332" s="64" t="str">
        <f>IF(OR($B332="", $U332="", $V332="", $W332="", $X332="", $Y332=""),"",ROUND(($U332*Lists!$AN$11)+($V332*Lists!$AN$12)+($W332*Lists!$AN$13)+($X332*Lists!$AN$14)+($Y332*Lists!$AN$15),2))</f>
        <v/>
      </c>
      <c r="AA332" s="64" t="str">
        <f>IF(OR($B332="", $N332="", $O332="", $T332="", $Z332=""),"",ROUND(($N332*Lists!$AN$16)-($O332*Lists!$AN$17)-($T332*Lists!$AN$18)+($Z332*Lists!$AN$19),2))</f>
        <v/>
      </c>
      <c r="AB332" s="63" t="str">
        <f t="shared" si="17"/>
        <v/>
      </c>
      <c r="AC332" s="63" t="str">
        <f t="shared" si="18"/>
        <v/>
      </c>
      <c r="AD332" s="63" t="str">
        <f>IF($A332="","",IFERROR(IF(VLOOKUP($A332,'Risk Register'!$B$2:$H$1000,4,FALSE())&gt;=4,"Yes",""),""))</f>
        <v/>
      </c>
      <c r="AE332" s="63" t="str">
        <f t="shared" si="19"/>
        <v/>
      </c>
      <c r="AF332" s="62"/>
      <c r="AG332" s="62"/>
      <c r="AH332" s="62"/>
      <c r="AI332" s="62"/>
      <c r="AJ332" s="62"/>
      <c r="AK332" s="62"/>
      <c r="AL332" s="62"/>
      <c r="AM332" s="62"/>
      <c r="AN332" s="62"/>
      <c r="AO332" s="62"/>
      <c r="AP332" s="62"/>
      <c r="AQ332" s="80"/>
    </row>
    <row r="333" spans="1:43" ht="15.75" customHeight="1" x14ac:dyDescent="0.2">
      <c r="A333" s="63" t="str">
        <f t="shared" si="16"/>
        <v/>
      </c>
      <c r="B333" s="62"/>
      <c r="C333" s="62"/>
      <c r="D333" s="62"/>
      <c r="E333" s="62"/>
      <c r="F333" s="62"/>
      <c r="G333" s="62"/>
      <c r="H333" s="62"/>
      <c r="I333" s="66"/>
      <c r="J333" s="66"/>
      <c r="K333" s="66"/>
      <c r="L333" s="66"/>
      <c r="M333" s="66"/>
      <c r="N333" s="64" t="str">
        <f>IF(OR($B333="", $I333="", $J333="", $K333="", $L333="", $M333=""),"",ROUND(($I333*Lists!$AN$2)+($J333*Lists!$AN$3)+($K333*Lists!$AN$4)+($L333*Lists!$AN$5)+($M333*Lists!$AN$6),2))</f>
        <v/>
      </c>
      <c r="O333" s="64" t="str">
        <f>IF($A333="","",IFERROR(VLOOKUP($A333,'Risk Register'!$B$2:$I$1000,8,FALSE()),""))</f>
        <v/>
      </c>
      <c r="P333" s="66"/>
      <c r="Q333" s="66"/>
      <c r="R333" s="66"/>
      <c r="S333" s="66"/>
      <c r="T333" s="64" t="str">
        <f>IF(OR($B333="", $P333="", $Q333="", $R333="", $S333=""),"",ROUND(($P333*Lists!$AN$7)+($Q333*Lists!$AN$8)+($R333*Lists!$AN$9)+($S333*Lists!$AN$10),2))</f>
        <v/>
      </c>
      <c r="U333" s="66"/>
      <c r="V333" s="66"/>
      <c r="W333" s="66"/>
      <c r="X333" s="66"/>
      <c r="Y333" s="66"/>
      <c r="Z333" s="64" t="str">
        <f>IF(OR($B333="", $U333="", $V333="", $W333="", $X333="", $Y333=""),"",ROUND(($U333*Lists!$AN$11)+($V333*Lists!$AN$12)+($W333*Lists!$AN$13)+($X333*Lists!$AN$14)+($Y333*Lists!$AN$15),2))</f>
        <v/>
      </c>
      <c r="AA333" s="64" t="str">
        <f>IF(OR($B333="", $N333="", $O333="", $T333="", $Z333=""),"",ROUND(($N333*Lists!$AN$16)-($O333*Lists!$AN$17)-($T333*Lists!$AN$18)+($Z333*Lists!$AN$19),2))</f>
        <v/>
      </c>
      <c r="AB333" s="63" t="str">
        <f t="shared" si="17"/>
        <v/>
      </c>
      <c r="AC333" s="63" t="str">
        <f t="shared" si="18"/>
        <v/>
      </c>
      <c r="AD333" s="63" t="str">
        <f>IF($A333="","",IFERROR(IF(VLOOKUP($A333,'Risk Register'!$B$2:$H$1000,4,FALSE())&gt;=4,"Yes",""),""))</f>
        <v/>
      </c>
      <c r="AE333" s="63" t="str">
        <f t="shared" si="19"/>
        <v/>
      </c>
      <c r="AF333" s="62"/>
      <c r="AG333" s="62"/>
      <c r="AH333" s="62"/>
      <c r="AI333" s="62"/>
      <c r="AJ333" s="62"/>
      <c r="AK333" s="62"/>
      <c r="AL333" s="62"/>
      <c r="AM333" s="62"/>
      <c r="AN333" s="62"/>
      <c r="AO333" s="62"/>
      <c r="AP333" s="62"/>
      <c r="AQ333" s="80"/>
    </row>
    <row r="334" spans="1:43" ht="15.75" customHeight="1" x14ac:dyDescent="0.2">
      <c r="A334" s="63" t="str">
        <f t="shared" si="16"/>
        <v/>
      </c>
      <c r="B334" s="62"/>
      <c r="C334" s="62"/>
      <c r="D334" s="62"/>
      <c r="E334" s="62"/>
      <c r="F334" s="62"/>
      <c r="G334" s="62"/>
      <c r="H334" s="62"/>
      <c r="I334" s="66"/>
      <c r="J334" s="66"/>
      <c r="K334" s="66"/>
      <c r="L334" s="66"/>
      <c r="M334" s="66"/>
      <c r="N334" s="64" t="str">
        <f>IF(OR($B334="", $I334="", $J334="", $K334="", $L334="", $M334=""),"",ROUND(($I334*Lists!$AN$2)+($J334*Lists!$AN$3)+($K334*Lists!$AN$4)+($L334*Lists!$AN$5)+($M334*Lists!$AN$6),2))</f>
        <v/>
      </c>
      <c r="O334" s="64" t="str">
        <f>IF($A334="","",IFERROR(VLOOKUP($A334,'Risk Register'!$B$2:$I$1000,8,FALSE()),""))</f>
        <v/>
      </c>
      <c r="P334" s="66"/>
      <c r="Q334" s="66"/>
      <c r="R334" s="66"/>
      <c r="S334" s="66"/>
      <c r="T334" s="64" t="str">
        <f>IF(OR($B334="", $P334="", $Q334="", $R334="", $S334=""),"",ROUND(($P334*Lists!$AN$7)+($Q334*Lists!$AN$8)+($R334*Lists!$AN$9)+($S334*Lists!$AN$10),2))</f>
        <v/>
      </c>
      <c r="U334" s="66"/>
      <c r="V334" s="66"/>
      <c r="W334" s="66"/>
      <c r="X334" s="66"/>
      <c r="Y334" s="66"/>
      <c r="Z334" s="64" t="str">
        <f>IF(OR($B334="", $U334="", $V334="", $W334="", $X334="", $Y334=""),"",ROUND(($U334*Lists!$AN$11)+($V334*Lists!$AN$12)+($W334*Lists!$AN$13)+($X334*Lists!$AN$14)+($Y334*Lists!$AN$15),2))</f>
        <v/>
      </c>
      <c r="AA334" s="64" t="str">
        <f>IF(OR($B334="", $N334="", $O334="", $T334="", $Z334=""),"",ROUND(($N334*Lists!$AN$16)-($O334*Lists!$AN$17)-($T334*Lists!$AN$18)+($Z334*Lists!$AN$19),2))</f>
        <v/>
      </c>
      <c r="AB334" s="63" t="str">
        <f t="shared" si="17"/>
        <v/>
      </c>
      <c r="AC334" s="63" t="str">
        <f t="shared" si="18"/>
        <v/>
      </c>
      <c r="AD334" s="63" t="str">
        <f>IF($A334="","",IFERROR(IF(VLOOKUP($A334,'Risk Register'!$B$2:$H$1000,4,FALSE())&gt;=4,"Yes",""),""))</f>
        <v/>
      </c>
      <c r="AE334" s="63" t="str">
        <f t="shared" si="19"/>
        <v/>
      </c>
      <c r="AF334" s="62"/>
      <c r="AG334" s="62"/>
      <c r="AH334" s="62"/>
      <c r="AI334" s="62"/>
      <c r="AJ334" s="62"/>
      <c r="AK334" s="62"/>
      <c r="AL334" s="62"/>
      <c r="AM334" s="62"/>
      <c r="AN334" s="62"/>
      <c r="AO334" s="62"/>
      <c r="AP334" s="62"/>
      <c r="AQ334" s="80"/>
    </row>
    <row r="335" spans="1:43" ht="15.75" customHeight="1" x14ac:dyDescent="0.2">
      <c r="A335" s="63" t="str">
        <f t="shared" si="16"/>
        <v/>
      </c>
      <c r="B335" s="62"/>
      <c r="C335" s="62"/>
      <c r="D335" s="62"/>
      <c r="E335" s="62"/>
      <c r="F335" s="62"/>
      <c r="G335" s="62"/>
      <c r="H335" s="62"/>
      <c r="I335" s="66"/>
      <c r="J335" s="66"/>
      <c r="K335" s="66"/>
      <c r="L335" s="66"/>
      <c r="M335" s="66"/>
      <c r="N335" s="64" t="str">
        <f>IF(OR($B335="", $I335="", $J335="", $K335="", $L335="", $M335=""),"",ROUND(($I335*Lists!$AN$2)+($J335*Lists!$AN$3)+($K335*Lists!$AN$4)+($L335*Lists!$AN$5)+($M335*Lists!$AN$6),2))</f>
        <v/>
      </c>
      <c r="O335" s="64" t="str">
        <f>IF($A335="","",IFERROR(VLOOKUP($A335,'Risk Register'!$B$2:$I$1000,8,FALSE()),""))</f>
        <v/>
      </c>
      <c r="P335" s="66"/>
      <c r="Q335" s="66"/>
      <c r="R335" s="66"/>
      <c r="S335" s="66"/>
      <c r="T335" s="64" t="str">
        <f>IF(OR($B335="", $P335="", $Q335="", $R335="", $S335=""),"",ROUND(($P335*Lists!$AN$7)+($Q335*Lists!$AN$8)+($R335*Lists!$AN$9)+($S335*Lists!$AN$10),2))</f>
        <v/>
      </c>
      <c r="U335" s="66"/>
      <c r="V335" s="66"/>
      <c r="W335" s="66"/>
      <c r="X335" s="66"/>
      <c r="Y335" s="66"/>
      <c r="Z335" s="64" t="str">
        <f>IF(OR($B335="", $U335="", $V335="", $W335="", $X335="", $Y335=""),"",ROUND(($U335*Lists!$AN$11)+($V335*Lists!$AN$12)+($W335*Lists!$AN$13)+($X335*Lists!$AN$14)+($Y335*Lists!$AN$15),2))</f>
        <v/>
      </c>
      <c r="AA335" s="64" t="str">
        <f>IF(OR($B335="", $N335="", $O335="", $T335="", $Z335=""),"",ROUND(($N335*Lists!$AN$16)-($O335*Lists!$AN$17)-($T335*Lists!$AN$18)+($Z335*Lists!$AN$19),2))</f>
        <v/>
      </c>
      <c r="AB335" s="63" t="str">
        <f t="shared" si="17"/>
        <v/>
      </c>
      <c r="AC335" s="63" t="str">
        <f t="shared" si="18"/>
        <v/>
      </c>
      <c r="AD335" s="63" t="str">
        <f>IF($A335="","",IFERROR(IF(VLOOKUP($A335,'Risk Register'!$B$2:$H$1000,4,FALSE())&gt;=4,"Yes",""),""))</f>
        <v/>
      </c>
      <c r="AE335" s="63" t="str">
        <f t="shared" si="19"/>
        <v/>
      </c>
      <c r="AF335" s="62"/>
      <c r="AG335" s="62"/>
      <c r="AH335" s="62"/>
      <c r="AI335" s="62"/>
      <c r="AJ335" s="62"/>
      <c r="AK335" s="62"/>
      <c r="AL335" s="62"/>
      <c r="AM335" s="62"/>
      <c r="AN335" s="62"/>
      <c r="AO335" s="62"/>
      <c r="AP335" s="62"/>
      <c r="AQ335" s="80"/>
    </row>
    <row r="336" spans="1:43" ht="15.75" customHeight="1" x14ac:dyDescent="0.2">
      <c r="A336" s="63" t="str">
        <f t="shared" si="16"/>
        <v/>
      </c>
      <c r="B336" s="62"/>
      <c r="C336" s="62"/>
      <c r="D336" s="62"/>
      <c r="E336" s="62"/>
      <c r="F336" s="62"/>
      <c r="G336" s="62"/>
      <c r="H336" s="62"/>
      <c r="I336" s="66"/>
      <c r="J336" s="66"/>
      <c r="K336" s="66"/>
      <c r="L336" s="66"/>
      <c r="M336" s="66"/>
      <c r="N336" s="64" t="str">
        <f>IF(OR($B336="", $I336="", $J336="", $K336="", $L336="", $M336=""),"",ROUND(($I336*Lists!$AN$2)+($J336*Lists!$AN$3)+($K336*Lists!$AN$4)+($L336*Lists!$AN$5)+($M336*Lists!$AN$6),2))</f>
        <v/>
      </c>
      <c r="O336" s="64" t="str">
        <f>IF($A336="","",IFERROR(VLOOKUP($A336,'Risk Register'!$B$2:$I$1000,8,FALSE()),""))</f>
        <v/>
      </c>
      <c r="P336" s="66"/>
      <c r="Q336" s="66"/>
      <c r="R336" s="66"/>
      <c r="S336" s="66"/>
      <c r="T336" s="64" t="str">
        <f>IF(OR($B336="", $P336="", $Q336="", $R336="", $S336=""),"",ROUND(($P336*Lists!$AN$7)+($Q336*Lists!$AN$8)+($R336*Lists!$AN$9)+($S336*Lists!$AN$10),2))</f>
        <v/>
      </c>
      <c r="U336" s="66"/>
      <c r="V336" s="66"/>
      <c r="W336" s="66"/>
      <c r="X336" s="66"/>
      <c r="Y336" s="66"/>
      <c r="Z336" s="64" t="str">
        <f>IF(OR($B336="", $U336="", $V336="", $W336="", $X336="", $Y336=""),"",ROUND(($U336*Lists!$AN$11)+($V336*Lists!$AN$12)+($W336*Lists!$AN$13)+($X336*Lists!$AN$14)+($Y336*Lists!$AN$15),2))</f>
        <v/>
      </c>
      <c r="AA336" s="64" t="str">
        <f>IF(OR($B336="", $N336="", $O336="", $T336="", $Z336=""),"",ROUND(($N336*Lists!$AN$16)-($O336*Lists!$AN$17)-($T336*Lists!$AN$18)+($Z336*Lists!$AN$19),2))</f>
        <v/>
      </c>
      <c r="AB336" s="63" t="str">
        <f t="shared" si="17"/>
        <v/>
      </c>
      <c r="AC336" s="63" t="str">
        <f t="shared" si="18"/>
        <v/>
      </c>
      <c r="AD336" s="63" t="str">
        <f>IF($A336="","",IFERROR(IF(VLOOKUP($A336,'Risk Register'!$B$2:$H$1000,4,FALSE())&gt;=4,"Yes",""),""))</f>
        <v/>
      </c>
      <c r="AE336" s="63" t="str">
        <f t="shared" si="19"/>
        <v/>
      </c>
      <c r="AF336" s="62"/>
      <c r="AG336" s="62"/>
      <c r="AH336" s="62"/>
      <c r="AI336" s="62"/>
      <c r="AJ336" s="62"/>
      <c r="AK336" s="62"/>
      <c r="AL336" s="62"/>
      <c r="AM336" s="62"/>
      <c r="AN336" s="62"/>
      <c r="AO336" s="62"/>
      <c r="AP336" s="62"/>
      <c r="AQ336" s="80"/>
    </row>
    <row r="337" spans="1:43" ht="15.75" customHeight="1" x14ac:dyDescent="0.2">
      <c r="A337" s="63" t="str">
        <f t="shared" si="16"/>
        <v/>
      </c>
      <c r="B337" s="62"/>
      <c r="C337" s="62"/>
      <c r="D337" s="62"/>
      <c r="E337" s="62"/>
      <c r="F337" s="62"/>
      <c r="G337" s="62"/>
      <c r="H337" s="62"/>
      <c r="I337" s="66"/>
      <c r="J337" s="66"/>
      <c r="K337" s="66"/>
      <c r="L337" s="66"/>
      <c r="M337" s="66"/>
      <c r="N337" s="64" t="str">
        <f>IF(OR($B337="", $I337="", $J337="", $K337="", $L337="", $M337=""),"",ROUND(($I337*Lists!$AN$2)+($J337*Lists!$AN$3)+($K337*Lists!$AN$4)+($L337*Lists!$AN$5)+($M337*Lists!$AN$6),2))</f>
        <v/>
      </c>
      <c r="O337" s="64" t="str">
        <f>IF($A337="","",IFERROR(VLOOKUP($A337,'Risk Register'!$B$2:$I$1000,8,FALSE()),""))</f>
        <v/>
      </c>
      <c r="P337" s="66"/>
      <c r="Q337" s="66"/>
      <c r="R337" s="66"/>
      <c r="S337" s="66"/>
      <c r="T337" s="64" t="str">
        <f>IF(OR($B337="", $P337="", $Q337="", $R337="", $S337=""),"",ROUND(($P337*Lists!$AN$7)+($Q337*Lists!$AN$8)+($R337*Lists!$AN$9)+($S337*Lists!$AN$10),2))</f>
        <v/>
      </c>
      <c r="U337" s="66"/>
      <c r="V337" s="66"/>
      <c r="W337" s="66"/>
      <c r="X337" s="66"/>
      <c r="Y337" s="66"/>
      <c r="Z337" s="64" t="str">
        <f>IF(OR($B337="", $U337="", $V337="", $W337="", $X337="", $Y337=""),"",ROUND(($U337*Lists!$AN$11)+($V337*Lists!$AN$12)+($W337*Lists!$AN$13)+($X337*Lists!$AN$14)+($Y337*Lists!$AN$15),2))</f>
        <v/>
      </c>
      <c r="AA337" s="64" t="str">
        <f>IF(OR($B337="", $N337="", $O337="", $T337="", $Z337=""),"",ROUND(($N337*Lists!$AN$16)-($O337*Lists!$AN$17)-($T337*Lists!$AN$18)+($Z337*Lists!$AN$19),2))</f>
        <v/>
      </c>
      <c r="AB337" s="63" t="str">
        <f t="shared" si="17"/>
        <v/>
      </c>
      <c r="AC337" s="63" t="str">
        <f t="shared" si="18"/>
        <v/>
      </c>
      <c r="AD337" s="63" t="str">
        <f>IF($A337="","",IFERROR(IF(VLOOKUP($A337,'Risk Register'!$B$2:$H$1000,4,FALSE())&gt;=4,"Yes",""),""))</f>
        <v/>
      </c>
      <c r="AE337" s="63" t="str">
        <f t="shared" si="19"/>
        <v/>
      </c>
      <c r="AF337" s="62"/>
      <c r="AG337" s="62"/>
      <c r="AH337" s="62"/>
      <c r="AI337" s="62"/>
      <c r="AJ337" s="62"/>
      <c r="AK337" s="62"/>
      <c r="AL337" s="62"/>
      <c r="AM337" s="62"/>
      <c r="AN337" s="62"/>
      <c r="AO337" s="62"/>
      <c r="AP337" s="62"/>
      <c r="AQ337" s="80"/>
    </row>
    <row r="338" spans="1:43" ht="15.75" customHeight="1" x14ac:dyDescent="0.2">
      <c r="A338" s="63" t="str">
        <f t="shared" si="16"/>
        <v/>
      </c>
      <c r="B338" s="62"/>
      <c r="C338" s="62"/>
      <c r="D338" s="62"/>
      <c r="E338" s="62"/>
      <c r="F338" s="62"/>
      <c r="G338" s="62"/>
      <c r="H338" s="62"/>
      <c r="I338" s="66"/>
      <c r="J338" s="66"/>
      <c r="K338" s="66"/>
      <c r="L338" s="66"/>
      <c r="M338" s="66"/>
      <c r="N338" s="64" t="str">
        <f>IF(OR($B338="", $I338="", $J338="", $K338="", $L338="", $M338=""),"",ROUND(($I338*Lists!$AN$2)+($J338*Lists!$AN$3)+($K338*Lists!$AN$4)+($L338*Lists!$AN$5)+($M338*Lists!$AN$6),2))</f>
        <v/>
      </c>
      <c r="O338" s="64" t="str">
        <f>IF($A338="","",IFERROR(VLOOKUP($A338,'Risk Register'!$B$2:$I$1000,8,FALSE()),""))</f>
        <v/>
      </c>
      <c r="P338" s="66"/>
      <c r="Q338" s="66"/>
      <c r="R338" s="66"/>
      <c r="S338" s="66"/>
      <c r="T338" s="64" t="str">
        <f>IF(OR($B338="", $P338="", $Q338="", $R338="", $S338=""),"",ROUND(($P338*Lists!$AN$7)+($Q338*Lists!$AN$8)+($R338*Lists!$AN$9)+($S338*Lists!$AN$10),2))</f>
        <v/>
      </c>
      <c r="U338" s="66"/>
      <c r="V338" s="66"/>
      <c r="W338" s="66"/>
      <c r="X338" s="66"/>
      <c r="Y338" s="66"/>
      <c r="Z338" s="64" t="str">
        <f>IF(OR($B338="", $U338="", $V338="", $W338="", $X338="", $Y338=""),"",ROUND(($U338*Lists!$AN$11)+($V338*Lists!$AN$12)+($W338*Lists!$AN$13)+($X338*Lists!$AN$14)+($Y338*Lists!$AN$15),2))</f>
        <v/>
      </c>
      <c r="AA338" s="64" t="str">
        <f>IF(OR($B338="", $N338="", $O338="", $T338="", $Z338=""),"",ROUND(($N338*Lists!$AN$16)-($O338*Lists!$AN$17)-($T338*Lists!$AN$18)+($Z338*Lists!$AN$19),2))</f>
        <v/>
      </c>
      <c r="AB338" s="63" t="str">
        <f t="shared" si="17"/>
        <v/>
      </c>
      <c r="AC338" s="63" t="str">
        <f t="shared" si="18"/>
        <v/>
      </c>
      <c r="AD338" s="63" t="str">
        <f>IF($A338="","",IFERROR(IF(VLOOKUP($A338,'Risk Register'!$B$2:$H$1000,4,FALSE())&gt;=4,"Yes",""),""))</f>
        <v/>
      </c>
      <c r="AE338" s="63" t="str">
        <f t="shared" si="19"/>
        <v/>
      </c>
      <c r="AF338" s="62"/>
      <c r="AG338" s="62"/>
      <c r="AH338" s="62"/>
      <c r="AI338" s="62"/>
      <c r="AJ338" s="62"/>
      <c r="AK338" s="62"/>
      <c r="AL338" s="62"/>
      <c r="AM338" s="62"/>
      <c r="AN338" s="62"/>
      <c r="AO338" s="62"/>
      <c r="AP338" s="62"/>
      <c r="AQ338" s="80"/>
    </row>
    <row r="339" spans="1:43" ht="15.75" customHeight="1" x14ac:dyDescent="0.2">
      <c r="A339" s="63" t="str">
        <f t="shared" si="16"/>
        <v/>
      </c>
      <c r="B339" s="62"/>
      <c r="C339" s="62"/>
      <c r="D339" s="62"/>
      <c r="E339" s="62"/>
      <c r="F339" s="62"/>
      <c r="G339" s="62"/>
      <c r="H339" s="62"/>
      <c r="I339" s="66"/>
      <c r="J339" s="66"/>
      <c r="K339" s="66"/>
      <c r="L339" s="66"/>
      <c r="M339" s="66"/>
      <c r="N339" s="64" t="str">
        <f>IF(OR($B339="", $I339="", $J339="", $K339="", $L339="", $M339=""),"",ROUND(($I339*Lists!$AN$2)+($J339*Lists!$AN$3)+($K339*Lists!$AN$4)+($L339*Lists!$AN$5)+($M339*Lists!$AN$6),2))</f>
        <v/>
      </c>
      <c r="O339" s="64" t="str">
        <f>IF($A339="","",IFERROR(VLOOKUP($A339,'Risk Register'!$B$2:$I$1000,8,FALSE()),""))</f>
        <v/>
      </c>
      <c r="P339" s="66"/>
      <c r="Q339" s="66"/>
      <c r="R339" s="66"/>
      <c r="S339" s="66"/>
      <c r="T339" s="64" t="str">
        <f>IF(OR($B339="", $P339="", $Q339="", $R339="", $S339=""),"",ROUND(($P339*Lists!$AN$7)+($Q339*Lists!$AN$8)+($R339*Lists!$AN$9)+($S339*Lists!$AN$10),2))</f>
        <v/>
      </c>
      <c r="U339" s="66"/>
      <c r="V339" s="66"/>
      <c r="W339" s="66"/>
      <c r="X339" s="66"/>
      <c r="Y339" s="66"/>
      <c r="Z339" s="64" t="str">
        <f>IF(OR($B339="", $U339="", $V339="", $W339="", $X339="", $Y339=""),"",ROUND(($U339*Lists!$AN$11)+($V339*Lists!$AN$12)+($W339*Lists!$AN$13)+($X339*Lists!$AN$14)+($Y339*Lists!$AN$15),2))</f>
        <v/>
      </c>
      <c r="AA339" s="64" t="str">
        <f>IF(OR($B339="", $N339="", $O339="", $T339="", $Z339=""),"",ROUND(($N339*Lists!$AN$16)-($O339*Lists!$AN$17)-($T339*Lists!$AN$18)+($Z339*Lists!$AN$19),2))</f>
        <v/>
      </c>
      <c r="AB339" s="63" t="str">
        <f t="shared" si="17"/>
        <v/>
      </c>
      <c r="AC339" s="63" t="str">
        <f t="shared" si="18"/>
        <v/>
      </c>
      <c r="AD339" s="63" t="str">
        <f>IF($A339="","",IFERROR(IF(VLOOKUP($A339,'Risk Register'!$B$2:$H$1000,4,FALSE())&gt;=4,"Yes",""),""))</f>
        <v/>
      </c>
      <c r="AE339" s="63" t="str">
        <f t="shared" si="19"/>
        <v/>
      </c>
      <c r="AF339" s="62"/>
      <c r="AG339" s="62"/>
      <c r="AH339" s="62"/>
      <c r="AI339" s="62"/>
      <c r="AJ339" s="62"/>
      <c r="AK339" s="62"/>
      <c r="AL339" s="62"/>
      <c r="AM339" s="62"/>
      <c r="AN339" s="62"/>
      <c r="AO339" s="62"/>
      <c r="AP339" s="62"/>
      <c r="AQ339" s="80"/>
    </row>
    <row r="340" spans="1:43" ht="15.75" customHeight="1" x14ac:dyDescent="0.2">
      <c r="A340" s="63" t="str">
        <f t="shared" si="16"/>
        <v/>
      </c>
      <c r="B340" s="62"/>
      <c r="C340" s="62"/>
      <c r="D340" s="62"/>
      <c r="E340" s="62"/>
      <c r="F340" s="62"/>
      <c r="G340" s="62"/>
      <c r="H340" s="62"/>
      <c r="I340" s="66"/>
      <c r="J340" s="66"/>
      <c r="K340" s="66"/>
      <c r="L340" s="66"/>
      <c r="M340" s="66"/>
      <c r="N340" s="64" t="str">
        <f>IF(OR($B340="", $I340="", $J340="", $K340="", $L340="", $M340=""),"",ROUND(($I340*Lists!$AN$2)+($J340*Lists!$AN$3)+($K340*Lists!$AN$4)+($L340*Lists!$AN$5)+($M340*Lists!$AN$6),2))</f>
        <v/>
      </c>
      <c r="O340" s="64" t="str">
        <f>IF($A340="","",IFERROR(VLOOKUP($A340,'Risk Register'!$B$2:$I$1000,8,FALSE()),""))</f>
        <v/>
      </c>
      <c r="P340" s="66"/>
      <c r="Q340" s="66"/>
      <c r="R340" s="66"/>
      <c r="S340" s="66"/>
      <c r="T340" s="64" t="str">
        <f>IF(OR($B340="", $P340="", $Q340="", $R340="", $S340=""),"",ROUND(($P340*Lists!$AN$7)+($Q340*Lists!$AN$8)+($R340*Lists!$AN$9)+($S340*Lists!$AN$10),2))</f>
        <v/>
      </c>
      <c r="U340" s="66"/>
      <c r="V340" s="66"/>
      <c r="W340" s="66"/>
      <c r="X340" s="66"/>
      <c r="Y340" s="66"/>
      <c r="Z340" s="64" t="str">
        <f>IF(OR($B340="", $U340="", $V340="", $W340="", $X340="", $Y340=""),"",ROUND(($U340*Lists!$AN$11)+($V340*Lists!$AN$12)+($W340*Lists!$AN$13)+($X340*Lists!$AN$14)+($Y340*Lists!$AN$15),2))</f>
        <v/>
      </c>
      <c r="AA340" s="64" t="str">
        <f>IF(OR($B340="", $N340="", $O340="", $T340="", $Z340=""),"",ROUND(($N340*Lists!$AN$16)-($O340*Lists!$AN$17)-($T340*Lists!$AN$18)+($Z340*Lists!$AN$19),2))</f>
        <v/>
      </c>
      <c r="AB340" s="63" t="str">
        <f t="shared" si="17"/>
        <v/>
      </c>
      <c r="AC340" s="63" t="str">
        <f t="shared" si="18"/>
        <v/>
      </c>
      <c r="AD340" s="63" t="str">
        <f>IF($A340="","",IFERROR(IF(VLOOKUP($A340,'Risk Register'!$B$2:$H$1000,4,FALSE())&gt;=4,"Yes",""),""))</f>
        <v/>
      </c>
      <c r="AE340" s="63" t="str">
        <f t="shared" si="19"/>
        <v/>
      </c>
      <c r="AF340" s="62"/>
      <c r="AG340" s="62"/>
      <c r="AH340" s="62"/>
      <c r="AI340" s="62"/>
      <c r="AJ340" s="62"/>
      <c r="AK340" s="62"/>
      <c r="AL340" s="62"/>
      <c r="AM340" s="62"/>
      <c r="AN340" s="62"/>
      <c r="AO340" s="62"/>
      <c r="AP340" s="62"/>
      <c r="AQ340" s="80"/>
    </row>
    <row r="341" spans="1:43" ht="15.75" customHeight="1" x14ac:dyDescent="0.2">
      <c r="A341" s="63" t="str">
        <f t="shared" si="16"/>
        <v/>
      </c>
      <c r="B341" s="62"/>
      <c r="C341" s="62"/>
      <c r="D341" s="62"/>
      <c r="E341" s="62"/>
      <c r="F341" s="62"/>
      <c r="G341" s="62"/>
      <c r="H341" s="62"/>
      <c r="I341" s="66"/>
      <c r="J341" s="66"/>
      <c r="K341" s="66"/>
      <c r="L341" s="66"/>
      <c r="M341" s="66"/>
      <c r="N341" s="64" t="str">
        <f>IF(OR($B341="", $I341="", $J341="", $K341="", $L341="", $M341=""),"",ROUND(($I341*Lists!$AN$2)+($J341*Lists!$AN$3)+($K341*Lists!$AN$4)+($L341*Lists!$AN$5)+($M341*Lists!$AN$6),2))</f>
        <v/>
      </c>
      <c r="O341" s="64" t="str">
        <f>IF($A341="","",IFERROR(VLOOKUP($A341,'Risk Register'!$B$2:$I$1000,8,FALSE()),""))</f>
        <v/>
      </c>
      <c r="P341" s="66"/>
      <c r="Q341" s="66"/>
      <c r="R341" s="66"/>
      <c r="S341" s="66"/>
      <c r="T341" s="64" t="str">
        <f>IF(OR($B341="", $P341="", $Q341="", $R341="", $S341=""),"",ROUND(($P341*Lists!$AN$7)+($Q341*Lists!$AN$8)+($R341*Lists!$AN$9)+($S341*Lists!$AN$10),2))</f>
        <v/>
      </c>
      <c r="U341" s="66"/>
      <c r="V341" s="66"/>
      <c r="W341" s="66"/>
      <c r="X341" s="66"/>
      <c r="Y341" s="66"/>
      <c r="Z341" s="64" t="str">
        <f>IF(OR($B341="", $U341="", $V341="", $W341="", $X341="", $Y341=""),"",ROUND(($U341*Lists!$AN$11)+($V341*Lists!$AN$12)+($W341*Lists!$AN$13)+($X341*Lists!$AN$14)+($Y341*Lists!$AN$15),2))</f>
        <v/>
      </c>
      <c r="AA341" s="64" t="str">
        <f>IF(OR($B341="", $N341="", $O341="", $T341="", $Z341=""),"",ROUND(($N341*Lists!$AN$16)-($O341*Lists!$AN$17)-($T341*Lists!$AN$18)+($Z341*Lists!$AN$19),2))</f>
        <v/>
      </c>
      <c r="AB341" s="63" t="str">
        <f t="shared" si="17"/>
        <v/>
      </c>
      <c r="AC341" s="63" t="str">
        <f t="shared" si="18"/>
        <v/>
      </c>
      <c r="AD341" s="63" t="str">
        <f>IF($A341="","",IFERROR(IF(VLOOKUP($A341,'Risk Register'!$B$2:$H$1000,4,FALSE())&gt;=4,"Yes",""),""))</f>
        <v/>
      </c>
      <c r="AE341" s="63" t="str">
        <f t="shared" si="19"/>
        <v/>
      </c>
      <c r="AF341" s="62"/>
      <c r="AG341" s="62"/>
      <c r="AH341" s="62"/>
      <c r="AI341" s="62"/>
      <c r="AJ341" s="62"/>
      <c r="AK341" s="62"/>
      <c r="AL341" s="62"/>
      <c r="AM341" s="62"/>
      <c r="AN341" s="62"/>
      <c r="AO341" s="62"/>
      <c r="AP341" s="62"/>
      <c r="AQ341" s="80"/>
    </row>
    <row r="342" spans="1:43" ht="15.75" customHeight="1" x14ac:dyDescent="0.2">
      <c r="A342" s="63" t="str">
        <f t="shared" si="16"/>
        <v/>
      </c>
      <c r="B342" s="62"/>
      <c r="C342" s="62"/>
      <c r="D342" s="62"/>
      <c r="E342" s="62"/>
      <c r="F342" s="62"/>
      <c r="G342" s="62"/>
      <c r="H342" s="62"/>
      <c r="I342" s="66"/>
      <c r="J342" s="66"/>
      <c r="K342" s="66"/>
      <c r="L342" s="66"/>
      <c r="M342" s="66"/>
      <c r="N342" s="64" t="str">
        <f>IF(OR($B342="", $I342="", $J342="", $K342="", $L342="", $M342=""),"",ROUND(($I342*Lists!$AN$2)+($J342*Lists!$AN$3)+($K342*Lists!$AN$4)+($L342*Lists!$AN$5)+($M342*Lists!$AN$6),2))</f>
        <v/>
      </c>
      <c r="O342" s="64" t="str">
        <f>IF($A342="","",IFERROR(VLOOKUP($A342,'Risk Register'!$B$2:$I$1000,8,FALSE()),""))</f>
        <v/>
      </c>
      <c r="P342" s="66"/>
      <c r="Q342" s="66"/>
      <c r="R342" s="66"/>
      <c r="S342" s="66"/>
      <c r="T342" s="64" t="str">
        <f>IF(OR($B342="", $P342="", $Q342="", $R342="", $S342=""),"",ROUND(($P342*Lists!$AN$7)+($Q342*Lists!$AN$8)+($R342*Lists!$AN$9)+($S342*Lists!$AN$10),2))</f>
        <v/>
      </c>
      <c r="U342" s="66"/>
      <c r="V342" s="66"/>
      <c r="W342" s="66"/>
      <c r="X342" s="66"/>
      <c r="Y342" s="66"/>
      <c r="Z342" s="64" t="str">
        <f>IF(OR($B342="", $U342="", $V342="", $W342="", $X342="", $Y342=""),"",ROUND(($U342*Lists!$AN$11)+($V342*Lists!$AN$12)+($W342*Lists!$AN$13)+($X342*Lists!$AN$14)+($Y342*Lists!$AN$15),2))</f>
        <v/>
      </c>
      <c r="AA342" s="64" t="str">
        <f>IF(OR($B342="", $N342="", $O342="", $T342="", $Z342=""),"",ROUND(($N342*Lists!$AN$16)-($O342*Lists!$AN$17)-($T342*Lists!$AN$18)+($Z342*Lists!$AN$19),2))</f>
        <v/>
      </c>
      <c r="AB342" s="63" t="str">
        <f t="shared" si="17"/>
        <v/>
      </c>
      <c r="AC342" s="63" t="str">
        <f t="shared" si="18"/>
        <v/>
      </c>
      <c r="AD342" s="63" t="str">
        <f>IF($A342="","",IFERROR(IF(VLOOKUP($A342,'Risk Register'!$B$2:$H$1000,4,FALSE())&gt;=4,"Yes",""),""))</f>
        <v/>
      </c>
      <c r="AE342" s="63" t="str">
        <f t="shared" si="19"/>
        <v/>
      </c>
      <c r="AF342" s="62"/>
      <c r="AG342" s="62"/>
      <c r="AH342" s="62"/>
      <c r="AI342" s="62"/>
      <c r="AJ342" s="62"/>
      <c r="AK342" s="62"/>
      <c r="AL342" s="62"/>
      <c r="AM342" s="62"/>
      <c r="AN342" s="62"/>
      <c r="AO342" s="62"/>
      <c r="AP342" s="62"/>
      <c r="AQ342" s="80"/>
    </row>
    <row r="343" spans="1:43" ht="15.75" customHeight="1" x14ac:dyDescent="0.2">
      <c r="A343" s="63" t="str">
        <f t="shared" ref="A343:A406" si="20">IF($B343="","", "APM-" &amp; RIGHT("0000"&amp;ROW()-1,4))</f>
        <v/>
      </c>
      <c r="B343" s="62"/>
      <c r="C343" s="62"/>
      <c r="D343" s="62"/>
      <c r="E343" s="62"/>
      <c r="F343" s="62"/>
      <c r="G343" s="62"/>
      <c r="H343" s="62"/>
      <c r="I343" s="66"/>
      <c r="J343" s="66"/>
      <c r="K343" s="66"/>
      <c r="L343" s="66"/>
      <c r="M343" s="66"/>
      <c r="N343" s="64" t="str">
        <f>IF(OR($B343="", $I343="", $J343="", $K343="", $L343="", $M343=""),"",ROUND(($I343*Lists!$AN$2)+($J343*Lists!$AN$3)+($K343*Lists!$AN$4)+($L343*Lists!$AN$5)+($M343*Lists!$AN$6),2))</f>
        <v/>
      </c>
      <c r="O343" s="64" t="str">
        <f>IF($A343="","",IFERROR(VLOOKUP($A343,'Risk Register'!$B$2:$I$1000,8,FALSE()),""))</f>
        <v/>
      </c>
      <c r="P343" s="66"/>
      <c r="Q343" s="66"/>
      <c r="R343" s="66"/>
      <c r="S343" s="66"/>
      <c r="T343" s="64" t="str">
        <f>IF(OR($B343="", $P343="", $Q343="", $R343="", $S343=""),"",ROUND(($P343*Lists!$AN$7)+($Q343*Lists!$AN$8)+($R343*Lists!$AN$9)+($S343*Lists!$AN$10),2))</f>
        <v/>
      </c>
      <c r="U343" s="66"/>
      <c r="V343" s="66"/>
      <c r="W343" s="66"/>
      <c r="X343" s="66"/>
      <c r="Y343" s="66"/>
      <c r="Z343" s="64" t="str">
        <f>IF(OR($B343="", $U343="", $V343="", $W343="", $X343="", $Y343=""),"",ROUND(($U343*Lists!$AN$11)+($V343*Lists!$AN$12)+($W343*Lists!$AN$13)+($X343*Lists!$AN$14)+($Y343*Lists!$AN$15),2))</f>
        <v/>
      </c>
      <c r="AA343" s="64" t="str">
        <f>IF(OR($B343="", $N343="", $O343="", $T343="", $Z343=""),"",ROUND(($N343*Lists!$AN$16)-($O343*Lists!$AN$17)-($T343*Lists!$AN$18)+($Z343*Lists!$AN$19),2))</f>
        <v/>
      </c>
      <c r="AB343" s="63" t="str">
        <f t="shared" ref="AB343:AB406" si="21">IF($AA343="","",IF($AA343&gt;=3.5,"INVEST",IF($AA343&gt;=2.5,"TOLERATE",IF($AA343&gt;=1.5,"MIGRATE / MODERNIZE","RETIRE"))))</f>
        <v/>
      </c>
      <c r="AC343" s="63" t="str">
        <f t="shared" ref="AC343:AC406" si="22">IF($B343="","",IF($J343&gt;=4,"Yes",""))</f>
        <v/>
      </c>
      <c r="AD343" s="63" t="str">
        <f>IF($A343="","",IFERROR(IF(VLOOKUP($A343,'Risk Register'!$B$2:$H$1000,4,FALSE())&gt;=4,"Yes",""),""))</f>
        <v/>
      </c>
      <c r="AE343" s="63" t="str">
        <f t="shared" ref="AE343:AE406" si="23">IF(OR($N343="", $O343=""),"",IF($N343&gt;=3.5,IF($O343&gt;=3.5,"High Value / High Risk","High Value / Low Risk"),IF($O343&gt;=3.5,"Low Value / High Risk","Low Value / Low Risk")))</f>
        <v/>
      </c>
      <c r="AF343" s="62"/>
      <c r="AG343" s="62"/>
      <c r="AH343" s="62"/>
      <c r="AI343" s="62"/>
      <c r="AJ343" s="62"/>
      <c r="AK343" s="62"/>
      <c r="AL343" s="62"/>
      <c r="AM343" s="62"/>
      <c r="AN343" s="62"/>
      <c r="AO343" s="62"/>
      <c r="AP343" s="62"/>
      <c r="AQ343" s="80"/>
    </row>
    <row r="344" spans="1:43" ht="15.75" customHeight="1" x14ac:dyDescent="0.2">
      <c r="A344" s="63" t="str">
        <f t="shared" si="20"/>
        <v/>
      </c>
      <c r="B344" s="62"/>
      <c r="C344" s="62"/>
      <c r="D344" s="62"/>
      <c r="E344" s="62"/>
      <c r="F344" s="62"/>
      <c r="G344" s="62"/>
      <c r="H344" s="62"/>
      <c r="I344" s="66"/>
      <c r="J344" s="66"/>
      <c r="K344" s="66"/>
      <c r="L344" s="66"/>
      <c r="M344" s="66"/>
      <c r="N344" s="64" t="str">
        <f>IF(OR($B344="", $I344="", $J344="", $K344="", $L344="", $M344=""),"",ROUND(($I344*Lists!$AN$2)+($J344*Lists!$AN$3)+($K344*Lists!$AN$4)+($L344*Lists!$AN$5)+($M344*Lists!$AN$6),2))</f>
        <v/>
      </c>
      <c r="O344" s="64" t="str">
        <f>IF($A344="","",IFERROR(VLOOKUP($A344,'Risk Register'!$B$2:$I$1000,8,FALSE()),""))</f>
        <v/>
      </c>
      <c r="P344" s="66"/>
      <c r="Q344" s="66"/>
      <c r="R344" s="66"/>
      <c r="S344" s="66"/>
      <c r="T344" s="64" t="str">
        <f>IF(OR($B344="", $P344="", $Q344="", $R344="", $S344=""),"",ROUND(($P344*Lists!$AN$7)+($Q344*Lists!$AN$8)+($R344*Lists!$AN$9)+($S344*Lists!$AN$10),2))</f>
        <v/>
      </c>
      <c r="U344" s="66"/>
      <c r="V344" s="66"/>
      <c r="W344" s="66"/>
      <c r="X344" s="66"/>
      <c r="Y344" s="66"/>
      <c r="Z344" s="64" t="str">
        <f>IF(OR($B344="", $U344="", $V344="", $W344="", $X344="", $Y344=""),"",ROUND(($U344*Lists!$AN$11)+($V344*Lists!$AN$12)+($W344*Lists!$AN$13)+($X344*Lists!$AN$14)+($Y344*Lists!$AN$15),2))</f>
        <v/>
      </c>
      <c r="AA344" s="64" t="str">
        <f>IF(OR($B344="", $N344="", $O344="", $T344="", $Z344=""),"",ROUND(($N344*Lists!$AN$16)-($O344*Lists!$AN$17)-($T344*Lists!$AN$18)+($Z344*Lists!$AN$19),2))</f>
        <v/>
      </c>
      <c r="AB344" s="63" t="str">
        <f t="shared" si="21"/>
        <v/>
      </c>
      <c r="AC344" s="63" t="str">
        <f t="shared" si="22"/>
        <v/>
      </c>
      <c r="AD344" s="63" t="str">
        <f>IF($A344="","",IFERROR(IF(VLOOKUP($A344,'Risk Register'!$B$2:$H$1000,4,FALSE())&gt;=4,"Yes",""),""))</f>
        <v/>
      </c>
      <c r="AE344" s="63" t="str">
        <f t="shared" si="23"/>
        <v/>
      </c>
      <c r="AF344" s="62"/>
      <c r="AG344" s="62"/>
      <c r="AH344" s="62"/>
      <c r="AI344" s="62"/>
      <c r="AJ344" s="62"/>
      <c r="AK344" s="62"/>
      <c r="AL344" s="62"/>
      <c r="AM344" s="62"/>
      <c r="AN344" s="62"/>
      <c r="AO344" s="62"/>
      <c r="AP344" s="62"/>
      <c r="AQ344" s="80"/>
    </row>
    <row r="345" spans="1:43" ht="15.75" customHeight="1" x14ac:dyDescent="0.2">
      <c r="A345" s="63" t="str">
        <f t="shared" si="20"/>
        <v/>
      </c>
      <c r="B345" s="62"/>
      <c r="C345" s="62"/>
      <c r="D345" s="62"/>
      <c r="E345" s="62"/>
      <c r="F345" s="62"/>
      <c r="G345" s="62"/>
      <c r="H345" s="62"/>
      <c r="I345" s="66"/>
      <c r="J345" s="66"/>
      <c r="K345" s="66"/>
      <c r="L345" s="66"/>
      <c r="M345" s="66"/>
      <c r="N345" s="64" t="str">
        <f>IF(OR($B345="", $I345="", $J345="", $K345="", $L345="", $M345=""),"",ROUND(($I345*Lists!$AN$2)+($J345*Lists!$AN$3)+($K345*Lists!$AN$4)+($L345*Lists!$AN$5)+($M345*Lists!$AN$6),2))</f>
        <v/>
      </c>
      <c r="O345" s="64" t="str">
        <f>IF($A345="","",IFERROR(VLOOKUP($A345,'Risk Register'!$B$2:$I$1000,8,FALSE()),""))</f>
        <v/>
      </c>
      <c r="P345" s="66"/>
      <c r="Q345" s="66"/>
      <c r="R345" s="66"/>
      <c r="S345" s="66"/>
      <c r="T345" s="64" t="str">
        <f>IF(OR($B345="", $P345="", $Q345="", $R345="", $S345=""),"",ROUND(($P345*Lists!$AN$7)+($Q345*Lists!$AN$8)+($R345*Lists!$AN$9)+($S345*Lists!$AN$10),2))</f>
        <v/>
      </c>
      <c r="U345" s="66"/>
      <c r="V345" s="66"/>
      <c r="W345" s="66"/>
      <c r="X345" s="66"/>
      <c r="Y345" s="66"/>
      <c r="Z345" s="64" t="str">
        <f>IF(OR($B345="", $U345="", $V345="", $W345="", $X345="", $Y345=""),"",ROUND(($U345*Lists!$AN$11)+($V345*Lists!$AN$12)+($W345*Lists!$AN$13)+($X345*Lists!$AN$14)+($Y345*Lists!$AN$15),2))</f>
        <v/>
      </c>
      <c r="AA345" s="64" t="str">
        <f>IF(OR($B345="", $N345="", $O345="", $T345="", $Z345=""),"",ROUND(($N345*Lists!$AN$16)-($O345*Lists!$AN$17)-($T345*Lists!$AN$18)+($Z345*Lists!$AN$19),2))</f>
        <v/>
      </c>
      <c r="AB345" s="63" t="str">
        <f t="shared" si="21"/>
        <v/>
      </c>
      <c r="AC345" s="63" t="str">
        <f t="shared" si="22"/>
        <v/>
      </c>
      <c r="AD345" s="63" t="str">
        <f>IF($A345="","",IFERROR(IF(VLOOKUP($A345,'Risk Register'!$B$2:$H$1000,4,FALSE())&gt;=4,"Yes",""),""))</f>
        <v/>
      </c>
      <c r="AE345" s="63" t="str">
        <f t="shared" si="23"/>
        <v/>
      </c>
      <c r="AF345" s="62"/>
      <c r="AG345" s="62"/>
      <c r="AH345" s="62"/>
      <c r="AI345" s="62"/>
      <c r="AJ345" s="62"/>
      <c r="AK345" s="62"/>
      <c r="AL345" s="62"/>
      <c r="AM345" s="62"/>
      <c r="AN345" s="62"/>
      <c r="AO345" s="62"/>
      <c r="AP345" s="62"/>
      <c r="AQ345" s="80"/>
    </row>
    <row r="346" spans="1:43" ht="15.75" customHeight="1" x14ac:dyDescent="0.2">
      <c r="A346" s="63" t="str">
        <f t="shared" si="20"/>
        <v/>
      </c>
      <c r="B346" s="62"/>
      <c r="C346" s="62"/>
      <c r="D346" s="62"/>
      <c r="E346" s="62"/>
      <c r="F346" s="62"/>
      <c r="G346" s="62"/>
      <c r="H346" s="62"/>
      <c r="I346" s="66"/>
      <c r="J346" s="66"/>
      <c r="K346" s="66"/>
      <c r="L346" s="66"/>
      <c r="M346" s="66"/>
      <c r="N346" s="64" t="str">
        <f>IF(OR($B346="", $I346="", $J346="", $K346="", $L346="", $M346=""),"",ROUND(($I346*Lists!$AN$2)+($J346*Lists!$AN$3)+($K346*Lists!$AN$4)+($L346*Lists!$AN$5)+($M346*Lists!$AN$6),2))</f>
        <v/>
      </c>
      <c r="O346" s="64" t="str">
        <f>IF($A346="","",IFERROR(VLOOKUP($A346,'Risk Register'!$B$2:$I$1000,8,FALSE()),""))</f>
        <v/>
      </c>
      <c r="P346" s="66"/>
      <c r="Q346" s="66"/>
      <c r="R346" s="66"/>
      <c r="S346" s="66"/>
      <c r="T346" s="64" t="str">
        <f>IF(OR($B346="", $P346="", $Q346="", $R346="", $S346=""),"",ROUND(($P346*Lists!$AN$7)+($Q346*Lists!$AN$8)+($R346*Lists!$AN$9)+($S346*Lists!$AN$10),2))</f>
        <v/>
      </c>
      <c r="U346" s="66"/>
      <c r="V346" s="66"/>
      <c r="W346" s="66"/>
      <c r="X346" s="66"/>
      <c r="Y346" s="66"/>
      <c r="Z346" s="64" t="str">
        <f>IF(OR($B346="", $U346="", $V346="", $W346="", $X346="", $Y346=""),"",ROUND(($U346*Lists!$AN$11)+($V346*Lists!$AN$12)+($W346*Lists!$AN$13)+($X346*Lists!$AN$14)+($Y346*Lists!$AN$15),2))</f>
        <v/>
      </c>
      <c r="AA346" s="64" t="str">
        <f>IF(OR($B346="", $N346="", $O346="", $T346="", $Z346=""),"",ROUND(($N346*Lists!$AN$16)-($O346*Lists!$AN$17)-($T346*Lists!$AN$18)+($Z346*Lists!$AN$19),2))</f>
        <v/>
      </c>
      <c r="AB346" s="63" t="str">
        <f t="shared" si="21"/>
        <v/>
      </c>
      <c r="AC346" s="63" t="str">
        <f t="shared" si="22"/>
        <v/>
      </c>
      <c r="AD346" s="63" t="str">
        <f>IF($A346="","",IFERROR(IF(VLOOKUP($A346,'Risk Register'!$B$2:$H$1000,4,FALSE())&gt;=4,"Yes",""),""))</f>
        <v/>
      </c>
      <c r="AE346" s="63" t="str">
        <f t="shared" si="23"/>
        <v/>
      </c>
      <c r="AF346" s="62"/>
      <c r="AG346" s="62"/>
      <c r="AH346" s="62"/>
      <c r="AI346" s="62"/>
      <c r="AJ346" s="62"/>
      <c r="AK346" s="62"/>
      <c r="AL346" s="62"/>
      <c r="AM346" s="62"/>
      <c r="AN346" s="62"/>
      <c r="AO346" s="62"/>
      <c r="AP346" s="62"/>
      <c r="AQ346" s="80"/>
    </row>
    <row r="347" spans="1:43" ht="15.75" customHeight="1" x14ac:dyDescent="0.2">
      <c r="A347" s="63" t="str">
        <f t="shared" si="20"/>
        <v/>
      </c>
      <c r="B347" s="62"/>
      <c r="C347" s="62"/>
      <c r="D347" s="62"/>
      <c r="E347" s="62"/>
      <c r="F347" s="62"/>
      <c r="G347" s="62"/>
      <c r="H347" s="62"/>
      <c r="I347" s="66"/>
      <c r="J347" s="66"/>
      <c r="K347" s="66"/>
      <c r="L347" s="66"/>
      <c r="M347" s="66"/>
      <c r="N347" s="64" t="str">
        <f>IF(OR($B347="", $I347="", $J347="", $K347="", $L347="", $M347=""),"",ROUND(($I347*Lists!$AN$2)+($J347*Lists!$AN$3)+($K347*Lists!$AN$4)+($L347*Lists!$AN$5)+($M347*Lists!$AN$6),2))</f>
        <v/>
      </c>
      <c r="O347" s="64" t="str">
        <f>IF($A347="","",IFERROR(VLOOKUP($A347,'Risk Register'!$B$2:$I$1000,8,FALSE()),""))</f>
        <v/>
      </c>
      <c r="P347" s="66"/>
      <c r="Q347" s="66"/>
      <c r="R347" s="66"/>
      <c r="S347" s="66"/>
      <c r="T347" s="64" t="str">
        <f>IF(OR($B347="", $P347="", $Q347="", $R347="", $S347=""),"",ROUND(($P347*Lists!$AN$7)+($Q347*Lists!$AN$8)+($R347*Lists!$AN$9)+($S347*Lists!$AN$10),2))</f>
        <v/>
      </c>
      <c r="U347" s="66"/>
      <c r="V347" s="66"/>
      <c r="W347" s="66"/>
      <c r="X347" s="66"/>
      <c r="Y347" s="66"/>
      <c r="Z347" s="64" t="str">
        <f>IF(OR($B347="", $U347="", $V347="", $W347="", $X347="", $Y347=""),"",ROUND(($U347*Lists!$AN$11)+($V347*Lists!$AN$12)+($W347*Lists!$AN$13)+($X347*Lists!$AN$14)+($Y347*Lists!$AN$15),2))</f>
        <v/>
      </c>
      <c r="AA347" s="64" t="str">
        <f>IF(OR($B347="", $N347="", $O347="", $T347="", $Z347=""),"",ROUND(($N347*Lists!$AN$16)-($O347*Lists!$AN$17)-($T347*Lists!$AN$18)+($Z347*Lists!$AN$19),2))</f>
        <v/>
      </c>
      <c r="AB347" s="63" t="str">
        <f t="shared" si="21"/>
        <v/>
      </c>
      <c r="AC347" s="63" t="str">
        <f t="shared" si="22"/>
        <v/>
      </c>
      <c r="AD347" s="63" t="str">
        <f>IF($A347="","",IFERROR(IF(VLOOKUP($A347,'Risk Register'!$B$2:$H$1000,4,FALSE())&gt;=4,"Yes",""),""))</f>
        <v/>
      </c>
      <c r="AE347" s="63" t="str">
        <f t="shared" si="23"/>
        <v/>
      </c>
      <c r="AF347" s="62"/>
      <c r="AG347" s="62"/>
      <c r="AH347" s="62"/>
      <c r="AI347" s="62"/>
      <c r="AJ347" s="62"/>
      <c r="AK347" s="62"/>
      <c r="AL347" s="62"/>
      <c r="AM347" s="62"/>
      <c r="AN347" s="62"/>
      <c r="AO347" s="62"/>
      <c r="AP347" s="62"/>
      <c r="AQ347" s="80"/>
    </row>
    <row r="348" spans="1:43" ht="15.75" customHeight="1" x14ac:dyDescent="0.2">
      <c r="A348" s="63" t="str">
        <f t="shared" si="20"/>
        <v/>
      </c>
      <c r="B348" s="62"/>
      <c r="C348" s="62"/>
      <c r="D348" s="62"/>
      <c r="E348" s="62"/>
      <c r="F348" s="62"/>
      <c r="G348" s="62"/>
      <c r="H348" s="62"/>
      <c r="I348" s="66"/>
      <c r="J348" s="66"/>
      <c r="K348" s="66"/>
      <c r="L348" s="66"/>
      <c r="M348" s="66"/>
      <c r="N348" s="64" t="str">
        <f>IF(OR($B348="", $I348="", $J348="", $K348="", $L348="", $M348=""),"",ROUND(($I348*Lists!$AN$2)+($J348*Lists!$AN$3)+($K348*Lists!$AN$4)+($L348*Lists!$AN$5)+($M348*Lists!$AN$6),2))</f>
        <v/>
      </c>
      <c r="O348" s="64" t="str">
        <f>IF($A348="","",IFERROR(VLOOKUP($A348,'Risk Register'!$B$2:$I$1000,8,FALSE()),""))</f>
        <v/>
      </c>
      <c r="P348" s="66"/>
      <c r="Q348" s="66"/>
      <c r="R348" s="66"/>
      <c r="S348" s="66"/>
      <c r="T348" s="64" t="str">
        <f>IF(OR($B348="", $P348="", $Q348="", $R348="", $S348=""),"",ROUND(($P348*Lists!$AN$7)+($Q348*Lists!$AN$8)+($R348*Lists!$AN$9)+($S348*Lists!$AN$10),2))</f>
        <v/>
      </c>
      <c r="U348" s="66"/>
      <c r="V348" s="66"/>
      <c r="W348" s="66"/>
      <c r="X348" s="66"/>
      <c r="Y348" s="66"/>
      <c r="Z348" s="64" t="str">
        <f>IF(OR($B348="", $U348="", $V348="", $W348="", $X348="", $Y348=""),"",ROUND(($U348*Lists!$AN$11)+($V348*Lists!$AN$12)+($W348*Lists!$AN$13)+($X348*Lists!$AN$14)+($Y348*Lists!$AN$15),2))</f>
        <v/>
      </c>
      <c r="AA348" s="64" t="str">
        <f>IF(OR($B348="", $N348="", $O348="", $T348="", $Z348=""),"",ROUND(($N348*Lists!$AN$16)-($O348*Lists!$AN$17)-($T348*Lists!$AN$18)+($Z348*Lists!$AN$19),2))</f>
        <v/>
      </c>
      <c r="AB348" s="63" t="str">
        <f t="shared" si="21"/>
        <v/>
      </c>
      <c r="AC348" s="63" t="str">
        <f t="shared" si="22"/>
        <v/>
      </c>
      <c r="AD348" s="63" t="str">
        <f>IF($A348="","",IFERROR(IF(VLOOKUP($A348,'Risk Register'!$B$2:$H$1000,4,FALSE())&gt;=4,"Yes",""),""))</f>
        <v/>
      </c>
      <c r="AE348" s="63" t="str">
        <f t="shared" si="23"/>
        <v/>
      </c>
      <c r="AF348" s="62"/>
      <c r="AG348" s="62"/>
      <c r="AH348" s="62"/>
      <c r="AI348" s="62"/>
      <c r="AJ348" s="62"/>
      <c r="AK348" s="62"/>
      <c r="AL348" s="62"/>
      <c r="AM348" s="62"/>
      <c r="AN348" s="62"/>
      <c r="AO348" s="62"/>
      <c r="AP348" s="62"/>
      <c r="AQ348" s="80"/>
    </row>
    <row r="349" spans="1:43" ht="15.75" customHeight="1" x14ac:dyDescent="0.2">
      <c r="A349" s="63" t="str">
        <f t="shared" si="20"/>
        <v/>
      </c>
      <c r="B349" s="62"/>
      <c r="C349" s="62"/>
      <c r="D349" s="62"/>
      <c r="E349" s="62"/>
      <c r="F349" s="62"/>
      <c r="G349" s="62"/>
      <c r="H349" s="62"/>
      <c r="I349" s="66"/>
      <c r="J349" s="66"/>
      <c r="K349" s="66"/>
      <c r="L349" s="66"/>
      <c r="M349" s="66"/>
      <c r="N349" s="64" t="str">
        <f>IF(OR($B349="", $I349="", $J349="", $K349="", $L349="", $M349=""),"",ROUND(($I349*Lists!$AN$2)+($J349*Lists!$AN$3)+($K349*Lists!$AN$4)+($L349*Lists!$AN$5)+($M349*Lists!$AN$6),2))</f>
        <v/>
      </c>
      <c r="O349" s="64" t="str">
        <f>IF($A349="","",IFERROR(VLOOKUP($A349,'Risk Register'!$B$2:$I$1000,8,FALSE()),""))</f>
        <v/>
      </c>
      <c r="P349" s="66"/>
      <c r="Q349" s="66"/>
      <c r="R349" s="66"/>
      <c r="S349" s="66"/>
      <c r="T349" s="64" t="str">
        <f>IF(OR($B349="", $P349="", $Q349="", $R349="", $S349=""),"",ROUND(($P349*Lists!$AN$7)+($Q349*Lists!$AN$8)+($R349*Lists!$AN$9)+($S349*Lists!$AN$10),2))</f>
        <v/>
      </c>
      <c r="U349" s="66"/>
      <c r="V349" s="66"/>
      <c r="W349" s="66"/>
      <c r="X349" s="66"/>
      <c r="Y349" s="66"/>
      <c r="Z349" s="64" t="str">
        <f>IF(OR($B349="", $U349="", $V349="", $W349="", $X349="", $Y349=""),"",ROUND(($U349*Lists!$AN$11)+($V349*Lists!$AN$12)+($W349*Lists!$AN$13)+($X349*Lists!$AN$14)+($Y349*Lists!$AN$15),2))</f>
        <v/>
      </c>
      <c r="AA349" s="64" t="str">
        <f>IF(OR($B349="", $N349="", $O349="", $T349="", $Z349=""),"",ROUND(($N349*Lists!$AN$16)-($O349*Lists!$AN$17)-($T349*Lists!$AN$18)+($Z349*Lists!$AN$19),2))</f>
        <v/>
      </c>
      <c r="AB349" s="63" t="str">
        <f t="shared" si="21"/>
        <v/>
      </c>
      <c r="AC349" s="63" t="str">
        <f t="shared" si="22"/>
        <v/>
      </c>
      <c r="AD349" s="63" t="str">
        <f>IF($A349="","",IFERROR(IF(VLOOKUP($A349,'Risk Register'!$B$2:$H$1000,4,FALSE())&gt;=4,"Yes",""),""))</f>
        <v/>
      </c>
      <c r="AE349" s="63" t="str">
        <f t="shared" si="23"/>
        <v/>
      </c>
      <c r="AF349" s="62"/>
      <c r="AG349" s="62"/>
      <c r="AH349" s="62"/>
      <c r="AI349" s="62"/>
      <c r="AJ349" s="62"/>
      <c r="AK349" s="62"/>
      <c r="AL349" s="62"/>
      <c r="AM349" s="62"/>
      <c r="AN349" s="62"/>
      <c r="AO349" s="62"/>
      <c r="AP349" s="62"/>
      <c r="AQ349" s="80"/>
    </row>
    <row r="350" spans="1:43" ht="15.75" customHeight="1" x14ac:dyDescent="0.2">
      <c r="A350" s="63" t="str">
        <f t="shared" si="20"/>
        <v/>
      </c>
      <c r="B350" s="62"/>
      <c r="C350" s="62"/>
      <c r="D350" s="62"/>
      <c r="E350" s="62"/>
      <c r="F350" s="62"/>
      <c r="G350" s="62"/>
      <c r="H350" s="62"/>
      <c r="I350" s="66"/>
      <c r="J350" s="66"/>
      <c r="K350" s="66"/>
      <c r="L350" s="66"/>
      <c r="M350" s="66"/>
      <c r="N350" s="64" t="str">
        <f>IF(OR($B350="", $I350="", $J350="", $K350="", $L350="", $M350=""),"",ROUND(($I350*Lists!$AN$2)+($J350*Lists!$AN$3)+($K350*Lists!$AN$4)+($L350*Lists!$AN$5)+($M350*Lists!$AN$6),2))</f>
        <v/>
      </c>
      <c r="O350" s="64" t="str">
        <f>IF($A350="","",IFERROR(VLOOKUP($A350,'Risk Register'!$B$2:$I$1000,8,FALSE()),""))</f>
        <v/>
      </c>
      <c r="P350" s="66"/>
      <c r="Q350" s="66"/>
      <c r="R350" s="66"/>
      <c r="S350" s="66"/>
      <c r="T350" s="64" t="str">
        <f>IF(OR($B350="", $P350="", $Q350="", $R350="", $S350=""),"",ROUND(($P350*Lists!$AN$7)+($Q350*Lists!$AN$8)+($R350*Lists!$AN$9)+($S350*Lists!$AN$10),2))</f>
        <v/>
      </c>
      <c r="U350" s="66"/>
      <c r="V350" s="66"/>
      <c r="W350" s="66"/>
      <c r="X350" s="66"/>
      <c r="Y350" s="66"/>
      <c r="Z350" s="64" t="str">
        <f>IF(OR($B350="", $U350="", $V350="", $W350="", $X350="", $Y350=""),"",ROUND(($U350*Lists!$AN$11)+($V350*Lists!$AN$12)+($W350*Lists!$AN$13)+($X350*Lists!$AN$14)+($Y350*Lists!$AN$15),2))</f>
        <v/>
      </c>
      <c r="AA350" s="64" t="str">
        <f>IF(OR($B350="", $N350="", $O350="", $T350="", $Z350=""),"",ROUND(($N350*Lists!$AN$16)-($O350*Lists!$AN$17)-($T350*Lists!$AN$18)+($Z350*Lists!$AN$19),2))</f>
        <v/>
      </c>
      <c r="AB350" s="63" t="str">
        <f t="shared" si="21"/>
        <v/>
      </c>
      <c r="AC350" s="63" t="str">
        <f t="shared" si="22"/>
        <v/>
      </c>
      <c r="AD350" s="63" t="str">
        <f>IF($A350="","",IFERROR(IF(VLOOKUP($A350,'Risk Register'!$B$2:$H$1000,4,FALSE())&gt;=4,"Yes",""),""))</f>
        <v/>
      </c>
      <c r="AE350" s="63" t="str">
        <f t="shared" si="23"/>
        <v/>
      </c>
      <c r="AF350" s="62"/>
      <c r="AG350" s="62"/>
      <c r="AH350" s="62"/>
      <c r="AI350" s="62"/>
      <c r="AJ350" s="62"/>
      <c r="AK350" s="62"/>
      <c r="AL350" s="62"/>
      <c r="AM350" s="62"/>
      <c r="AN350" s="62"/>
      <c r="AO350" s="62"/>
      <c r="AP350" s="62"/>
      <c r="AQ350" s="80"/>
    </row>
    <row r="351" spans="1:43" ht="15.75" customHeight="1" x14ac:dyDescent="0.2">
      <c r="A351" s="63" t="str">
        <f t="shared" si="20"/>
        <v/>
      </c>
      <c r="B351" s="62"/>
      <c r="C351" s="62"/>
      <c r="D351" s="62"/>
      <c r="E351" s="62"/>
      <c r="F351" s="62"/>
      <c r="G351" s="62"/>
      <c r="H351" s="62"/>
      <c r="I351" s="66"/>
      <c r="J351" s="66"/>
      <c r="K351" s="66"/>
      <c r="L351" s="66"/>
      <c r="M351" s="66"/>
      <c r="N351" s="64" t="str">
        <f>IF(OR($B351="", $I351="", $J351="", $K351="", $L351="", $M351=""),"",ROUND(($I351*Lists!$AN$2)+($J351*Lists!$AN$3)+($K351*Lists!$AN$4)+($L351*Lists!$AN$5)+($M351*Lists!$AN$6),2))</f>
        <v/>
      </c>
      <c r="O351" s="64" t="str">
        <f>IF($A351="","",IFERROR(VLOOKUP($A351,'Risk Register'!$B$2:$I$1000,8,FALSE()),""))</f>
        <v/>
      </c>
      <c r="P351" s="66"/>
      <c r="Q351" s="66"/>
      <c r="R351" s="66"/>
      <c r="S351" s="66"/>
      <c r="T351" s="64" t="str">
        <f>IF(OR($B351="", $P351="", $Q351="", $R351="", $S351=""),"",ROUND(($P351*Lists!$AN$7)+($Q351*Lists!$AN$8)+($R351*Lists!$AN$9)+($S351*Lists!$AN$10),2))</f>
        <v/>
      </c>
      <c r="U351" s="66"/>
      <c r="V351" s="66"/>
      <c r="W351" s="66"/>
      <c r="X351" s="66"/>
      <c r="Y351" s="66"/>
      <c r="Z351" s="64" t="str">
        <f>IF(OR($B351="", $U351="", $V351="", $W351="", $X351="", $Y351=""),"",ROUND(($U351*Lists!$AN$11)+($V351*Lists!$AN$12)+($W351*Lists!$AN$13)+($X351*Lists!$AN$14)+($Y351*Lists!$AN$15),2))</f>
        <v/>
      </c>
      <c r="AA351" s="64" t="str">
        <f>IF(OR($B351="", $N351="", $O351="", $T351="", $Z351=""),"",ROUND(($N351*Lists!$AN$16)-($O351*Lists!$AN$17)-($T351*Lists!$AN$18)+($Z351*Lists!$AN$19),2))</f>
        <v/>
      </c>
      <c r="AB351" s="63" t="str">
        <f t="shared" si="21"/>
        <v/>
      </c>
      <c r="AC351" s="63" t="str">
        <f t="shared" si="22"/>
        <v/>
      </c>
      <c r="AD351" s="63" t="str">
        <f>IF($A351="","",IFERROR(IF(VLOOKUP($A351,'Risk Register'!$B$2:$H$1000,4,FALSE())&gt;=4,"Yes",""),""))</f>
        <v/>
      </c>
      <c r="AE351" s="63" t="str">
        <f t="shared" si="23"/>
        <v/>
      </c>
      <c r="AF351" s="62"/>
      <c r="AG351" s="62"/>
      <c r="AH351" s="62"/>
      <c r="AI351" s="62"/>
      <c r="AJ351" s="62"/>
      <c r="AK351" s="62"/>
      <c r="AL351" s="62"/>
      <c r="AM351" s="62"/>
      <c r="AN351" s="62"/>
      <c r="AO351" s="62"/>
      <c r="AP351" s="62"/>
      <c r="AQ351" s="80"/>
    </row>
    <row r="352" spans="1:43" ht="15.75" customHeight="1" x14ac:dyDescent="0.2">
      <c r="A352" s="63" t="str">
        <f t="shared" si="20"/>
        <v/>
      </c>
      <c r="B352" s="62"/>
      <c r="C352" s="62"/>
      <c r="D352" s="62"/>
      <c r="E352" s="62"/>
      <c r="F352" s="62"/>
      <c r="G352" s="62"/>
      <c r="H352" s="62"/>
      <c r="I352" s="66"/>
      <c r="J352" s="66"/>
      <c r="K352" s="66"/>
      <c r="L352" s="66"/>
      <c r="M352" s="66"/>
      <c r="N352" s="64" t="str">
        <f>IF(OR($B352="", $I352="", $J352="", $K352="", $L352="", $M352=""),"",ROUND(($I352*Lists!$AN$2)+($J352*Lists!$AN$3)+($K352*Lists!$AN$4)+($L352*Lists!$AN$5)+($M352*Lists!$AN$6),2))</f>
        <v/>
      </c>
      <c r="O352" s="64" t="str">
        <f>IF($A352="","",IFERROR(VLOOKUP($A352,'Risk Register'!$B$2:$I$1000,8,FALSE()),""))</f>
        <v/>
      </c>
      <c r="P352" s="66"/>
      <c r="Q352" s="66"/>
      <c r="R352" s="66"/>
      <c r="S352" s="66"/>
      <c r="T352" s="64" t="str">
        <f>IF(OR($B352="", $P352="", $Q352="", $R352="", $S352=""),"",ROUND(($P352*Lists!$AN$7)+($Q352*Lists!$AN$8)+($R352*Lists!$AN$9)+($S352*Lists!$AN$10),2))</f>
        <v/>
      </c>
      <c r="U352" s="66"/>
      <c r="V352" s="66"/>
      <c r="W352" s="66"/>
      <c r="X352" s="66"/>
      <c r="Y352" s="66"/>
      <c r="Z352" s="64" t="str">
        <f>IF(OR($B352="", $U352="", $V352="", $W352="", $X352="", $Y352=""),"",ROUND(($U352*Lists!$AN$11)+($V352*Lists!$AN$12)+($W352*Lists!$AN$13)+($X352*Lists!$AN$14)+($Y352*Lists!$AN$15),2))</f>
        <v/>
      </c>
      <c r="AA352" s="64" t="str">
        <f>IF(OR($B352="", $N352="", $O352="", $T352="", $Z352=""),"",ROUND(($N352*Lists!$AN$16)-($O352*Lists!$AN$17)-($T352*Lists!$AN$18)+($Z352*Lists!$AN$19),2))</f>
        <v/>
      </c>
      <c r="AB352" s="63" t="str">
        <f t="shared" si="21"/>
        <v/>
      </c>
      <c r="AC352" s="63" t="str">
        <f t="shared" si="22"/>
        <v/>
      </c>
      <c r="AD352" s="63" t="str">
        <f>IF($A352="","",IFERROR(IF(VLOOKUP($A352,'Risk Register'!$B$2:$H$1000,4,FALSE())&gt;=4,"Yes",""),""))</f>
        <v/>
      </c>
      <c r="AE352" s="63" t="str">
        <f t="shared" si="23"/>
        <v/>
      </c>
      <c r="AF352" s="62"/>
      <c r="AG352" s="62"/>
      <c r="AH352" s="62"/>
      <c r="AI352" s="62"/>
      <c r="AJ352" s="62"/>
      <c r="AK352" s="62"/>
      <c r="AL352" s="62"/>
      <c r="AM352" s="62"/>
      <c r="AN352" s="62"/>
      <c r="AO352" s="62"/>
      <c r="AP352" s="62"/>
      <c r="AQ352" s="80"/>
    </row>
    <row r="353" spans="1:43" ht="15.75" customHeight="1" x14ac:dyDescent="0.2">
      <c r="A353" s="63" t="str">
        <f t="shared" si="20"/>
        <v/>
      </c>
      <c r="B353" s="62"/>
      <c r="C353" s="62"/>
      <c r="D353" s="62"/>
      <c r="E353" s="62"/>
      <c r="F353" s="62"/>
      <c r="G353" s="62"/>
      <c r="H353" s="62"/>
      <c r="I353" s="66"/>
      <c r="J353" s="66"/>
      <c r="K353" s="66"/>
      <c r="L353" s="66"/>
      <c r="M353" s="66"/>
      <c r="N353" s="64" t="str">
        <f>IF(OR($B353="", $I353="", $J353="", $K353="", $L353="", $M353=""),"",ROUND(($I353*Lists!$AN$2)+($J353*Lists!$AN$3)+($K353*Lists!$AN$4)+($L353*Lists!$AN$5)+($M353*Lists!$AN$6),2))</f>
        <v/>
      </c>
      <c r="O353" s="64" t="str">
        <f>IF($A353="","",IFERROR(VLOOKUP($A353,'Risk Register'!$B$2:$I$1000,8,FALSE()),""))</f>
        <v/>
      </c>
      <c r="P353" s="66"/>
      <c r="Q353" s="66"/>
      <c r="R353" s="66"/>
      <c r="S353" s="66"/>
      <c r="T353" s="64" t="str">
        <f>IF(OR($B353="", $P353="", $Q353="", $R353="", $S353=""),"",ROUND(($P353*Lists!$AN$7)+($Q353*Lists!$AN$8)+($R353*Lists!$AN$9)+($S353*Lists!$AN$10),2))</f>
        <v/>
      </c>
      <c r="U353" s="66"/>
      <c r="V353" s="66"/>
      <c r="W353" s="66"/>
      <c r="X353" s="66"/>
      <c r="Y353" s="66"/>
      <c r="Z353" s="64" t="str">
        <f>IF(OR($B353="", $U353="", $V353="", $W353="", $X353="", $Y353=""),"",ROUND(($U353*Lists!$AN$11)+($V353*Lists!$AN$12)+($W353*Lists!$AN$13)+($X353*Lists!$AN$14)+($Y353*Lists!$AN$15),2))</f>
        <v/>
      </c>
      <c r="AA353" s="64" t="str">
        <f>IF(OR($B353="", $N353="", $O353="", $T353="", $Z353=""),"",ROUND(($N353*Lists!$AN$16)-($O353*Lists!$AN$17)-($T353*Lists!$AN$18)+($Z353*Lists!$AN$19),2))</f>
        <v/>
      </c>
      <c r="AB353" s="63" t="str">
        <f t="shared" si="21"/>
        <v/>
      </c>
      <c r="AC353" s="63" t="str">
        <f t="shared" si="22"/>
        <v/>
      </c>
      <c r="AD353" s="63" t="str">
        <f>IF($A353="","",IFERROR(IF(VLOOKUP($A353,'Risk Register'!$B$2:$H$1000,4,FALSE())&gt;=4,"Yes",""),""))</f>
        <v/>
      </c>
      <c r="AE353" s="63" t="str">
        <f t="shared" si="23"/>
        <v/>
      </c>
      <c r="AF353" s="62"/>
      <c r="AG353" s="62"/>
      <c r="AH353" s="62"/>
      <c r="AI353" s="62"/>
      <c r="AJ353" s="62"/>
      <c r="AK353" s="62"/>
      <c r="AL353" s="62"/>
      <c r="AM353" s="62"/>
      <c r="AN353" s="62"/>
      <c r="AO353" s="62"/>
      <c r="AP353" s="62"/>
      <c r="AQ353" s="80"/>
    </row>
    <row r="354" spans="1:43" ht="15.75" customHeight="1" x14ac:dyDescent="0.2">
      <c r="A354" s="63" t="str">
        <f t="shared" si="20"/>
        <v/>
      </c>
      <c r="B354" s="62"/>
      <c r="C354" s="62"/>
      <c r="D354" s="62"/>
      <c r="E354" s="62"/>
      <c r="F354" s="62"/>
      <c r="G354" s="62"/>
      <c r="H354" s="62"/>
      <c r="I354" s="66"/>
      <c r="J354" s="66"/>
      <c r="K354" s="66"/>
      <c r="L354" s="66"/>
      <c r="M354" s="66"/>
      <c r="N354" s="64" t="str">
        <f>IF(OR($B354="", $I354="", $J354="", $K354="", $L354="", $M354=""),"",ROUND(($I354*Lists!$AN$2)+($J354*Lists!$AN$3)+($K354*Lists!$AN$4)+($L354*Lists!$AN$5)+($M354*Lists!$AN$6),2))</f>
        <v/>
      </c>
      <c r="O354" s="64" t="str">
        <f>IF($A354="","",IFERROR(VLOOKUP($A354,'Risk Register'!$B$2:$I$1000,8,FALSE()),""))</f>
        <v/>
      </c>
      <c r="P354" s="66"/>
      <c r="Q354" s="66"/>
      <c r="R354" s="66"/>
      <c r="S354" s="66"/>
      <c r="T354" s="64" t="str">
        <f>IF(OR($B354="", $P354="", $Q354="", $R354="", $S354=""),"",ROUND(($P354*Lists!$AN$7)+($Q354*Lists!$AN$8)+($R354*Lists!$AN$9)+($S354*Lists!$AN$10),2))</f>
        <v/>
      </c>
      <c r="U354" s="66"/>
      <c r="V354" s="66"/>
      <c r="W354" s="66"/>
      <c r="X354" s="66"/>
      <c r="Y354" s="66"/>
      <c r="Z354" s="64" t="str">
        <f>IF(OR($B354="", $U354="", $V354="", $W354="", $X354="", $Y354=""),"",ROUND(($U354*Lists!$AN$11)+($V354*Lists!$AN$12)+($W354*Lists!$AN$13)+($X354*Lists!$AN$14)+($Y354*Lists!$AN$15),2))</f>
        <v/>
      </c>
      <c r="AA354" s="64" t="str">
        <f>IF(OR($B354="", $N354="", $O354="", $T354="", $Z354=""),"",ROUND(($N354*Lists!$AN$16)-($O354*Lists!$AN$17)-($T354*Lists!$AN$18)+($Z354*Lists!$AN$19),2))</f>
        <v/>
      </c>
      <c r="AB354" s="63" t="str">
        <f t="shared" si="21"/>
        <v/>
      </c>
      <c r="AC354" s="63" t="str">
        <f t="shared" si="22"/>
        <v/>
      </c>
      <c r="AD354" s="63" t="str">
        <f>IF($A354="","",IFERROR(IF(VLOOKUP($A354,'Risk Register'!$B$2:$H$1000,4,FALSE())&gt;=4,"Yes",""),""))</f>
        <v/>
      </c>
      <c r="AE354" s="63" t="str">
        <f t="shared" si="23"/>
        <v/>
      </c>
      <c r="AF354" s="62"/>
      <c r="AG354" s="62"/>
      <c r="AH354" s="62"/>
      <c r="AI354" s="62"/>
      <c r="AJ354" s="62"/>
      <c r="AK354" s="62"/>
      <c r="AL354" s="62"/>
      <c r="AM354" s="62"/>
      <c r="AN354" s="62"/>
      <c r="AO354" s="62"/>
      <c r="AP354" s="62"/>
      <c r="AQ354" s="80"/>
    </row>
    <row r="355" spans="1:43" ht="15.75" customHeight="1" x14ac:dyDescent="0.2">
      <c r="A355" s="63" t="str">
        <f t="shared" si="20"/>
        <v/>
      </c>
      <c r="B355" s="62"/>
      <c r="C355" s="62"/>
      <c r="D355" s="62"/>
      <c r="E355" s="62"/>
      <c r="F355" s="62"/>
      <c r="G355" s="62"/>
      <c r="H355" s="62"/>
      <c r="I355" s="66"/>
      <c r="J355" s="66"/>
      <c r="K355" s="66"/>
      <c r="L355" s="66"/>
      <c r="M355" s="66"/>
      <c r="N355" s="64" t="str">
        <f>IF(OR($B355="", $I355="", $J355="", $K355="", $L355="", $M355=""),"",ROUND(($I355*Lists!$AN$2)+($J355*Lists!$AN$3)+($K355*Lists!$AN$4)+($L355*Lists!$AN$5)+($M355*Lists!$AN$6),2))</f>
        <v/>
      </c>
      <c r="O355" s="64" t="str">
        <f>IF($A355="","",IFERROR(VLOOKUP($A355,'Risk Register'!$B$2:$I$1000,8,FALSE()),""))</f>
        <v/>
      </c>
      <c r="P355" s="66"/>
      <c r="Q355" s="66"/>
      <c r="R355" s="66"/>
      <c r="S355" s="66"/>
      <c r="T355" s="64" t="str">
        <f>IF(OR($B355="", $P355="", $Q355="", $R355="", $S355=""),"",ROUND(($P355*Lists!$AN$7)+($Q355*Lists!$AN$8)+($R355*Lists!$AN$9)+($S355*Lists!$AN$10),2))</f>
        <v/>
      </c>
      <c r="U355" s="66"/>
      <c r="V355" s="66"/>
      <c r="W355" s="66"/>
      <c r="X355" s="66"/>
      <c r="Y355" s="66"/>
      <c r="Z355" s="64" t="str">
        <f>IF(OR($B355="", $U355="", $V355="", $W355="", $X355="", $Y355=""),"",ROUND(($U355*Lists!$AN$11)+($V355*Lists!$AN$12)+($W355*Lists!$AN$13)+($X355*Lists!$AN$14)+($Y355*Lists!$AN$15),2))</f>
        <v/>
      </c>
      <c r="AA355" s="64" t="str">
        <f>IF(OR($B355="", $N355="", $O355="", $T355="", $Z355=""),"",ROUND(($N355*Lists!$AN$16)-($O355*Lists!$AN$17)-($T355*Lists!$AN$18)+($Z355*Lists!$AN$19),2))</f>
        <v/>
      </c>
      <c r="AB355" s="63" t="str">
        <f t="shared" si="21"/>
        <v/>
      </c>
      <c r="AC355" s="63" t="str">
        <f t="shared" si="22"/>
        <v/>
      </c>
      <c r="AD355" s="63" t="str">
        <f>IF($A355="","",IFERROR(IF(VLOOKUP($A355,'Risk Register'!$B$2:$H$1000,4,FALSE())&gt;=4,"Yes",""),""))</f>
        <v/>
      </c>
      <c r="AE355" s="63" t="str">
        <f t="shared" si="23"/>
        <v/>
      </c>
      <c r="AF355" s="62"/>
      <c r="AG355" s="62"/>
      <c r="AH355" s="62"/>
      <c r="AI355" s="62"/>
      <c r="AJ355" s="62"/>
      <c r="AK355" s="62"/>
      <c r="AL355" s="62"/>
      <c r="AM355" s="62"/>
      <c r="AN355" s="62"/>
      <c r="AO355" s="62"/>
      <c r="AP355" s="62"/>
      <c r="AQ355" s="80"/>
    </row>
    <row r="356" spans="1:43" ht="15.75" customHeight="1" x14ac:dyDescent="0.2">
      <c r="A356" s="63" t="str">
        <f t="shared" si="20"/>
        <v/>
      </c>
      <c r="B356" s="62"/>
      <c r="C356" s="62"/>
      <c r="D356" s="62"/>
      <c r="E356" s="62"/>
      <c r="F356" s="62"/>
      <c r="G356" s="62"/>
      <c r="H356" s="62"/>
      <c r="I356" s="66"/>
      <c r="J356" s="66"/>
      <c r="K356" s="66"/>
      <c r="L356" s="66"/>
      <c r="M356" s="66"/>
      <c r="N356" s="64" t="str">
        <f>IF(OR($B356="", $I356="", $J356="", $K356="", $L356="", $M356=""),"",ROUND(($I356*Lists!$AN$2)+($J356*Lists!$AN$3)+($K356*Lists!$AN$4)+($L356*Lists!$AN$5)+($M356*Lists!$AN$6),2))</f>
        <v/>
      </c>
      <c r="O356" s="64" t="str">
        <f>IF($A356="","",IFERROR(VLOOKUP($A356,'Risk Register'!$B$2:$I$1000,8,FALSE()),""))</f>
        <v/>
      </c>
      <c r="P356" s="66"/>
      <c r="Q356" s="66"/>
      <c r="R356" s="66"/>
      <c r="S356" s="66"/>
      <c r="T356" s="64" t="str">
        <f>IF(OR($B356="", $P356="", $Q356="", $R356="", $S356=""),"",ROUND(($P356*Lists!$AN$7)+($Q356*Lists!$AN$8)+($R356*Lists!$AN$9)+($S356*Lists!$AN$10),2))</f>
        <v/>
      </c>
      <c r="U356" s="66"/>
      <c r="V356" s="66"/>
      <c r="W356" s="66"/>
      <c r="X356" s="66"/>
      <c r="Y356" s="66"/>
      <c r="Z356" s="64" t="str">
        <f>IF(OR($B356="", $U356="", $V356="", $W356="", $X356="", $Y356=""),"",ROUND(($U356*Lists!$AN$11)+($V356*Lists!$AN$12)+($W356*Lists!$AN$13)+($X356*Lists!$AN$14)+($Y356*Lists!$AN$15),2))</f>
        <v/>
      </c>
      <c r="AA356" s="64" t="str">
        <f>IF(OR($B356="", $N356="", $O356="", $T356="", $Z356=""),"",ROUND(($N356*Lists!$AN$16)-($O356*Lists!$AN$17)-($T356*Lists!$AN$18)+($Z356*Lists!$AN$19),2))</f>
        <v/>
      </c>
      <c r="AB356" s="63" t="str">
        <f t="shared" si="21"/>
        <v/>
      </c>
      <c r="AC356" s="63" t="str">
        <f t="shared" si="22"/>
        <v/>
      </c>
      <c r="AD356" s="63" t="str">
        <f>IF($A356="","",IFERROR(IF(VLOOKUP($A356,'Risk Register'!$B$2:$H$1000,4,FALSE())&gt;=4,"Yes",""),""))</f>
        <v/>
      </c>
      <c r="AE356" s="63" t="str">
        <f t="shared" si="23"/>
        <v/>
      </c>
      <c r="AF356" s="62"/>
      <c r="AG356" s="62"/>
      <c r="AH356" s="62"/>
      <c r="AI356" s="62"/>
      <c r="AJ356" s="62"/>
      <c r="AK356" s="62"/>
      <c r="AL356" s="62"/>
      <c r="AM356" s="62"/>
      <c r="AN356" s="62"/>
      <c r="AO356" s="62"/>
      <c r="AP356" s="62"/>
      <c r="AQ356" s="80"/>
    </row>
    <row r="357" spans="1:43" ht="15.75" customHeight="1" x14ac:dyDescent="0.2">
      <c r="A357" s="63" t="str">
        <f t="shared" si="20"/>
        <v/>
      </c>
      <c r="B357" s="62"/>
      <c r="C357" s="62"/>
      <c r="D357" s="62"/>
      <c r="E357" s="62"/>
      <c r="F357" s="62"/>
      <c r="G357" s="62"/>
      <c r="H357" s="62"/>
      <c r="I357" s="66"/>
      <c r="J357" s="66"/>
      <c r="K357" s="66"/>
      <c r="L357" s="66"/>
      <c r="M357" s="66"/>
      <c r="N357" s="64" t="str">
        <f>IF(OR($B357="", $I357="", $J357="", $K357="", $L357="", $M357=""),"",ROUND(($I357*Lists!$AN$2)+($J357*Lists!$AN$3)+($K357*Lists!$AN$4)+($L357*Lists!$AN$5)+($M357*Lists!$AN$6),2))</f>
        <v/>
      </c>
      <c r="O357" s="64" t="str">
        <f>IF($A357="","",IFERROR(VLOOKUP($A357,'Risk Register'!$B$2:$I$1000,8,FALSE()),""))</f>
        <v/>
      </c>
      <c r="P357" s="66"/>
      <c r="Q357" s="66"/>
      <c r="R357" s="66"/>
      <c r="S357" s="66"/>
      <c r="T357" s="64" t="str">
        <f>IF(OR($B357="", $P357="", $Q357="", $R357="", $S357=""),"",ROUND(($P357*Lists!$AN$7)+($Q357*Lists!$AN$8)+($R357*Lists!$AN$9)+($S357*Lists!$AN$10),2))</f>
        <v/>
      </c>
      <c r="U357" s="66"/>
      <c r="V357" s="66"/>
      <c r="W357" s="66"/>
      <c r="X357" s="66"/>
      <c r="Y357" s="66"/>
      <c r="Z357" s="64" t="str">
        <f>IF(OR($B357="", $U357="", $V357="", $W357="", $X357="", $Y357=""),"",ROUND(($U357*Lists!$AN$11)+($V357*Lists!$AN$12)+($W357*Lists!$AN$13)+($X357*Lists!$AN$14)+($Y357*Lists!$AN$15),2))</f>
        <v/>
      </c>
      <c r="AA357" s="64" t="str">
        <f>IF(OR($B357="", $N357="", $O357="", $T357="", $Z357=""),"",ROUND(($N357*Lists!$AN$16)-($O357*Lists!$AN$17)-($T357*Lists!$AN$18)+($Z357*Lists!$AN$19),2))</f>
        <v/>
      </c>
      <c r="AB357" s="63" t="str">
        <f t="shared" si="21"/>
        <v/>
      </c>
      <c r="AC357" s="63" t="str">
        <f t="shared" si="22"/>
        <v/>
      </c>
      <c r="AD357" s="63" t="str">
        <f>IF($A357="","",IFERROR(IF(VLOOKUP($A357,'Risk Register'!$B$2:$H$1000,4,FALSE())&gt;=4,"Yes",""),""))</f>
        <v/>
      </c>
      <c r="AE357" s="63" t="str">
        <f t="shared" si="23"/>
        <v/>
      </c>
      <c r="AF357" s="62"/>
      <c r="AG357" s="62"/>
      <c r="AH357" s="62"/>
      <c r="AI357" s="62"/>
      <c r="AJ357" s="62"/>
      <c r="AK357" s="62"/>
      <c r="AL357" s="62"/>
      <c r="AM357" s="62"/>
      <c r="AN357" s="62"/>
      <c r="AO357" s="62"/>
      <c r="AP357" s="62"/>
      <c r="AQ357" s="80"/>
    </row>
    <row r="358" spans="1:43" ht="15.75" customHeight="1" x14ac:dyDescent="0.2">
      <c r="A358" s="63" t="str">
        <f t="shared" si="20"/>
        <v/>
      </c>
      <c r="B358" s="62"/>
      <c r="C358" s="62"/>
      <c r="D358" s="62"/>
      <c r="E358" s="62"/>
      <c r="F358" s="62"/>
      <c r="G358" s="62"/>
      <c r="H358" s="62"/>
      <c r="I358" s="66"/>
      <c r="J358" s="66"/>
      <c r="K358" s="66"/>
      <c r="L358" s="66"/>
      <c r="M358" s="66"/>
      <c r="N358" s="64" t="str">
        <f>IF(OR($B358="", $I358="", $J358="", $K358="", $L358="", $M358=""),"",ROUND(($I358*Lists!$AN$2)+($J358*Lists!$AN$3)+($K358*Lists!$AN$4)+($L358*Lists!$AN$5)+($M358*Lists!$AN$6),2))</f>
        <v/>
      </c>
      <c r="O358" s="64" t="str">
        <f>IF($A358="","",IFERROR(VLOOKUP($A358,'Risk Register'!$B$2:$I$1000,8,FALSE()),""))</f>
        <v/>
      </c>
      <c r="P358" s="66"/>
      <c r="Q358" s="66"/>
      <c r="R358" s="66"/>
      <c r="S358" s="66"/>
      <c r="T358" s="64" t="str">
        <f>IF(OR($B358="", $P358="", $Q358="", $R358="", $S358=""),"",ROUND(($P358*Lists!$AN$7)+($Q358*Lists!$AN$8)+($R358*Lists!$AN$9)+($S358*Lists!$AN$10),2))</f>
        <v/>
      </c>
      <c r="U358" s="66"/>
      <c r="V358" s="66"/>
      <c r="W358" s="66"/>
      <c r="X358" s="66"/>
      <c r="Y358" s="66"/>
      <c r="Z358" s="64" t="str">
        <f>IF(OR($B358="", $U358="", $V358="", $W358="", $X358="", $Y358=""),"",ROUND(($U358*Lists!$AN$11)+($V358*Lists!$AN$12)+($W358*Lists!$AN$13)+($X358*Lists!$AN$14)+($Y358*Lists!$AN$15),2))</f>
        <v/>
      </c>
      <c r="AA358" s="64" t="str">
        <f>IF(OR($B358="", $N358="", $O358="", $T358="", $Z358=""),"",ROUND(($N358*Lists!$AN$16)-($O358*Lists!$AN$17)-($T358*Lists!$AN$18)+($Z358*Lists!$AN$19),2))</f>
        <v/>
      </c>
      <c r="AB358" s="63" t="str">
        <f t="shared" si="21"/>
        <v/>
      </c>
      <c r="AC358" s="63" t="str">
        <f t="shared" si="22"/>
        <v/>
      </c>
      <c r="AD358" s="63" t="str">
        <f>IF($A358="","",IFERROR(IF(VLOOKUP($A358,'Risk Register'!$B$2:$H$1000,4,FALSE())&gt;=4,"Yes",""),""))</f>
        <v/>
      </c>
      <c r="AE358" s="63" t="str">
        <f t="shared" si="23"/>
        <v/>
      </c>
      <c r="AF358" s="62"/>
      <c r="AG358" s="62"/>
      <c r="AH358" s="62"/>
      <c r="AI358" s="62"/>
      <c r="AJ358" s="62"/>
      <c r="AK358" s="62"/>
      <c r="AL358" s="62"/>
      <c r="AM358" s="62"/>
      <c r="AN358" s="62"/>
      <c r="AO358" s="62"/>
      <c r="AP358" s="62"/>
      <c r="AQ358" s="80"/>
    </row>
    <row r="359" spans="1:43" ht="15.75" customHeight="1" x14ac:dyDescent="0.2">
      <c r="A359" s="63" t="str">
        <f t="shared" si="20"/>
        <v/>
      </c>
      <c r="B359" s="62"/>
      <c r="C359" s="62"/>
      <c r="D359" s="62"/>
      <c r="E359" s="62"/>
      <c r="F359" s="62"/>
      <c r="G359" s="62"/>
      <c r="H359" s="62"/>
      <c r="I359" s="66"/>
      <c r="J359" s="66"/>
      <c r="K359" s="66"/>
      <c r="L359" s="66"/>
      <c r="M359" s="66"/>
      <c r="N359" s="64" t="str">
        <f>IF(OR($B359="", $I359="", $J359="", $K359="", $L359="", $M359=""),"",ROUND(($I359*Lists!$AN$2)+($J359*Lists!$AN$3)+($K359*Lists!$AN$4)+($L359*Lists!$AN$5)+($M359*Lists!$AN$6),2))</f>
        <v/>
      </c>
      <c r="O359" s="64" t="str">
        <f>IF($A359="","",IFERROR(VLOOKUP($A359,'Risk Register'!$B$2:$I$1000,8,FALSE()),""))</f>
        <v/>
      </c>
      <c r="P359" s="66"/>
      <c r="Q359" s="66"/>
      <c r="R359" s="66"/>
      <c r="S359" s="66"/>
      <c r="T359" s="64" t="str">
        <f>IF(OR($B359="", $P359="", $Q359="", $R359="", $S359=""),"",ROUND(($P359*Lists!$AN$7)+($Q359*Lists!$AN$8)+($R359*Lists!$AN$9)+($S359*Lists!$AN$10),2))</f>
        <v/>
      </c>
      <c r="U359" s="66"/>
      <c r="V359" s="66"/>
      <c r="W359" s="66"/>
      <c r="X359" s="66"/>
      <c r="Y359" s="66"/>
      <c r="Z359" s="64" t="str">
        <f>IF(OR($B359="", $U359="", $V359="", $W359="", $X359="", $Y359=""),"",ROUND(($U359*Lists!$AN$11)+($V359*Lists!$AN$12)+($W359*Lists!$AN$13)+($X359*Lists!$AN$14)+($Y359*Lists!$AN$15),2))</f>
        <v/>
      </c>
      <c r="AA359" s="64" t="str">
        <f>IF(OR($B359="", $N359="", $O359="", $T359="", $Z359=""),"",ROUND(($N359*Lists!$AN$16)-($O359*Lists!$AN$17)-($T359*Lists!$AN$18)+($Z359*Lists!$AN$19),2))</f>
        <v/>
      </c>
      <c r="AB359" s="63" t="str">
        <f t="shared" si="21"/>
        <v/>
      </c>
      <c r="AC359" s="63" t="str">
        <f t="shared" si="22"/>
        <v/>
      </c>
      <c r="AD359" s="63" t="str">
        <f>IF($A359="","",IFERROR(IF(VLOOKUP($A359,'Risk Register'!$B$2:$H$1000,4,FALSE())&gt;=4,"Yes",""),""))</f>
        <v/>
      </c>
      <c r="AE359" s="63" t="str">
        <f t="shared" si="23"/>
        <v/>
      </c>
      <c r="AF359" s="62"/>
      <c r="AG359" s="62"/>
      <c r="AH359" s="62"/>
      <c r="AI359" s="62"/>
      <c r="AJ359" s="62"/>
      <c r="AK359" s="62"/>
      <c r="AL359" s="62"/>
      <c r="AM359" s="62"/>
      <c r="AN359" s="62"/>
      <c r="AO359" s="62"/>
      <c r="AP359" s="62"/>
      <c r="AQ359" s="80"/>
    </row>
    <row r="360" spans="1:43" ht="15.75" customHeight="1" x14ac:dyDescent="0.2">
      <c r="A360" s="63" t="str">
        <f t="shared" si="20"/>
        <v/>
      </c>
      <c r="B360" s="62"/>
      <c r="C360" s="62"/>
      <c r="D360" s="62"/>
      <c r="E360" s="62"/>
      <c r="F360" s="62"/>
      <c r="G360" s="62"/>
      <c r="H360" s="62"/>
      <c r="I360" s="66"/>
      <c r="J360" s="66"/>
      <c r="K360" s="66"/>
      <c r="L360" s="66"/>
      <c r="M360" s="66"/>
      <c r="N360" s="64" t="str">
        <f>IF(OR($B360="", $I360="", $J360="", $K360="", $L360="", $M360=""),"",ROUND(($I360*Lists!$AN$2)+($J360*Lists!$AN$3)+($K360*Lists!$AN$4)+($L360*Lists!$AN$5)+($M360*Lists!$AN$6),2))</f>
        <v/>
      </c>
      <c r="O360" s="64" t="str">
        <f>IF($A360="","",IFERROR(VLOOKUP($A360,'Risk Register'!$B$2:$I$1000,8,FALSE()),""))</f>
        <v/>
      </c>
      <c r="P360" s="66"/>
      <c r="Q360" s="66"/>
      <c r="R360" s="66"/>
      <c r="S360" s="66"/>
      <c r="T360" s="64" t="str">
        <f>IF(OR($B360="", $P360="", $Q360="", $R360="", $S360=""),"",ROUND(($P360*Lists!$AN$7)+($Q360*Lists!$AN$8)+($R360*Lists!$AN$9)+($S360*Lists!$AN$10),2))</f>
        <v/>
      </c>
      <c r="U360" s="66"/>
      <c r="V360" s="66"/>
      <c r="W360" s="66"/>
      <c r="X360" s="66"/>
      <c r="Y360" s="66"/>
      <c r="Z360" s="64" t="str">
        <f>IF(OR($B360="", $U360="", $V360="", $W360="", $X360="", $Y360=""),"",ROUND(($U360*Lists!$AN$11)+($V360*Lists!$AN$12)+($W360*Lists!$AN$13)+($X360*Lists!$AN$14)+($Y360*Lists!$AN$15),2))</f>
        <v/>
      </c>
      <c r="AA360" s="64" t="str">
        <f>IF(OR($B360="", $N360="", $O360="", $T360="", $Z360=""),"",ROUND(($N360*Lists!$AN$16)-($O360*Lists!$AN$17)-($T360*Lists!$AN$18)+($Z360*Lists!$AN$19),2))</f>
        <v/>
      </c>
      <c r="AB360" s="63" t="str">
        <f t="shared" si="21"/>
        <v/>
      </c>
      <c r="AC360" s="63" t="str">
        <f t="shared" si="22"/>
        <v/>
      </c>
      <c r="AD360" s="63" t="str">
        <f>IF($A360="","",IFERROR(IF(VLOOKUP($A360,'Risk Register'!$B$2:$H$1000,4,FALSE())&gt;=4,"Yes",""),""))</f>
        <v/>
      </c>
      <c r="AE360" s="63" t="str">
        <f t="shared" si="23"/>
        <v/>
      </c>
      <c r="AF360" s="62"/>
      <c r="AG360" s="62"/>
      <c r="AH360" s="62"/>
      <c r="AI360" s="62"/>
      <c r="AJ360" s="62"/>
      <c r="AK360" s="62"/>
      <c r="AL360" s="62"/>
      <c r="AM360" s="62"/>
      <c r="AN360" s="62"/>
      <c r="AO360" s="62"/>
      <c r="AP360" s="62"/>
      <c r="AQ360" s="80"/>
    </row>
    <row r="361" spans="1:43" ht="15.75" customHeight="1" x14ac:dyDescent="0.2">
      <c r="A361" s="63" t="str">
        <f t="shared" si="20"/>
        <v/>
      </c>
      <c r="B361" s="62"/>
      <c r="C361" s="62"/>
      <c r="D361" s="62"/>
      <c r="E361" s="62"/>
      <c r="F361" s="62"/>
      <c r="G361" s="62"/>
      <c r="H361" s="62"/>
      <c r="I361" s="66"/>
      <c r="J361" s="66"/>
      <c r="K361" s="66"/>
      <c r="L361" s="66"/>
      <c r="M361" s="66"/>
      <c r="N361" s="64" t="str">
        <f>IF(OR($B361="", $I361="", $J361="", $K361="", $L361="", $M361=""),"",ROUND(($I361*Lists!$AN$2)+($J361*Lists!$AN$3)+($K361*Lists!$AN$4)+($L361*Lists!$AN$5)+($M361*Lists!$AN$6),2))</f>
        <v/>
      </c>
      <c r="O361" s="64" t="str">
        <f>IF($A361="","",IFERROR(VLOOKUP($A361,'Risk Register'!$B$2:$I$1000,8,FALSE()),""))</f>
        <v/>
      </c>
      <c r="P361" s="66"/>
      <c r="Q361" s="66"/>
      <c r="R361" s="66"/>
      <c r="S361" s="66"/>
      <c r="T361" s="64" t="str">
        <f>IF(OR($B361="", $P361="", $Q361="", $R361="", $S361=""),"",ROUND(($P361*Lists!$AN$7)+($Q361*Lists!$AN$8)+($R361*Lists!$AN$9)+($S361*Lists!$AN$10),2))</f>
        <v/>
      </c>
      <c r="U361" s="66"/>
      <c r="V361" s="66"/>
      <c r="W361" s="66"/>
      <c r="X361" s="66"/>
      <c r="Y361" s="66"/>
      <c r="Z361" s="64" t="str">
        <f>IF(OR($B361="", $U361="", $V361="", $W361="", $X361="", $Y361=""),"",ROUND(($U361*Lists!$AN$11)+($V361*Lists!$AN$12)+($W361*Lists!$AN$13)+($X361*Lists!$AN$14)+($Y361*Lists!$AN$15),2))</f>
        <v/>
      </c>
      <c r="AA361" s="64" t="str">
        <f>IF(OR($B361="", $N361="", $O361="", $T361="", $Z361=""),"",ROUND(($N361*Lists!$AN$16)-($O361*Lists!$AN$17)-($T361*Lists!$AN$18)+($Z361*Lists!$AN$19),2))</f>
        <v/>
      </c>
      <c r="AB361" s="63" t="str">
        <f t="shared" si="21"/>
        <v/>
      </c>
      <c r="AC361" s="63" t="str">
        <f t="shared" si="22"/>
        <v/>
      </c>
      <c r="AD361" s="63" t="str">
        <f>IF($A361="","",IFERROR(IF(VLOOKUP($A361,'Risk Register'!$B$2:$H$1000,4,FALSE())&gt;=4,"Yes",""),""))</f>
        <v/>
      </c>
      <c r="AE361" s="63" t="str">
        <f t="shared" si="23"/>
        <v/>
      </c>
      <c r="AF361" s="62"/>
      <c r="AG361" s="62"/>
      <c r="AH361" s="62"/>
      <c r="AI361" s="62"/>
      <c r="AJ361" s="62"/>
      <c r="AK361" s="62"/>
      <c r="AL361" s="62"/>
      <c r="AM361" s="62"/>
      <c r="AN361" s="62"/>
      <c r="AO361" s="62"/>
      <c r="AP361" s="62"/>
      <c r="AQ361" s="80"/>
    </row>
    <row r="362" spans="1:43" ht="15.75" customHeight="1" x14ac:dyDescent="0.2">
      <c r="A362" s="63" t="str">
        <f t="shared" si="20"/>
        <v/>
      </c>
      <c r="B362" s="62"/>
      <c r="C362" s="62"/>
      <c r="D362" s="62"/>
      <c r="E362" s="62"/>
      <c r="F362" s="62"/>
      <c r="G362" s="62"/>
      <c r="H362" s="62"/>
      <c r="I362" s="66"/>
      <c r="J362" s="66"/>
      <c r="K362" s="66"/>
      <c r="L362" s="66"/>
      <c r="M362" s="66"/>
      <c r="N362" s="64" t="str">
        <f>IF(OR($B362="", $I362="", $J362="", $K362="", $L362="", $M362=""),"",ROUND(($I362*Lists!$AN$2)+($J362*Lists!$AN$3)+($K362*Lists!$AN$4)+($L362*Lists!$AN$5)+($M362*Lists!$AN$6),2))</f>
        <v/>
      </c>
      <c r="O362" s="64" t="str">
        <f>IF($A362="","",IFERROR(VLOOKUP($A362,'Risk Register'!$B$2:$I$1000,8,FALSE()),""))</f>
        <v/>
      </c>
      <c r="P362" s="66"/>
      <c r="Q362" s="66"/>
      <c r="R362" s="66"/>
      <c r="S362" s="66"/>
      <c r="T362" s="64" t="str">
        <f>IF(OR($B362="", $P362="", $Q362="", $R362="", $S362=""),"",ROUND(($P362*Lists!$AN$7)+($Q362*Lists!$AN$8)+($R362*Lists!$AN$9)+($S362*Lists!$AN$10),2))</f>
        <v/>
      </c>
      <c r="U362" s="66"/>
      <c r="V362" s="66"/>
      <c r="W362" s="66"/>
      <c r="X362" s="66"/>
      <c r="Y362" s="66"/>
      <c r="Z362" s="64" t="str">
        <f>IF(OR($B362="", $U362="", $V362="", $W362="", $X362="", $Y362=""),"",ROUND(($U362*Lists!$AN$11)+($V362*Lists!$AN$12)+($W362*Lists!$AN$13)+($X362*Lists!$AN$14)+($Y362*Lists!$AN$15),2))</f>
        <v/>
      </c>
      <c r="AA362" s="64" t="str">
        <f>IF(OR($B362="", $N362="", $O362="", $T362="", $Z362=""),"",ROUND(($N362*Lists!$AN$16)-($O362*Lists!$AN$17)-($T362*Lists!$AN$18)+($Z362*Lists!$AN$19),2))</f>
        <v/>
      </c>
      <c r="AB362" s="63" t="str">
        <f t="shared" si="21"/>
        <v/>
      </c>
      <c r="AC362" s="63" t="str">
        <f t="shared" si="22"/>
        <v/>
      </c>
      <c r="AD362" s="63" t="str">
        <f>IF($A362="","",IFERROR(IF(VLOOKUP($A362,'Risk Register'!$B$2:$H$1000,4,FALSE())&gt;=4,"Yes",""),""))</f>
        <v/>
      </c>
      <c r="AE362" s="63" t="str">
        <f t="shared" si="23"/>
        <v/>
      </c>
      <c r="AF362" s="62"/>
      <c r="AG362" s="62"/>
      <c r="AH362" s="62"/>
      <c r="AI362" s="62"/>
      <c r="AJ362" s="62"/>
      <c r="AK362" s="62"/>
      <c r="AL362" s="62"/>
      <c r="AM362" s="62"/>
      <c r="AN362" s="62"/>
      <c r="AO362" s="62"/>
      <c r="AP362" s="62"/>
      <c r="AQ362" s="80"/>
    </row>
    <row r="363" spans="1:43" ht="15.75" customHeight="1" x14ac:dyDescent="0.2">
      <c r="A363" s="63" t="str">
        <f t="shared" si="20"/>
        <v/>
      </c>
      <c r="B363" s="62"/>
      <c r="C363" s="62"/>
      <c r="D363" s="62"/>
      <c r="E363" s="62"/>
      <c r="F363" s="62"/>
      <c r="G363" s="62"/>
      <c r="H363" s="62"/>
      <c r="I363" s="66"/>
      <c r="J363" s="66"/>
      <c r="K363" s="66"/>
      <c r="L363" s="66"/>
      <c r="M363" s="66"/>
      <c r="N363" s="64" t="str">
        <f>IF(OR($B363="", $I363="", $J363="", $K363="", $L363="", $M363=""),"",ROUND(($I363*Lists!$AN$2)+($J363*Lists!$AN$3)+($K363*Lists!$AN$4)+($L363*Lists!$AN$5)+($M363*Lists!$AN$6),2))</f>
        <v/>
      </c>
      <c r="O363" s="64" t="str">
        <f>IF($A363="","",IFERROR(VLOOKUP($A363,'Risk Register'!$B$2:$I$1000,8,FALSE()),""))</f>
        <v/>
      </c>
      <c r="P363" s="66"/>
      <c r="Q363" s="66"/>
      <c r="R363" s="66"/>
      <c r="S363" s="66"/>
      <c r="T363" s="64" t="str">
        <f>IF(OR($B363="", $P363="", $Q363="", $R363="", $S363=""),"",ROUND(($P363*Lists!$AN$7)+($Q363*Lists!$AN$8)+($R363*Lists!$AN$9)+($S363*Lists!$AN$10),2))</f>
        <v/>
      </c>
      <c r="U363" s="66"/>
      <c r="V363" s="66"/>
      <c r="W363" s="66"/>
      <c r="X363" s="66"/>
      <c r="Y363" s="66"/>
      <c r="Z363" s="64" t="str">
        <f>IF(OR($B363="", $U363="", $V363="", $W363="", $X363="", $Y363=""),"",ROUND(($U363*Lists!$AN$11)+($V363*Lists!$AN$12)+($W363*Lists!$AN$13)+($X363*Lists!$AN$14)+($Y363*Lists!$AN$15),2))</f>
        <v/>
      </c>
      <c r="AA363" s="64" t="str">
        <f>IF(OR($B363="", $N363="", $O363="", $T363="", $Z363=""),"",ROUND(($N363*Lists!$AN$16)-($O363*Lists!$AN$17)-($T363*Lists!$AN$18)+($Z363*Lists!$AN$19),2))</f>
        <v/>
      </c>
      <c r="AB363" s="63" t="str">
        <f t="shared" si="21"/>
        <v/>
      </c>
      <c r="AC363" s="63" t="str">
        <f t="shared" si="22"/>
        <v/>
      </c>
      <c r="AD363" s="63" t="str">
        <f>IF($A363="","",IFERROR(IF(VLOOKUP($A363,'Risk Register'!$B$2:$H$1000,4,FALSE())&gt;=4,"Yes",""),""))</f>
        <v/>
      </c>
      <c r="AE363" s="63" t="str">
        <f t="shared" si="23"/>
        <v/>
      </c>
      <c r="AF363" s="62"/>
      <c r="AG363" s="62"/>
      <c r="AH363" s="62"/>
      <c r="AI363" s="62"/>
      <c r="AJ363" s="62"/>
      <c r="AK363" s="62"/>
      <c r="AL363" s="62"/>
      <c r="AM363" s="62"/>
      <c r="AN363" s="62"/>
      <c r="AO363" s="62"/>
      <c r="AP363" s="62"/>
      <c r="AQ363" s="80"/>
    </row>
    <row r="364" spans="1:43" ht="15.75" customHeight="1" x14ac:dyDescent="0.2">
      <c r="A364" s="63" t="str">
        <f t="shared" si="20"/>
        <v/>
      </c>
      <c r="B364" s="62"/>
      <c r="C364" s="62"/>
      <c r="D364" s="62"/>
      <c r="E364" s="62"/>
      <c r="F364" s="62"/>
      <c r="G364" s="62"/>
      <c r="H364" s="62"/>
      <c r="I364" s="66"/>
      <c r="J364" s="66"/>
      <c r="K364" s="66"/>
      <c r="L364" s="66"/>
      <c r="M364" s="66"/>
      <c r="N364" s="64" t="str">
        <f>IF(OR($B364="", $I364="", $J364="", $K364="", $L364="", $M364=""),"",ROUND(($I364*Lists!$AN$2)+($J364*Lists!$AN$3)+($K364*Lists!$AN$4)+($L364*Lists!$AN$5)+($M364*Lists!$AN$6),2))</f>
        <v/>
      </c>
      <c r="O364" s="64" t="str">
        <f>IF($A364="","",IFERROR(VLOOKUP($A364,'Risk Register'!$B$2:$I$1000,8,FALSE()),""))</f>
        <v/>
      </c>
      <c r="P364" s="66"/>
      <c r="Q364" s="66"/>
      <c r="R364" s="66"/>
      <c r="S364" s="66"/>
      <c r="T364" s="64" t="str">
        <f>IF(OR($B364="", $P364="", $Q364="", $R364="", $S364=""),"",ROUND(($P364*Lists!$AN$7)+($Q364*Lists!$AN$8)+($R364*Lists!$AN$9)+($S364*Lists!$AN$10),2))</f>
        <v/>
      </c>
      <c r="U364" s="66"/>
      <c r="V364" s="66"/>
      <c r="W364" s="66"/>
      <c r="X364" s="66"/>
      <c r="Y364" s="66"/>
      <c r="Z364" s="64" t="str">
        <f>IF(OR($B364="", $U364="", $V364="", $W364="", $X364="", $Y364=""),"",ROUND(($U364*Lists!$AN$11)+($V364*Lists!$AN$12)+($W364*Lists!$AN$13)+($X364*Lists!$AN$14)+($Y364*Lists!$AN$15),2))</f>
        <v/>
      </c>
      <c r="AA364" s="64" t="str">
        <f>IF(OR($B364="", $N364="", $O364="", $T364="", $Z364=""),"",ROUND(($N364*Lists!$AN$16)-($O364*Lists!$AN$17)-($T364*Lists!$AN$18)+($Z364*Lists!$AN$19),2))</f>
        <v/>
      </c>
      <c r="AB364" s="63" t="str">
        <f t="shared" si="21"/>
        <v/>
      </c>
      <c r="AC364" s="63" t="str">
        <f t="shared" si="22"/>
        <v/>
      </c>
      <c r="AD364" s="63" t="str">
        <f>IF($A364="","",IFERROR(IF(VLOOKUP($A364,'Risk Register'!$B$2:$H$1000,4,FALSE())&gt;=4,"Yes",""),""))</f>
        <v/>
      </c>
      <c r="AE364" s="63" t="str">
        <f t="shared" si="23"/>
        <v/>
      </c>
      <c r="AF364" s="62"/>
      <c r="AG364" s="62"/>
      <c r="AH364" s="62"/>
      <c r="AI364" s="62"/>
      <c r="AJ364" s="62"/>
      <c r="AK364" s="62"/>
      <c r="AL364" s="62"/>
      <c r="AM364" s="62"/>
      <c r="AN364" s="62"/>
      <c r="AO364" s="62"/>
      <c r="AP364" s="62"/>
      <c r="AQ364" s="80"/>
    </row>
    <row r="365" spans="1:43" ht="15.75" customHeight="1" x14ac:dyDescent="0.2">
      <c r="A365" s="63" t="str">
        <f t="shared" si="20"/>
        <v/>
      </c>
      <c r="B365" s="62"/>
      <c r="C365" s="62"/>
      <c r="D365" s="62"/>
      <c r="E365" s="62"/>
      <c r="F365" s="62"/>
      <c r="G365" s="62"/>
      <c r="H365" s="62"/>
      <c r="I365" s="66"/>
      <c r="J365" s="66"/>
      <c r="K365" s="66"/>
      <c r="L365" s="66"/>
      <c r="M365" s="66"/>
      <c r="N365" s="64" t="str">
        <f>IF(OR($B365="", $I365="", $J365="", $K365="", $L365="", $M365=""),"",ROUND(($I365*Lists!$AN$2)+($J365*Lists!$AN$3)+($K365*Lists!$AN$4)+($L365*Lists!$AN$5)+($M365*Lists!$AN$6),2))</f>
        <v/>
      </c>
      <c r="O365" s="64" t="str">
        <f>IF($A365="","",IFERROR(VLOOKUP($A365,'Risk Register'!$B$2:$I$1000,8,FALSE()),""))</f>
        <v/>
      </c>
      <c r="P365" s="66"/>
      <c r="Q365" s="66"/>
      <c r="R365" s="66"/>
      <c r="S365" s="66"/>
      <c r="T365" s="64" t="str">
        <f>IF(OR($B365="", $P365="", $Q365="", $R365="", $S365=""),"",ROUND(($P365*Lists!$AN$7)+($Q365*Lists!$AN$8)+($R365*Lists!$AN$9)+($S365*Lists!$AN$10),2))</f>
        <v/>
      </c>
      <c r="U365" s="66"/>
      <c r="V365" s="66"/>
      <c r="W365" s="66"/>
      <c r="X365" s="66"/>
      <c r="Y365" s="66"/>
      <c r="Z365" s="64" t="str">
        <f>IF(OR($B365="", $U365="", $V365="", $W365="", $X365="", $Y365=""),"",ROUND(($U365*Lists!$AN$11)+($V365*Lists!$AN$12)+($W365*Lists!$AN$13)+($X365*Lists!$AN$14)+($Y365*Lists!$AN$15),2))</f>
        <v/>
      </c>
      <c r="AA365" s="64" t="str">
        <f>IF(OR($B365="", $N365="", $O365="", $T365="", $Z365=""),"",ROUND(($N365*Lists!$AN$16)-($O365*Lists!$AN$17)-($T365*Lists!$AN$18)+($Z365*Lists!$AN$19),2))</f>
        <v/>
      </c>
      <c r="AB365" s="63" t="str">
        <f t="shared" si="21"/>
        <v/>
      </c>
      <c r="AC365" s="63" t="str">
        <f t="shared" si="22"/>
        <v/>
      </c>
      <c r="AD365" s="63" t="str">
        <f>IF($A365="","",IFERROR(IF(VLOOKUP($A365,'Risk Register'!$B$2:$H$1000,4,FALSE())&gt;=4,"Yes",""),""))</f>
        <v/>
      </c>
      <c r="AE365" s="63" t="str">
        <f t="shared" si="23"/>
        <v/>
      </c>
      <c r="AF365" s="62"/>
      <c r="AG365" s="62"/>
      <c r="AH365" s="62"/>
      <c r="AI365" s="62"/>
      <c r="AJ365" s="62"/>
      <c r="AK365" s="62"/>
      <c r="AL365" s="62"/>
      <c r="AM365" s="62"/>
      <c r="AN365" s="62"/>
      <c r="AO365" s="62"/>
      <c r="AP365" s="62"/>
      <c r="AQ365" s="80"/>
    </row>
    <row r="366" spans="1:43" ht="15.75" customHeight="1" x14ac:dyDescent="0.2">
      <c r="A366" s="63" t="str">
        <f t="shared" si="20"/>
        <v/>
      </c>
      <c r="B366" s="62"/>
      <c r="C366" s="62"/>
      <c r="D366" s="62"/>
      <c r="E366" s="62"/>
      <c r="F366" s="62"/>
      <c r="G366" s="62"/>
      <c r="H366" s="62"/>
      <c r="I366" s="66"/>
      <c r="J366" s="66"/>
      <c r="K366" s="66"/>
      <c r="L366" s="66"/>
      <c r="M366" s="66"/>
      <c r="N366" s="64" t="str">
        <f>IF(OR($B366="", $I366="", $J366="", $K366="", $L366="", $M366=""),"",ROUND(($I366*Lists!$AN$2)+($J366*Lists!$AN$3)+($K366*Lists!$AN$4)+($L366*Lists!$AN$5)+($M366*Lists!$AN$6),2))</f>
        <v/>
      </c>
      <c r="O366" s="64" t="str">
        <f>IF($A366="","",IFERROR(VLOOKUP($A366,'Risk Register'!$B$2:$I$1000,8,FALSE()),""))</f>
        <v/>
      </c>
      <c r="P366" s="66"/>
      <c r="Q366" s="66"/>
      <c r="R366" s="66"/>
      <c r="S366" s="66"/>
      <c r="T366" s="64" t="str">
        <f>IF(OR($B366="", $P366="", $Q366="", $R366="", $S366=""),"",ROUND(($P366*Lists!$AN$7)+($Q366*Lists!$AN$8)+($R366*Lists!$AN$9)+($S366*Lists!$AN$10),2))</f>
        <v/>
      </c>
      <c r="U366" s="66"/>
      <c r="V366" s="66"/>
      <c r="W366" s="66"/>
      <c r="X366" s="66"/>
      <c r="Y366" s="66"/>
      <c r="Z366" s="64" t="str">
        <f>IF(OR($B366="", $U366="", $V366="", $W366="", $X366="", $Y366=""),"",ROUND(($U366*Lists!$AN$11)+($V366*Lists!$AN$12)+($W366*Lists!$AN$13)+($X366*Lists!$AN$14)+($Y366*Lists!$AN$15),2))</f>
        <v/>
      </c>
      <c r="AA366" s="64" t="str">
        <f>IF(OR($B366="", $N366="", $O366="", $T366="", $Z366=""),"",ROUND(($N366*Lists!$AN$16)-($O366*Lists!$AN$17)-($T366*Lists!$AN$18)+($Z366*Lists!$AN$19),2))</f>
        <v/>
      </c>
      <c r="AB366" s="63" t="str">
        <f t="shared" si="21"/>
        <v/>
      </c>
      <c r="AC366" s="63" t="str">
        <f t="shared" si="22"/>
        <v/>
      </c>
      <c r="AD366" s="63" t="str">
        <f>IF($A366="","",IFERROR(IF(VLOOKUP($A366,'Risk Register'!$B$2:$H$1000,4,FALSE())&gt;=4,"Yes",""),""))</f>
        <v/>
      </c>
      <c r="AE366" s="63" t="str">
        <f t="shared" si="23"/>
        <v/>
      </c>
      <c r="AF366" s="62"/>
      <c r="AG366" s="62"/>
      <c r="AH366" s="62"/>
      <c r="AI366" s="62"/>
      <c r="AJ366" s="62"/>
      <c r="AK366" s="62"/>
      <c r="AL366" s="62"/>
      <c r="AM366" s="62"/>
      <c r="AN366" s="62"/>
      <c r="AO366" s="62"/>
      <c r="AP366" s="62"/>
      <c r="AQ366" s="80"/>
    </row>
    <row r="367" spans="1:43" ht="15.75" customHeight="1" x14ac:dyDescent="0.2">
      <c r="A367" s="63" t="str">
        <f t="shared" si="20"/>
        <v/>
      </c>
      <c r="B367" s="62"/>
      <c r="C367" s="62"/>
      <c r="D367" s="62"/>
      <c r="E367" s="62"/>
      <c r="F367" s="62"/>
      <c r="G367" s="62"/>
      <c r="H367" s="62"/>
      <c r="I367" s="66"/>
      <c r="J367" s="66"/>
      <c r="K367" s="66"/>
      <c r="L367" s="66"/>
      <c r="M367" s="66"/>
      <c r="N367" s="64" t="str">
        <f>IF(OR($B367="", $I367="", $J367="", $K367="", $L367="", $M367=""),"",ROUND(($I367*Lists!$AN$2)+($J367*Lists!$AN$3)+($K367*Lists!$AN$4)+($L367*Lists!$AN$5)+($M367*Lists!$AN$6),2))</f>
        <v/>
      </c>
      <c r="O367" s="64" t="str">
        <f>IF($A367="","",IFERROR(VLOOKUP($A367,'Risk Register'!$B$2:$I$1000,8,FALSE()),""))</f>
        <v/>
      </c>
      <c r="P367" s="66"/>
      <c r="Q367" s="66"/>
      <c r="R367" s="66"/>
      <c r="S367" s="66"/>
      <c r="T367" s="64" t="str">
        <f>IF(OR($B367="", $P367="", $Q367="", $R367="", $S367=""),"",ROUND(($P367*Lists!$AN$7)+($Q367*Lists!$AN$8)+($R367*Lists!$AN$9)+($S367*Lists!$AN$10),2))</f>
        <v/>
      </c>
      <c r="U367" s="66"/>
      <c r="V367" s="66"/>
      <c r="W367" s="66"/>
      <c r="X367" s="66"/>
      <c r="Y367" s="66"/>
      <c r="Z367" s="64" t="str">
        <f>IF(OR($B367="", $U367="", $V367="", $W367="", $X367="", $Y367=""),"",ROUND(($U367*Lists!$AN$11)+($V367*Lists!$AN$12)+($W367*Lists!$AN$13)+($X367*Lists!$AN$14)+($Y367*Lists!$AN$15),2))</f>
        <v/>
      </c>
      <c r="AA367" s="64" t="str">
        <f>IF(OR($B367="", $N367="", $O367="", $T367="", $Z367=""),"",ROUND(($N367*Lists!$AN$16)-($O367*Lists!$AN$17)-($T367*Lists!$AN$18)+($Z367*Lists!$AN$19),2))</f>
        <v/>
      </c>
      <c r="AB367" s="63" t="str">
        <f t="shared" si="21"/>
        <v/>
      </c>
      <c r="AC367" s="63" t="str">
        <f t="shared" si="22"/>
        <v/>
      </c>
      <c r="AD367" s="63" t="str">
        <f>IF($A367="","",IFERROR(IF(VLOOKUP($A367,'Risk Register'!$B$2:$H$1000,4,FALSE())&gt;=4,"Yes",""),""))</f>
        <v/>
      </c>
      <c r="AE367" s="63" t="str">
        <f t="shared" si="23"/>
        <v/>
      </c>
      <c r="AF367" s="62"/>
      <c r="AG367" s="62"/>
      <c r="AH367" s="62"/>
      <c r="AI367" s="62"/>
      <c r="AJ367" s="62"/>
      <c r="AK367" s="62"/>
      <c r="AL367" s="62"/>
      <c r="AM367" s="62"/>
      <c r="AN367" s="62"/>
      <c r="AO367" s="62"/>
      <c r="AP367" s="62"/>
      <c r="AQ367" s="80"/>
    </row>
    <row r="368" spans="1:43" ht="15.75" customHeight="1" x14ac:dyDescent="0.2">
      <c r="A368" s="63" t="str">
        <f t="shared" si="20"/>
        <v/>
      </c>
      <c r="B368" s="62"/>
      <c r="C368" s="62"/>
      <c r="D368" s="62"/>
      <c r="E368" s="62"/>
      <c r="F368" s="62"/>
      <c r="G368" s="62"/>
      <c r="H368" s="62"/>
      <c r="I368" s="66"/>
      <c r="J368" s="66"/>
      <c r="K368" s="66"/>
      <c r="L368" s="66"/>
      <c r="M368" s="66"/>
      <c r="N368" s="64" t="str">
        <f>IF(OR($B368="", $I368="", $J368="", $K368="", $L368="", $M368=""),"",ROUND(($I368*Lists!$AN$2)+($J368*Lists!$AN$3)+($K368*Lists!$AN$4)+($L368*Lists!$AN$5)+($M368*Lists!$AN$6),2))</f>
        <v/>
      </c>
      <c r="O368" s="64" t="str">
        <f>IF($A368="","",IFERROR(VLOOKUP($A368,'Risk Register'!$B$2:$I$1000,8,FALSE()),""))</f>
        <v/>
      </c>
      <c r="P368" s="66"/>
      <c r="Q368" s="66"/>
      <c r="R368" s="66"/>
      <c r="S368" s="66"/>
      <c r="T368" s="64" t="str">
        <f>IF(OR($B368="", $P368="", $Q368="", $R368="", $S368=""),"",ROUND(($P368*Lists!$AN$7)+($Q368*Lists!$AN$8)+($R368*Lists!$AN$9)+($S368*Lists!$AN$10),2))</f>
        <v/>
      </c>
      <c r="U368" s="66"/>
      <c r="V368" s="66"/>
      <c r="W368" s="66"/>
      <c r="X368" s="66"/>
      <c r="Y368" s="66"/>
      <c r="Z368" s="64" t="str">
        <f>IF(OR($B368="", $U368="", $V368="", $W368="", $X368="", $Y368=""),"",ROUND(($U368*Lists!$AN$11)+($V368*Lists!$AN$12)+($W368*Lists!$AN$13)+($X368*Lists!$AN$14)+($Y368*Lists!$AN$15),2))</f>
        <v/>
      </c>
      <c r="AA368" s="64" t="str">
        <f>IF(OR($B368="", $N368="", $O368="", $T368="", $Z368=""),"",ROUND(($N368*Lists!$AN$16)-($O368*Lists!$AN$17)-($T368*Lists!$AN$18)+($Z368*Lists!$AN$19),2))</f>
        <v/>
      </c>
      <c r="AB368" s="63" t="str">
        <f t="shared" si="21"/>
        <v/>
      </c>
      <c r="AC368" s="63" t="str">
        <f t="shared" si="22"/>
        <v/>
      </c>
      <c r="AD368" s="63" t="str">
        <f>IF($A368="","",IFERROR(IF(VLOOKUP($A368,'Risk Register'!$B$2:$H$1000,4,FALSE())&gt;=4,"Yes",""),""))</f>
        <v/>
      </c>
      <c r="AE368" s="63" t="str">
        <f t="shared" si="23"/>
        <v/>
      </c>
      <c r="AF368" s="62"/>
      <c r="AG368" s="62"/>
      <c r="AH368" s="62"/>
      <c r="AI368" s="62"/>
      <c r="AJ368" s="62"/>
      <c r="AK368" s="62"/>
      <c r="AL368" s="62"/>
      <c r="AM368" s="62"/>
      <c r="AN368" s="62"/>
      <c r="AO368" s="62"/>
      <c r="AP368" s="62"/>
      <c r="AQ368" s="80"/>
    </row>
    <row r="369" spans="1:43" ht="15.75" customHeight="1" x14ac:dyDescent="0.2">
      <c r="A369" s="63" t="str">
        <f t="shared" si="20"/>
        <v/>
      </c>
      <c r="B369" s="62"/>
      <c r="C369" s="62"/>
      <c r="D369" s="62"/>
      <c r="E369" s="62"/>
      <c r="F369" s="62"/>
      <c r="G369" s="62"/>
      <c r="H369" s="62"/>
      <c r="I369" s="66"/>
      <c r="J369" s="66"/>
      <c r="K369" s="66"/>
      <c r="L369" s="66"/>
      <c r="M369" s="66"/>
      <c r="N369" s="64" t="str">
        <f>IF(OR($B369="", $I369="", $J369="", $K369="", $L369="", $M369=""),"",ROUND(($I369*Lists!$AN$2)+($J369*Lists!$AN$3)+($K369*Lists!$AN$4)+($L369*Lists!$AN$5)+($M369*Lists!$AN$6),2))</f>
        <v/>
      </c>
      <c r="O369" s="64" t="str">
        <f>IF($A369="","",IFERROR(VLOOKUP($A369,'Risk Register'!$B$2:$I$1000,8,FALSE()),""))</f>
        <v/>
      </c>
      <c r="P369" s="66"/>
      <c r="Q369" s="66"/>
      <c r="R369" s="66"/>
      <c r="S369" s="66"/>
      <c r="T369" s="64" t="str">
        <f>IF(OR($B369="", $P369="", $Q369="", $R369="", $S369=""),"",ROUND(($P369*Lists!$AN$7)+($Q369*Lists!$AN$8)+($R369*Lists!$AN$9)+($S369*Lists!$AN$10),2))</f>
        <v/>
      </c>
      <c r="U369" s="66"/>
      <c r="V369" s="66"/>
      <c r="W369" s="66"/>
      <c r="X369" s="66"/>
      <c r="Y369" s="66"/>
      <c r="Z369" s="64" t="str">
        <f>IF(OR($B369="", $U369="", $V369="", $W369="", $X369="", $Y369=""),"",ROUND(($U369*Lists!$AN$11)+($V369*Lists!$AN$12)+($W369*Lists!$AN$13)+($X369*Lists!$AN$14)+($Y369*Lists!$AN$15),2))</f>
        <v/>
      </c>
      <c r="AA369" s="64" t="str">
        <f>IF(OR($B369="", $N369="", $O369="", $T369="", $Z369=""),"",ROUND(($N369*Lists!$AN$16)-($O369*Lists!$AN$17)-($T369*Lists!$AN$18)+($Z369*Lists!$AN$19),2))</f>
        <v/>
      </c>
      <c r="AB369" s="63" t="str">
        <f t="shared" si="21"/>
        <v/>
      </c>
      <c r="AC369" s="63" t="str">
        <f t="shared" si="22"/>
        <v/>
      </c>
      <c r="AD369" s="63" t="str">
        <f>IF($A369="","",IFERROR(IF(VLOOKUP($A369,'Risk Register'!$B$2:$H$1000,4,FALSE())&gt;=4,"Yes",""),""))</f>
        <v/>
      </c>
      <c r="AE369" s="63" t="str">
        <f t="shared" si="23"/>
        <v/>
      </c>
      <c r="AF369" s="62"/>
      <c r="AG369" s="62"/>
      <c r="AH369" s="62"/>
      <c r="AI369" s="62"/>
      <c r="AJ369" s="62"/>
      <c r="AK369" s="62"/>
      <c r="AL369" s="62"/>
      <c r="AM369" s="62"/>
      <c r="AN369" s="62"/>
      <c r="AO369" s="62"/>
      <c r="AP369" s="62"/>
      <c r="AQ369" s="80"/>
    </row>
    <row r="370" spans="1:43" ht="15.75" customHeight="1" x14ac:dyDescent="0.2">
      <c r="A370" s="63" t="str">
        <f t="shared" si="20"/>
        <v/>
      </c>
      <c r="B370" s="62"/>
      <c r="C370" s="62"/>
      <c r="D370" s="62"/>
      <c r="E370" s="62"/>
      <c r="F370" s="62"/>
      <c r="G370" s="62"/>
      <c r="H370" s="62"/>
      <c r="I370" s="66"/>
      <c r="J370" s="66"/>
      <c r="K370" s="66"/>
      <c r="L370" s="66"/>
      <c r="M370" s="66"/>
      <c r="N370" s="64" t="str">
        <f>IF(OR($B370="", $I370="", $J370="", $K370="", $L370="", $M370=""),"",ROUND(($I370*Lists!$AN$2)+($J370*Lists!$AN$3)+($K370*Lists!$AN$4)+($L370*Lists!$AN$5)+($M370*Lists!$AN$6),2))</f>
        <v/>
      </c>
      <c r="O370" s="64" t="str">
        <f>IF($A370="","",IFERROR(VLOOKUP($A370,'Risk Register'!$B$2:$I$1000,8,FALSE()),""))</f>
        <v/>
      </c>
      <c r="P370" s="66"/>
      <c r="Q370" s="66"/>
      <c r="R370" s="66"/>
      <c r="S370" s="66"/>
      <c r="T370" s="64" t="str">
        <f>IF(OR($B370="", $P370="", $Q370="", $R370="", $S370=""),"",ROUND(($P370*Lists!$AN$7)+($Q370*Lists!$AN$8)+($R370*Lists!$AN$9)+($S370*Lists!$AN$10),2))</f>
        <v/>
      </c>
      <c r="U370" s="66"/>
      <c r="V370" s="66"/>
      <c r="W370" s="66"/>
      <c r="X370" s="66"/>
      <c r="Y370" s="66"/>
      <c r="Z370" s="64" t="str">
        <f>IF(OR($B370="", $U370="", $V370="", $W370="", $X370="", $Y370=""),"",ROUND(($U370*Lists!$AN$11)+($V370*Lists!$AN$12)+($W370*Lists!$AN$13)+($X370*Lists!$AN$14)+($Y370*Lists!$AN$15),2))</f>
        <v/>
      </c>
      <c r="AA370" s="64" t="str">
        <f>IF(OR($B370="", $N370="", $O370="", $T370="", $Z370=""),"",ROUND(($N370*Lists!$AN$16)-($O370*Lists!$AN$17)-($T370*Lists!$AN$18)+($Z370*Lists!$AN$19),2))</f>
        <v/>
      </c>
      <c r="AB370" s="63" t="str">
        <f t="shared" si="21"/>
        <v/>
      </c>
      <c r="AC370" s="63" t="str">
        <f t="shared" si="22"/>
        <v/>
      </c>
      <c r="AD370" s="63" t="str">
        <f>IF($A370="","",IFERROR(IF(VLOOKUP($A370,'Risk Register'!$B$2:$H$1000,4,FALSE())&gt;=4,"Yes",""),""))</f>
        <v/>
      </c>
      <c r="AE370" s="63" t="str">
        <f t="shared" si="23"/>
        <v/>
      </c>
      <c r="AF370" s="62"/>
      <c r="AG370" s="62"/>
      <c r="AH370" s="62"/>
      <c r="AI370" s="62"/>
      <c r="AJ370" s="62"/>
      <c r="AK370" s="62"/>
      <c r="AL370" s="62"/>
      <c r="AM370" s="62"/>
      <c r="AN370" s="62"/>
      <c r="AO370" s="62"/>
      <c r="AP370" s="62"/>
      <c r="AQ370" s="80"/>
    </row>
    <row r="371" spans="1:43" ht="15.75" customHeight="1" x14ac:dyDescent="0.2">
      <c r="A371" s="63" t="str">
        <f t="shared" si="20"/>
        <v/>
      </c>
      <c r="B371" s="62"/>
      <c r="C371" s="62"/>
      <c r="D371" s="62"/>
      <c r="E371" s="62"/>
      <c r="F371" s="62"/>
      <c r="G371" s="62"/>
      <c r="H371" s="62"/>
      <c r="I371" s="66"/>
      <c r="J371" s="66"/>
      <c r="K371" s="66"/>
      <c r="L371" s="66"/>
      <c r="M371" s="66"/>
      <c r="N371" s="64" t="str">
        <f>IF(OR($B371="", $I371="", $J371="", $K371="", $L371="", $M371=""),"",ROUND(($I371*Lists!$AN$2)+($J371*Lists!$AN$3)+($K371*Lists!$AN$4)+($L371*Lists!$AN$5)+($M371*Lists!$AN$6),2))</f>
        <v/>
      </c>
      <c r="O371" s="64" t="str">
        <f>IF($A371="","",IFERROR(VLOOKUP($A371,'Risk Register'!$B$2:$I$1000,8,FALSE()),""))</f>
        <v/>
      </c>
      <c r="P371" s="66"/>
      <c r="Q371" s="66"/>
      <c r="R371" s="66"/>
      <c r="S371" s="66"/>
      <c r="T371" s="64" t="str">
        <f>IF(OR($B371="", $P371="", $Q371="", $R371="", $S371=""),"",ROUND(($P371*Lists!$AN$7)+($Q371*Lists!$AN$8)+($R371*Lists!$AN$9)+($S371*Lists!$AN$10),2))</f>
        <v/>
      </c>
      <c r="U371" s="66"/>
      <c r="V371" s="66"/>
      <c r="W371" s="66"/>
      <c r="X371" s="66"/>
      <c r="Y371" s="66"/>
      <c r="Z371" s="64" t="str">
        <f>IF(OR($B371="", $U371="", $V371="", $W371="", $X371="", $Y371=""),"",ROUND(($U371*Lists!$AN$11)+($V371*Lists!$AN$12)+($W371*Lists!$AN$13)+($X371*Lists!$AN$14)+($Y371*Lists!$AN$15),2))</f>
        <v/>
      </c>
      <c r="AA371" s="64" t="str">
        <f>IF(OR($B371="", $N371="", $O371="", $T371="", $Z371=""),"",ROUND(($N371*Lists!$AN$16)-($O371*Lists!$AN$17)-($T371*Lists!$AN$18)+($Z371*Lists!$AN$19),2))</f>
        <v/>
      </c>
      <c r="AB371" s="63" t="str">
        <f t="shared" si="21"/>
        <v/>
      </c>
      <c r="AC371" s="63" t="str">
        <f t="shared" si="22"/>
        <v/>
      </c>
      <c r="AD371" s="63" t="str">
        <f>IF($A371="","",IFERROR(IF(VLOOKUP($A371,'Risk Register'!$B$2:$H$1000,4,FALSE())&gt;=4,"Yes",""),""))</f>
        <v/>
      </c>
      <c r="AE371" s="63" t="str">
        <f t="shared" si="23"/>
        <v/>
      </c>
      <c r="AF371" s="62"/>
      <c r="AG371" s="62"/>
      <c r="AH371" s="62"/>
      <c r="AI371" s="62"/>
      <c r="AJ371" s="62"/>
      <c r="AK371" s="62"/>
      <c r="AL371" s="62"/>
      <c r="AM371" s="62"/>
      <c r="AN371" s="62"/>
      <c r="AO371" s="62"/>
      <c r="AP371" s="62"/>
      <c r="AQ371" s="80"/>
    </row>
    <row r="372" spans="1:43" ht="15.75" customHeight="1" x14ac:dyDescent="0.2">
      <c r="A372" s="63" t="str">
        <f t="shared" si="20"/>
        <v/>
      </c>
      <c r="B372" s="62"/>
      <c r="C372" s="62"/>
      <c r="D372" s="62"/>
      <c r="E372" s="62"/>
      <c r="F372" s="62"/>
      <c r="G372" s="62"/>
      <c r="H372" s="62"/>
      <c r="I372" s="66"/>
      <c r="J372" s="66"/>
      <c r="K372" s="66"/>
      <c r="L372" s="66"/>
      <c r="M372" s="66"/>
      <c r="N372" s="64" t="str">
        <f>IF(OR($B372="", $I372="", $J372="", $K372="", $L372="", $M372=""),"",ROUND(($I372*Lists!$AN$2)+($J372*Lists!$AN$3)+($K372*Lists!$AN$4)+($L372*Lists!$AN$5)+($M372*Lists!$AN$6),2))</f>
        <v/>
      </c>
      <c r="O372" s="64" t="str">
        <f>IF($A372="","",IFERROR(VLOOKUP($A372,'Risk Register'!$B$2:$I$1000,8,FALSE()),""))</f>
        <v/>
      </c>
      <c r="P372" s="66"/>
      <c r="Q372" s="66"/>
      <c r="R372" s="66"/>
      <c r="S372" s="66"/>
      <c r="T372" s="64" t="str">
        <f>IF(OR($B372="", $P372="", $Q372="", $R372="", $S372=""),"",ROUND(($P372*Lists!$AN$7)+($Q372*Lists!$AN$8)+($R372*Lists!$AN$9)+($S372*Lists!$AN$10),2))</f>
        <v/>
      </c>
      <c r="U372" s="66"/>
      <c r="V372" s="66"/>
      <c r="W372" s="66"/>
      <c r="X372" s="66"/>
      <c r="Y372" s="66"/>
      <c r="Z372" s="64" t="str">
        <f>IF(OR($B372="", $U372="", $V372="", $W372="", $X372="", $Y372=""),"",ROUND(($U372*Lists!$AN$11)+($V372*Lists!$AN$12)+($W372*Lists!$AN$13)+($X372*Lists!$AN$14)+($Y372*Lists!$AN$15),2))</f>
        <v/>
      </c>
      <c r="AA372" s="64" t="str">
        <f>IF(OR($B372="", $N372="", $O372="", $T372="", $Z372=""),"",ROUND(($N372*Lists!$AN$16)-($O372*Lists!$AN$17)-($T372*Lists!$AN$18)+($Z372*Lists!$AN$19),2))</f>
        <v/>
      </c>
      <c r="AB372" s="63" t="str">
        <f t="shared" si="21"/>
        <v/>
      </c>
      <c r="AC372" s="63" t="str">
        <f t="shared" si="22"/>
        <v/>
      </c>
      <c r="AD372" s="63" t="str">
        <f>IF($A372="","",IFERROR(IF(VLOOKUP($A372,'Risk Register'!$B$2:$H$1000,4,FALSE())&gt;=4,"Yes",""),""))</f>
        <v/>
      </c>
      <c r="AE372" s="63" t="str">
        <f t="shared" si="23"/>
        <v/>
      </c>
      <c r="AF372" s="62"/>
      <c r="AG372" s="62"/>
      <c r="AH372" s="62"/>
      <c r="AI372" s="62"/>
      <c r="AJ372" s="62"/>
      <c r="AK372" s="62"/>
      <c r="AL372" s="62"/>
      <c r="AM372" s="62"/>
      <c r="AN372" s="62"/>
      <c r="AO372" s="62"/>
      <c r="AP372" s="62"/>
      <c r="AQ372" s="80"/>
    </row>
    <row r="373" spans="1:43" ht="15.75" customHeight="1" x14ac:dyDescent="0.2">
      <c r="A373" s="63" t="str">
        <f t="shared" si="20"/>
        <v/>
      </c>
      <c r="B373" s="62"/>
      <c r="C373" s="62"/>
      <c r="D373" s="62"/>
      <c r="E373" s="62"/>
      <c r="F373" s="62"/>
      <c r="G373" s="62"/>
      <c r="H373" s="62"/>
      <c r="I373" s="66"/>
      <c r="J373" s="66"/>
      <c r="K373" s="66"/>
      <c r="L373" s="66"/>
      <c r="M373" s="66"/>
      <c r="N373" s="64" t="str">
        <f>IF(OR($B373="", $I373="", $J373="", $K373="", $L373="", $M373=""),"",ROUND(($I373*Lists!$AN$2)+($J373*Lists!$AN$3)+($K373*Lists!$AN$4)+($L373*Lists!$AN$5)+($M373*Lists!$AN$6),2))</f>
        <v/>
      </c>
      <c r="O373" s="64" t="str">
        <f>IF($A373="","",IFERROR(VLOOKUP($A373,'Risk Register'!$B$2:$I$1000,8,FALSE()),""))</f>
        <v/>
      </c>
      <c r="P373" s="66"/>
      <c r="Q373" s="66"/>
      <c r="R373" s="66"/>
      <c r="S373" s="66"/>
      <c r="T373" s="64" t="str">
        <f>IF(OR($B373="", $P373="", $Q373="", $R373="", $S373=""),"",ROUND(($P373*Lists!$AN$7)+($Q373*Lists!$AN$8)+($R373*Lists!$AN$9)+($S373*Lists!$AN$10),2))</f>
        <v/>
      </c>
      <c r="U373" s="66"/>
      <c r="V373" s="66"/>
      <c r="W373" s="66"/>
      <c r="X373" s="66"/>
      <c r="Y373" s="66"/>
      <c r="Z373" s="64" t="str">
        <f>IF(OR($B373="", $U373="", $V373="", $W373="", $X373="", $Y373=""),"",ROUND(($U373*Lists!$AN$11)+($V373*Lists!$AN$12)+($W373*Lists!$AN$13)+($X373*Lists!$AN$14)+($Y373*Lists!$AN$15),2))</f>
        <v/>
      </c>
      <c r="AA373" s="64" t="str">
        <f>IF(OR($B373="", $N373="", $O373="", $T373="", $Z373=""),"",ROUND(($N373*Lists!$AN$16)-($O373*Lists!$AN$17)-($T373*Lists!$AN$18)+($Z373*Lists!$AN$19),2))</f>
        <v/>
      </c>
      <c r="AB373" s="63" t="str">
        <f t="shared" si="21"/>
        <v/>
      </c>
      <c r="AC373" s="63" t="str">
        <f t="shared" si="22"/>
        <v/>
      </c>
      <c r="AD373" s="63" t="str">
        <f>IF($A373="","",IFERROR(IF(VLOOKUP($A373,'Risk Register'!$B$2:$H$1000,4,FALSE())&gt;=4,"Yes",""),""))</f>
        <v/>
      </c>
      <c r="AE373" s="63" t="str">
        <f t="shared" si="23"/>
        <v/>
      </c>
      <c r="AF373" s="62"/>
      <c r="AG373" s="62"/>
      <c r="AH373" s="62"/>
      <c r="AI373" s="62"/>
      <c r="AJ373" s="62"/>
      <c r="AK373" s="62"/>
      <c r="AL373" s="62"/>
      <c r="AM373" s="62"/>
      <c r="AN373" s="62"/>
      <c r="AO373" s="62"/>
      <c r="AP373" s="62"/>
      <c r="AQ373" s="80"/>
    </row>
    <row r="374" spans="1:43" ht="15.75" customHeight="1" x14ac:dyDescent="0.2">
      <c r="A374" s="63" t="str">
        <f t="shared" si="20"/>
        <v/>
      </c>
      <c r="B374" s="62"/>
      <c r="C374" s="62"/>
      <c r="D374" s="62"/>
      <c r="E374" s="62"/>
      <c r="F374" s="62"/>
      <c r="G374" s="62"/>
      <c r="H374" s="62"/>
      <c r="I374" s="66"/>
      <c r="J374" s="66"/>
      <c r="K374" s="66"/>
      <c r="L374" s="66"/>
      <c r="M374" s="66"/>
      <c r="N374" s="64" t="str">
        <f>IF(OR($B374="", $I374="", $J374="", $K374="", $L374="", $M374=""),"",ROUND(($I374*Lists!$AN$2)+($J374*Lists!$AN$3)+($K374*Lists!$AN$4)+($L374*Lists!$AN$5)+($M374*Lists!$AN$6),2))</f>
        <v/>
      </c>
      <c r="O374" s="64" t="str">
        <f>IF($A374="","",IFERROR(VLOOKUP($A374,'Risk Register'!$B$2:$I$1000,8,FALSE()),""))</f>
        <v/>
      </c>
      <c r="P374" s="66"/>
      <c r="Q374" s="66"/>
      <c r="R374" s="66"/>
      <c r="S374" s="66"/>
      <c r="T374" s="64" t="str">
        <f>IF(OR($B374="", $P374="", $Q374="", $R374="", $S374=""),"",ROUND(($P374*Lists!$AN$7)+($Q374*Lists!$AN$8)+($R374*Lists!$AN$9)+($S374*Lists!$AN$10),2))</f>
        <v/>
      </c>
      <c r="U374" s="66"/>
      <c r="V374" s="66"/>
      <c r="W374" s="66"/>
      <c r="X374" s="66"/>
      <c r="Y374" s="66"/>
      <c r="Z374" s="64" t="str">
        <f>IF(OR($B374="", $U374="", $V374="", $W374="", $X374="", $Y374=""),"",ROUND(($U374*Lists!$AN$11)+($V374*Lists!$AN$12)+($W374*Lists!$AN$13)+($X374*Lists!$AN$14)+($Y374*Lists!$AN$15),2))</f>
        <v/>
      </c>
      <c r="AA374" s="64" t="str">
        <f>IF(OR($B374="", $N374="", $O374="", $T374="", $Z374=""),"",ROUND(($N374*Lists!$AN$16)-($O374*Lists!$AN$17)-($T374*Lists!$AN$18)+($Z374*Lists!$AN$19),2))</f>
        <v/>
      </c>
      <c r="AB374" s="63" t="str">
        <f t="shared" si="21"/>
        <v/>
      </c>
      <c r="AC374" s="63" t="str">
        <f t="shared" si="22"/>
        <v/>
      </c>
      <c r="AD374" s="63" t="str">
        <f>IF($A374="","",IFERROR(IF(VLOOKUP($A374,'Risk Register'!$B$2:$H$1000,4,FALSE())&gt;=4,"Yes",""),""))</f>
        <v/>
      </c>
      <c r="AE374" s="63" t="str">
        <f t="shared" si="23"/>
        <v/>
      </c>
      <c r="AF374" s="62"/>
      <c r="AG374" s="62"/>
      <c r="AH374" s="62"/>
      <c r="AI374" s="62"/>
      <c r="AJ374" s="62"/>
      <c r="AK374" s="62"/>
      <c r="AL374" s="62"/>
      <c r="AM374" s="62"/>
      <c r="AN374" s="62"/>
      <c r="AO374" s="62"/>
      <c r="AP374" s="62"/>
      <c r="AQ374" s="80"/>
    </row>
    <row r="375" spans="1:43" ht="15.75" customHeight="1" x14ac:dyDescent="0.2">
      <c r="A375" s="63" t="str">
        <f t="shared" si="20"/>
        <v/>
      </c>
      <c r="B375" s="62"/>
      <c r="C375" s="62"/>
      <c r="D375" s="62"/>
      <c r="E375" s="62"/>
      <c r="F375" s="62"/>
      <c r="G375" s="62"/>
      <c r="H375" s="62"/>
      <c r="I375" s="66"/>
      <c r="J375" s="66"/>
      <c r="K375" s="66"/>
      <c r="L375" s="66"/>
      <c r="M375" s="66"/>
      <c r="N375" s="64" t="str">
        <f>IF(OR($B375="", $I375="", $J375="", $K375="", $L375="", $M375=""),"",ROUND(($I375*Lists!$AN$2)+($J375*Lists!$AN$3)+($K375*Lists!$AN$4)+($L375*Lists!$AN$5)+($M375*Lists!$AN$6),2))</f>
        <v/>
      </c>
      <c r="O375" s="64" t="str">
        <f>IF($A375="","",IFERROR(VLOOKUP($A375,'Risk Register'!$B$2:$I$1000,8,FALSE()),""))</f>
        <v/>
      </c>
      <c r="P375" s="66"/>
      <c r="Q375" s="66"/>
      <c r="R375" s="66"/>
      <c r="S375" s="66"/>
      <c r="T375" s="64" t="str">
        <f>IF(OR($B375="", $P375="", $Q375="", $R375="", $S375=""),"",ROUND(($P375*Lists!$AN$7)+($Q375*Lists!$AN$8)+($R375*Lists!$AN$9)+($S375*Lists!$AN$10),2))</f>
        <v/>
      </c>
      <c r="U375" s="66"/>
      <c r="V375" s="66"/>
      <c r="W375" s="66"/>
      <c r="X375" s="66"/>
      <c r="Y375" s="66"/>
      <c r="Z375" s="64" t="str">
        <f>IF(OR($B375="", $U375="", $V375="", $W375="", $X375="", $Y375=""),"",ROUND(($U375*Lists!$AN$11)+($V375*Lists!$AN$12)+($W375*Lists!$AN$13)+($X375*Lists!$AN$14)+($Y375*Lists!$AN$15),2))</f>
        <v/>
      </c>
      <c r="AA375" s="64" t="str">
        <f>IF(OR($B375="", $N375="", $O375="", $T375="", $Z375=""),"",ROUND(($N375*Lists!$AN$16)-($O375*Lists!$AN$17)-($T375*Lists!$AN$18)+($Z375*Lists!$AN$19),2))</f>
        <v/>
      </c>
      <c r="AB375" s="63" t="str">
        <f t="shared" si="21"/>
        <v/>
      </c>
      <c r="AC375" s="63" t="str">
        <f t="shared" si="22"/>
        <v/>
      </c>
      <c r="AD375" s="63" t="str">
        <f>IF($A375="","",IFERROR(IF(VLOOKUP($A375,'Risk Register'!$B$2:$H$1000,4,FALSE())&gt;=4,"Yes",""),""))</f>
        <v/>
      </c>
      <c r="AE375" s="63" t="str">
        <f t="shared" si="23"/>
        <v/>
      </c>
      <c r="AF375" s="62"/>
      <c r="AG375" s="62"/>
      <c r="AH375" s="62"/>
      <c r="AI375" s="62"/>
      <c r="AJ375" s="62"/>
      <c r="AK375" s="62"/>
      <c r="AL375" s="62"/>
      <c r="AM375" s="62"/>
      <c r="AN375" s="62"/>
      <c r="AO375" s="62"/>
      <c r="AP375" s="62"/>
      <c r="AQ375" s="80"/>
    </row>
    <row r="376" spans="1:43" ht="15.75" customHeight="1" x14ac:dyDescent="0.2">
      <c r="A376" s="63" t="str">
        <f t="shared" si="20"/>
        <v/>
      </c>
      <c r="B376" s="62"/>
      <c r="C376" s="62"/>
      <c r="D376" s="62"/>
      <c r="E376" s="62"/>
      <c r="F376" s="62"/>
      <c r="G376" s="62"/>
      <c r="H376" s="62"/>
      <c r="I376" s="66"/>
      <c r="J376" s="66"/>
      <c r="K376" s="66"/>
      <c r="L376" s="66"/>
      <c r="M376" s="66"/>
      <c r="N376" s="64" t="str">
        <f>IF(OR($B376="", $I376="", $J376="", $K376="", $L376="", $M376=""),"",ROUND(($I376*Lists!$AN$2)+($J376*Lists!$AN$3)+($K376*Lists!$AN$4)+($L376*Lists!$AN$5)+($M376*Lists!$AN$6),2))</f>
        <v/>
      </c>
      <c r="O376" s="64" t="str">
        <f>IF($A376="","",IFERROR(VLOOKUP($A376,'Risk Register'!$B$2:$I$1000,8,FALSE()),""))</f>
        <v/>
      </c>
      <c r="P376" s="66"/>
      <c r="Q376" s="66"/>
      <c r="R376" s="66"/>
      <c r="S376" s="66"/>
      <c r="T376" s="64" t="str">
        <f>IF(OR($B376="", $P376="", $Q376="", $R376="", $S376=""),"",ROUND(($P376*Lists!$AN$7)+($Q376*Lists!$AN$8)+($R376*Lists!$AN$9)+($S376*Lists!$AN$10),2))</f>
        <v/>
      </c>
      <c r="U376" s="66"/>
      <c r="V376" s="66"/>
      <c r="W376" s="66"/>
      <c r="X376" s="66"/>
      <c r="Y376" s="66"/>
      <c r="Z376" s="64" t="str">
        <f>IF(OR($B376="", $U376="", $V376="", $W376="", $X376="", $Y376=""),"",ROUND(($U376*Lists!$AN$11)+($V376*Lists!$AN$12)+($W376*Lists!$AN$13)+($X376*Lists!$AN$14)+($Y376*Lists!$AN$15),2))</f>
        <v/>
      </c>
      <c r="AA376" s="64" t="str">
        <f>IF(OR($B376="", $N376="", $O376="", $T376="", $Z376=""),"",ROUND(($N376*Lists!$AN$16)-($O376*Lists!$AN$17)-($T376*Lists!$AN$18)+($Z376*Lists!$AN$19),2))</f>
        <v/>
      </c>
      <c r="AB376" s="63" t="str">
        <f t="shared" si="21"/>
        <v/>
      </c>
      <c r="AC376" s="63" t="str">
        <f t="shared" si="22"/>
        <v/>
      </c>
      <c r="AD376" s="63" t="str">
        <f>IF($A376="","",IFERROR(IF(VLOOKUP($A376,'Risk Register'!$B$2:$H$1000,4,FALSE())&gt;=4,"Yes",""),""))</f>
        <v/>
      </c>
      <c r="AE376" s="63" t="str">
        <f t="shared" si="23"/>
        <v/>
      </c>
      <c r="AF376" s="62"/>
      <c r="AG376" s="62"/>
      <c r="AH376" s="62"/>
      <c r="AI376" s="62"/>
      <c r="AJ376" s="62"/>
      <c r="AK376" s="62"/>
      <c r="AL376" s="62"/>
      <c r="AM376" s="62"/>
      <c r="AN376" s="62"/>
      <c r="AO376" s="62"/>
      <c r="AP376" s="62"/>
      <c r="AQ376" s="80"/>
    </row>
    <row r="377" spans="1:43" ht="15.75" customHeight="1" x14ac:dyDescent="0.2">
      <c r="A377" s="63" t="str">
        <f t="shared" si="20"/>
        <v/>
      </c>
      <c r="B377" s="62"/>
      <c r="C377" s="62"/>
      <c r="D377" s="62"/>
      <c r="E377" s="62"/>
      <c r="F377" s="62"/>
      <c r="G377" s="62"/>
      <c r="H377" s="62"/>
      <c r="I377" s="66"/>
      <c r="J377" s="66"/>
      <c r="K377" s="66"/>
      <c r="L377" s="66"/>
      <c r="M377" s="66"/>
      <c r="N377" s="64" t="str">
        <f>IF(OR($B377="", $I377="", $J377="", $K377="", $L377="", $M377=""),"",ROUND(($I377*Lists!$AN$2)+($J377*Lists!$AN$3)+($K377*Lists!$AN$4)+($L377*Lists!$AN$5)+($M377*Lists!$AN$6),2))</f>
        <v/>
      </c>
      <c r="O377" s="64" t="str">
        <f>IF($A377="","",IFERROR(VLOOKUP($A377,'Risk Register'!$B$2:$I$1000,8,FALSE()),""))</f>
        <v/>
      </c>
      <c r="P377" s="66"/>
      <c r="Q377" s="66"/>
      <c r="R377" s="66"/>
      <c r="S377" s="66"/>
      <c r="T377" s="64" t="str">
        <f>IF(OR($B377="", $P377="", $Q377="", $R377="", $S377=""),"",ROUND(($P377*Lists!$AN$7)+($Q377*Lists!$AN$8)+($R377*Lists!$AN$9)+($S377*Lists!$AN$10),2))</f>
        <v/>
      </c>
      <c r="U377" s="66"/>
      <c r="V377" s="66"/>
      <c r="W377" s="66"/>
      <c r="X377" s="66"/>
      <c r="Y377" s="66"/>
      <c r="Z377" s="64" t="str">
        <f>IF(OR($B377="", $U377="", $V377="", $W377="", $X377="", $Y377=""),"",ROUND(($U377*Lists!$AN$11)+($V377*Lists!$AN$12)+($W377*Lists!$AN$13)+($X377*Lists!$AN$14)+($Y377*Lists!$AN$15),2))</f>
        <v/>
      </c>
      <c r="AA377" s="64" t="str">
        <f>IF(OR($B377="", $N377="", $O377="", $T377="", $Z377=""),"",ROUND(($N377*Lists!$AN$16)-($O377*Lists!$AN$17)-($T377*Lists!$AN$18)+($Z377*Lists!$AN$19),2))</f>
        <v/>
      </c>
      <c r="AB377" s="63" t="str">
        <f t="shared" si="21"/>
        <v/>
      </c>
      <c r="AC377" s="63" t="str">
        <f t="shared" si="22"/>
        <v/>
      </c>
      <c r="AD377" s="63" t="str">
        <f>IF($A377="","",IFERROR(IF(VLOOKUP($A377,'Risk Register'!$B$2:$H$1000,4,FALSE())&gt;=4,"Yes",""),""))</f>
        <v/>
      </c>
      <c r="AE377" s="63" t="str">
        <f t="shared" si="23"/>
        <v/>
      </c>
      <c r="AF377" s="62"/>
      <c r="AG377" s="62"/>
      <c r="AH377" s="62"/>
      <c r="AI377" s="62"/>
      <c r="AJ377" s="62"/>
      <c r="AK377" s="62"/>
      <c r="AL377" s="62"/>
      <c r="AM377" s="62"/>
      <c r="AN377" s="62"/>
      <c r="AO377" s="62"/>
      <c r="AP377" s="62"/>
      <c r="AQ377" s="80"/>
    </row>
    <row r="378" spans="1:43" ht="15.75" customHeight="1" x14ac:dyDescent="0.2">
      <c r="A378" s="63" t="str">
        <f t="shared" si="20"/>
        <v/>
      </c>
      <c r="B378" s="62"/>
      <c r="C378" s="62"/>
      <c r="D378" s="62"/>
      <c r="E378" s="62"/>
      <c r="F378" s="62"/>
      <c r="G378" s="62"/>
      <c r="H378" s="62"/>
      <c r="I378" s="66"/>
      <c r="J378" s="66"/>
      <c r="K378" s="66"/>
      <c r="L378" s="66"/>
      <c r="M378" s="66"/>
      <c r="N378" s="64" t="str">
        <f>IF(OR($B378="", $I378="", $J378="", $K378="", $L378="", $M378=""),"",ROUND(($I378*Lists!$AN$2)+($J378*Lists!$AN$3)+($K378*Lists!$AN$4)+($L378*Lists!$AN$5)+($M378*Lists!$AN$6),2))</f>
        <v/>
      </c>
      <c r="O378" s="64" t="str">
        <f>IF($A378="","",IFERROR(VLOOKUP($A378,'Risk Register'!$B$2:$I$1000,8,FALSE()),""))</f>
        <v/>
      </c>
      <c r="P378" s="66"/>
      <c r="Q378" s="66"/>
      <c r="R378" s="66"/>
      <c r="S378" s="66"/>
      <c r="T378" s="64" t="str">
        <f>IF(OR($B378="", $P378="", $Q378="", $R378="", $S378=""),"",ROUND(($P378*Lists!$AN$7)+($Q378*Lists!$AN$8)+($R378*Lists!$AN$9)+($S378*Lists!$AN$10),2))</f>
        <v/>
      </c>
      <c r="U378" s="66"/>
      <c r="V378" s="66"/>
      <c r="W378" s="66"/>
      <c r="X378" s="66"/>
      <c r="Y378" s="66"/>
      <c r="Z378" s="64" t="str">
        <f>IF(OR($B378="", $U378="", $V378="", $W378="", $X378="", $Y378=""),"",ROUND(($U378*Lists!$AN$11)+($V378*Lists!$AN$12)+($W378*Lists!$AN$13)+($X378*Lists!$AN$14)+($Y378*Lists!$AN$15),2))</f>
        <v/>
      </c>
      <c r="AA378" s="64" t="str">
        <f>IF(OR($B378="", $N378="", $O378="", $T378="", $Z378=""),"",ROUND(($N378*Lists!$AN$16)-($O378*Lists!$AN$17)-($T378*Lists!$AN$18)+($Z378*Lists!$AN$19),2))</f>
        <v/>
      </c>
      <c r="AB378" s="63" t="str">
        <f t="shared" si="21"/>
        <v/>
      </c>
      <c r="AC378" s="63" t="str">
        <f t="shared" si="22"/>
        <v/>
      </c>
      <c r="AD378" s="63" t="str">
        <f>IF($A378="","",IFERROR(IF(VLOOKUP($A378,'Risk Register'!$B$2:$H$1000,4,FALSE())&gt;=4,"Yes",""),""))</f>
        <v/>
      </c>
      <c r="AE378" s="63" t="str">
        <f t="shared" si="23"/>
        <v/>
      </c>
      <c r="AF378" s="62"/>
      <c r="AG378" s="62"/>
      <c r="AH378" s="62"/>
      <c r="AI378" s="62"/>
      <c r="AJ378" s="62"/>
      <c r="AK378" s="62"/>
      <c r="AL378" s="62"/>
      <c r="AM378" s="62"/>
      <c r="AN378" s="62"/>
      <c r="AO378" s="62"/>
      <c r="AP378" s="62"/>
      <c r="AQ378" s="80"/>
    </row>
    <row r="379" spans="1:43" ht="15.75" customHeight="1" x14ac:dyDescent="0.2">
      <c r="A379" s="63" t="str">
        <f t="shared" si="20"/>
        <v/>
      </c>
      <c r="B379" s="62"/>
      <c r="C379" s="62"/>
      <c r="D379" s="62"/>
      <c r="E379" s="62"/>
      <c r="F379" s="62"/>
      <c r="G379" s="62"/>
      <c r="H379" s="62"/>
      <c r="I379" s="66"/>
      <c r="J379" s="66"/>
      <c r="K379" s="66"/>
      <c r="L379" s="66"/>
      <c r="M379" s="66"/>
      <c r="N379" s="64" t="str">
        <f>IF(OR($B379="", $I379="", $J379="", $K379="", $L379="", $M379=""),"",ROUND(($I379*Lists!$AN$2)+($J379*Lists!$AN$3)+($K379*Lists!$AN$4)+($L379*Lists!$AN$5)+($M379*Lists!$AN$6),2))</f>
        <v/>
      </c>
      <c r="O379" s="64" t="str">
        <f>IF($A379="","",IFERROR(VLOOKUP($A379,'Risk Register'!$B$2:$I$1000,8,FALSE()),""))</f>
        <v/>
      </c>
      <c r="P379" s="66"/>
      <c r="Q379" s="66"/>
      <c r="R379" s="66"/>
      <c r="S379" s="66"/>
      <c r="T379" s="64" t="str">
        <f>IF(OR($B379="", $P379="", $Q379="", $R379="", $S379=""),"",ROUND(($P379*Lists!$AN$7)+($Q379*Lists!$AN$8)+($R379*Lists!$AN$9)+($S379*Lists!$AN$10),2))</f>
        <v/>
      </c>
      <c r="U379" s="66"/>
      <c r="V379" s="66"/>
      <c r="W379" s="66"/>
      <c r="X379" s="66"/>
      <c r="Y379" s="66"/>
      <c r="Z379" s="64" t="str">
        <f>IF(OR($B379="", $U379="", $V379="", $W379="", $X379="", $Y379=""),"",ROUND(($U379*Lists!$AN$11)+($V379*Lists!$AN$12)+($W379*Lists!$AN$13)+($X379*Lists!$AN$14)+($Y379*Lists!$AN$15),2))</f>
        <v/>
      </c>
      <c r="AA379" s="64" t="str">
        <f>IF(OR($B379="", $N379="", $O379="", $T379="", $Z379=""),"",ROUND(($N379*Lists!$AN$16)-($O379*Lists!$AN$17)-($T379*Lists!$AN$18)+($Z379*Lists!$AN$19),2))</f>
        <v/>
      </c>
      <c r="AB379" s="63" t="str">
        <f t="shared" si="21"/>
        <v/>
      </c>
      <c r="AC379" s="63" t="str">
        <f t="shared" si="22"/>
        <v/>
      </c>
      <c r="AD379" s="63" t="str">
        <f>IF($A379="","",IFERROR(IF(VLOOKUP($A379,'Risk Register'!$B$2:$H$1000,4,FALSE())&gt;=4,"Yes",""),""))</f>
        <v/>
      </c>
      <c r="AE379" s="63" t="str">
        <f t="shared" si="23"/>
        <v/>
      </c>
      <c r="AF379" s="62"/>
      <c r="AG379" s="62"/>
      <c r="AH379" s="62"/>
      <c r="AI379" s="62"/>
      <c r="AJ379" s="62"/>
      <c r="AK379" s="62"/>
      <c r="AL379" s="62"/>
      <c r="AM379" s="62"/>
      <c r="AN379" s="62"/>
      <c r="AO379" s="62"/>
      <c r="AP379" s="62"/>
      <c r="AQ379" s="80"/>
    </row>
    <row r="380" spans="1:43" ht="15.75" customHeight="1" x14ac:dyDescent="0.2">
      <c r="A380" s="63" t="str">
        <f t="shared" si="20"/>
        <v/>
      </c>
      <c r="B380" s="62"/>
      <c r="C380" s="62"/>
      <c r="D380" s="62"/>
      <c r="E380" s="62"/>
      <c r="F380" s="62"/>
      <c r="G380" s="62"/>
      <c r="H380" s="62"/>
      <c r="I380" s="66"/>
      <c r="J380" s="66"/>
      <c r="K380" s="66"/>
      <c r="L380" s="66"/>
      <c r="M380" s="66"/>
      <c r="N380" s="64" t="str">
        <f>IF(OR($B380="", $I380="", $J380="", $K380="", $L380="", $M380=""),"",ROUND(($I380*Lists!$AN$2)+($J380*Lists!$AN$3)+($K380*Lists!$AN$4)+($L380*Lists!$AN$5)+($M380*Lists!$AN$6),2))</f>
        <v/>
      </c>
      <c r="O380" s="64" t="str">
        <f>IF($A380="","",IFERROR(VLOOKUP($A380,'Risk Register'!$B$2:$I$1000,8,FALSE()),""))</f>
        <v/>
      </c>
      <c r="P380" s="66"/>
      <c r="Q380" s="66"/>
      <c r="R380" s="66"/>
      <c r="S380" s="66"/>
      <c r="T380" s="64" t="str">
        <f>IF(OR($B380="", $P380="", $Q380="", $R380="", $S380=""),"",ROUND(($P380*Lists!$AN$7)+($Q380*Lists!$AN$8)+($R380*Lists!$AN$9)+($S380*Lists!$AN$10),2))</f>
        <v/>
      </c>
      <c r="U380" s="66"/>
      <c r="V380" s="66"/>
      <c r="W380" s="66"/>
      <c r="X380" s="66"/>
      <c r="Y380" s="66"/>
      <c r="Z380" s="64" t="str">
        <f>IF(OR($B380="", $U380="", $V380="", $W380="", $X380="", $Y380=""),"",ROUND(($U380*Lists!$AN$11)+($V380*Lists!$AN$12)+($W380*Lists!$AN$13)+($X380*Lists!$AN$14)+($Y380*Lists!$AN$15),2))</f>
        <v/>
      </c>
      <c r="AA380" s="64" t="str">
        <f>IF(OR($B380="", $N380="", $O380="", $T380="", $Z380=""),"",ROUND(($N380*Lists!$AN$16)-($O380*Lists!$AN$17)-($T380*Lists!$AN$18)+($Z380*Lists!$AN$19),2))</f>
        <v/>
      </c>
      <c r="AB380" s="63" t="str">
        <f t="shared" si="21"/>
        <v/>
      </c>
      <c r="AC380" s="63" t="str">
        <f t="shared" si="22"/>
        <v/>
      </c>
      <c r="AD380" s="63" t="str">
        <f>IF($A380="","",IFERROR(IF(VLOOKUP($A380,'Risk Register'!$B$2:$H$1000,4,FALSE())&gt;=4,"Yes",""),""))</f>
        <v/>
      </c>
      <c r="AE380" s="63" t="str">
        <f t="shared" si="23"/>
        <v/>
      </c>
      <c r="AF380" s="62"/>
      <c r="AG380" s="62"/>
      <c r="AH380" s="62"/>
      <c r="AI380" s="62"/>
      <c r="AJ380" s="62"/>
      <c r="AK380" s="62"/>
      <c r="AL380" s="62"/>
      <c r="AM380" s="62"/>
      <c r="AN380" s="62"/>
      <c r="AO380" s="62"/>
      <c r="AP380" s="62"/>
      <c r="AQ380" s="80"/>
    </row>
    <row r="381" spans="1:43" ht="15.75" customHeight="1" x14ac:dyDescent="0.2">
      <c r="A381" s="63" t="str">
        <f t="shared" si="20"/>
        <v/>
      </c>
      <c r="B381" s="62"/>
      <c r="C381" s="62"/>
      <c r="D381" s="62"/>
      <c r="E381" s="62"/>
      <c r="F381" s="62"/>
      <c r="G381" s="62"/>
      <c r="H381" s="62"/>
      <c r="I381" s="66"/>
      <c r="J381" s="66"/>
      <c r="K381" s="66"/>
      <c r="L381" s="66"/>
      <c r="M381" s="66"/>
      <c r="N381" s="64" t="str">
        <f>IF(OR($B381="", $I381="", $J381="", $K381="", $L381="", $M381=""),"",ROUND(($I381*Lists!$AN$2)+($J381*Lists!$AN$3)+($K381*Lists!$AN$4)+($L381*Lists!$AN$5)+($M381*Lists!$AN$6),2))</f>
        <v/>
      </c>
      <c r="O381" s="64" t="str">
        <f>IF($A381="","",IFERROR(VLOOKUP($A381,'Risk Register'!$B$2:$I$1000,8,FALSE()),""))</f>
        <v/>
      </c>
      <c r="P381" s="66"/>
      <c r="Q381" s="66"/>
      <c r="R381" s="66"/>
      <c r="S381" s="66"/>
      <c r="T381" s="64" t="str">
        <f>IF(OR($B381="", $P381="", $Q381="", $R381="", $S381=""),"",ROUND(($P381*Lists!$AN$7)+($Q381*Lists!$AN$8)+($R381*Lists!$AN$9)+($S381*Lists!$AN$10),2))</f>
        <v/>
      </c>
      <c r="U381" s="66"/>
      <c r="V381" s="66"/>
      <c r="W381" s="66"/>
      <c r="X381" s="66"/>
      <c r="Y381" s="66"/>
      <c r="Z381" s="64" t="str">
        <f>IF(OR($B381="", $U381="", $V381="", $W381="", $X381="", $Y381=""),"",ROUND(($U381*Lists!$AN$11)+($V381*Lists!$AN$12)+($W381*Lists!$AN$13)+($X381*Lists!$AN$14)+($Y381*Lists!$AN$15),2))</f>
        <v/>
      </c>
      <c r="AA381" s="64" t="str">
        <f>IF(OR($B381="", $N381="", $O381="", $T381="", $Z381=""),"",ROUND(($N381*Lists!$AN$16)-($O381*Lists!$AN$17)-($T381*Lists!$AN$18)+($Z381*Lists!$AN$19),2))</f>
        <v/>
      </c>
      <c r="AB381" s="63" t="str">
        <f t="shared" si="21"/>
        <v/>
      </c>
      <c r="AC381" s="63" t="str">
        <f t="shared" si="22"/>
        <v/>
      </c>
      <c r="AD381" s="63" t="str">
        <f>IF($A381="","",IFERROR(IF(VLOOKUP($A381,'Risk Register'!$B$2:$H$1000,4,FALSE())&gt;=4,"Yes",""),""))</f>
        <v/>
      </c>
      <c r="AE381" s="63" t="str">
        <f t="shared" si="23"/>
        <v/>
      </c>
      <c r="AF381" s="62"/>
      <c r="AG381" s="62"/>
      <c r="AH381" s="62"/>
      <c r="AI381" s="62"/>
      <c r="AJ381" s="62"/>
      <c r="AK381" s="62"/>
      <c r="AL381" s="62"/>
      <c r="AM381" s="62"/>
      <c r="AN381" s="62"/>
      <c r="AO381" s="62"/>
      <c r="AP381" s="62"/>
      <c r="AQ381" s="80"/>
    </row>
    <row r="382" spans="1:43" ht="15.75" customHeight="1" x14ac:dyDescent="0.2">
      <c r="A382" s="63" t="str">
        <f t="shared" si="20"/>
        <v/>
      </c>
      <c r="B382" s="62"/>
      <c r="C382" s="62"/>
      <c r="D382" s="62"/>
      <c r="E382" s="62"/>
      <c r="F382" s="62"/>
      <c r="G382" s="62"/>
      <c r="H382" s="62"/>
      <c r="I382" s="66"/>
      <c r="J382" s="66"/>
      <c r="K382" s="66"/>
      <c r="L382" s="66"/>
      <c r="M382" s="66"/>
      <c r="N382" s="64" t="str">
        <f>IF(OR($B382="", $I382="", $J382="", $K382="", $L382="", $M382=""),"",ROUND(($I382*Lists!$AN$2)+($J382*Lists!$AN$3)+($K382*Lists!$AN$4)+($L382*Lists!$AN$5)+($M382*Lists!$AN$6),2))</f>
        <v/>
      </c>
      <c r="O382" s="64" t="str">
        <f>IF($A382="","",IFERROR(VLOOKUP($A382,'Risk Register'!$B$2:$I$1000,8,FALSE()),""))</f>
        <v/>
      </c>
      <c r="P382" s="66"/>
      <c r="Q382" s="66"/>
      <c r="R382" s="66"/>
      <c r="S382" s="66"/>
      <c r="T382" s="64" t="str">
        <f>IF(OR($B382="", $P382="", $Q382="", $R382="", $S382=""),"",ROUND(($P382*Lists!$AN$7)+($Q382*Lists!$AN$8)+($R382*Lists!$AN$9)+($S382*Lists!$AN$10),2))</f>
        <v/>
      </c>
      <c r="U382" s="66"/>
      <c r="V382" s="66"/>
      <c r="W382" s="66"/>
      <c r="X382" s="66"/>
      <c r="Y382" s="66"/>
      <c r="Z382" s="64" t="str">
        <f>IF(OR($B382="", $U382="", $V382="", $W382="", $X382="", $Y382=""),"",ROUND(($U382*Lists!$AN$11)+($V382*Lists!$AN$12)+($W382*Lists!$AN$13)+($X382*Lists!$AN$14)+($Y382*Lists!$AN$15),2))</f>
        <v/>
      </c>
      <c r="AA382" s="64" t="str">
        <f>IF(OR($B382="", $N382="", $O382="", $T382="", $Z382=""),"",ROUND(($N382*Lists!$AN$16)-($O382*Lists!$AN$17)-($T382*Lists!$AN$18)+($Z382*Lists!$AN$19),2))</f>
        <v/>
      </c>
      <c r="AB382" s="63" t="str">
        <f t="shared" si="21"/>
        <v/>
      </c>
      <c r="AC382" s="63" t="str">
        <f t="shared" si="22"/>
        <v/>
      </c>
      <c r="AD382" s="63" t="str">
        <f>IF($A382="","",IFERROR(IF(VLOOKUP($A382,'Risk Register'!$B$2:$H$1000,4,FALSE())&gt;=4,"Yes",""),""))</f>
        <v/>
      </c>
      <c r="AE382" s="63" t="str">
        <f t="shared" si="23"/>
        <v/>
      </c>
      <c r="AF382" s="62"/>
      <c r="AG382" s="62"/>
      <c r="AH382" s="62"/>
      <c r="AI382" s="62"/>
      <c r="AJ382" s="62"/>
      <c r="AK382" s="62"/>
      <c r="AL382" s="62"/>
      <c r="AM382" s="62"/>
      <c r="AN382" s="62"/>
      <c r="AO382" s="62"/>
      <c r="AP382" s="62"/>
      <c r="AQ382" s="80"/>
    </row>
    <row r="383" spans="1:43" ht="15.75" customHeight="1" x14ac:dyDescent="0.2">
      <c r="A383" s="63" t="str">
        <f t="shared" si="20"/>
        <v/>
      </c>
      <c r="B383" s="62"/>
      <c r="C383" s="62"/>
      <c r="D383" s="62"/>
      <c r="E383" s="62"/>
      <c r="F383" s="62"/>
      <c r="G383" s="62"/>
      <c r="H383" s="62"/>
      <c r="I383" s="66"/>
      <c r="J383" s="66"/>
      <c r="K383" s="66"/>
      <c r="L383" s="66"/>
      <c r="M383" s="66"/>
      <c r="N383" s="64" t="str">
        <f>IF(OR($B383="", $I383="", $J383="", $K383="", $L383="", $M383=""),"",ROUND(($I383*Lists!$AN$2)+($J383*Lists!$AN$3)+($K383*Lists!$AN$4)+($L383*Lists!$AN$5)+($M383*Lists!$AN$6),2))</f>
        <v/>
      </c>
      <c r="O383" s="64" t="str">
        <f>IF($A383="","",IFERROR(VLOOKUP($A383,'Risk Register'!$B$2:$I$1000,8,FALSE()),""))</f>
        <v/>
      </c>
      <c r="P383" s="66"/>
      <c r="Q383" s="66"/>
      <c r="R383" s="66"/>
      <c r="S383" s="66"/>
      <c r="T383" s="64" t="str">
        <f>IF(OR($B383="", $P383="", $Q383="", $R383="", $S383=""),"",ROUND(($P383*Lists!$AN$7)+($Q383*Lists!$AN$8)+($R383*Lists!$AN$9)+($S383*Lists!$AN$10),2))</f>
        <v/>
      </c>
      <c r="U383" s="66"/>
      <c r="V383" s="66"/>
      <c r="W383" s="66"/>
      <c r="X383" s="66"/>
      <c r="Y383" s="66"/>
      <c r="Z383" s="64" t="str">
        <f>IF(OR($B383="", $U383="", $V383="", $W383="", $X383="", $Y383=""),"",ROUND(($U383*Lists!$AN$11)+($V383*Lists!$AN$12)+($W383*Lists!$AN$13)+($X383*Lists!$AN$14)+($Y383*Lists!$AN$15),2))</f>
        <v/>
      </c>
      <c r="AA383" s="64" t="str">
        <f>IF(OR($B383="", $N383="", $O383="", $T383="", $Z383=""),"",ROUND(($N383*Lists!$AN$16)-($O383*Lists!$AN$17)-($T383*Lists!$AN$18)+($Z383*Lists!$AN$19),2))</f>
        <v/>
      </c>
      <c r="AB383" s="63" t="str">
        <f t="shared" si="21"/>
        <v/>
      </c>
      <c r="AC383" s="63" t="str">
        <f t="shared" si="22"/>
        <v/>
      </c>
      <c r="AD383" s="63" t="str">
        <f>IF($A383="","",IFERROR(IF(VLOOKUP($A383,'Risk Register'!$B$2:$H$1000,4,FALSE())&gt;=4,"Yes",""),""))</f>
        <v/>
      </c>
      <c r="AE383" s="63" t="str">
        <f t="shared" si="23"/>
        <v/>
      </c>
      <c r="AF383" s="62"/>
      <c r="AG383" s="62"/>
      <c r="AH383" s="62"/>
      <c r="AI383" s="62"/>
      <c r="AJ383" s="62"/>
      <c r="AK383" s="62"/>
      <c r="AL383" s="62"/>
      <c r="AM383" s="62"/>
      <c r="AN383" s="62"/>
      <c r="AO383" s="62"/>
      <c r="AP383" s="62"/>
      <c r="AQ383" s="80"/>
    </row>
    <row r="384" spans="1:43" ht="15.75" customHeight="1" x14ac:dyDescent="0.2">
      <c r="A384" s="63" t="str">
        <f t="shared" si="20"/>
        <v/>
      </c>
      <c r="B384" s="62"/>
      <c r="C384" s="62"/>
      <c r="D384" s="62"/>
      <c r="E384" s="62"/>
      <c r="F384" s="62"/>
      <c r="G384" s="62"/>
      <c r="H384" s="62"/>
      <c r="I384" s="66"/>
      <c r="J384" s="66"/>
      <c r="K384" s="66"/>
      <c r="L384" s="66"/>
      <c r="M384" s="66"/>
      <c r="N384" s="64" t="str">
        <f>IF(OR($B384="", $I384="", $J384="", $K384="", $L384="", $M384=""),"",ROUND(($I384*Lists!$AN$2)+($J384*Lists!$AN$3)+($K384*Lists!$AN$4)+($L384*Lists!$AN$5)+($M384*Lists!$AN$6),2))</f>
        <v/>
      </c>
      <c r="O384" s="64" t="str">
        <f>IF($A384="","",IFERROR(VLOOKUP($A384,'Risk Register'!$B$2:$I$1000,8,FALSE()),""))</f>
        <v/>
      </c>
      <c r="P384" s="66"/>
      <c r="Q384" s="66"/>
      <c r="R384" s="66"/>
      <c r="S384" s="66"/>
      <c r="T384" s="64" t="str">
        <f>IF(OR($B384="", $P384="", $Q384="", $R384="", $S384=""),"",ROUND(($P384*Lists!$AN$7)+($Q384*Lists!$AN$8)+($R384*Lists!$AN$9)+($S384*Lists!$AN$10),2))</f>
        <v/>
      </c>
      <c r="U384" s="66"/>
      <c r="V384" s="66"/>
      <c r="W384" s="66"/>
      <c r="X384" s="66"/>
      <c r="Y384" s="66"/>
      <c r="Z384" s="64" t="str">
        <f>IF(OR($B384="", $U384="", $V384="", $W384="", $X384="", $Y384=""),"",ROUND(($U384*Lists!$AN$11)+($V384*Lists!$AN$12)+($W384*Lists!$AN$13)+($X384*Lists!$AN$14)+($Y384*Lists!$AN$15),2))</f>
        <v/>
      </c>
      <c r="AA384" s="64" t="str">
        <f>IF(OR($B384="", $N384="", $O384="", $T384="", $Z384=""),"",ROUND(($N384*Lists!$AN$16)-($O384*Lists!$AN$17)-($T384*Lists!$AN$18)+($Z384*Lists!$AN$19),2))</f>
        <v/>
      </c>
      <c r="AB384" s="63" t="str">
        <f t="shared" si="21"/>
        <v/>
      </c>
      <c r="AC384" s="63" t="str">
        <f t="shared" si="22"/>
        <v/>
      </c>
      <c r="AD384" s="63" t="str">
        <f>IF($A384="","",IFERROR(IF(VLOOKUP($A384,'Risk Register'!$B$2:$H$1000,4,FALSE())&gt;=4,"Yes",""),""))</f>
        <v/>
      </c>
      <c r="AE384" s="63" t="str">
        <f t="shared" si="23"/>
        <v/>
      </c>
      <c r="AF384" s="62"/>
      <c r="AG384" s="62"/>
      <c r="AH384" s="62"/>
      <c r="AI384" s="62"/>
      <c r="AJ384" s="62"/>
      <c r="AK384" s="62"/>
      <c r="AL384" s="62"/>
      <c r="AM384" s="62"/>
      <c r="AN384" s="62"/>
      <c r="AO384" s="62"/>
      <c r="AP384" s="62"/>
      <c r="AQ384" s="80"/>
    </row>
    <row r="385" spans="1:43" ht="15.75" customHeight="1" x14ac:dyDescent="0.2">
      <c r="A385" s="63" t="str">
        <f t="shared" si="20"/>
        <v/>
      </c>
      <c r="B385" s="62"/>
      <c r="C385" s="62"/>
      <c r="D385" s="62"/>
      <c r="E385" s="62"/>
      <c r="F385" s="62"/>
      <c r="G385" s="62"/>
      <c r="H385" s="62"/>
      <c r="I385" s="66"/>
      <c r="J385" s="66"/>
      <c r="K385" s="66"/>
      <c r="L385" s="66"/>
      <c r="M385" s="66"/>
      <c r="N385" s="64" t="str">
        <f>IF(OR($B385="", $I385="", $J385="", $K385="", $L385="", $M385=""),"",ROUND(($I385*Lists!$AN$2)+($J385*Lists!$AN$3)+($K385*Lists!$AN$4)+($L385*Lists!$AN$5)+($M385*Lists!$AN$6),2))</f>
        <v/>
      </c>
      <c r="O385" s="64" t="str">
        <f>IF($A385="","",IFERROR(VLOOKUP($A385,'Risk Register'!$B$2:$I$1000,8,FALSE()),""))</f>
        <v/>
      </c>
      <c r="P385" s="66"/>
      <c r="Q385" s="66"/>
      <c r="R385" s="66"/>
      <c r="S385" s="66"/>
      <c r="T385" s="64" t="str">
        <f>IF(OR($B385="", $P385="", $Q385="", $R385="", $S385=""),"",ROUND(($P385*Lists!$AN$7)+($Q385*Lists!$AN$8)+($R385*Lists!$AN$9)+($S385*Lists!$AN$10),2))</f>
        <v/>
      </c>
      <c r="U385" s="66"/>
      <c r="V385" s="66"/>
      <c r="W385" s="66"/>
      <c r="X385" s="66"/>
      <c r="Y385" s="66"/>
      <c r="Z385" s="64" t="str">
        <f>IF(OR($B385="", $U385="", $V385="", $W385="", $X385="", $Y385=""),"",ROUND(($U385*Lists!$AN$11)+($V385*Lists!$AN$12)+($W385*Lists!$AN$13)+($X385*Lists!$AN$14)+($Y385*Lists!$AN$15),2))</f>
        <v/>
      </c>
      <c r="AA385" s="64" t="str">
        <f>IF(OR($B385="", $N385="", $O385="", $T385="", $Z385=""),"",ROUND(($N385*Lists!$AN$16)-($O385*Lists!$AN$17)-($T385*Lists!$AN$18)+($Z385*Lists!$AN$19),2))</f>
        <v/>
      </c>
      <c r="AB385" s="63" t="str">
        <f t="shared" si="21"/>
        <v/>
      </c>
      <c r="AC385" s="63" t="str">
        <f t="shared" si="22"/>
        <v/>
      </c>
      <c r="AD385" s="63" t="str">
        <f>IF($A385="","",IFERROR(IF(VLOOKUP($A385,'Risk Register'!$B$2:$H$1000,4,FALSE())&gt;=4,"Yes",""),""))</f>
        <v/>
      </c>
      <c r="AE385" s="63" t="str">
        <f t="shared" si="23"/>
        <v/>
      </c>
      <c r="AF385" s="62"/>
      <c r="AG385" s="62"/>
      <c r="AH385" s="62"/>
      <c r="AI385" s="62"/>
      <c r="AJ385" s="62"/>
      <c r="AK385" s="62"/>
      <c r="AL385" s="62"/>
      <c r="AM385" s="62"/>
      <c r="AN385" s="62"/>
      <c r="AO385" s="62"/>
      <c r="AP385" s="62"/>
      <c r="AQ385" s="80"/>
    </row>
    <row r="386" spans="1:43" ht="15.75" customHeight="1" x14ac:dyDescent="0.2">
      <c r="A386" s="63" t="str">
        <f t="shared" si="20"/>
        <v/>
      </c>
      <c r="B386" s="62"/>
      <c r="C386" s="62"/>
      <c r="D386" s="62"/>
      <c r="E386" s="62"/>
      <c r="F386" s="62"/>
      <c r="G386" s="62"/>
      <c r="H386" s="62"/>
      <c r="I386" s="66"/>
      <c r="J386" s="66"/>
      <c r="K386" s="66"/>
      <c r="L386" s="66"/>
      <c r="M386" s="66"/>
      <c r="N386" s="64" t="str">
        <f>IF(OR($B386="", $I386="", $J386="", $K386="", $L386="", $M386=""),"",ROUND(($I386*Lists!$AN$2)+($J386*Lists!$AN$3)+($K386*Lists!$AN$4)+($L386*Lists!$AN$5)+($M386*Lists!$AN$6),2))</f>
        <v/>
      </c>
      <c r="O386" s="64" t="str">
        <f>IF($A386="","",IFERROR(VLOOKUP($A386,'Risk Register'!$B$2:$I$1000,8,FALSE()),""))</f>
        <v/>
      </c>
      <c r="P386" s="66"/>
      <c r="Q386" s="66"/>
      <c r="R386" s="66"/>
      <c r="S386" s="66"/>
      <c r="T386" s="64" t="str">
        <f>IF(OR($B386="", $P386="", $Q386="", $R386="", $S386=""),"",ROUND(($P386*Lists!$AN$7)+($Q386*Lists!$AN$8)+($R386*Lists!$AN$9)+($S386*Lists!$AN$10),2))</f>
        <v/>
      </c>
      <c r="U386" s="66"/>
      <c r="V386" s="66"/>
      <c r="W386" s="66"/>
      <c r="X386" s="66"/>
      <c r="Y386" s="66"/>
      <c r="Z386" s="64" t="str">
        <f>IF(OR($B386="", $U386="", $V386="", $W386="", $X386="", $Y386=""),"",ROUND(($U386*Lists!$AN$11)+($V386*Lists!$AN$12)+($W386*Lists!$AN$13)+($X386*Lists!$AN$14)+($Y386*Lists!$AN$15),2))</f>
        <v/>
      </c>
      <c r="AA386" s="64" t="str">
        <f>IF(OR($B386="", $N386="", $O386="", $T386="", $Z386=""),"",ROUND(($N386*Lists!$AN$16)-($O386*Lists!$AN$17)-($T386*Lists!$AN$18)+($Z386*Lists!$AN$19),2))</f>
        <v/>
      </c>
      <c r="AB386" s="63" t="str">
        <f t="shared" si="21"/>
        <v/>
      </c>
      <c r="AC386" s="63" t="str">
        <f t="shared" si="22"/>
        <v/>
      </c>
      <c r="AD386" s="63" t="str">
        <f>IF($A386="","",IFERROR(IF(VLOOKUP($A386,'Risk Register'!$B$2:$H$1000,4,FALSE())&gt;=4,"Yes",""),""))</f>
        <v/>
      </c>
      <c r="AE386" s="63" t="str">
        <f t="shared" si="23"/>
        <v/>
      </c>
      <c r="AF386" s="62"/>
      <c r="AG386" s="62"/>
      <c r="AH386" s="62"/>
      <c r="AI386" s="62"/>
      <c r="AJ386" s="62"/>
      <c r="AK386" s="62"/>
      <c r="AL386" s="62"/>
      <c r="AM386" s="62"/>
      <c r="AN386" s="62"/>
      <c r="AO386" s="62"/>
      <c r="AP386" s="62"/>
      <c r="AQ386" s="80"/>
    </row>
    <row r="387" spans="1:43" ht="15.75" customHeight="1" x14ac:dyDescent="0.2">
      <c r="A387" s="63" t="str">
        <f t="shared" si="20"/>
        <v/>
      </c>
      <c r="B387" s="62"/>
      <c r="C387" s="62"/>
      <c r="D387" s="62"/>
      <c r="E387" s="62"/>
      <c r="F387" s="62"/>
      <c r="G387" s="62"/>
      <c r="H387" s="62"/>
      <c r="I387" s="66"/>
      <c r="J387" s="66"/>
      <c r="K387" s="66"/>
      <c r="L387" s="66"/>
      <c r="M387" s="66"/>
      <c r="N387" s="64" t="str">
        <f>IF(OR($B387="", $I387="", $J387="", $K387="", $L387="", $M387=""),"",ROUND(($I387*Lists!$AN$2)+($J387*Lists!$AN$3)+($K387*Lists!$AN$4)+($L387*Lists!$AN$5)+($M387*Lists!$AN$6),2))</f>
        <v/>
      </c>
      <c r="O387" s="64" t="str">
        <f>IF($A387="","",IFERROR(VLOOKUP($A387,'Risk Register'!$B$2:$I$1000,8,FALSE()),""))</f>
        <v/>
      </c>
      <c r="P387" s="66"/>
      <c r="Q387" s="66"/>
      <c r="R387" s="66"/>
      <c r="S387" s="66"/>
      <c r="T387" s="64" t="str">
        <f>IF(OR($B387="", $P387="", $Q387="", $R387="", $S387=""),"",ROUND(($P387*Lists!$AN$7)+($Q387*Lists!$AN$8)+($R387*Lists!$AN$9)+($S387*Lists!$AN$10),2))</f>
        <v/>
      </c>
      <c r="U387" s="66"/>
      <c r="V387" s="66"/>
      <c r="W387" s="66"/>
      <c r="X387" s="66"/>
      <c r="Y387" s="66"/>
      <c r="Z387" s="64" t="str">
        <f>IF(OR($B387="", $U387="", $V387="", $W387="", $X387="", $Y387=""),"",ROUND(($U387*Lists!$AN$11)+($V387*Lists!$AN$12)+($W387*Lists!$AN$13)+($X387*Lists!$AN$14)+($Y387*Lists!$AN$15),2))</f>
        <v/>
      </c>
      <c r="AA387" s="64" t="str">
        <f>IF(OR($B387="", $N387="", $O387="", $T387="", $Z387=""),"",ROUND(($N387*Lists!$AN$16)-($O387*Lists!$AN$17)-($T387*Lists!$AN$18)+($Z387*Lists!$AN$19),2))</f>
        <v/>
      </c>
      <c r="AB387" s="63" t="str">
        <f t="shared" si="21"/>
        <v/>
      </c>
      <c r="AC387" s="63" t="str">
        <f t="shared" si="22"/>
        <v/>
      </c>
      <c r="AD387" s="63" t="str">
        <f>IF($A387="","",IFERROR(IF(VLOOKUP($A387,'Risk Register'!$B$2:$H$1000,4,FALSE())&gt;=4,"Yes",""),""))</f>
        <v/>
      </c>
      <c r="AE387" s="63" t="str">
        <f t="shared" si="23"/>
        <v/>
      </c>
      <c r="AF387" s="62"/>
      <c r="AG387" s="62"/>
      <c r="AH387" s="62"/>
      <c r="AI387" s="62"/>
      <c r="AJ387" s="62"/>
      <c r="AK387" s="62"/>
      <c r="AL387" s="62"/>
      <c r="AM387" s="62"/>
      <c r="AN387" s="62"/>
      <c r="AO387" s="62"/>
      <c r="AP387" s="62"/>
      <c r="AQ387" s="80"/>
    </row>
    <row r="388" spans="1:43" ht="15.75" customHeight="1" x14ac:dyDescent="0.2">
      <c r="A388" s="63" t="str">
        <f t="shared" si="20"/>
        <v/>
      </c>
      <c r="B388" s="62"/>
      <c r="C388" s="62"/>
      <c r="D388" s="62"/>
      <c r="E388" s="62"/>
      <c r="F388" s="62"/>
      <c r="G388" s="62"/>
      <c r="H388" s="62"/>
      <c r="I388" s="66"/>
      <c r="J388" s="66"/>
      <c r="K388" s="66"/>
      <c r="L388" s="66"/>
      <c r="M388" s="66"/>
      <c r="N388" s="64" t="str">
        <f>IF(OR($B388="", $I388="", $J388="", $K388="", $L388="", $M388=""),"",ROUND(($I388*Lists!$AN$2)+($J388*Lists!$AN$3)+($K388*Lists!$AN$4)+($L388*Lists!$AN$5)+($M388*Lists!$AN$6),2))</f>
        <v/>
      </c>
      <c r="O388" s="64" t="str">
        <f>IF($A388="","",IFERROR(VLOOKUP($A388,'Risk Register'!$B$2:$I$1000,8,FALSE()),""))</f>
        <v/>
      </c>
      <c r="P388" s="66"/>
      <c r="Q388" s="66"/>
      <c r="R388" s="66"/>
      <c r="S388" s="66"/>
      <c r="T388" s="64" t="str">
        <f>IF(OR($B388="", $P388="", $Q388="", $R388="", $S388=""),"",ROUND(($P388*Lists!$AN$7)+($Q388*Lists!$AN$8)+($R388*Lists!$AN$9)+($S388*Lists!$AN$10),2))</f>
        <v/>
      </c>
      <c r="U388" s="66"/>
      <c r="V388" s="66"/>
      <c r="W388" s="66"/>
      <c r="X388" s="66"/>
      <c r="Y388" s="66"/>
      <c r="Z388" s="64" t="str">
        <f>IF(OR($B388="", $U388="", $V388="", $W388="", $X388="", $Y388=""),"",ROUND(($U388*Lists!$AN$11)+($V388*Lists!$AN$12)+($W388*Lists!$AN$13)+($X388*Lists!$AN$14)+($Y388*Lists!$AN$15),2))</f>
        <v/>
      </c>
      <c r="AA388" s="64" t="str">
        <f>IF(OR($B388="", $N388="", $O388="", $T388="", $Z388=""),"",ROUND(($N388*Lists!$AN$16)-($O388*Lists!$AN$17)-($T388*Lists!$AN$18)+($Z388*Lists!$AN$19),2))</f>
        <v/>
      </c>
      <c r="AB388" s="63" t="str">
        <f t="shared" si="21"/>
        <v/>
      </c>
      <c r="AC388" s="63" t="str">
        <f t="shared" si="22"/>
        <v/>
      </c>
      <c r="AD388" s="63" t="str">
        <f>IF($A388="","",IFERROR(IF(VLOOKUP($A388,'Risk Register'!$B$2:$H$1000,4,FALSE())&gt;=4,"Yes",""),""))</f>
        <v/>
      </c>
      <c r="AE388" s="63" t="str">
        <f t="shared" si="23"/>
        <v/>
      </c>
      <c r="AF388" s="62"/>
      <c r="AG388" s="62"/>
      <c r="AH388" s="62"/>
      <c r="AI388" s="62"/>
      <c r="AJ388" s="62"/>
      <c r="AK388" s="62"/>
      <c r="AL388" s="62"/>
      <c r="AM388" s="62"/>
      <c r="AN388" s="62"/>
      <c r="AO388" s="62"/>
      <c r="AP388" s="62"/>
      <c r="AQ388" s="80"/>
    </row>
    <row r="389" spans="1:43" ht="15.75" customHeight="1" x14ac:dyDescent="0.2">
      <c r="A389" s="63" t="str">
        <f t="shared" si="20"/>
        <v/>
      </c>
      <c r="B389" s="62"/>
      <c r="C389" s="62"/>
      <c r="D389" s="62"/>
      <c r="E389" s="62"/>
      <c r="F389" s="62"/>
      <c r="G389" s="62"/>
      <c r="H389" s="62"/>
      <c r="I389" s="66"/>
      <c r="J389" s="66"/>
      <c r="K389" s="66"/>
      <c r="L389" s="66"/>
      <c r="M389" s="66"/>
      <c r="N389" s="64" t="str">
        <f>IF(OR($B389="", $I389="", $J389="", $K389="", $L389="", $M389=""),"",ROUND(($I389*Lists!$AN$2)+($J389*Lists!$AN$3)+($K389*Lists!$AN$4)+($L389*Lists!$AN$5)+($M389*Lists!$AN$6),2))</f>
        <v/>
      </c>
      <c r="O389" s="64" t="str">
        <f>IF($A389="","",IFERROR(VLOOKUP($A389,'Risk Register'!$B$2:$I$1000,8,FALSE()),""))</f>
        <v/>
      </c>
      <c r="P389" s="66"/>
      <c r="Q389" s="66"/>
      <c r="R389" s="66"/>
      <c r="S389" s="66"/>
      <c r="T389" s="64" t="str">
        <f>IF(OR($B389="", $P389="", $Q389="", $R389="", $S389=""),"",ROUND(($P389*Lists!$AN$7)+($Q389*Lists!$AN$8)+($R389*Lists!$AN$9)+($S389*Lists!$AN$10),2))</f>
        <v/>
      </c>
      <c r="U389" s="66"/>
      <c r="V389" s="66"/>
      <c r="W389" s="66"/>
      <c r="X389" s="66"/>
      <c r="Y389" s="66"/>
      <c r="Z389" s="64" t="str">
        <f>IF(OR($B389="", $U389="", $V389="", $W389="", $X389="", $Y389=""),"",ROUND(($U389*Lists!$AN$11)+($V389*Lists!$AN$12)+($W389*Lists!$AN$13)+($X389*Lists!$AN$14)+($Y389*Lists!$AN$15),2))</f>
        <v/>
      </c>
      <c r="AA389" s="64" t="str">
        <f>IF(OR($B389="", $N389="", $O389="", $T389="", $Z389=""),"",ROUND(($N389*Lists!$AN$16)-($O389*Lists!$AN$17)-($T389*Lists!$AN$18)+($Z389*Lists!$AN$19),2))</f>
        <v/>
      </c>
      <c r="AB389" s="63" t="str">
        <f t="shared" si="21"/>
        <v/>
      </c>
      <c r="AC389" s="63" t="str">
        <f t="shared" si="22"/>
        <v/>
      </c>
      <c r="AD389" s="63" t="str">
        <f>IF($A389="","",IFERROR(IF(VLOOKUP($A389,'Risk Register'!$B$2:$H$1000,4,FALSE())&gt;=4,"Yes",""),""))</f>
        <v/>
      </c>
      <c r="AE389" s="63" t="str">
        <f t="shared" si="23"/>
        <v/>
      </c>
      <c r="AF389" s="62"/>
      <c r="AG389" s="62"/>
      <c r="AH389" s="62"/>
      <c r="AI389" s="62"/>
      <c r="AJ389" s="62"/>
      <c r="AK389" s="62"/>
      <c r="AL389" s="62"/>
      <c r="AM389" s="62"/>
      <c r="AN389" s="62"/>
      <c r="AO389" s="62"/>
      <c r="AP389" s="62"/>
      <c r="AQ389" s="80"/>
    </row>
    <row r="390" spans="1:43" ht="15.75" customHeight="1" x14ac:dyDescent="0.2">
      <c r="A390" s="63" t="str">
        <f t="shared" si="20"/>
        <v/>
      </c>
      <c r="B390" s="62"/>
      <c r="C390" s="62"/>
      <c r="D390" s="62"/>
      <c r="E390" s="62"/>
      <c r="F390" s="62"/>
      <c r="G390" s="62"/>
      <c r="H390" s="62"/>
      <c r="I390" s="66"/>
      <c r="J390" s="66"/>
      <c r="K390" s="66"/>
      <c r="L390" s="66"/>
      <c r="M390" s="66"/>
      <c r="N390" s="64" t="str">
        <f>IF(OR($B390="", $I390="", $J390="", $K390="", $L390="", $M390=""),"",ROUND(($I390*Lists!$AN$2)+($J390*Lists!$AN$3)+($K390*Lists!$AN$4)+($L390*Lists!$AN$5)+($M390*Lists!$AN$6),2))</f>
        <v/>
      </c>
      <c r="O390" s="64" t="str">
        <f>IF($A390="","",IFERROR(VLOOKUP($A390,'Risk Register'!$B$2:$I$1000,8,FALSE()),""))</f>
        <v/>
      </c>
      <c r="P390" s="66"/>
      <c r="Q390" s="66"/>
      <c r="R390" s="66"/>
      <c r="S390" s="66"/>
      <c r="T390" s="64" t="str">
        <f>IF(OR($B390="", $P390="", $Q390="", $R390="", $S390=""),"",ROUND(($P390*Lists!$AN$7)+($Q390*Lists!$AN$8)+($R390*Lists!$AN$9)+($S390*Lists!$AN$10),2))</f>
        <v/>
      </c>
      <c r="U390" s="66"/>
      <c r="V390" s="66"/>
      <c r="W390" s="66"/>
      <c r="X390" s="66"/>
      <c r="Y390" s="66"/>
      <c r="Z390" s="64" t="str">
        <f>IF(OR($B390="", $U390="", $V390="", $W390="", $X390="", $Y390=""),"",ROUND(($U390*Lists!$AN$11)+($V390*Lists!$AN$12)+($W390*Lists!$AN$13)+($X390*Lists!$AN$14)+($Y390*Lists!$AN$15),2))</f>
        <v/>
      </c>
      <c r="AA390" s="64" t="str">
        <f>IF(OR($B390="", $N390="", $O390="", $T390="", $Z390=""),"",ROUND(($N390*Lists!$AN$16)-($O390*Lists!$AN$17)-($T390*Lists!$AN$18)+($Z390*Lists!$AN$19),2))</f>
        <v/>
      </c>
      <c r="AB390" s="63" t="str">
        <f t="shared" si="21"/>
        <v/>
      </c>
      <c r="AC390" s="63" t="str">
        <f t="shared" si="22"/>
        <v/>
      </c>
      <c r="AD390" s="63" t="str">
        <f>IF($A390="","",IFERROR(IF(VLOOKUP($A390,'Risk Register'!$B$2:$H$1000,4,FALSE())&gt;=4,"Yes",""),""))</f>
        <v/>
      </c>
      <c r="AE390" s="63" t="str">
        <f t="shared" si="23"/>
        <v/>
      </c>
      <c r="AF390" s="62"/>
      <c r="AG390" s="62"/>
      <c r="AH390" s="62"/>
      <c r="AI390" s="62"/>
      <c r="AJ390" s="62"/>
      <c r="AK390" s="62"/>
      <c r="AL390" s="62"/>
      <c r="AM390" s="62"/>
      <c r="AN390" s="62"/>
      <c r="AO390" s="62"/>
      <c r="AP390" s="62"/>
      <c r="AQ390" s="80"/>
    </row>
    <row r="391" spans="1:43" ht="15.75" customHeight="1" x14ac:dyDescent="0.2">
      <c r="A391" s="63" t="str">
        <f t="shared" si="20"/>
        <v/>
      </c>
      <c r="B391" s="62"/>
      <c r="C391" s="62"/>
      <c r="D391" s="62"/>
      <c r="E391" s="62"/>
      <c r="F391" s="62"/>
      <c r="G391" s="62"/>
      <c r="H391" s="62"/>
      <c r="I391" s="66"/>
      <c r="J391" s="66"/>
      <c r="K391" s="66"/>
      <c r="L391" s="66"/>
      <c r="M391" s="66"/>
      <c r="N391" s="64" t="str">
        <f>IF(OR($B391="", $I391="", $J391="", $K391="", $L391="", $M391=""),"",ROUND(($I391*Lists!$AN$2)+($J391*Lists!$AN$3)+($K391*Lists!$AN$4)+($L391*Lists!$AN$5)+($M391*Lists!$AN$6),2))</f>
        <v/>
      </c>
      <c r="O391" s="64" t="str">
        <f>IF($A391="","",IFERROR(VLOOKUP($A391,'Risk Register'!$B$2:$I$1000,8,FALSE()),""))</f>
        <v/>
      </c>
      <c r="P391" s="66"/>
      <c r="Q391" s="66"/>
      <c r="R391" s="66"/>
      <c r="S391" s="66"/>
      <c r="T391" s="64" t="str">
        <f>IF(OR($B391="", $P391="", $Q391="", $R391="", $S391=""),"",ROUND(($P391*Lists!$AN$7)+($Q391*Lists!$AN$8)+($R391*Lists!$AN$9)+($S391*Lists!$AN$10),2))</f>
        <v/>
      </c>
      <c r="U391" s="66"/>
      <c r="V391" s="66"/>
      <c r="W391" s="66"/>
      <c r="X391" s="66"/>
      <c r="Y391" s="66"/>
      <c r="Z391" s="64" t="str">
        <f>IF(OR($B391="", $U391="", $V391="", $W391="", $X391="", $Y391=""),"",ROUND(($U391*Lists!$AN$11)+($V391*Lists!$AN$12)+($W391*Lists!$AN$13)+($X391*Lists!$AN$14)+($Y391*Lists!$AN$15),2))</f>
        <v/>
      </c>
      <c r="AA391" s="64" t="str">
        <f>IF(OR($B391="", $N391="", $O391="", $T391="", $Z391=""),"",ROUND(($N391*Lists!$AN$16)-($O391*Lists!$AN$17)-($T391*Lists!$AN$18)+($Z391*Lists!$AN$19),2))</f>
        <v/>
      </c>
      <c r="AB391" s="63" t="str">
        <f t="shared" si="21"/>
        <v/>
      </c>
      <c r="AC391" s="63" t="str">
        <f t="shared" si="22"/>
        <v/>
      </c>
      <c r="AD391" s="63" t="str">
        <f>IF($A391="","",IFERROR(IF(VLOOKUP($A391,'Risk Register'!$B$2:$H$1000,4,FALSE())&gt;=4,"Yes",""),""))</f>
        <v/>
      </c>
      <c r="AE391" s="63" t="str">
        <f t="shared" si="23"/>
        <v/>
      </c>
      <c r="AF391" s="62"/>
      <c r="AG391" s="62"/>
      <c r="AH391" s="62"/>
      <c r="AI391" s="62"/>
      <c r="AJ391" s="62"/>
      <c r="AK391" s="62"/>
      <c r="AL391" s="62"/>
      <c r="AM391" s="62"/>
      <c r="AN391" s="62"/>
      <c r="AO391" s="62"/>
      <c r="AP391" s="62"/>
      <c r="AQ391" s="80"/>
    </row>
    <row r="392" spans="1:43" ht="15.75" customHeight="1" x14ac:dyDescent="0.2">
      <c r="A392" s="63" t="str">
        <f t="shared" si="20"/>
        <v/>
      </c>
      <c r="B392" s="62"/>
      <c r="C392" s="62"/>
      <c r="D392" s="62"/>
      <c r="E392" s="62"/>
      <c r="F392" s="62"/>
      <c r="G392" s="62"/>
      <c r="H392" s="62"/>
      <c r="I392" s="66"/>
      <c r="J392" s="66"/>
      <c r="K392" s="66"/>
      <c r="L392" s="66"/>
      <c r="M392" s="66"/>
      <c r="N392" s="64" t="str">
        <f>IF(OR($B392="", $I392="", $J392="", $K392="", $L392="", $M392=""),"",ROUND(($I392*Lists!$AN$2)+($J392*Lists!$AN$3)+($K392*Lists!$AN$4)+($L392*Lists!$AN$5)+($M392*Lists!$AN$6),2))</f>
        <v/>
      </c>
      <c r="O392" s="64" t="str">
        <f>IF($A392="","",IFERROR(VLOOKUP($A392,'Risk Register'!$B$2:$I$1000,8,FALSE()),""))</f>
        <v/>
      </c>
      <c r="P392" s="66"/>
      <c r="Q392" s="66"/>
      <c r="R392" s="66"/>
      <c r="S392" s="66"/>
      <c r="T392" s="64" t="str">
        <f>IF(OR($B392="", $P392="", $Q392="", $R392="", $S392=""),"",ROUND(($P392*Lists!$AN$7)+($Q392*Lists!$AN$8)+($R392*Lists!$AN$9)+($S392*Lists!$AN$10),2))</f>
        <v/>
      </c>
      <c r="U392" s="66"/>
      <c r="V392" s="66"/>
      <c r="W392" s="66"/>
      <c r="X392" s="66"/>
      <c r="Y392" s="66"/>
      <c r="Z392" s="64" t="str">
        <f>IF(OR($B392="", $U392="", $V392="", $W392="", $X392="", $Y392=""),"",ROUND(($U392*Lists!$AN$11)+($V392*Lists!$AN$12)+($W392*Lists!$AN$13)+($X392*Lists!$AN$14)+($Y392*Lists!$AN$15),2))</f>
        <v/>
      </c>
      <c r="AA392" s="64" t="str">
        <f>IF(OR($B392="", $N392="", $O392="", $T392="", $Z392=""),"",ROUND(($N392*Lists!$AN$16)-($O392*Lists!$AN$17)-($T392*Lists!$AN$18)+($Z392*Lists!$AN$19),2))</f>
        <v/>
      </c>
      <c r="AB392" s="63" t="str">
        <f t="shared" si="21"/>
        <v/>
      </c>
      <c r="AC392" s="63" t="str">
        <f t="shared" si="22"/>
        <v/>
      </c>
      <c r="AD392" s="63" t="str">
        <f>IF($A392="","",IFERROR(IF(VLOOKUP($A392,'Risk Register'!$B$2:$H$1000,4,FALSE())&gt;=4,"Yes",""),""))</f>
        <v/>
      </c>
      <c r="AE392" s="63" t="str">
        <f t="shared" si="23"/>
        <v/>
      </c>
      <c r="AF392" s="62"/>
      <c r="AG392" s="62"/>
      <c r="AH392" s="62"/>
      <c r="AI392" s="62"/>
      <c r="AJ392" s="62"/>
      <c r="AK392" s="62"/>
      <c r="AL392" s="62"/>
      <c r="AM392" s="62"/>
      <c r="AN392" s="62"/>
      <c r="AO392" s="62"/>
      <c r="AP392" s="62"/>
      <c r="AQ392" s="80"/>
    </row>
    <row r="393" spans="1:43" ht="15.75" customHeight="1" x14ac:dyDescent="0.2">
      <c r="A393" s="63" t="str">
        <f t="shared" si="20"/>
        <v/>
      </c>
      <c r="B393" s="62"/>
      <c r="C393" s="62"/>
      <c r="D393" s="62"/>
      <c r="E393" s="62"/>
      <c r="F393" s="62"/>
      <c r="G393" s="62"/>
      <c r="H393" s="62"/>
      <c r="I393" s="66"/>
      <c r="J393" s="66"/>
      <c r="K393" s="66"/>
      <c r="L393" s="66"/>
      <c r="M393" s="66"/>
      <c r="N393" s="64" t="str">
        <f>IF(OR($B393="", $I393="", $J393="", $K393="", $L393="", $M393=""),"",ROUND(($I393*Lists!$AN$2)+($J393*Lists!$AN$3)+($K393*Lists!$AN$4)+($L393*Lists!$AN$5)+($M393*Lists!$AN$6),2))</f>
        <v/>
      </c>
      <c r="O393" s="64" t="str">
        <f>IF($A393="","",IFERROR(VLOOKUP($A393,'Risk Register'!$B$2:$I$1000,8,FALSE()),""))</f>
        <v/>
      </c>
      <c r="P393" s="66"/>
      <c r="Q393" s="66"/>
      <c r="R393" s="66"/>
      <c r="S393" s="66"/>
      <c r="T393" s="64" t="str">
        <f>IF(OR($B393="", $P393="", $Q393="", $R393="", $S393=""),"",ROUND(($P393*Lists!$AN$7)+($Q393*Lists!$AN$8)+($R393*Lists!$AN$9)+($S393*Lists!$AN$10),2))</f>
        <v/>
      </c>
      <c r="U393" s="66"/>
      <c r="V393" s="66"/>
      <c r="W393" s="66"/>
      <c r="X393" s="66"/>
      <c r="Y393" s="66"/>
      <c r="Z393" s="64" t="str">
        <f>IF(OR($B393="", $U393="", $V393="", $W393="", $X393="", $Y393=""),"",ROUND(($U393*Lists!$AN$11)+($V393*Lists!$AN$12)+($W393*Lists!$AN$13)+($X393*Lists!$AN$14)+($Y393*Lists!$AN$15),2))</f>
        <v/>
      </c>
      <c r="AA393" s="64" t="str">
        <f>IF(OR($B393="", $N393="", $O393="", $T393="", $Z393=""),"",ROUND(($N393*Lists!$AN$16)-($O393*Lists!$AN$17)-($T393*Lists!$AN$18)+($Z393*Lists!$AN$19),2))</f>
        <v/>
      </c>
      <c r="AB393" s="63" t="str">
        <f t="shared" si="21"/>
        <v/>
      </c>
      <c r="AC393" s="63" t="str">
        <f t="shared" si="22"/>
        <v/>
      </c>
      <c r="AD393" s="63" t="str">
        <f>IF($A393="","",IFERROR(IF(VLOOKUP($A393,'Risk Register'!$B$2:$H$1000,4,FALSE())&gt;=4,"Yes",""),""))</f>
        <v/>
      </c>
      <c r="AE393" s="63" t="str">
        <f t="shared" si="23"/>
        <v/>
      </c>
      <c r="AF393" s="62"/>
      <c r="AG393" s="62"/>
      <c r="AH393" s="62"/>
      <c r="AI393" s="62"/>
      <c r="AJ393" s="62"/>
      <c r="AK393" s="62"/>
      <c r="AL393" s="62"/>
      <c r="AM393" s="62"/>
      <c r="AN393" s="62"/>
      <c r="AO393" s="62"/>
      <c r="AP393" s="62"/>
      <c r="AQ393" s="80"/>
    </row>
    <row r="394" spans="1:43" ht="15.75" customHeight="1" x14ac:dyDescent="0.2">
      <c r="A394" s="63" t="str">
        <f t="shared" si="20"/>
        <v/>
      </c>
      <c r="B394" s="62"/>
      <c r="C394" s="62"/>
      <c r="D394" s="62"/>
      <c r="E394" s="62"/>
      <c r="F394" s="62"/>
      <c r="G394" s="62"/>
      <c r="H394" s="62"/>
      <c r="I394" s="66"/>
      <c r="J394" s="66"/>
      <c r="K394" s="66"/>
      <c r="L394" s="66"/>
      <c r="M394" s="66"/>
      <c r="N394" s="64" t="str">
        <f>IF(OR($B394="", $I394="", $J394="", $K394="", $L394="", $M394=""),"",ROUND(($I394*Lists!$AN$2)+($J394*Lists!$AN$3)+($K394*Lists!$AN$4)+($L394*Lists!$AN$5)+($M394*Lists!$AN$6),2))</f>
        <v/>
      </c>
      <c r="O394" s="64" t="str">
        <f>IF($A394="","",IFERROR(VLOOKUP($A394,'Risk Register'!$B$2:$I$1000,8,FALSE()),""))</f>
        <v/>
      </c>
      <c r="P394" s="66"/>
      <c r="Q394" s="66"/>
      <c r="R394" s="66"/>
      <c r="S394" s="66"/>
      <c r="T394" s="64" t="str">
        <f>IF(OR($B394="", $P394="", $Q394="", $R394="", $S394=""),"",ROUND(($P394*Lists!$AN$7)+($Q394*Lists!$AN$8)+($R394*Lists!$AN$9)+($S394*Lists!$AN$10),2))</f>
        <v/>
      </c>
      <c r="U394" s="66"/>
      <c r="V394" s="66"/>
      <c r="W394" s="66"/>
      <c r="X394" s="66"/>
      <c r="Y394" s="66"/>
      <c r="Z394" s="64" t="str">
        <f>IF(OR($B394="", $U394="", $V394="", $W394="", $X394="", $Y394=""),"",ROUND(($U394*Lists!$AN$11)+($V394*Lists!$AN$12)+($W394*Lists!$AN$13)+($X394*Lists!$AN$14)+($Y394*Lists!$AN$15),2))</f>
        <v/>
      </c>
      <c r="AA394" s="64" t="str">
        <f>IF(OR($B394="", $N394="", $O394="", $T394="", $Z394=""),"",ROUND(($N394*Lists!$AN$16)-($O394*Lists!$AN$17)-($T394*Lists!$AN$18)+($Z394*Lists!$AN$19),2))</f>
        <v/>
      </c>
      <c r="AB394" s="63" t="str">
        <f t="shared" si="21"/>
        <v/>
      </c>
      <c r="AC394" s="63" t="str">
        <f t="shared" si="22"/>
        <v/>
      </c>
      <c r="AD394" s="63" t="str">
        <f>IF($A394="","",IFERROR(IF(VLOOKUP($A394,'Risk Register'!$B$2:$H$1000,4,FALSE())&gt;=4,"Yes",""),""))</f>
        <v/>
      </c>
      <c r="AE394" s="63" t="str">
        <f t="shared" si="23"/>
        <v/>
      </c>
      <c r="AF394" s="62"/>
      <c r="AG394" s="62"/>
      <c r="AH394" s="62"/>
      <c r="AI394" s="62"/>
      <c r="AJ394" s="62"/>
      <c r="AK394" s="62"/>
      <c r="AL394" s="62"/>
      <c r="AM394" s="62"/>
      <c r="AN394" s="62"/>
      <c r="AO394" s="62"/>
      <c r="AP394" s="62"/>
      <c r="AQ394" s="80"/>
    </row>
    <row r="395" spans="1:43" ht="15.75" customHeight="1" x14ac:dyDescent="0.2">
      <c r="A395" s="63" t="str">
        <f t="shared" si="20"/>
        <v/>
      </c>
      <c r="B395" s="62"/>
      <c r="C395" s="62"/>
      <c r="D395" s="62"/>
      <c r="E395" s="62"/>
      <c r="F395" s="62"/>
      <c r="G395" s="62"/>
      <c r="H395" s="62"/>
      <c r="I395" s="66"/>
      <c r="J395" s="66"/>
      <c r="K395" s="66"/>
      <c r="L395" s="66"/>
      <c r="M395" s="66"/>
      <c r="N395" s="64" t="str">
        <f>IF(OR($B395="", $I395="", $J395="", $K395="", $L395="", $M395=""),"",ROUND(($I395*Lists!$AN$2)+($J395*Lists!$AN$3)+($K395*Lists!$AN$4)+($L395*Lists!$AN$5)+($M395*Lists!$AN$6),2))</f>
        <v/>
      </c>
      <c r="O395" s="64" t="str">
        <f>IF($A395="","",IFERROR(VLOOKUP($A395,'Risk Register'!$B$2:$I$1000,8,FALSE()),""))</f>
        <v/>
      </c>
      <c r="P395" s="66"/>
      <c r="Q395" s="66"/>
      <c r="R395" s="66"/>
      <c r="S395" s="66"/>
      <c r="T395" s="64" t="str">
        <f>IF(OR($B395="", $P395="", $Q395="", $R395="", $S395=""),"",ROUND(($P395*Lists!$AN$7)+($Q395*Lists!$AN$8)+($R395*Lists!$AN$9)+($S395*Lists!$AN$10),2))</f>
        <v/>
      </c>
      <c r="U395" s="66"/>
      <c r="V395" s="66"/>
      <c r="W395" s="66"/>
      <c r="X395" s="66"/>
      <c r="Y395" s="66"/>
      <c r="Z395" s="64" t="str">
        <f>IF(OR($B395="", $U395="", $V395="", $W395="", $X395="", $Y395=""),"",ROUND(($U395*Lists!$AN$11)+($V395*Lists!$AN$12)+($W395*Lists!$AN$13)+($X395*Lists!$AN$14)+($Y395*Lists!$AN$15),2))</f>
        <v/>
      </c>
      <c r="AA395" s="64" t="str">
        <f>IF(OR($B395="", $N395="", $O395="", $T395="", $Z395=""),"",ROUND(($N395*Lists!$AN$16)-($O395*Lists!$AN$17)-($T395*Lists!$AN$18)+($Z395*Lists!$AN$19),2))</f>
        <v/>
      </c>
      <c r="AB395" s="63" t="str">
        <f t="shared" si="21"/>
        <v/>
      </c>
      <c r="AC395" s="63" t="str">
        <f t="shared" si="22"/>
        <v/>
      </c>
      <c r="AD395" s="63" t="str">
        <f>IF($A395="","",IFERROR(IF(VLOOKUP($A395,'Risk Register'!$B$2:$H$1000,4,FALSE())&gt;=4,"Yes",""),""))</f>
        <v/>
      </c>
      <c r="AE395" s="63" t="str">
        <f t="shared" si="23"/>
        <v/>
      </c>
      <c r="AF395" s="62"/>
      <c r="AG395" s="62"/>
      <c r="AH395" s="62"/>
      <c r="AI395" s="62"/>
      <c r="AJ395" s="62"/>
      <c r="AK395" s="62"/>
      <c r="AL395" s="62"/>
      <c r="AM395" s="62"/>
      <c r="AN395" s="62"/>
      <c r="AO395" s="62"/>
      <c r="AP395" s="62"/>
      <c r="AQ395" s="80"/>
    </row>
    <row r="396" spans="1:43" ht="15.75" customHeight="1" x14ac:dyDescent="0.2">
      <c r="A396" s="63" t="str">
        <f t="shared" si="20"/>
        <v/>
      </c>
      <c r="B396" s="62"/>
      <c r="C396" s="62"/>
      <c r="D396" s="62"/>
      <c r="E396" s="62"/>
      <c r="F396" s="62"/>
      <c r="G396" s="62"/>
      <c r="H396" s="62"/>
      <c r="I396" s="66"/>
      <c r="J396" s="66"/>
      <c r="K396" s="66"/>
      <c r="L396" s="66"/>
      <c r="M396" s="66"/>
      <c r="N396" s="64" t="str">
        <f>IF(OR($B396="", $I396="", $J396="", $K396="", $L396="", $M396=""),"",ROUND(($I396*Lists!$AN$2)+($J396*Lists!$AN$3)+($K396*Lists!$AN$4)+($L396*Lists!$AN$5)+($M396*Lists!$AN$6),2))</f>
        <v/>
      </c>
      <c r="O396" s="64" t="str">
        <f>IF($A396="","",IFERROR(VLOOKUP($A396,'Risk Register'!$B$2:$I$1000,8,FALSE()),""))</f>
        <v/>
      </c>
      <c r="P396" s="66"/>
      <c r="Q396" s="66"/>
      <c r="R396" s="66"/>
      <c r="S396" s="66"/>
      <c r="T396" s="64" t="str">
        <f>IF(OR($B396="", $P396="", $Q396="", $R396="", $S396=""),"",ROUND(($P396*Lists!$AN$7)+($Q396*Lists!$AN$8)+($R396*Lists!$AN$9)+($S396*Lists!$AN$10),2))</f>
        <v/>
      </c>
      <c r="U396" s="66"/>
      <c r="V396" s="66"/>
      <c r="W396" s="66"/>
      <c r="X396" s="66"/>
      <c r="Y396" s="66"/>
      <c r="Z396" s="64" t="str">
        <f>IF(OR($B396="", $U396="", $V396="", $W396="", $X396="", $Y396=""),"",ROUND(($U396*Lists!$AN$11)+($V396*Lists!$AN$12)+($W396*Lists!$AN$13)+($X396*Lists!$AN$14)+($Y396*Lists!$AN$15),2))</f>
        <v/>
      </c>
      <c r="AA396" s="64" t="str">
        <f>IF(OR($B396="", $N396="", $O396="", $T396="", $Z396=""),"",ROUND(($N396*Lists!$AN$16)-($O396*Lists!$AN$17)-($T396*Lists!$AN$18)+($Z396*Lists!$AN$19),2))</f>
        <v/>
      </c>
      <c r="AB396" s="63" t="str">
        <f t="shared" si="21"/>
        <v/>
      </c>
      <c r="AC396" s="63" t="str">
        <f t="shared" si="22"/>
        <v/>
      </c>
      <c r="AD396" s="63" t="str">
        <f>IF($A396="","",IFERROR(IF(VLOOKUP($A396,'Risk Register'!$B$2:$H$1000,4,FALSE())&gt;=4,"Yes",""),""))</f>
        <v/>
      </c>
      <c r="AE396" s="63" t="str">
        <f t="shared" si="23"/>
        <v/>
      </c>
      <c r="AF396" s="62"/>
      <c r="AG396" s="62"/>
      <c r="AH396" s="62"/>
      <c r="AI396" s="62"/>
      <c r="AJ396" s="62"/>
      <c r="AK396" s="62"/>
      <c r="AL396" s="62"/>
      <c r="AM396" s="62"/>
      <c r="AN396" s="62"/>
      <c r="AO396" s="62"/>
      <c r="AP396" s="62"/>
      <c r="AQ396" s="80"/>
    </row>
    <row r="397" spans="1:43" ht="15.75" customHeight="1" x14ac:dyDescent="0.2">
      <c r="A397" s="63" t="str">
        <f t="shared" si="20"/>
        <v/>
      </c>
      <c r="B397" s="62"/>
      <c r="C397" s="62"/>
      <c r="D397" s="62"/>
      <c r="E397" s="62"/>
      <c r="F397" s="62"/>
      <c r="G397" s="62"/>
      <c r="H397" s="62"/>
      <c r="I397" s="66"/>
      <c r="J397" s="66"/>
      <c r="K397" s="66"/>
      <c r="L397" s="66"/>
      <c r="M397" s="66"/>
      <c r="N397" s="64" t="str">
        <f>IF(OR($B397="", $I397="", $J397="", $K397="", $L397="", $M397=""),"",ROUND(($I397*Lists!$AN$2)+($J397*Lists!$AN$3)+($K397*Lists!$AN$4)+($L397*Lists!$AN$5)+($M397*Lists!$AN$6),2))</f>
        <v/>
      </c>
      <c r="O397" s="64" t="str">
        <f>IF($A397="","",IFERROR(VLOOKUP($A397,'Risk Register'!$B$2:$I$1000,8,FALSE()),""))</f>
        <v/>
      </c>
      <c r="P397" s="66"/>
      <c r="Q397" s="66"/>
      <c r="R397" s="66"/>
      <c r="S397" s="66"/>
      <c r="T397" s="64" t="str">
        <f>IF(OR($B397="", $P397="", $Q397="", $R397="", $S397=""),"",ROUND(($P397*Lists!$AN$7)+($Q397*Lists!$AN$8)+($R397*Lists!$AN$9)+($S397*Lists!$AN$10),2))</f>
        <v/>
      </c>
      <c r="U397" s="66"/>
      <c r="V397" s="66"/>
      <c r="W397" s="66"/>
      <c r="X397" s="66"/>
      <c r="Y397" s="66"/>
      <c r="Z397" s="64" t="str">
        <f>IF(OR($B397="", $U397="", $V397="", $W397="", $X397="", $Y397=""),"",ROUND(($U397*Lists!$AN$11)+($V397*Lists!$AN$12)+($W397*Lists!$AN$13)+($X397*Lists!$AN$14)+($Y397*Lists!$AN$15),2))</f>
        <v/>
      </c>
      <c r="AA397" s="64" t="str">
        <f>IF(OR($B397="", $N397="", $O397="", $T397="", $Z397=""),"",ROUND(($N397*Lists!$AN$16)-($O397*Lists!$AN$17)-($T397*Lists!$AN$18)+($Z397*Lists!$AN$19),2))</f>
        <v/>
      </c>
      <c r="AB397" s="63" t="str">
        <f t="shared" si="21"/>
        <v/>
      </c>
      <c r="AC397" s="63" t="str">
        <f t="shared" si="22"/>
        <v/>
      </c>
      <c r="AD397" s="63" t="str">
        <f>IF($A397="","",IFERROR(IF(VLOOKUP($A397,'Risk Register'!$B$2:$H$1000,4,FALSE())&gt;=4,"Yes",""),""))</f>
        <v/>
      </c>
      <c r="AE397" s="63" t="str">
        <f t="shared" si="23"/>
        <v/>
      </c>
      <c r="AF397" s="62"/>
      <c r="AG397" s="62"/>
      <c r="AH397" s="62"/>
      <c r="AI397" s="62"/>
      <c r="AJ397" s="62"/>
      <c r="AK397" s="62"/>
      <c r="AL397" s="62"/>
      <c r="AM397" s="62"/>
      <c r="AN397" s="62"/>
      <c r="AO397" s="62"/>
      <c r="AP397" s="62"/>
      <c r="AQ397" s="80"/>
    </row>
    <row r="398" spans="1:43" ht="15.75" customHeight="1" x14ac:dyDescent="0.2">
      <c r="A398" s="63" t="str">
        <f t="shared" si="20"/>
        <v/>
      </c>
      <c r="B398" s="62"/>
      <c r="C398" s="62"/>
      <c r="D398" s="62"/>
      <c r="E398" s="62"/>
      <c r="F398" s="62"/>
      <c r="G398" s="62"/>
      <c r="H398" s="62"/>
      <c r="I398" s="66"/>
      <c r="J398" s="66"/>
      <c r="K398" s="66"/>
      <c r="L398" s="66"/>
      <c r="M398" s="66"/>
      <c r="N398" s="64" t="str">
        <f>IF(OR($B398="", $I398="", $J398="", $K398="", $L398="", $M398=""),"",ROUND(($I398*Lists!$AN$2)+($J398*Lists!$AN$3)+($K398*Lists!$AN$4)+($L398*Lists!$AN$5)+($M398*Lists!$AN$6),2))</f>
        <v/>
      </c>
      <c r="O398" s="64" t="str">
        <f>IF($A398="","",IFERROR(VLOOKUP($A398,'Risk Register'!$B$2:$I$1000,8,FALSE()),""))</f>
        <v/>
      </c>
      <c r="P398" s="66"/>
      <c r="Q398" s="66"/>
      <c r="R398" s="66"/>
      <c r="S398" s="66"/>
      <c r="T398" s="64" t="str">
        <f>IF(OR($B398="", $P398="", $Q398="", $R398="", $S398=""),"",ROUND(($P398*Lists!$AN$7)+($Q398*Lists!$AN$8)+($R398*Lists!$AN$9)+($S398*Lists!$AN$10),2))</f>
        <v/>
      </c>
      <c r="U398" s="66"/>
      <c r="V398" s="66"/>
      <c r="W398" s="66"/>
      <c r="X398" s="66"/>
      <c r="Y398" s="66"/>
      <c r="Z398" s="64" t="str">
        <f>IF(OR($B398="", $U398="", $V398="", $W398="", $X398="", $Y398=""),"",ROUND(($U398*Lists!$AN$11)+($V398*Lists!$AN$12)+($W398*Lists!$AN$13)+($X398*Lists!$AN$14)+($Y398*Lists!$AN$15),2))</f>
        <v/>
      </c>
      <c r="AA398" s="64" t="str">
        <f>IF(OR($B398="", $N398="", $O398="", $T398="", $Z398=""),"",ROUND(($N398*Lists!$AN$16)-($O398*Lists!$AN$17)-($T398*Lists!$AN$18)+($Z398*Lists!$AN$19),2))</f>
        <v/>
      </c>
      <c r="AB398" s="63" t="str">
        <f t="shared" si="21"/>
        <v/>
      </c>
      <c r="AC398" s="63" t="str">
        <f t="shared" si="22"/>
        <v/>
      </c>
      <c r="AD398" s="63" t="str">
        <f>IF($A398="","",IFERROR(IF(VLOOKUP($A398,'Risk Register'!$B$2:$H$1000,4,FALSE())&gt;=4,"Yes",""),""))</f>
        <v/>
      </c>
      <c r="AE398" s="63" t="str">
        <f t="shared" si="23"/>
        <v/>
      </c>
      <c r="AF398" s="62"/>
      <c r="AG398" s="62"/>
      <c r="AH398" s="62"/>
      <c r="AI398" s="62"/>
      <c r="AJ398" s="62"/>
      <c r="AK398" s="62"/>
      <c r="AL398" s="62"/>
      <c r="AM398" s="62"/>
      <c r="AN398" s="62"/>
      <c r="AO398" s="62"/>
      <c r="AP398" s="62"/>
      <c r="AQ398" s="80"/>
    </row>
    <row r="399" spans="1:43" ht="15.75" customHeight="1" x14ac:dyDescent="0.2">
      <c r="A399" s="63" t="str">
        <f t="shared" si="20"/>
        <v/>
      </c>
      <c r="B399" s="62"/>
      <c r="C399" s="62"/>
      <c r="D399" s="62"/>
      <c r="E399" s="62"/>
      <c r="F399" s="62"/>
      <c r="G399" s="62"/>
      <c r="H399" s="62"/>
      <c r="I399" s="66"/>
      <c r="J399" s="66"/>
      <c r="K399" s="66"/>
      <c r="L399" s="66"/>
      <c r="M399" s="66"/>
      <c r="N399" s="64" t="str">
        <f>IF(OR($B399="", $I399="", $J399="", $K399="", $L399="", $M399=""),"",ROUND(($I399*Lists!$AN$2)+($J399*Lists!$AN$3)+($K399*Lists!$AN$4)+($L399*Lists!$AN$5)+($M399*Lists!$AN$6),2))</f>
        <v/>
      </c>
      <c r="O399" s="64" t="str">
        <f>IF($A399="","",IFERROR(VLOOKUP($A399,'Risk Register'!$B$2:$I$1000,8,FALSE()),""))</f>
        <v/>
      </c>
      <c r="P399" s="66"/>
      <c r="Q399" s="66"/>
      <c r="R399" s="66"/>
      <c r="S399" s="66"/>
      <c r="T399" s="64" t="str">
        <f>IF(OR($B399="", $P399="", $Q399="", $R399="", $S399=""),"",ROUND(($P399*Lists!$AN$7)+($Q399*Lists!$AN$8)+($R399*Lists!$AN$9)+($S399*Lists!$AN$10),2))</f>
        <v/>
      </c>
      <c r="U399" s="66"/>
      <c r="V399" s="66"/>
      <c r="W399" s="66"/>
      <c r="X399" s="66"/>
      <c r="Y399" s="66"/>
      <c r="Z399" s="64" t="str">
        <f>IF(OR($B399="", $U399="", $V399="", $W399="", $X399="", $Y399=""),"",ROUND(($U399*Lists!$AN$11)+($V399*Lists!$AN$12)+($W399*Lists!$AN$13)+($X399*Lists!$AN$14)+($Y399*Lists!$AN$15),2))</f>
        <v/>
      </c>
      <c r="AA399" s="64" t="str">
        <f>IF(OR($B399="", $N399="", $O399="", $T399="", $Z399=""),"",ROUND(($N399*Lists!$AN$16)-($O399*Lists!$AN$17)-($T399*Lists!$AN$18)+($Z399*Lists!$AN$19),2))</f>
        <v/>
      </c>
      <c r="AB399" s="63" t="str">
        <f t="shared" si="21"/>
        <v/>
      </c>
      <c r="AC399" s="63" t="str">
        <f t="shared" si="22"/>
        <v/>
      </c>
      <c r="AD399" s="63" t="str">
        <f>IF($A399="","",IFERROR(IF(VLOOKUP($A399,'Risk Register'!$B$2:$H$1000,4,FALSE())&gt;=4,"Yes",""),""))</f>
        <v/>
      </c>
      <c r="AE399" s="63" t="str">
        <f t="shared" si="23"/>
        <v/>
      </c>
      <c r="AF399" s="62"/>
      <c r="AG399" s="62"/>
      <c r="AH399" s="62"/>
      <c r="AI399" s="62"/>
      <c r="AJ399" s="62"/>
      <c r="AK399" s="62"/>
      <c r="AL399" s="62"/>
      <c r="AM399" s="62"/>
      <c r="AN399" s="62"/>
      <c r="AO399" s="62"/>
      <c r="AP399" s="62"/>
      <c r="AQ399" s="80"/>
    </row>
    <row r="400" spans="1:43" ht="15.75" customHeight="1" x14ac:dyDescent="0.2">
      <c r="A400" s="63" t="str">
        <f t="shared" si="20"/>
        <v/>
      </c>
      <c r="B400" s="62"/>
      <c r="C400" s="62"/>
      <c r="D400" s="62"/>
      <c r="E400" s="62"/>
      <c r="F400" s="62"/>
      <c r="G400" s="62"/>
      <c r="H400" s="62"/>
      <c r="I400" s="66"/>
      <c r="J400" s="66"/>
      <c r="K400" s="66"/>
      <c r="L400" s="66"/>
      <c r="M400" s="66"/>
      <c r="N400" s="64" t="str">
        <f>IF(OR($B400="", $I400="", $J400="", $K400="", $L400="", $M400=""),"",ROUND(($I400*Lists!$AN$2)+($J400*Lists!$AN$3)+($K400*Lists!$AN$4)+($L400*Lists!$AN$5)+($M400*Lists!$AN$6),2))</f>
        <v/>
      </c>
      <c r="O400" s="64" t="str">
        <f>IF($A400="","",IFERROR(VLOOKUP($A400,'Risk Register'!$B$2:$I$1000,8,FALSE()),""))</f>
        <v/>
      </c>
      <c r="P400" s="66"/>
      <c r="Q400" s="66"/>
      <c r="R400" s="66"/>
      <c r="S400" s="66"/>
      <c r="T400" s="64" t="str">
        <f>IF(OR($B400="", $P400="", $Q400="", $R400="", $S400=""),"",ROUND(($P400*Lists!$AN$7)+($Q400*Lists!$AN$8)+($R400*Lists!$AN$9)+($S400*Lists!$AN$10),2))</f>
        <v/>
      </c>
      <c r="U400" s="66"/>
      <c r="V400" s="66"/>
      <c r="W400" s="66"/>
      <c r="X400" s="66"/>
      <c r="Y400" s="66"/>
      <c r="Z400" s="64" t="str">
        <f>IF(OR($B400="", $U400="", $V400="", $W400="", $X400="", $Y400=""),"",ROUND(($U400*Lists!$AN$11)+($V400*Lists!$AN$12)+($W400*Lists!$AN$13)+($X400*Lists!$AN$14)+($Y400*Lists!$AN$15),2))</f>
        <v/>
      </c>
      <c r="AA400" s="64" t="str">
        <f>IF(OR($B400="", $N400="", $O400="", $T400="", $Z400=""),"",ROUND(($N400*Lists!$AN$16)-($O400*Lists!$AN$17)-($T400*Lists!$AN$18)+($Z400*Lists!$AN$19),2))</f>
        <v/>
      </c>
      <c r="AB400" s="63" t="str">
        <f t="shared" si="21"/>
        <v/>
      </c>
      <c r="AC400" s="63" t="str">
        <f t="shared" si="22"/>
        <v/>
      </c>
      <c r="AD400" s="63" t="str">
        <f>IF($A400="","",IFERROR(IF(VLOOKUP($A400,'Risk Register'!$B$2:$H$1000,4,FALSE())&gt;=4,"Yes",""),""))</f>
        <v/>
      </c>
      <c r="AE400" s="63" t="str">
        <f t="shared" si="23"/>
        <v/>
      </c>
      <c r="AF400" s="62"/>
      <c r="AG400" s="62"/>
      <c r="AH400" s="62"/>
      <c r="AI400" s="62"/>
      <c r="AJ400" s="62"/>
      <c r="AK400" s="62"/>
      <c r="AL400" s="62"/>
      <c r="AM400" s="62"/>
      <c r="AN400" s="62"/>
      <c r="AO400" s="62"/>
      <c r="AP400" s="62"/>
      <c r="AQ400" s="80"/>
    </row>
    <row r="401" spans="1:43" ht="15.75" customHeight="1" x14ac:dyDescent="0.2">
      <c r="A401" s="63" t="str">
        <f t="shared" si="20"/>
        <v/>
      </c>
      <c r="B401" s="62"/>
      <c r="C401" s="62"/>
      <c r="D401" s="62"/>
      <c r="E401" s="62"/>
      <c r="F401" s="62"/>
      <c r="G401" s="62"/>
      <c r="H401" s="62"/>
      <c r="I401" s="66"/>
      <c r="J401" s="66"/>
      <c r="K401" s="66"/>
      <c r="L401" s="66"/>
      <c r="M401" s="66"/>
      <c r="N401" s="64" t="str">
        <f>IF(OR($B401="", $I401="", $J401="", $K401="", $L401="", $M401=""),"",ROUND(($I401*Lists!$AN$2)+($J401*Lists!$AN$3)+($K401*Lists!$AN$4)+($L401*Lists!$AN$5)+($M401*Lists!$AN$6),2))</f>
        <v/>
      </c>
      <c r="O401" s="64" t="str">
        <f>IF($A401="","",IFERROR(VLOOKUP($A401,'Risk Register'!$B$2:$I$1000,8,FALSE()),""))</f>
        <v/>
      </c>
      <c r="P401" s="66"/>
      <c r="Q401" s="66"/>
      <c r="R401" s="66"/>
      <c r="S401" s="66"/>
      <c r="T401" s="64" t="str">
        <f>IF(OR($B401="", $P401="", $Q401="", $R401="", $S401=""),"",ROUND(($P401*Lists!$AN$7)+($Q401*Lists!$AN$8)+($R401*Lists!$AN$9)+($S401*Lists!$AN$10),2))</f>
        <v/>
      </c>
      <c r="U401" s="66"/>
      <c r="V401" s="66"/>
      <c r="W401" s="66"/>
      <c r="X401" s="66"/>
      <c r="Y401" s="66"/>
      <c r="Z401" s="64" t="str">
        <f>IF(OR($B401="", $U401="", $V401="", $W401="", $X401="", $Y401=""),"",ROUND(($U401*Lists!$AN$11)+($V401*Lists!$AN$12)+($W401*Lists!$AN$13)+($X401*Lists!$AN$14)+($Y401*Lists!$AN$15),2))</f>
        <v/>
      </c>
      <c r="AA401" s="64" t="str">
        <f>IF(OR($B401="", $N401="", $O401="", $T401="", $Z401=""),"",ROUND(($N401*Lists!$AN$16)-($O401*Lists!$AN$17)-($T401*Lists!$AN$18)+($Z401*Lists!$AN$19),2))</f>
        <v/>
      </c>
      <c r="AB401" s="63" t="str">
        <f t="shared" si="21"/>
        <v/>
      </c>
      <c r="AC401" s="63" t="str">
        <f t="shared" si="22"/>
        <v/>
      </c>
      <c r="AD401" s="63" t="str">
        <f>IF($A401="","",IFERROR(IF(VLOOKUP($A401,'Risk Register'!$B$2:$H$1000,4,FALSE())&gt;=4,"Yes",""),""))</f>
        <v/>
      </c>
      <c r="AE401" s="63" t="str">
        <f t="shared" si="23"/>
        <v/>
      </c>
      <c r="AF401" s="62"/>
      <c r="AG401" s="62"/>
      <c r="AH401" s="62"/>
      <c r="AI401" s="62"/>
      <c r="AJ401" s="62"/>
      <c r="AK401" s="62"/>
      <c r="AL401" s="62"/>
      <c r="AM401" s="62"/>
      <c r="AN401" s="62"/>
      <c r="AO401" s="62"/>
      <c r="AP401" s="62"/>
      <c r="AQ401" s="80"/>
    </row>
    <row r="402" spans="1:43" ht="15.75" customHeight="1" x14ac:dyDescent="0.2">
      <c r="A402" s="63" t="str">
        <f t="shared" si="20"/>
        <v/>
      </c>
      <c r="B402" s="62"/>
      <c r="C402" s="62"/>
      <c r="D402" s="62"/>
      <c r="E402" s="62"/>
      <c r="F402" s="62"/>
      <c r="G402" s="62"/>
      <c r="H402" s="62"/>
      <c r="I402" s="66"/>
      <c r="J402" s="66"/>
      <c r="K402" s="66"/>
      <c r="L402" s="66"/>
      <c r="M402" s="66"/>
      <c r="N402" s="64" t="str">
        <f>IF(OR($B402="", $I402="", $J402="", $K402="", $L402="", $M402=""),"",ROUND(($I402*Lists!$AN$2)+($J402*Lists!$AN$3)+($K402*Lists!$AN$4)+($L402*Lists!$AN$5)+($M402*Lists!$AN$6),2))</f>
        <v/>
      </c>
      <c r="O402" s="64" t="str">
        <f>IF($A402="","",IFERROR(VLOOKUP($A402,'Risk Register'!$B$2:$I$1000,8,FALSE()),""))</f>
        <v/>
      </c>
      <c r="P402" s="66"/>
      <c r="Q402" s="66"/>
      <c r="R402" s="66"/>
      <c r="S402" s="66"/>
      <c r="T402" s="64" t="str">
        <f>IF(OR($B402="", $P402="", $Q402="", $R402="", $S402=""),"",ROUND(($P402*Lists!$AN$7)+($Q402*Lists!$AN$8)+($R402*Lists!$AN$9)+($S402*Lists!$AN$10),2))</f>
        <v/>
      </c>
      <c r="U402" s="66"/>
      <c r="V402" s="66"/>
      <c r="W402" s="66"/>
      <c r="X402" s="66"/>
      <c r="Y402" s="66"/>
      <c r="Z402" s="64" t="str">
        <f>IF(OR($B402="", $U402="", $V402="", $W402="", $X402="", $Y402=""),"",ROUND(($U402*Lists!$AN$11)+($V402*Lists!$AN$12)+($W402*Lists!$AN$13)+($X402*Lists!$AN$14)+($Y402*Lists!$AN$15),2))</f>
        <v/>
      </c>
      <c r="AA402" s="64" t="str">
        <f>IF(OR($B402="", $N402="", $O402="", $T402="", $Z402=""),"",ROUND(($N402*Lists!$AN$16)-($O402*Lists!$AN$17)-($T402*Lists!$AN$18)+($Z402*Lists!$AN$19),2))</f>
        <v/>
      </c>
      <c r="AB402" s="63" t="str">
        <f t="shared" si="21"/>
        <v/>
      </c>
      <c r="AC402" s="63" t="str">
        <f t="shared" si="22"/>
        <v/>
      </c>
      <c r="AD402" s="63" t="str">
        <f>IF($A402="","",IFERROR(IF(VLOOKUP($A402,'Risk Register'!$B$2:$H$1000,4,FALSE())&gt;=4,"Yes",""),""))</f>
        <v/>
      </c>
      <c r="AE402" s="63" t="str">
        <f t="shared" si="23"/>
        <v/>
      </c>
      <c r="AF402" s="62"/>
      <c r="AG402" s="62"/>
      <c r="AH402" s="62"/>
      <c r="AI402" s="62"/>
      <c r="AJ402" s="62"/>
      <c r="AK402" s="62"/>
      <c r="AL402" s="62"/>
      <c r="AM402" s="62"/>
      <c r="AN402" s="62"/>
      <c r="AO402" s="62"/>
      <c r="AP402" s="62"/>
      <c r="AQ402" s="80"/>
    </row>
    <row r="403" spans="1:43" ht="15.75" customHeight="1" x14ac:dyDescent="0.2">
      <c r="A403" s="63" t="str">
        <f t="shared" si="20"/>
        <v/>
      </c>
      <c r="B403" s="62"/>
      <c r="C403" s="62"/>
      <c r="D403" s="62"/>
      <c r="E403" s="62"/>
      <c r="F403" s="62"/>
      <c r="G403" s="62"/>
      <c r="H403" s="62"/>
      <c r="I403" s="66"/>
      <c r="J403" s="66"/>
      <c r="K403" s="66"/>
      <c r="L403" s="66"/>
      <c r="M403" s="66"/>
      <c r="N403" s="64" t="str">
        <f>IF(OR($B403="", $I403="", $J403="", $K403="", $L403="", $M403=""),"",ROUND(($I403*Lists!$AN$2)+($J403*Lists!$AN$3)+($K403*Lists!$AN$4)+($L403*Lists!$AN$5)+($M403*Lists!$AN$6),2))</f>
        <v/>
      </c>
      <c r="O403" s="64" t="str">
        <f>IF($A403="","",IFERROR(VLOOKUP($A403,'Risk Register'!$B$2:$I$1000,8,FALSE()),""))</f>
        <v/>
      </c>
      <c r="P403" s="66"/>
      <c r="Q403" s="66"/>
      <c r="R403" s="66"/>
      <c r="S403" s="66"/>
      <c r="T403" s="64" t="str">
        <f>IF(OR($B403="", $P403="", $Q403="", $R403="", $S403=""),"",ROUND(($P403*Lists!$AN$7)+($Q403*Lists!$AN$8)+($R403*Lists!$AN$9)+($S403*Lists!$AN$10),2))</f>
        <v/>
      </c>
      <c r="U403" s="66"/>
      <c r="V403" s="66"/>
      <c r="W403" s="66"/>
      <c r="X403" s="66"/>
      <c r="Y403" s="66"/>
      <c r="Z403" s="64" t="str">
        <f>IF(OR($B403="", $U403="", $V403="", $W403="", $X403="", $Y403=""),"",ROUND(($U403*Lists!$AN$11)+($V403*Lists!$AN$12)+($W403*Lists!$AN$13)+($X403*Lists!$AN$14)+($Y403*Lists!$AN$15),2))</f>
        <v/>
      </c>
      <c r="AA403" s="64" t="str">
        <f>IF(OR($B403="", $N403="", $O403="", $T403="", $Z403=""),"",ROUND(($N403*Lists!$AN$16)-($O403*Lists!$AN$17)-($T403*Lists!$AN$18)+($Z403*Lists!$AN$19),2))</f>
        <v/>
      </c>
      <c r="AB403" s="63" t="str">
        <f t="shared" si="21"/>
        <v/>
      </c>
      <c r="AC403" s="63" t="str">
        <f t="shared" si="22"/>
        <v/>
      </c>
      <c r="AD403" s="63" t="str">
        <f>IF($A403="","",IFERROR(IF(VLOOKUP($A403,'Risk Register'!$B$2:$H$1000,4,FALSE())&gt;=4,"Yes",""),""))</f>
        <v/>
      </c>
      <c r="AE403" s="63" t="str">
        <f t="shared" si="23"/>
        <v/>
      </c>
      <c r="AF403" s="62"/>
      <c r="AG403" s="62"/>
      <c r="AH403" s="62"/>
      <c r="AI403" s="62"/>
      <c r="AJ403" s="62"/>
      <c r="AK403" s="62"/>
      <c r="AL403" s="62"/>
      <c r="AM403" s="62"/>
      <c r="AN403" s="62"/>
      <c r="AO403" s="62"/>
      <c r="AP403" s="62"/>
      <c r="AQ403" s="80"/>
    </row>
    <row r="404" spans="1:43" ht="15.75" customHeight="1" x14ac:dyDescent="0.2">
      <c r="A404" s="63" t="str">
        <f t="shared" si="20"/>
        <v/>
      </c>
      <c r="B404" s="62"/>
      <c r="C404" s="62"/>
      <c r="D404" s="62"/>
      <c r="E404" s="62"/>
      <c r="F404" s="62"/>
      <c r="G404" s="62"/>
      <c r="H404" s="62"/>
      <c r="I404" s="66"/>
      <c r="J404" s="66"/>
      <c r="K404" s="66"/>
      <c r="L404" s="66"/>
      <c r="M404" s="66"/>
      <c r="N404" s="64" t="str">
        <f>IF(OR($B404="", $I404="", $J404="", $K404="", $L404="", $M404=""),"",ROUND(($I404*Lists!$AN$2)+($J404*Lists!$AN$3)+($K404*Lists!$AN$4)+($L404*Lists!$AN$5)+($M404*Lists!$AN$6),2))</f>
        <v/>
      </c>
      <c r="O404" s="64" t="str">
        <f>IF($A404="","",IFERROR(VLOOKUP($A404,'Risk Register'!$B$2:$I$1000,8,FALSE()),""))</f>
        <v/>
      </c>
      <c r="P404" s="66"/>
      <c r="Q404" s="66"/>
      <c r="R404" s="66"/>
      <c r="S404" s="66"/>
      <c r="T404" s="64" t="str">
        <f>IF(OR($B404="", $P404="", $Q404="", $R404="", $S404=""),"",ROUND(($P404*Lists!$AN$7)+($Q404*Lists!$AN$8)+($R404*Lists!$AN$9)+($S404*Lists!$AN$10),2))</f>
        <v/>
      </c>
      <c r="U404" s="66"/>
      <c r="V404" s="66"/>
      <c r="W404" s="66"/>
      <c r="X404" s="66"/>
      <c r="Y404" s="66"/>
      <c r="Z404" s="64" t="str">
        <f>IF(OR($B404="", $U404="", $V404="", $W404="", $X404="", $Y404=""),"",ROUND(($U404*Lists!$AN$11)+($V404*Lists!$AN$12)+($W404*Lists!$AN$13)+($X404*Lists!$AN$14)+($Y404*Lists!$AN$15),2))</f>
        <v/>
      </c>
      <c r="AA404" s="64" t="str">
        <f>IF(OR($B404="", $N404="", $O404="", $T404="", $Z404=""),"",ROUND(($N404*Lists!$AN$16)-($O404*Lists!$AN$17)-($T404*Lists!$AN$18)+($Z404*Lists!$AN$19),2))</f>
        <v/>
      </c>
      <c r="AB404" s="63" t="str">
        <f t="shared" si="21"/>
        <v/>
      </c>
      <c r="AC404" s="63" t="str">
        <f t="shared" si="22"/>
        <v/>
      </c>
      <c r="AD404" s="63" t="str">
        <f>IF($A404="","",IFERROR(IF(VLOOKUP($A404,'Risk Register'!$B$2:$H$1000,4,FALSE())&gt;=4,"Yes",""),""))</f>
        <v/>
      </c>
      <c r="AE404" s="63" t="str">
        <f t="shared" si="23"/>
        <v/>
      </c>
      <c r="AF404" s="62"/>
      <c r="AG404" s="62"/>
      <c r="AH404" s="62"/>
      <c r="AI404" s="62"/>
      <c r="AJ404" s="62"/>
      <c r="AK404" s="62"/>
      <c r="AL404" s="62"/>
      <c r="AM404" s="62"/>
      <c r="AN404" s="62"/>
      <c r="AO404" s="62"/>
      <c r="AP404" s="62"/>
      <c r="AQ404" s="80"/>
    </row>
    <row r="405" spans="1:43" ht="15.75" customHeight="1" x14ac:dyDescent="0.2">
      <c r="A405" s="63" t="str">
        <f t="shared" si="20"/>
        <v/>
      </c>
      <c r="B405" s="62"/>
      <c r="C405" s="62"/>
      <c r="D405" s="62"/>
      <c r="E405" s="62"/>
      <c r="F405" s="62"/>
      <c r="G405" s="62"/>
      <c r="H405" s="62"/>
      <c r="I405" s="66"/>
      <c r="J405" s="66"/>
      <c r="K405" s="66"/>
      <c r="L405" s="66"/>
      <c r="M405" s="66"/>
      <c r="N405" s="64" t="str">
        <f>IF(OR($B405="", $I405="", $J405="", $K405="", $L405="", $M405=""),"",ROUND(($I405*Lists!$AN$2)+($J405*Lists!$AN$3)+($K405*Lists!$AN$4)+($L405*Lists!$AN$5)+($M405*Lists!$AN$6),2))</f>
        <v/>
      </c>
      <c r="O405" s="64" t="str">
        <f>IF($A405="","",IFERROR(VLOOKUP($A405,'Risk Register'!$B$2:$I$1000,8,FALSE()),""))</f>
        <v/>
      </c>
      <c r="P405" s="66"/>
      <c r="Q405" s="66"/>
      <c r="R405" s="66"/>
      <c r="S405" s="66"/>
      <c r="T405" s="64" t="str">
        <f>IF(OR($B405="", $P405="", $Q405="", $R405="", $S405=""),"",ROUND(($P405*Lists!$AN$7)+($Q405*Lists!$AN$8)+($R405*Lists!$AN$9)+($S405*Lists!$AN$10),2))</f>
        <v/>
      </c>
      <c r="U405" s="66"/>
      <c r="V405" s="66"/>
      <c r="W405" s="66"/>
      <c r="X405" s="66"/>
      <c r="Y405" s="66"/>
      <c r="Z405" s="64" t="str">
        <f>IF(OR($B405="", $U405="", $V405="", $W405="", $X405="", $Y405=""),"",ROUND(($U405*Lists!$AN$11)+($V405*Lists!$AN$12)+($W405*Lists!$AN$13)+($X405*Lists!$AN$14)+($Y405*Lists!$AN$15),2))</f>
        <v/>
      </c>
      <c r="AA405" s="64" t="str">
        <f>IF(OR($B405="", $N405="", $O405="", $T405="", $Z405=""),"",ROUND(($N405*Lists!$AN$16)-($O405*Lists!$AN$17)-($T405*Lists!$AN$18)+($Z405*Lists!$AN$19),2))</f>
        <v/>
      </c>
      <c r="AB405" s="63" t="str">
        <f t="shared" si="21"/>
        <v/>
      </c>
      <c r="AC405" s="63" t="str">
        <f t="shared" si="22"/>
        <v/>
      </c>
      <c r="AD405" s="63" t="str">
        <f>IF($A405="","",IFERROR(IF(VLOOKUP($A405,'Risk Register'!$B$2:$H$1000,4,FALSE())&gt;=4,"Yes",""),""))</f>
        <v/>
      </c>
      <c r="AE405" s="63" t="str">
        <f t="shared" si="23"/>
        <v/>
      </c>
      <c r="AF405" s="62"/>
      <c r="AG405" s="62"/>
      <c r="AH405" s="62"/>
      <c r="AI405" s="62"/>
      <c r="AJ405" s="62"/>
      <c r="AK405" s="62"/>
      <c r="AL405" s="62"/>
      <c r="AM405" s="62"/>
      <c r="AN405" s="62"/>
      <c r="AO405" s="62"/>
      <c r="AP405" s="62"/>
      <c r="AQ405" s="80"/>
    </row>
    <row r="406" spans="1:43" ht="15.75" customHeight="1" x14ac:dyDescent="0.2">
      <c r="A406" s="63" t="str">
        <f t="shared" si="20"/>
        <v/>
      </c>
      <c r="B406" s="62"/>
      <c r="C406" s="62"/>
      <c r="D406" s="62"/>
      <c r="E406" s="62"/>
      <c r="F406" s="62"/>
      <c r="G406" s="62"/>
      <c r="H406" s="62"/>
      <c r="I406" s="66"/>
      <c r="J406" s="66"/>
      <c r="K406" s="66"/>
      <c r="L406" s="66"/>
      <c r="M406" s="66"/>
      <c r="N406" s="64" t="str">
        <f>IF(OR($B406="", $I406="", $J406="", $K406="", $L406="", $M406=""),"",ROUND(($I406*Lists!$AN$2)+($J406*Lists!$AN$3)+($K406*Lists!$AN$4)+($L406*Lists!$AN$5)+($M406*Lists!$AN$6),2))</f>
        <v/>
      </c>
      <c r="O406" s="64" t="str">
        <f>IF($A406="","",IFERROR(VLOOKUP($A406,'Risk Register'!$B$2:$I$1000,8,FALSE()),""))</f>
        <v/>
      </c>
      <c r="P406" s="66"/>
      <c r="Q406" s="66"/>
      <c r="R406" s="66"/>
      <c r="S406" s="66"/>
      <c r="T406" s="64" t="str">
        <f>IF(OR($B406="", $P406="", $Q406="", $R406="", $S406=""),"",ROUND(($P406*Lists!$AN$7)+($Q406*Lists!$AN$8)+($R406*Lists!$AN$9)+($S406*Lists!$AN$10),2))</f>
        <v/>
      </c>
      <c r="U406" s="66"/>
      <c r="V406" s="66"/>
      <c r="W406" s="66"/>
      <c r="X406" s="66"/>
      <c r="Y406" s="66"/>
      <c r="Z406" s="64" t="str">
        <f>IF(OR($B406="", $U406="", $V406="", $W406="", $X406="", $Y406=""),"",ROUND(($U406*Lists!$AN$11)+($V406*Lists!$AN$12)+($W406*Lists!$AN$13)+($X406*Lists!$AN$14)+($Y406*Lists!$AN$15),2))</f>
        <v/>
      </c>
      <c r="AA406" s="64" t="str">
        <f>IF(OR($B406="", $N406="", $O406="", $T406="", $Z406=""),"",ROUND(($N406*Lists!$AN$16)-($O406*Lists!$AN$17)-($T406*Lists!$AN$18)+($Z406*Lists!$AN$19),2))</f>
        <v/>
      </c>
      <c r="AB406" s="63" t="str">
        <f t="shared" si="21"/>
        <v/>
      </c>
      <c r="AC406" s="63" t="str">
        <f t="shared" si="22"/>
        <v/>
      </c>
      <c r="AD406" s="63" t="str">
        <f>IF($A406="","",IFERROR(IF(VLOOKUP($A406,'Risk Register'!$B$2:$H$1000,4,FALSE())&gt;=4,"Yes",""),""))</f>
        <v/>
      </c>
      <c r="AE406" s="63" t="str">
        <f t="shared" si="23"/>
        <v/>
      </c>
      <c r="AF406" s="62"/>
      <c r="AG406" s="62"/>
      <c r="AH406" s="62"/>
      <c r="AI406" s="62"/>
      <c r="AJ406" s="62"/>
      <c r="AK406" s="62"/>
      <c r="AL406" s="62"/>
      <c r="AM406" s="62"/>
      <c r="AN406" s="62"/>
      <c r="AO406" s="62"/>
      <c r="AP406" s="62"/>
      <c r="AQ406" s="80"/>
    </row>
    <row r="407" spans="1:43" ht="15.75" customHeight="1" x14ac:dyDescent="0.2">
      <c r="A407" s="63" t="str">
        <f t="shared" ref="A407:A470" si="24">IF($B407="","", "APM-" &amp; RIGHT("0000"&amp;ROW()-1,4))</f>
        <v/>
      </c>
      <c r="B407" s="62"/>
      <c r="C407" s="62"/>
      <c r="D407" s="62"/>
      <c r="E407" s="62"/>
      <c r="F407" s="62"/>
      <c r="G407" s="62"/>
      <c r="H407" s="62"/>
      <c r="I407" s="66"/>
      <c r="J407" s="66"/>
      <c r="K407" s="66"/>
      <c r="L407" s="66"/>
      <c r="M407" s="66"/>
      <c r="N407" s="64" t="str">
        <f>IF(OR($B407="", $I407="", $J407="", $K407="", $L407="", $M407=""),"",ROUND(($I407*Lists!$AN$2)+($J407*Lists!$AN$3)+($K407*Lists!$AN$4)+($L407*Lists!$AN$5)+($M407*Lists!$AN$6),2))</f>
        <v/>
      </c>
      <c r="O407" s="64" t="str">
        <f>IF($A407="","",IFERROR(VLOOKUP($A407,'Risk Register'!$B$2:$I$1000,8,FALSE()),""))</f>
        <v/>
      </c>
      <c r="P407" s="66"/>
      <c r="Q407" s="66"/>
      <c r="R407" s="66"/>
      <c r="S407" s="66"/>
      <c r="T407" s="64" t="str">
        <f>IF(OR($B407="", $P407="", $Q407="", $R407="", $S407=""),"",ROUND(($P407*Lists!$AN$7)+($Q407*Lists!$AN$8)+($R407*Lists!$AN$9)+($S407*Lists!$AN$10),2))</f>
        <v/>
      </c>
      <c r="U407" s="66"/>
      <c r="V407" s="66"/>
      <c r="W407" s="66"/>
      <c r="X407" s="66"/>
      <c r="Y407" s="66"/>
      <c r="Z407" s="64" t="str">
        <f>IF(OR($B407="", $U407="", $V407="", $W407="", $X407="", $Y407=""),"",ROUND(($U407*Lists!$AN$11)+($V407*Lists!$AN$12)+($W407*Lists!$AN$13)+($X407*Lists!$AN$14)+($Y407*Lists!$AN$15),2))</f>
        <v/>
      </c>
      <c r="AA407" s="64" t="str">
        <f>IF(OR($B407="", $N407="", $O407="", $T407="", $Z407=""),"",ROUND(($N407*Lists!$AN$16)-($O407*Lists!$AN$17)-($T407*Lists!$AN$18)+($Z407*Lists!$AN$19),2))</f>
        <v/>
      </c>
      <c r="AB407" s="63" t="str">
        <f t="shared" ref="AB407:AB470" si="25">IF($AA407="","",IF($AA407&gt;=3.5,"INVEST",IF($AA407&gt;=2.5,"TOLERATE",IF($AA407&gt;=1.5,"MIGRATE / MODERNIZE","RETIRE"))))</f>
        <v/>
      </c>
      <c r="AC407" s="63" t="str">
        <f t="shared" ref="AC407:AC470" si="26">IF($B407="","",IF($J407&gt;=4,"Yes",""))</f>
        <v/>
      </c>
      <c r="AD407" s="63" t="str">
        <f>IF($A407="","",IFERROR(IF(VLOOKUP($A407,'Risk Register'!$B$2:$H$1000,4,FALSE())&gt;=4,"Yes",""),""))</f>
        <v/>
      </c>
      <c r="AE407" s="63" t="str">
        <f t="shared" ref="AE407:AE470" si="27">IF(OR($N407="", $O407=""),"",IF($N407&gt;=3.5,IF($O407&gt;=3.5,"High Value / High Risk","High Value / Low Risk"),IF($O407&gt;=3.5,"Low Value / High Risk","Low Value / Low Risk")))</f>
        <v/>
      </c>
      <c r="AF407" s="62"/>
      <c r="AG407" s="62"/>
      <c r="AH407" s="62"/>
      <c r="AI407" s="62"/>
      <c r="AJ407" s="62"/>
      <c r="AK407" s="62"/>
      <c r="AL407" s="62"/>
      <c r="AM407" s="62"/>
      <c r="AN407" s="62"/>
      <c r="AO407" s="62"/>
      <c r="AP407" s="62"/>
      <c r="AQ407" s="80"/>
    </row>
    <row r="408" spans="1:43" ht="15.75" customHeight="1" x14ac:dyDescent="0.2">
      <c r="A408" s="63" t="str">
        <f t="shared" si="24"/>
        <v/>
      </c>
      <c r="B408" s="62"/>
      <c r="C408" s="62"/>
      <c r="D408" s="62"/>
      <c r="E408" s="62"/>
      <c r="F408" s="62"/>
      <c r="G408" s="62"/>
      <c r="H408" s="62"/>
      <c r="I408" s="66"/>
      <c r="J408" s="66"/>
      <c r="K408" s="66"/>
      <c r="L408" s="66"/>
      <c r="M408" s="66"/>
      <c r="N408" s="64" t="str">
        <f>IF(OR($B408="", $I408="", $J408="", $K408="", $L408="", $M408=""),"",ROUND(($I408*Lists!$AN$2)+($J408*Lists!$AN$3)+($K408*Lists!$AN$4)+($L408*Lists!$AN$5)+($M408*Lists!$AN$6),2))</f>
        <v/>
      </c>
      <c r="O408" s="64" t="str">
        <f>IF($A408="","",IFERROR(VLOOKUP($A408,'Risk Register'!$B$2:$I$1000,8,FALSE()),""))</f>
        <v/>
      </c>
      <c r="P408" s="66"/>
      <c r="Q408" s="66"/>
      <c r="R408" s="66"/>
      <c r="S408" s="66"/>
      <c r="T408" s="64" t="str">
        <f>IF(OR($B408="", $P408="", $Q408="", $R408="", $S408=""),"",ROUND(($P408*Lists!$AN$7)+($Q408*Lists!$AN$8)+($R408*Lists!$AN$9)+($S408*Lists!$AN$10),2))</f>
        <v/>
      </c>
      <c r="U408" s="66"/>
      <c r="V408" s="66"/>
      <c r="W408" s="66"/>
      <c r="X408" s="66"/>
      <c r="Y408" s="66"/>
      <c r="Z408" s="64" t="str">
        <f>IF(OR($B408="", $U408="", $V408="", $W408="", $X408="", $Y408=""),"",ROUND(($U408*Lists!$AN$11)+($V408*Lists!$AN$12)+($W408*Lists!$AN$13)+($X408*Lists!$AN$14)+($Y408*Lists!$AN$15),2))</f>
        <v/>
      </c>
      <c r="AA408" s="64" t="str">
        <f>IF(OR($B408="", $N408="", $O408="", $T408="", $Z408=""),"",ROUND(($N408*Lists!$AN$16)-($O408*Lists!$AN$17)-($T408*Lists!$AN$18)+($Z408*Lists!$AN$19),2))</f>
        <v/>
      </c>
      <c r="AB408" s="63" t="str">
        <f t="shared" si="25"/>
        <v/>
      </c>
      <c r="AC408" s="63" t="str">
        <f t="shared" si="26"/>
        <v/>
      </c>
      <c r="AD408" s="63" t="str">
        <f>IF($A408="","",IFERROR(IF(VLOOKUP($A408,'Risk Register'!$B$2:$H$1000,4,FALSE())&gt;=4,"Yes",""),""))</f>
        <v/>
      </c>
      <c r="AE408" s="63" t="str">
        <f t="shared" si="27"/>
        <v/>
      </c>
      <c r="AF408" s="62"/>
      <c r="AG408" s="62"/>
      <c r="AH408" s="62"/>
      <c r="AI408" s="62"/>
      <c r="AJ408" s="62"/>
      <c r="AK408" s="62"/>
      <c r="AL408" s="62"/>
      <c r="AM408" s="62"/>
      <c r="AN408" s="62"/>
      <c r="AO408" s="62"/>
      <c r="AP408" s="62"/>
      <c r="AQ408" s="80"/>
    </row>
    <row r="409" spans="1:43" ht="15.75" customHeight="1" x14ac:dyDescent="0.2">
      <c r="A409" s="63" t="str">
        <f t="shared" si="24"/>
        <v/>
      </c>
      <c r="B409" s="62"/>
      <c r="C409" s="62"/>
      <c r="D409" s="62"/>
      <c r="E409" s="62"/>
      <c r="F409" s="62"/>
      <c r="G409" s="62"/>
      <c r="H409" s="62"/>
      <c r="I409" s="66"/>
      <c r="J409" s="66"/>
      <c r="K409" s="66"/>
      <c r="L409" s="66"/>
      <c r="M409" s="66"/>
      <c r="N409" s="64" t="str">
        <f>IF(OR($B409="", $I409="", $J409="", $K409="", $L409="", $M409=""),"",ROUND(($I409*Lists!$AN$2)+($J409*Lists!$AN$3)+($K409*Lists!$AN$4)+($L409*Lists!$AN$5)+($M409*Lists!$AN$6),2))</f>
        <v/>
      </c>
      <c r="O409" s="64" t="str">
        <f>IF($A409="","",IFERROR(VLOOKUP($A409,'Risk Register'!$B$2:$I$1000,8,FALSE()),""))</f>
        <v/>
      </c>
      <c r="P409" s="66"/>
      <c r="Q409" s="66"/>
      <c r="R409" s="66"/>
      <c r="S409" s="66"/>
      <c r="T409" s="64" t="str">
        <f>IF(OR($B409="", $P409="", $Q409="", $R409="", $S409=""),"",ROUND(($P409*Lists!$AN$7)+($Q409*Lists!$AN$8)+($R409*Lists!$AN$9)+($S409*Lists!$AN$10),2))</f>
        <v/>
      </c>
      <c r="U409" s="66"/>
      <c r="V409" s="66"/>
      <c r="W409" s="66"/>
      <c r="X409" s="66"/>
      <c r="Y409" s="66"/>
      <c r="Z409" s="64" t="str">
        <f>IF(OR($B409="", $U409="", $V409="", $W409="", $X409="", $Y409=""),"",ROUND(($U409*Lists!$AN$11)+($V409*Lists!$AN$12)+($W409*Lists!$AN$13)+($X409*Lists!$AN$14)+($Y409*Lists!$AN$15),2))</f>
        <v/>
      </c>
      <c r="AA409" s="64" t="str">
        <f>IF(OR($B409="", $N409="", $O409="", $T409="", $Z409=""),"",ROUND(($N409*Lists!$AN$16)-($O409*Lists!$AN$17)-($T409*Lists!$AN$18)+($Z409*Lists!$AN$19),2))</f>
        <v/>
      </c>
      <c r="AB409" s="63" t="str">
        <f t="shared" si="25"/>
        <v/>
      </c>
      <c r="AC409" s="63" t="str">
        <f t="shared" si="26"/>
        <v/>
      </c>
      <c r="AD409" s="63" t="str">
        <f>IF($A409="","",IFERROR(IF(VLOOKUP($A409,'Risk Register'!$B$2:$H$1000,4,FALSE())&gt;=4,"Yes",""),""))</f>
        <v/>
      </c>
      <c r="AE409" s="63" t="str">
        <f t="shared" si="27"/>
        <v/>
      </c>
      <c r="AF409" s="62"/>
      <c r="AG409" s="62"/>
      <c r="AH409" s="62"/>
      <c r="AI409" s="62"/>
      <c r="AJ409" s="62"/>
      <c r="AK409" s="62"/>
      <c r="AL409" s="62"/>
      <c r="AM409" s="62"/>
      <c r="AN409" s="62"/>
      <c r="AO409" s="62"/>
      <c r="AP409" s="62"/>
      <c r="AQ409" s="80"/>
    </row>
    <row r="410" spans="1:43" ht="15.75" customHeight="1" x14ac:dyDescent="0.2">
      <c r="A410" s="63" t="str">
        <f t="shared" si="24"/>
        <v/>
      </c>
      <c r="B410" s="62"/>
      <c r="C410" s="62"/>
      <c r="D410" s="62"/>
      <c r="E410" s="62"/>
      <c r="F410" s="62"/>
      <c r="G410" s="62"/>
      <c r="H410" s="62"/>
      <c r="I410" s="66"/>
      <c r="J410" s="66"/>
      <c r="K410" s="66"/>
      <c r="L410" s="66"/>
      <c r="M410" s="66"/>
      <c r="N410" s="64" t="str">
        <f>IF(OR($B410="", $I410="", $J410="", $K410="", $L410="", $M410=""),"",ROUND(($I410*Lists!$AN$2)+($J410*Lists!$AN$3)+($K410*Lists!$AN$4)+($L410*Lists!$AN$5)+($M410*Lists!$AN$6),2))</f>
        <v/>
      </c>
      <c r="O410" s="64" t="str">
        <f>IF($A410="","",IFERROR(VLOOKUP($A410,'Risk Register'!$B$2:$I$1000,8,FALSE()),""))</f>
        <v/>
      </c>
      <c r="P410" s="66"/>
      <c r="Q410" s="66"/>
      <c r="R410" s="66"/>
      <c r="S410" s="66"/>
      <c r="T410" s="64" t="str">
        <f>IF(OR($B410="", $P410="", $Q410="", $R410="", $S410=""),"",ROUND(($P410*Lists!$AN$7)+($Q410*Lists!$AN$8)+($R410*Lists!$AN$9)+($S410*Lists!$AN$10),2))</f>
        <v/>
      </c>
      <c r="U410" s="66"/>
      <c r="V410" s="66"/>
      <c r="W410" s="66"/>
      <c r="X410" s="66"/>
      <c r="Y410" s="66"/>
      <c r="Z410" s="64" t="str">
        <f>IF(OR($B410="", $U410="", $V410="", $W410="", $X410="", $Y410=""),"",ROUND(($U410*Lists!$AN$11)+($V410*Lists!$AN$12)+($W410*Lists!$AN$13)+($X410*Lists!$AN$14)+($Y410*Lists!$AN$15),2))</f>
        <v/>
      </c>
      <c r="AA410" s="64" t="str">
        <f>IF(OR($B410="", $N410="", $O410="", $T410="", $Z410=""),"",ROUND(($N410*Lists!$AN$16)-($O410*Lists!$AN$17)-($T410*Lists!$AN$18)+($Z410*Lists!$AN$19),2))</f>
        <v/>
      </c>
      <c r="AB410" s="63" t="str">
        <f t="shared" si="25"/>
        <v/>
      </c>
      <c r="AC410" s="63" t="str">
        <f t="shared" si="26"/>
        <v/>
      </c>
      <c r="AD410" s="63" t="str">
        <f>IF($A410="","",IFERROR(IF(VLOOKUP($A410,'Risk Register'!$B$2:$H$1000,4,FALSE())&gt;=4,"Yes",""),""))</f>
        <v/>
      </c>
      <c r="AE410" s="63" t="str">
        <f t="shared" si="27"/>
        <v/>
      </c>
      <c r="AF410" s="62"/>
      <c r="AG410" s="62"/>
      <c r="AH410" s="62"/>
      <c r="AI410" s="62"/>
      <c r="AJ410" s="62"/>
      <c r="AK410" s="62"/>
      <c r="AL410" s="62"/>
      <c r="AM410" s="62"/>
      <c r="AN410" s="62"/>
      <c r="AO410" s="62"/>
      <c r="AP410" s="62"/>
      <c r="AQ410" s="80"/>
    </row>
    <row r="411" spans="1:43" ht="15.75" customHeight="1" x14ac:dyDescent="0.2">
      <c r="A411" s="63" t="str">
        <f t="shared" si="24"/>
        <v/>
      </c>
      <c r="B411" s="62"/>
      <c r="C411" s="62"/>
      <c r="D411" s="62"/>
      <c r="E411" s="62"/>
      <c r="F411" s="62"/>
      <c r="G411" s="62"/>
      <c r="H411" s="62"/>
      <c r="I411" s="66"/>
      <c r="J411" s="66"/>
      <c r="K411" s="66"/>
      <c r="L411" s="66"/>
      <c r="M411" s="66"/>
      <c r="N411" s="64" t="str">
        <f>IF(OR($B411="", $I411="", $J411="", $K411="", $L411="", $M411=""),"",ROUND(($I411*Lists!$AN$2)+($J411*Lists!$AN$3)+($K411*Lists!$AN$4)+($L411*Lists!$AN$5)+($M411*Lists!$AN$6),2))</f>
        <v/>
      </c>
      <c r="O411" s="64" t="str">
        <f>IF($A411="","",IFERROR(VLOOKUP($A411,'Risk Register'!$B$2:$I$1000,8,FALSE()),""))</f>
        <v/>
      </c>
      <c r="P411" s="66"/>
      <c r="Q411" s="66"/>
      <c r="R411" s="66"/>
      <c r="S411" s="66"/>
      <c r="T411" s="64" t="str">
        <f>IF(OR($B411="", $P411="", $Q411="", $R411="", $S411=""),"",ROUND(($P411*Lists!$AN$7)+($Q411*Lists!$AN$8)+($R411*Lists!$AN$9)+($S411*Lists!$AN$10),2))</f>
        <v/>
      </c>
      <c r="U411" s="66"/>
      <c r="V411" s="66"/>
      <c r="W411" s="66"/>
      <c r="X411" s="66"/>
      <c r="Y411" s="66"/>
      <c r="Z411" s="64" t="str">
        <f>IF(OR($B411="", $U411="", $V411="", $W411="", $X411="", $Y411=""),"",ROUND(($U411*Lists!$AN$11)+($V411*Lists!$AN$12)+($W411*Lists!$AN$13)+($X411*Lists!$AN$14)+($Y411*Lists!$AN$15),2))</f>
        <v/>
      </c>
      <c r="AA411" s="64" t="str">
        <f>IF(OR($B411="", $N411="", $O411="", $T411="", $Z411=""),"",ROUND(($N411*Lists!$AN$16)-($O411*Lists!$AN$17)-($T411*Lists!$AN$18)+($Z411*Lists!$AN$19),2))</f>
        <v/>
      </c>
      <c r="AB411" s="63" t="str">
        <f t="shared" si="25"/>
        <v/>
      </c>
      <c r="AC411" s="63" t="str">
        <f t="shared" si="26"/>
        <v/>
      </c>
      <c r="AD411" s="63" t="str">
        <f>IF($A411="","",IFERROR(IF(VLOOKUP($A411,'Risk Register'!$B$2:$H$1000,4,FALSE())&gt;=4,"Yes",""),""))</f>
        <v/>
      </c>
      <c r="AE411" s="63" t="str">
        <f t="shared" si="27"/>
        <v/>
      </c>
      <c r="AF411" s="62"/>
      <c r="AG411" s="62"/>
      <c r="AH411" s="62"/>
      <c r="AI411" s="62"/>
      <c r="AJ411" s="62"/>
      <c r="AK411" s="62"/>
      <c r="AL411" s="62"/>
      <c r="AM411" s="62"/>
      <c r="AN411" s="62"/>
      <c r="AO411" s="62"/>
      <c r="AP411" s="62"/>
      <c r="AQ411" s="80"/>
    </row>
    <row r="412" spans="1:43" ht="15.75" customHeight="1" x14ac:dyDescent="0.2">
      <c r="A412" s="63" t="str">
        <f t="shared" si="24"/>
        <v/>
      </c>
      <c r="B412" s="62"/>
      <c r="C412" s="62"/>
      <c r="D412" s="62"/>
      <c r="E412" s="62"/>
      <c r="F412" s="62"/>
      <c r="G412" s="62"/>
      <c r="H412" s="62"/>
      <c r="I412" s="66"/>
      <c r="J412" s="66"/>
      <c r="K412" s="66"/>
      <c r="L412" s="66"/>
      <c r="M412" s="66"/>
      <c r="N412" s="64" t="str">
        <f>IF(OR($B412="", $I412="", $J412="", $K412="", $L412="", $M412=""),"",ROUND(($I412*Lists!$AN$2)+($J412*Lists!$AN$3)+($K412*Lists!$AN$4)+($L412*Lists!$AN$5)+($M412*Lists!$AN$6),2))</f>
        <v/>
      </c>
      <c r="O412" s="64" t="str">
        <f>IF($A412="","",IFERROR(VLOOKUP($A412,'Risk Register'!$B$2:$I$1000,8,FALSE()),""))</f>
        <v/>
      </c>
      <c r="P412" s="66"/>
      <c r="Q412" s="66"/>
      <c r="R412" s="66"/>
      <c r="S412" s="66"/>
      <c r="T412" s="64" t="str">
        <f>IF(OR($B412="", $P412="", $Q412="", $R412="", $S412=""),"",ROUND(($P412*Lists!$AN$7)+($Q412*Lists!$AN$8)+($R412*Lists!$AN$9)+($S412*Lists!$AN$10),2))</f>
        <v/>
      </c>
      <c r="U412" s="66"/>
      <c r="V412" s="66"/>
      <c r="W412" s="66"/>
      <c r="X412" s="66"/>
      <c r="Y412" s="66"/>
      <c r="Z412" s="64" t="str">
        <f>IF(OR($B412="", $U412="", $V412="", $W412="", $X412="", $Y412=""),"",ROUND(($U412*Lists!$AN$11)+($V412*Lists!$AN$12)+($W412*Lists!$AN$13)+($X412*Lists!$AN$14)+($Y412*Lists!$AN$15),2))</f>
        <v/>
      </c>
      <c r="AA412" s="64" t="str">
        <f>IF(OR($B412="", $N412="", $O412="", $T412="", $Z412=""),"",ROUND(($N412*Lists!$AN$16)-($O412*Lists!$AN$17)-($T412*Lists!$AN$18)+($Z412*Lists!$AN$19),2))</f>
        <v/>
      </c>
      <c r="AB412" s="63" t="str">
        <f t="shared" si="25"/>
        <v/>
      </c>
      <c r="AC412" s="63" t="str">
        <f t="shared" si="26"/>
        <v/>
      </c>
      <c r="AD412" s="63" t="str">
        <f>IF($A412="","",IFERROR(IF(VLOOKUP($A412,'Risk Register'!$B$2:$H$1000,4,FALSE())&gt;=4,"Yes",""),""))</f>
        <v/>
      </c>
      <c r="AE412" s="63" t="str">
        <f t="shared" si="27"/>
        <v/>
      </c>
      <c r="AF412" s="62"/>
      <c r="AG412" s="62"/>
      <c r="AH412" s="62"/>
      <c r="AI412" s="62"/>
      <c r="AJ412" s="62"/>
      <c r="AK412" s="62"/>
      <c r="AL412" s="62"/>
      <c r="AM412" s="62"/>
      <c r="AN412" s="62"/>
      <c r="AO412" s="62"/>
      <c r="AP412" s="62"/>
      <c r="AQ412" s="80"/>
    </row>
    <row r="413" spans="1:43" ht="15.75" customHeight="1" x14ac:dyDescent="0.2">
      <c r="A413" s="63" t="str">
        <f t="shared" si="24"/>
        <v/>
      </c>
      <c r="B413" s="62"/>
      <c r="C413" s="62"/>
      <c r="D413" s="62"/>
      <c r="E413" s="62"/>
      <c r="F413" s="62"/>
      <c r="G413" s="62"/>
      <c r="H413" s="62"/>
      <c r="I413" s="66"/>
      <c r="J413" s="66"/>
      <c r="K413" s="66"/>
      <c r="L413" s="66"/>
      <c r="M413" s="66"/>
      <c r="N413" s="64" t="str">
        <f>IF(OR($B413="", $I413="", $J413="", $K413="", $L413="", $M413=""),"",ROUND(($I413*Lists!$AN$2)+($J413*Lists!$AN$3)+($K413*Lists!$AN$4)+($L413*Lists!$AN$5)+($M413*Lists!$AN$6),2))</f>
        <v/>
      </c>
      <c r="O413" s="64" t="str">
        <f>IF($A413="","",IFERROR(VLOOKUP($A413,'Risk Register'!$B$2:$I$1000,8,FALSE()),""))</f>
        <v/>
      </c>
      <c r="P413" s="66"/>
      <c r="Q413" s="66"/>
      <c r="R413" s="66"/>
      <c r="S413" s="66"/>
      <c r="T413" s="64" t="str">
        <f>IF(OR($B413="", $P413="", $Q413="", $R413="", $S413=""),"",ROUND(($P413*Lists!$AN$7)+($Q413*Lists!$AN$8)+($R413*Lists!$AN$9)+($S413*Lists!$AN$10),2))</f>
        <v/>
      </c>
      <c r="U413" s="66"/>
      <c r="V413" s="66"/>
      <c r="W413" s="66"/>
      <c r="X413" s="66"/>
      <c r="Y413" s="66"/>
      <c r="Z413" s="64" t="str">
        <f>IF(OR($B413="", $U413="", $V413="", $W413="", $X413="", $Y413=""),"",ROUND(($U413*Lists!$AN$11)+($V413*Lists!$AN$12)+($W413*Lists!$AN$13)+($X413*Lists!$AN$14)+($Y413*Lists!$AN$15),2))</f>
        <v/>
      </c>
      <c r="AA413" s="64" t="str">
        <f>IF(OR($B413="", $N413="", $O413="", $T413="", $Z413=""),"",ROUND(($N413*Lists!$AN$16)-($O413*Lists!$AN$17)-($T413*Lists!$AN$18)+($Z413*Lists!$AN$19),2))</f>
        <v/>
      </c>
      <c r="AB413" s="63" t="str">
        <f t="shared" si="25"/>
        <v/>
      </c>
      <c r="AC413" s="63" t="str">
        <f t="shared" si="26"/>
        <v/>
      </c>
      <c r="AD413" s="63" t="str">
        <f>IF($A413="","",IFERROR(IF(VLOOKUP($A413,'Risk Register'!$B$2:$H$1000,4,FALSE())&gt;=4,"Yes",""),""))</f>
        <v/>
      </c>
      <c r="AE413" s="63" t="str">
        <f t="shared" si="27"/>
        <v/>
      </c>
      <c r="AF413" s="62"/>
      <c r="AG413" s="62"/>
      <c r="AH413" s="62"/>
      <c r="AI413" s="62"/>
      <c r="AJ413" s="62"/>
      <c r="AK413" s="62"/>
      <c r="AL413" s="62"/>
      <c r="AM413" s="62"/>
      <c r="AN413" s="62"/>
      <c r="AO413" s="62"/>
      <c r="AP413" s="62"/>
      <c r="AQ413" s="80"/>
    </row>
    <row r="414" spans="1:43" ht="15.75" customHeight="1" x14ac:dyDescent="0.2">
      <c r="A414" s="63" t="str">
        <f t="shared" si="24"/>
        <v/>
      </c>
      <c r="B414" s="62"/>
      <c r="C414" s="62"/>
      <c r="D414" s="62"/>
      <c r="E414" s="62"/>
      <c r="F414" s="62"/>
      <c r="G414" s="62"/>
      <c r="H414" s="62"/>
      <c r="I414" s="66"/>
      <c r="J414" s="66"/>
      <c r="K414" s="66"/>
      <c r="L414" s="66"/>
      <c r="M414" s="66"/>
      <c r="N414" s="64" t="str">
        <f>IF(OR($B414="", $I414="", $J414="", $K414="", $L414="", $M414=""),"",ROUND(($I414*Lists!$AN$2)+($J414*Lists!$AN$3)+($K414*Lists!$AN$4)+($L414*Lists!$AN$5)+($M414*Lists!$AN$6),2))</f>
        <v/>
      </c>
      <c r="O414" s="64" t="str">
        <f>IF($A414="","",IFERROR(VLOOKUP($A414,'Risk Register'!$B$2:$I$1000,8,FALSE()),""))</f>
        <v/>
      </c>
      <c r="P414" s="66"/>
      <c r="Q414" s="66"/>
      <c r="R414" s="66"/>
      <c r="S414" s="66"/>
      <c r="T414" s="64" t="str">
        <f>IF(OR($B414="", $P414="", $Q414="", $R414="", $S414=""),"",ROUND(($P414*Lists!$AN$7)+($Q414*Lists!$AN$8)+($R414*Lists!$AN$9)+($S414*Lists!$AN$10),2))</f>
        <v/>
      </c>
      <c r="U414" s="66"/>
      <c r="V414" s="66"/>
      <c r="W414" s="66"/>
      <c r="X414" s="66"/>
      <c r="Y414" s="66"/>
      <c r="Z414" s="64" t="str">
        <f>IF(OR($B414="", $U414="", $V414="", $W414="", $X414="", $Y414=""),"",ROUND(($U414*Lists!$AN$11)+($V414*Lists!$AN$12)+($W414*Lists!$AN$13)+($X414*Lists!$AN$14)+($Y414*Lists!$AN$15),2))</f>
        <v/>
      </c>
      <c r="AA414" s="64" t="str">
        <f>IF(OR($B414="", $N414="", $O414="", $T414="", $Z414=""),"",ROUND(($N414*Lists!$AN$16)-($O414*Lists!$AN$17)-($T414*Lists!$AN$18)+($Z414*Lists!$AN$19),2))</f>
        <v/>
      </c>
      <c r="AB414" s="63" t="str">
        <f t="shared" si="25"/>
        <v/>
      </c>
      <c r="AC414" s="63" t="str">
        <f t="shared" si="26"/>
        <v/>
      </c>
      <c r="AD414" s="63" t="str">
        <f>IF($A414="","",IFERROR(IF(VLOOKUP($A414,'Risk Register'!$B$2:$H$1000,4,FALSE())&gt;=4,"Yes",""),""))</f>
        <v/>
      </c>
      <c r="AE414" s="63" t="str">
        <f t="shared" si="27"/>
        <v/>
      </c>
      <c r="AF414" s="62"/>
      <c r="AG414" s="62"/>
      <c r="AH414" s="62"/>
      <c r="AI414" s="62"/>
      <c r="AJ414" s="62"/>
      <c r="AK414" s="62"/>
      <c r="AL414" s="62"/>
      <c r="AM414" s="62"/>
      <c r="AN414" s="62"/>
      <c r="AO414" s="62"/>
      <c r="AP414" s="62"/>
      <c r="AQ414" s="80"/>
    </row>
    <row r="415" spans="1:43" ht="15.75" customHeight="1" x14ac:dyDescent="0.2">
      <c r="A415" s="63" t="str">
        <f t="shared" si="24"/>
        <v/>
      </c>
      <c r="B415" s="62"/>
      <c r="C415" s="62"/>
      <c r="D415" s="62"/>
      <c r="E415" s="62"/>
      <c r="F415" s="62"/>
      <c r="G415" s="62"/>
      <c r="H415" s="62"/>
      <c r="I415" s="66"/>
      <c r="J415" s="66"/>
      <c r="K415" s="66"/>
      <c r="L415" s="66"/>
      <c r="M415" s="66"/>
      <c r="N415" s="64" t="str">
        <f>IF(OR($B415="", $I415="", $J415="", $K415="", $L415="", $M415=""),"",ROUND(($I415*Lists!$AN$2)+($J415*Lists!$AN$3)+($K415*Lists!$AN$4)+($L415*Lists!$AN$5)+($M415*Lists!$AN$6),2))</f>
        <v/>
      </c>
      <c r="O415" s="64" t="str">
        <f>IF($A415="","",IFERROR(VLOOKUP($A415,'Risk Register'!$B$2:$I$1000,8,FALSE()),""))</f>
        <v/>
      </c>
      <c r="P415" s="66"/>
      <c r="Q415" s="66"/>
      <c r="R415" s="66"/>
      <c r="S415" s="66"/>
      <c r="T415" s="64" t="str">
        <f>IF(OR($B415="", $P415="", $Q415="", $R415="", $S415=""),"",ROUND(($P415*Lists!$AN$7)+($Q415*Lists!$AN$8)+($R415*Lists!$AN$9)+($S415*Lists!$AN$10),2))</f>
        <v/>
      </c>
      <c r="U415" s="66"/>
      <c r="V415" s="66"/>
      <c r="W415" s="66"/>
      <c r="X415" s="66"/>
      <c r="Y415" s="66"/>
      <c r="Z415" s="64" t="str">
        <f>IF(OR($B415="", $U415="", $V415="", $W415="", $X415="", $Y415=""),"",ROUND(($U415*Lists!$AN$11)+($V415*Lists!$AN$12)+($W415*Lists!$AN$13)+($X415*Lists!$AN$14)+($Y415*Lists!$AN$15),2))</f>
        <v/>
      </c>
      <c r="AA415" s="64" t="str">
        <f>IF(OR($B415="", $N415="", $O415="", $T415="", $Z415=""),"",ROUND(($N415*Lists!$AN$16)-($O415*Lists!$AN$17)-($T415*Lists!$AN$18)+($Z415*Lists!$AN$19),2))</f>
        <v/>
      </c>
      <c r="AB415" s="63" t="str">
        <f t="shared" si="25"/>
        <v/>
      </c>
      <c r="AC415" s="63" t="str">
        <f t="shared" si="26"/>
        <v/>
      </c>
      <c r="AD415" s="63" t="str">
        <f>IF($A415="","",IFERROR(IF(VLOOKUP($A415,'Risk Register'!$B$2:$H$1000,4,FALSE())&gt;=4,"Yes",""),""))</f>
        <v/>
      </c>
      <c r="AE415" s="63" t="str">
        <f t="shared" si="27"/>
        <v/>
      </c>
      <c r="AF415" s="62"/>
      <c r="AG415" s="62"/>
      <c r="AH415" s="62"/>
      <c r="AI415" s="62"/>
      <c r="AJ415" s="62"/>
      <c r="AK415" s="62"/>
      <c r="AL415" s="62"/>
      <c r="AM415" s="62"/>
      <c r="AN415" s="62"/>
      <c r="AO415" s="62"/>
      <c r="AP415" s="62"/>
      <c r="AQ415" s="80"/>
    </row>
    <row r="416" spans="1:43" ht="15.75" customHeight="1" x14ac:dyDescent="0.2">
      <c r="A416" s="63" t="str">
        <f t="shared" si="24"/>
        <v/>
      </c>
      <c r="B416" s="62"/>
      <c r="C416" s="62"/>
      <c r="D416" s="62"/>
      <c r="E416" s="62"/>
      <c r="F416" s="62"/>
      <c r="G416" s="62"/>
      <c r="H416" s="62"/>
      <c r="I416" s="66"/>
      <c r="J416" s="66"/>
      <c r="K416" s="66"/>
      <c r="L416" s="66"/>
      <c r="M416" s="66"/>
      <c r="N416" s="64" t="str">
        <f>IF(OR($B416="", $I416="", $J416="", $K416="", $L416="", $M416=""),"",ROUND(($I416*Lists!$AN$2)+($J416*Lists!$AN$3)+($K416*Lists!$AN$4)+($L416*Lists!$AN$5)+($M416*Lists!$AN$6),2))</f>
        <v/>
      </c>
      <c r="O416" s="64" t="str">
        <f>IF($A416="","",IFERROR(VLOOKUP($A416,'Risk Register'!$B$2:$I$1000,8,FALSE()),""))</f>
        <v/>
      </c>
      <c r="P416" s="66"/>
      <c r="Q416" s="66"/>
      <c r="R416" s="66"/>
      <c r="S416" s="66"/>
      <c r="T416" s="64" t="str">
        <f>IF(OR($B416="", $P416="", $Q416="", $R416="", $S416=""),"",ROUND(($P416*Lists!$AN$7)+($Q416*Lists!$AN$8)+($R416*Lists!$AN$9)+($S416*Lists!$AN$10),2))</f>
        <v/>
      </c>
      <c r="U416" s="66"/>
      <c r="V416" s="66"/>
      <c r="W416" s="66"/>
      <c r="X416" s="66"/>
      <c r="Y416" s="66"/>
      <c r="Z416" s="64" t="str">
        <f>IF(OR($B416="", $U416="", $V416="", $W416="", $X416="", $Y416=""),"",ROUND(($U416*Lists!$AN$11)+($V416*Lists!$AN$12)+($W416*Lists!$AN$13)+($X416*Lists!$AN$14)+($Y416*Lists!$AN$15),2))</f>
        <v/>
      </c>
      <c r="AA416" s="64" t="str">
        <f>IF(OR($B416="", $N416="", $O416="", $T416="", $Z416=""),"",ROUND(($N416*Lists!$AN$16)-($O416*Lists!$AN$17)-($T416*Lists!$AN$18)+($Z416*Lists!$AN$19),2))</f>
        <v/>
      </c>
      <c r="AB416" s="63" t="str">
        <f t="shared" si="25"/>
        <v/>
      </c>
      <c r="AC416" s="63" t="str">
        <f t="shared" si="26"/>
        <v/>
      </c>
      <c r="AD416" s="63" t="str">
        <f>IF($A416="","",IFERROR(IF(VLOOKUP($A416,'Risk Register'!$B$2:$H$1000,4,FALSE())&gt;=4,"Yes",""),""))</f>
        <v/>
      </c>
      <c r="AE416" s="63" t="str">
        <f t="shared" si="27"/>
        <v/>
      </c>
      <c r="AF416" s="62"/>
      <c r="AG416" s="62"/>
      <c r="AH416" s="62"/>
      <c r="AI416" s="62"/>
      <c r="AJ416" s="62"/>
      <c r="AK416" s="62"/>
      <c r="AL416" s="62"/>
      <c r="AM416" s="62"/>
      <c r="AN416" s="62"/>
      <c r="AO416" s="62"/>
      <c r="AP416" s="62"/>
      <c r="AQ416" s="80"/>
    </row>
    <row r="417" spans="1:43" ht="15.75" customHeight="1" x14ac:dyDescent="0.2">
      <c r="A417" s="63" t="str">
        <f t="shared" si="24"/>
        <v/>
      </c>
      <c r="B417" s="62"/>
      <c r="C417" s="62"/>
      <c r="D417" s="62"/>
      <c r="E417" s="62"/>
      <c r="F417" s="62"/>
      <c r="G417" s="62"/>
      <c r="H417" s="62"/>
      <c r="I417" s="66"/>
      <c r="J417" s="66"/>
      <c r="K417" s="66"/>
      <c r="L417" s="66"/>
      <c r="M417" s="66"/>
      <c r="N417" s="64" t="str">
        <f>IF(OR($B417="", $I417="", $J417="", $K417="", $L417="", $M417=""),"",ROUND(($I417*Lists!$AN$2)+($J417*Lists!$AN$3)+($K417*Lists!$AN$4)+($L417*Lists!$AN$5)+($M417*Lists!$AN$6),2))</f>
        <v/>
      </c>
      <c r="O417" s="64" t="str">
        <f>IF($A417="","",IFERROR(VLOOKUP($A417,'Risk Register'!$B$2:$I$1000,8,FALSE()),""))</f>
        <v/>
      </c>
      <c r="P417" s="66"/>
      <c r="Q417" s="66"/>
      <c r="R417" s="66"/>
      <c r="S417" s="66"/>
      <c r="T417" s="64" t="str">
        <f>IF(OR($B417="", $P417="", $Q417="", $R417="", $S417=""),"",ROUND(($P417*Lists!$AN$7)+($Q417*Lists!$AN$8)+($R417*Lists!$AN$9)+($S417*Lists!$AN$10),2))</f>
        <v/>
      </c>
      <c r="U417" s="66"/>
      <c r="V417" s="66"/>
      <c r="W417" s="66"/>
      <c r="X417" s="66"/>
      <c r="Y417" s="66"/>
      <c r="Z417" s="64" t="str">
        <f>IF(OR($B417="", $U417="", $V417="", $W417="", $X417="", $Y417=""),"",ROUND(($U417*Lists!$AN$11)+($V417*Lists!$AN$12)+($W417*Lists!$AN$13)+($X417*Lists!$AN$14)+($Y417*Lists!$AN$15),2))</f>
        <v/>
      </c>
      <c r="AA417" s="64" t="str">
        <f>IF(OR($B417="", $N417="", $O417="", $T417="", $Z417=""),"",ROUND(($N417*Lists!$AN$16)-($O417*Lists!$AN$17)-($T417*Lists!$AN$18)+($Z417*Lists!$AN$19),2))</f>
        <v/>
      </c>
      <c r="AB417" s="63" t="str">
        <f t="shared" si="25"/>
        <v/>
      </c>
      <c r="AC417" s="63" t="str">
        <f t="shared" si="26"/>
        <v/>
      </c>
      <c r="AD417" s="63" t="str">
        <f>IF($A417="","",IFERROR(IF(VLOOKUP($A417,'Risk Register'!$B$2:$H$1000,4,FALSE())&gt;=4,"Yes",""),""))</f>
        <v/>
      </c>
      <c r="AE417" s="63" t="str">
        <f t="shared" si="27"/>
        <v/>
      </c>
      <c r="AF417" s="62"/>
      <c r="AG417" s="62"/>
      <c r="AH417" s="62"/>
      <c r="AI417" s="62"/>
      <c r="AJ417" s="62"/>
      <c r="AK417" s="62"/>
      <c r="AL417" s="62"/>
      <c r="AM417" s="62"/>
      <c r="AN417" s="62"/>
      <c r="AO417" s="62"/>
      <c r="AP417" s="62"/>
      <c r="AQ417" s="80"/>
    </row>
    <row r="418" spans="1:43" ht="15.75" customHeight="1" x14ac:dyDescent="0.2">
      <c r="A418" s="63" t="str">
        <f t="shared" si="24"/>
        <v/>
      </c>
      <c r="B418" s="62"/>
      <c r="C418" s="62"/>
      <c r="D418" s="62"/>
      <c r="E418" s="62"/>
      <c r="F418" s="62"/>
      <c r="G418" s="62"/>
      <c r="H418" s="62"/>
      <c r="I418" s="66"/>
      <c r="J418" s="66"/>
      <c r="K418" s="66"/>
      <c r="L418" s="66"/>
      <c r="M418" s="66"/>
      <c r="N418" s="64" t="str">
        <f>IF(OR($B418="", $I418="", $J418="", $K418="", $L418="", $M418=""),"",ROUND(($I418*Lists!$AN$2)+($J418*Lists!$AN$3)+($K418*Lists!$AN$4)+($L418*Lists!$AN$5)+($M418*Lists!$AN$6),2))</f>
        <v/>
      </c>
      <c r="O418" s="64" t="str">
        <f>IF($A418="","",IFERROR(VLOOKUP($A418,'Risk Register'!$B$2:$I$1000,8,FALSE()),""))</f>
        <v/>
      </c>
      <c r="P418" s="66"/>
      <c r="Q418" s="66"/>
      <c r="R418" s="66"/>
      <c r="S418" s="66"/>
      <c r="T418" s="64" t="str">
        <f>IF(OR($B418="", $P418="", $Q418="", $R418="", $S418=""),"",ROUND(($P418*Lists!$AN$7)+($Q418*Lists!$AN$8)+($R418*Lists!$AN$9)+($S418*Lists!$AN$10),2))</f>
        <v/>
      </c>
      <c r="U418" s="66"/>
      <c r="V418" s="66"/>
      <c r="W418" s="66"/>
      <c r="X418" s="66"/>
      <c r="Y418" s="66"/>
      <c r="Z418" s="64" t="str">
        <f>IF(OR($B418="", $U418="", $V418="", $W418="", $X418="", $Y418=""),"",ROUND(($U418*Lists!$AN$11)+($V418*Lists!$AN$12)+($W418*Lists!$AN$13)+($X418*Lists!$AN$14)+($Y418*Lists!$AN$15),2))</f>
        <v/>
      </c>
      <c r="AA418" s="64" t="str">
        <f>IF(OR($B418="", $N418="", $O418="", $T418="", $Z418=""),"",ROUND(($N418*Lists!$AN$16)-($O418*Lists!$AN$17)-($T418*Lists!$AN$18)+($Z418*Lists!$AN$19),2))</f>
        <v/>
      </c>
      <c r="AB418" s="63" t="str">
        <f t="shared" si="25"/>
        <v/>
      </c>
      <c r="AC418" s="63" t="str">
        <f t="shared" si="26"/>
        <v/>
      </c>
      <c r="AD418" s="63" t="str">
        <f>IF($A418="","",IFERROR(IF(VLOOKUP($A418,'Risk Register'!$B$2:$H$1000,4,FALSE())&gt;=4,"Yes",""),""))</f>
        <v/>
      </c>
      <c r="AE418" s="63" t="str">
        <f t="shared" si="27"/>
        <v/>
      </c>
      <c r="AF418" s="62"/>
      <c r="AG418" s="62"/>
      <c r="AH418" s="62"/>
      <c r="AI418" s="62"/>
      <c r="AJ418" s="62"/>
      <c r="AK418" s="62"/>
      <c r="AL418" s="62"/>
      <c r="AM418" s="62"/>
      <c r="AN418" s="62"/>
      <c r="AO418" s="62"/>
      <c r="AP418" s="62"/>
      <c r="AQ418" s="80"/>
    </row>
    <row r="419" spans="1:43" ht="15.75" customHeight="1" x14ac:dyDescent="0.2">
      <c r="A419" s="63" t="str">
        <f t="shared" si="24"/>
        <v/>
      </c>
      <c r="B419" s="62"/>
      <c r="C419" s="62"/>
      <c r="D419" s="62"/>
      <c r="E419" s="62"/>
      <c r="F419" s="62"/>
      <c r="G419" s="62"/>
      <c r="H419" s="62"/>
      <c r="I419" s="66"/>
      <c r="J419" s="66"/>
      <c r="K419" s="66"/>
      <c r="L419" s="66"/>
      <c r="M419" s="66"/>
      <c r="N419" s="64" t="str">
        <f>IF(OR($B419="", $I419="", $J419="", $K419="", $L419="", $M419=""),"",ROUND(($I419*Lists!$AN$2)+($J419*Lists!$AN$3)+($K419*Lists!$AN$4)+($L419*Lists!$AN$5)+($M419*Lists!$AN$6),2))</f>
        <v/>
      </c>
      <c r="O419" s="64" t="str">
        <f>IF($A419="","",IFERROR(VLOOKUP($A419,'Risk Register'!$B$2:$I$1000,8,FALSE()),""))</f>
        <v/>
      </c>
      <c r="P419" s="66"/>
      <c r="Q419" s="66"/>
      <c r="R419" s="66"/>
      <c r="S419" s="66"/>
      <c r="T419" s="64" t="str">
        <f>IF(OR($B419="", $P419="", $Q419="", $R419="", $S419=""),"",ROUND(($P419*Lists!$AN$7)+($Q419*Lists!$AN$8)+($R419*Lists!$AN$9)+($S419*Lists!$AN$10),2))</f>
        <v/>
      </c>
      <c r="U419" s="66"/>
      <c r="V419" s="66"/>
      <c r="W419" s="66"/>
      <c r="X419" s="66"/>
      <c r="Y419" s="66"/>
      <c r="Z419" s="64" t="str">
        <f>IF(OR($B419="", $U419="", $V419="", $W419="", $X419="", $Y419=""),"",ROUND(($U419*Lists!$AN$11)+($V419*Lists!$AN$12)+($W419*Lists!$AN$13)+($X419*Lists!$AN$14)+($Y419*Lists!$AN$15),2))</f>
        <v/>
      </c>
      <c r="AA419" s="64" t="str">
        <f>IF(OR($B419="", $N419="", $O419="", $T419="", $Z419=""),"",ROUND(($N419*Lists!$AN$16)-($O419*Lists!$AN$17)-($T419*Lists!$AN$18)+($Z419*Lists!$AN$19),2))</f>
        <v/>
      </c>
      <c r="AB419" s="63" t="str">
        <f t="shared" si="25"/>
        <v/>
      </c>
      <c r="AC419" s="63" t="str">
        <f t="shared" si="26"/>
        <v/>
      </c>
      <c r="AD419" s="63" t="str">
        <f>IF($A419="","",IFERROR(IF(VLOOKUP($A419,'Risk Register'!$B$2:$H$1000,4,FALSE())&gt;=4,"Yes",""),""))</f>
        <v/>
      </c>
      <c r="AE419" s="63" t="str">
        <f t="shared" si="27"/>
        <v/>
      </c>
      <c r="AF419" s="62"/>
      <c r="AG419" s="62"/>
      <c r="AH419" s="62"/>
      <c r="AI419" s="62"/>
      <c r="AJ419" s="62"/>
      <c r="AK419" s="62"/>
      <c r="AL419" s="62"/>
      <c r="AM419" s="62"/>
      <c r="AN419" s="62"/>
      <c r="AO419" s="62"/>
      <c r="AP419" s="62"/>
      <c r="AQ419" s="80"/>
    </row>
    <row r="420" spans="1:43" ht="15.75" customHeight="1" x14ac:dyDescent="0.2">
      <c r="A420" s="63" t="str">
        <f t="shared" si="24"/>
        <v/>
      </c>
      <c r="B420" s="62"/>
      <c r="C420" s="62"/>
      <c r="D420" s="62"/>
      <c r="E420" s="62"/>
      <c r="F420" s="62"/>
      <c r="G420" s="62"/>
      <c r="H420" s="62"/>
      <c r="I420" s="66"/>
      <c r="J420" s="66"/>
      <c r="K420" s="66"/>
      <c r="L420" s="66"/>
      <c r="M420" s="66"/>
      <c r="N420" s="64" t="str">
        <f>IF(OR($B420="", $I420="", $J420="", $K420="", $L420="", $M420=""),"",ROUND(($I420*Lists!$AN$2)+($J420*Lists!$AN$3)+($K420*Lists!$AN$4)+($L420*Lists!$AN$5)+($M420*Lists!$AN$6),2))</f>
        <v/>
      </c>
      <c r="O420" s="64" t="str">
        <f>IF($A420="","",IFERROR(VLOOKUP($A420,'Risk Register'!$B$2:$I$1000,8,FALSE()),""))</f>
        <v/>
      </c>
      <c r="P420" s="66"/>
      <c r="Q420" s="66"/>
      <c r="R420" s="66"/>
      <c r="S420" s="66"/>
      <c r="T420" s="64" t="str">
        <f>IF(OR($B420="", $P420="", $Q420="", $R420="", $S420=""),"",ROUND(($P420*Lists!$AN$7)+($Q420*Lists!$AN$8)+($R420*Lists!$AN$9)+($S420*Lists!$AN$10),2))</f>
        <v/>
      </c>
      <c r="U420" s="66"/>
      <c r="V420" s="66"/>
      <c r="W420" s="66"/>
      <c r="X420" s="66"/>
      <c r="Y420" s="66"/>
      <c r="Z420" s="64" t="str">
        <f>IF(OR($B420="", $U420="", $V420="", $W420="", $X420="", $Y420=""),"",ROUND(($U420*Lists!$AN$11)+($V420*Lists!$AN$12)+($W420*Lists!$AN$13)+($X420*Lists!$AN$14)+($Y420*Lists!$AN$15),2))</f>
        <v/>
      </c>
      <c r="AA420" s="64" t="str">
        <f>IF(OR($B420="", $N420="", $O420="", $T420="", $Z420=""),"",ROUND(($N420*Lists!$AN$16)-($O420*Lists!$AN$17)-($T420*Lists!$AN$18)+($Z420*Lists!$AN$19),2))</f>
        <v/>
      </c>
      <c r="AB420" s="63" t="str">
        <f t="shared" si="25"/>
        <v/>
      </c>
      <c r="AC420" s="63" t="str">
        <f t="shared" si="26"/>
        <v/>
      </c>
      <c r="AD420" s="63" t="str">
        <f>IF($A420="","",IFERROR(IF(VLOOKUP($A420,'Risk Register'!$B$2:$H$1000,4,FALSE())&gt;=4,"Yes",""),""))</f>
        <v/>
      </c>
      <c r="AE420" s="63" t="str">
        <f t="shared" si="27"/>
        <v/>
      </c>
      <c r="AF420" s="62"/>
      <c r="AG420" s="62"/>
      <c r="AH420" s="62"/>
      <c r="AI420" s="62"/>
      <c r="AJ420" s="62"/>
      <c r="AK420" s="62"/>
      <c r="AL420" s="62"/>
      <c r="AM420" s="62"/>
      <c r="AN420" s="62"/>
      <c r="AO420" s="62"/>
      <c r="AP420" s="62"/>
      <c r="AQ420" s="80"/>
    </row>
    <row r="421" spans="1:43" ht="15.75" customHeight="1" x14ac:dyDescent="0.2">
      <c r="A421" s="63" t="str">
        <f t="shared" si="24"/>
        <v/>
      </c>
      <c r="B421" s="62"/>
      <c r="C421" s="62"/>
      <c r="D421" s="62"/>
      <c r="E421" s="62"/>
      <c r="F421" s="62"/>
      <c r="G421" s="62"/>
      <c r="H421" s="62"/>
      <c r="I421" s="66"/>
      <c r="J421" s="66"/>
      <c r="K421" s="66"/>
      <c r="L421" s="66"/>
      <c r="M421" s="66"/>
      <c r="N421" s="64" t="str">
        <f>IF(OR($B421="", $I421="", $J421="", $K421="", $L421="", $M421=""),"",ROUND(($I421*Lists!$AN$2)+($J421*Lists!$AN$3)+($K421*Lists!$AN$4)+($L421*Lists!$AN$5)+($M421*Lists!$AN$6),2))</f>
        <v/>
      </c>
      <c r="O421" s="64" t="str">
        <f>IF($A421="","",IFERROR(VLOOKUP($A421,'Risk Register'!$B$2:$I$1000,8,FALSE()),""))</f>
        <v/>
      </c>
      <c r="P421" s="66"/>
      <c r="Q421" s="66"/>
      <c r="R421" s="66"/>
      <c r="S421" s="66"/>
      <c r="T421" s="64" t="str">
        <f>IF(OR($B421="", $P421="", $Q421="", $R421="", $S421=""),"",ROUND(($P421*Lists!$AN$7)+($Q421*Lists!$AN$8)+($R421*Lists!$AN$9)+($S421*Lists!$AN$10),2))</f>
        <v/>
      </c>
      <c r="U421" s="66"/>
      <c r="V421" s="66"/>
      <c r="W421" s="66"/>
      <c r="X421" s="66"/>
      <c r="Y421" s="66"/>
      <c r="Z421" s="64" t="str">
        <f>IF(OR($B421="", $U421="", $V421="", $W421="", $X421="", $Y421=""),"",ROUND(($U421*Lists!$AN$11)+($V421*Lists!$AN$12)+($W421*Lists!$AN$13)+($X421*Lists!$AN$14)+($Y421*Lists!$AN$15),2))</f>
        <v/>
      </c>
      <c r="AA421" s="64" t="str">
        <f>IF(OR($B421="", $N421="", $O421="", $T421="", $Z421=""),"",ROUND(($N421*Lists!$AN$16)-($O421*Lists!$AN$17)-($T421*Lists!$AN$18)+($Z421*Lists!$AN$19),2))</f>
        <v/>
      </c>
      <c r="AB421" s="63" t="str">
        <f t="shared" si="25"/>
        <v/>
      </c>
      <c r="AC421" s="63" t="str">
        <f t="shared" si="26"/>
        <v/>
      </c>
      <c r="AD421" s="63" t="str">
        <f>IF($A421="","",IFERROR(IF(VLOOKUP($A421,'Risk Register'!$B$2:$H$1000,4,FALSE())&gt;=4,"Yes",""),""))</f>
        <v/>
      </c>
      <c r="AE421" s="63" t="str">
        <f t="shared" si="27"/>
        <v/>
      </c>
      <c r="AF421" s="62"/>
      <c r="AG421" s="62"/>
      <c r="AH421" s="62"/>
      <c r="AI421" s="62"/>
      <c r="AJ421" s="62"/>
      <c r="AK421" s="62"/>
      <c r="AL421" s="62"/>
      <c r="AM421" s="62"/>
      <c r="AN421" s="62"/>
      <c r="AO421" s="62"/>
      <c r="AP421" s="62"/>
      <c r="AQ421" s="80"/>
    </row>
    <row r="422" spans="1:43" ht="15.75" customHeight="1" x14ac:dyDescent="0.2">
      <c r="A422" s="63" t="str">
        <f t="shared" si="24"/>
        <v/>
      </c>
      <c r="B422" s="62"/>
      <c r="C422" s="62"/>
      <c r="D422" s="62"/>
      <c r="E422" s="62"/>
      <c r="F422" s="62"/>
      <c r="G422" s="62"/>
      <c r="H422" s="62"/>
      <c r="I422" s="66"/>
      <c r="J422" s="66"/>
      <c r="K422" s="66"/>
      <c r="L422" s="66"/>
      <c r="M422" s="66"/>
      <c r="N422" s="64" t="str">
        <f>IF(OR($B422="", $I422="", $J422="", $K422="", $L422="", $M422=""),"",ROUND(($I422*Lists!$AN$2)+($J422*Lists!$AN$3)+($K422*Lists!$AN$4)+($L422*Lists!$AN$5)+($M422*Lists!$AN$6),2))</f>
        <v/>
      </c>
      <c r="O422" s="64" t="str">
        <f>IF($A422="","",IFERROR(VLOOKUP($A422,'Risk Register'!$B$2:$I$1000,8,FALSE()),""))</f>
        <v/>
      </c>
      <c r="P422" s="66"/>
      <c r="Q422" s="66"/>
      <c r="R422" s="66"/>
      <c r="S422" s="66"/>
      <c r="T422" s="64" t="str">
        <f>IF(OR($B422="", $P422="", $Q422="", $R422="", $S422=""),"",ROUND(($P422*Lists!$AN$7)+($Q422*Lists!$AN$8)+($R422*Lists!$AN$9)+($S422*Lists!$AN$10),2))</f>
        <v/>
      </c>
      <c r="U422" s="66"/>
      <c r="V422" s="66"/>
      <c r="W422" s="66"/>
      <c r="X422" s="66"/>
      <c r="Y422" s="66"/>
      <c r="Z422" s="64" t="str">
        <f>IF(OR($B422="", $U422="", $V422="", $W422="", $X422="", $Y422=""),"",ROUND(($U422*Lists!$AN$11)+($V422*Lists!$AN$12)+($W422*Lists!$AN$13)+($X422*Lists!$AN$14)+($Y422*Lists!$AN$15),2))</f>
        <v/>
      </c>
      <c r="AA422" s="64" t="str">
        <f>IF(OR($B422="", $N422="", $O422="", $T422="", $Z422=""),"",ROUND(($N422*Lists!$AN$16)-($O422*Lists!$AN$17)-($T422*Lists!$AN$18)+($Z422*Lists!$AN$19),2))</f>
        <v/>
      </c>
      <c r="AB422" s="63" t="str">
        <f t="shared" si="25"/>
        <v/>
      </c>
      <c r="AC422" s="63" t="str">
        <f t="shared" si="26"/>
        <v/>
      </c>
      <c r="AD422" s="63" t="str">
        <f>IF($A422="","",IFERROR(IF(VLOOKUP($A422,'Risk Register'!$B$2:$H$1000,4,FALSE())&gt;=4,"Yes",""),""))</f>
        <v/>
      </c>
      <c r="AE422" s="63" t="str">
        <f t="shared" si="27"/>
        <v/>
      </c>
      <c r="AF422" s="62"/>
      <c r="AG422" s="62"/>
      <c r="AH422" s="62"/>
      <c r="AI422" s="62"/>
      <c r="AJ422" s="62"/>
      <c r="AK422" s="62"/>
      <c r="AL422" s="62"/>
      <c r="AM422" s="62"/>
      <c r="AN422" s="62"/>
      <c r="AO422" s="62"/>
      <c r="AP422" s="62"/>
      <c r="AQ422" s="80"/>
    </row>
    <row r="423" spans="1:43" ht="15.75" customHeight="1" x14ac:dyDescent="0.2">
      <c r="A423" s="63" t="str">
        <f t="shared" si="24"/>
        <v/>
      </c>
      <c r="B423" s="62"/>
      <c r="C423" s="62"/>
      <c r="D423" s="62"/>
      <c r="E423" s="62"/>
      <c r="F423" s="62"/>
      <c r="G423" s="62"/>
      <c r="H423" s="62"/>
      <c r="I423" s="66"/>
      <c r="J423" s="66"/>
      <c r="K423" s="66"/>
      <c r="L423" s="66"/>
      <c r="M423" s="66"/>
      <c r="N423" s="64" t="str">
        <f>IF(OR($B423="", $I423="", $J423="", $K423="", $L423="", $M423=""),"",ROUND(($I423*Lists!$AN$2)+($J423*Lists!$AN$3)+($K423*Lists!$AN$4)+($L423*Lists!$AN$5)+($M423*Lists!$AN$6),2))</f>
        <v/>
      </c>
      <c r="O423" s="64" t="str">
        <f>IF($A423="","",IFERROR(VLOOKUP($A423,'Risk Register'!$B$2:$I$1000,8,FALSE()),""))</f>
        <v/>
      </c>
      <c r="P423" s="66"/>
      <c r="Q423" s="66"/>
      <c r="R423" s="66"/>
      <c r="S423" s="66"/>
      <c r="T423" s="64" t="str">
        <f>IF(OR($B423="", $P423="", $Q423="", $R423="", $S423=""),"",ROUND(($P423*Lists!$AN$7)+($Q423*Lists!$AN$8)+($R423*Lists!$AN$9)+($S423*Lists!$AN$10),2))</f>
        <v/>
      </c>
      <c r="U423" s="66"/>
      <c r="V423" s="66"/>
      <c r="W423" s="66"/>
      <c r="X423" s="66"/>
      <c r="Y423" s="66"/>
      <c r="Z423" s="64" t="str">
        <f>IF(OR($B423="", $U423="", $V423="", $W423="", $X423="", $Y423=""),"",ROUND(($U423*Lists!$AN$11)+($V423*Lists!$AN$12)+($W423*Lists!$AN$13)+($X423*Lists!$AN$14)+($Y423*Lists!$AN$15),2))</f>
        <v/>
      </c>
      <c r="AA423" s="64" t="str">
        <f>IF(OR($B423="", $N423="", $O423="", $T423="", $Z423=""),"",ROUND(($N423*Lists!$AN$16)-($O423*Lists!$AN$17)-($T423*Lists!$AN$18)+($Z423*Lists!$AN$19),2))</f>
        <v/>
      </c>
      <c r="AB423" s="63" t="str">
        <f t="shared" si="25"/>
        <v/>
      </c>
      <c r="AC423" s="63" t="str">
        <f t="shared" si="26"/>
        <v/>
      </c>
      <c r="AD423" s="63" t="str">
        <f>IF($A423="","",IFERROR(IF(VLOOKUP($A423,'Risk Register'!$B$2:$H$1000,4,FALSE())&gt;=4,"Yes",""),""))</f>
        <v/>
      </c>
      <c r="AE423" s="63" t="str">
        <f t="shared" si="27"/>
        <v/>
      </c>
      <c r="AF423" s="62"/>
      <c r="AG423" s="62"/>
      <c r="AH423" s="62"/>
      <c r="AI423" s="62"/>
      <c r="AJ423" s="62"/>
      <c r="AK423" s="62"/>
      <c r="AL423" s="62"/>
      <c r="AM423" s="62"/>
      <c r="AN423" s="62"/>
      <c r="AO423" s="62"/>
      <c r="AP423" s="62"/>
      <c r="AQ423" s="80"/>
    </row>
    <row r="424" spans="1:43" ht="15.75" customHeight="1" x14ac:dyDescent="0.2">
      <c r="A424" s="63" t="str">
        <f t="shared" si="24"/>
        <v/>
      </c>
      <c r="B424" s="62"/>
      <c r="C424" s="62"/>
      <c r="D424" s="62"/>
      <c r="E424" s="62"/>
      <c r="F424" s="62"/>
      <c r="G424" s="62"/>
      <c r="H424" s="62"/>
      <c r="I424" s="66"/>
      <c r="J424" s="66"/>
      <c r="K424" s="66"/>
      <c r="L424" s="66"/>
      <c r="M424" s="66"/>
      <c r="N424" s="64" t="str">
        <f>IF(OR($B424="", $I424="", $J424="", $K424="", $L424="", $M424=""),"",ROUND(($I424*Lists!$AN$2)+($J424*Lists!$AN$3)+($K424*Lists!$AN$4)+($L424*Lists!$AN$5)+($M424*Lists!$AN$6),2))</f>
        <v/>
      </c>
      <c r="O424" s="64" t="str">
        <f>IF($A424="","",IFERROR(VLOOKUP($A424,'Risk Register'!$B$2:$I$1000,8,FALSE()),""))</f>
        <v/>
      </c>
      <c r="P424" s="66"/>
      <c r="Q424" s="66"/>
      <c r="R424" s="66"/>
      <c r="S424" s="66"/>
      <c r="T424" s="64" t="str">
        <f>IF(OR($B424="", $P424="", $Q424="", $R424="", $S424=""),"",ROUND(($P424*Lists!$AN$7)+($Q424*Lists!$AN$8)+($R424*Lists!$AN$9)+($S424*Lists!$AN$10),2))</f>
        <v/>
      </c>
      <c r="U424" s="66"/>
      <c r="V424" s="66"/>
      <c r="W424" s="66"/>
      <c r="X424" s="66"/>
      <c r="Y424" s="66"/>
      <c r="Z424" s="64" t="str">
        <f>IF(OR($B424="", $U424="", $V424="", $W424="", $X424="", $Y424=""),"",ROUND(($U424*Lists!$AN$11)+($V424*Lists!$AN$12)+($W424*Lists!$AN$13)+($X424*Lists!$AN$14)+($Y424*Lists!$AN$15),2))</f>
        <v/>
      </c>
      <c r="AA424" s="64" t="str">
        <f>IF(OR($B424="", $N424="", $O424="", $T424="", $Z424=""),"",ROUND(($N424*Lists!$AN$16)-($O424*Lists!$AN$17)-($T424*Lists!$AN$18)+($Z424*Lists!$AN$19),2))</f>
        <v/>
      </c>
      <c r="AB424" s="63" t="str">
        <f t="shared" si="25"/>
        <v/>
      </c>
      <c r="AC424" s="63" t="str">
        <f t="shared" si="26"/>
        <v/>
      </c>
      <c r="AD424" s="63" t="str">
        <f>IF($A424="","",IFERROR(IF(VLOOKUP($A424,'Risk Register'!$B$2:$H$1000,4,FALSE())&gt;=4,"Yes",""),""))</f>
        <v/>
      </c>
      <c r="AE424" s="63" t="str">
        <f t="shared" si="27"/>
        <v/>
      </c>
      <c r="AF424" s="62"/>
      <c r="AG424" s="62"/>
      <c r="AH424" s="62"/>
      <c r="AI424" s="62"/>
      <c r="AJ424" s="62"/>
      <c r="AK424" s="62"/>
      <c r="AL424" s="62"/>
      <c r="AM424" s="62"/>
      <c r="AN424" s="62"/>
      <c r="AO424" s="62"/>
      <c r="AP424" s="62"/>
      <c r="AQ424" s="80"/>
    </row>
    <row r="425" spans="1:43" ht="15.75" customHeight="1" x14ac:dyDescent="0.2">
      <c r="A425" s="63" t="str">
        <f t="shared" si="24"/>
        <v/>
      </c>
      <c r="B425" s="62"/>
      <c r="C425" s="62"/>
      <c r="D425" s="62"/>
      <c r="E425" s="62"/>
      <c r="F425" s="62"/>
      <c r="G425" s="62"/>
      <c r="H425" s="62"/>
      <c r="I425" s="66"/>
      <c r="J425" s="66"/>
      <c r="K425" s="66"/>
      <c r="L425" s="66"/>
      <c r="M425" s="66"/>
      <c r="N425" s="64" t="str">
        <f>IF(OR($B425="", $I425="", $J425="", $K425="", $L425="", $M425=""),"",ROUND(($I425*Lists!$AN$2)+($J425*Lists!$AN$3)+($K425*Lists!$AN$4)+($L425*Lists!$AN$5)+($M425*Lists!$AN$6),2))</f>
        <v/>
      </c>
      <c r="O425" s="64" t="str">
        <f>IF($A425="","",IFERROR(VLOOKUP($A425,'Risk Register'!$B$2:$I$1000,8,FALSE()),""))</f>
        <v/>
      </c>
      <c r="P425" s="66"/>
      <c r="Q425" s="66"/>
      <c r="R425" s="66"/>
      <c r="S425" s="66"/>
      <c r="T425" s="64" t="str">
        <f>IF(OR($B425="", $P425="", $Q425="", $R425="", $S425=""),"",ROUND(($P425*Lists!$AN$7)+($Q425*Lists!$AN$8)+($R425*Lists!$AN$9)+($S425*Lists!$AN$10),2))</f>
        <v/>
      </c>
      <c r="U425" s="66"/>
      <c r="V425" s="66"/>
      <c r="W425" s="66"/>
      <c r="X425" s="66"/>
      <c r="Y425" s="66"/>
      <c r="Z425" s="64" t="str">
        <f>IF(OR($B425="", $U425="", $V425="", $W425="", $X425="", $Y425=""),"",ROUND(($U425*Lists!$AN$11)+($V425*Lists!$AN$12)+($W425*Lists!$AN$13)+($X425*Lists!$AN$14)+($Y425*Lists!$AN$15),2))</f>
        <v/>
      </c>
      <c r="AA425" s="64" t="str">
        <f>IF(OR($B425="", $N425="", $O425="", $T425="", $Z425=""),"",ROUND(($N425*Lists!$AN$16)-($O425*Lists!$AN$17)-($T425*Lists!$AN$18)+($Z425*Lists!$AN$19),2))</f>
        <v/>
      </c>
      <c r="AB425" s="63" t="str">
        <f t="shared" si="25"/>
        <v/>
      </c>
      <c r="AC425" s="63" t="str">
        <f t="shared" si="26"/>
        <v/>
      </c>
      <c r="AD425" s="63" t="str">
        <f>IF($A425="","",IFERROR(IF(VLOOKUP($A425,'Risk Register'!$B$2:$H$1000,4,FALSE())&gt;=4,"Yes",""),""))</f>
        <v/>
      </c>
      <c r="AE425" s="63" t="str">
        <f t="shared" si="27"/>
        <v/>
      </c>
      <c r="AF425" s="62"/>
      <c r="AG425" s="62"/>
      <c r="AH425" s="62"/>
      <c r="AI425" s="62"/>
      <c r="AJ425" s="62"/>
      <c r="AK425" s="62"/>
      <c r="AL425" s="62"/>
      <c r="AM425" s="62"/>
      <c r="AN425" s="62"/>
      <c r="AO425" s="62"/>
      <c r="AP425" s="62"/>
      <c r="AQ425" s="80"/>
    </row>
    <row r="426" spans="1:43" ht="15.75" customHeight="1" x14ac:dyDescent="0.2">
      <c r="A426" s="63" t="str">
        <f t="shared" si="24"/>
        <v/>
      </c>
      <c r="B426" s="62"/>
      <c r="C426" s="62"/>
      <c r="D426" s="62"/>
      <c r="E426" s="62"/>
      <c r="F426" s="62"/>
      <c r="G426" s="62"/>
      <c r="H426" s="62"/>
      <c r="I426" s="66"/>
      <c r="J426" s="66"/>
      <c r="K426" s="66"/>
      <c r="L426" s="66"/>
      <c r="M426" s="66"/>
      <c r="N426" s="64" t="str">
        <f>IF(OR($B426="", $I426="", $J426="", $K426="", $L426="", $M426=""),"",ROUND(($I426*Lists!$AN$2)+($J426*Lists!$AN$3)+($K426*Lists!$AN$4)+($L426*Lists!$AN$5)+($M426*Lists!$AN$6),2))</f>
        <v/>
      </c>
      <c r="O426" s="64" t="str">
        <f>IF($A426="","",IFERROR(VLOOKUP($A426,'Risk Register'!$B$2:$I$1000,8,FALSE()),""))</f>
        <v/>
      </c>
      <c r="P426" s="66"/>
      <c r="Q426" s="66"/>
      <c r="R426" s="66"/>
      <c r="S426" s="66"/>
      <c r="T426" s="64" t="str">
        <f>IF(OR($B426="", $P426="", $Q426="", $R426="", $S426=""),"",ROUND(($P426*Lists!$AN$7)+($Q426*Lists!$AN$8)+($R426*Lists!$AN$9)+($S426*Lists!$AN$10),2))</f>
        <v/>
      </c>
      <c r="U426" s="66"/>
      <c r="V426" s="66"/>
      <c r="W426" s="66"/>
      <c r="X426" s="66"/>
      <c r="Y426" s="66"/>
      <c r="Z426" s="64" t="str">
        <f>IF(OR($B426="", $U426="", $V426="", $W426="", $X426="", $Y426=""),"",ROUND(($U426*Lists!$AN$11)+($V426*Lists!$AN$12)+($W426*Lists!$AN$13)+($X426*Lists!$AN$14)+($Y426*Lists!$AN$15),2))</f>
        <v/>
      </c>
      <c r="AA426" s="64" t="str">
        <f>IF(OR($B426="", $N426="", $O426="", $T426="", $Z426=""),"",ROUND(($N426*Lists!$AN$16)-($O426*Lists!$AN$17)-($T426*Lists!$AN$18)+($Z426*Lists!$AN$19),2))</f>
        <v/>
      </c>
      <c r="AB426" s="63" t="str">
        <f t="shared" si="25"/>
        <v/>
      </c>
      <c r="AC426" s="63" t="str">
        <f t="shared" si="26"/>
        <v/>
      </c>
      <c r="AD426" s="63" t="str">
        <f>IF($A426="","",IFERROR(IF(VLOOKUP($A426,'Risk Register'!$B$2:$H$1000,4,FALSE())&gt;=4,"Yes",""),""))</f>
        <v/>
      </c>
      <c r="AE426" s="63" t="str">
        <f t="shared" si="27"/>
        <v/>
      </c>
      <c r="AF426" s="62"/>
      <c r="AG426" s="62"/>
      <c r="AH426" s="62"/>
      <c r="AI426" s="62"/>
      <c r="AJ426" s="62"/>
      <c r="AK426" s="62"/>
      <c r="AL426" s="62"/>
      <c r="AM426" s="62"/>
      <c r="AN426" s="62"/>
      <c r="AO426" s="62"/>
      <c r="AP426" s="62"/>
      <c r="AQ426" s="80"/>
    </row>
    <row r="427" spans="1:43" ht="15.75" customHeight="1" x14ac:dyDescent="0.2">
      <c r="A427" s="63" t="str">
        <f t="shared" si="24"/>
        <v/>
      </c>
      <c r="B427" s="62"/>
      <c r="C427" s="62"/>
      <c r="D427" s="62"/>
      <c r="E427" s="62"/>
      <c r="F427" s="62"/>
      <c r="G427" s="62"/>
      <c r="H427" s="62"/>
      <c r="I427" s="66"/>
      <c r="J427" s="66"/>
      <c r="K427" s="66"/>
      <c r="L427" s="66"/>
      <c r="M427" s="66"/>
      <c r="N427" s="64" t="str">
        <f>IF(OR($B427="", $I427="", $J427="", $K427="", $L427="", $M427=""),"",ROUND(($I427*Lists!$AN$2)+($J427*Lists!$AN$3)+($K427*Lists!$AN$4)+($L427*Lists!$AN$5)+($M427*Lists!$AN$6),2))</f>
        <v/>
      </c>
      <c r="O427" s="64" t="str">
        <f>IF($A427="","",IFERROR(VLOOKUP($A427,'Risk Register'!$B$2:$I$1000,8,FALSE()),""))</f>
        <v/>
      </c>
      <c r="P427" s="66"/>
      <c r="Q427" s="66"/>
      <c r="R427" s="66"/>
      <c r="S427" s="66"/>
      <c r="T427" s="64" t="str">
        <f>IF(OR($B427="", $P427="", $Q427="", $R427="", $S427=""),"",ROUND(($P427*Lists!$AN$7)+($Q427*Lists!$AN$8)+($R427*Lists!$AN$9)+($S427*Lists!$AN$10),2))</f>
        <v/>
      </c>
      <c r="U427" s="66"/>
      <c r="V427" s="66"/>
      <c r="W427" s="66"/>
      <c r="X427" s="66"/>
      <c r="Y427" s="66"/>
      <c r="Z427" s="64" t="str">
        <f>IF(OR($B427="", $U427="", $V427="", $W427="", $X427="", $Y427=""),"",ROUND(($U427*Lists!$AN$11)+($V427*Lists!$AN$12)+($W427*Lists!$AN$13)+($X427*Lists!$AN$14)+($Y427*Lists!$AN$15),2))</f>
        <v/>
      </c>
      <c r="AA427" s="64" t="str">
        <f>IF(OR($B427="", $N427="", $O427="", $T427="", $Z427=""),"",ROUND(($N427*Lists!$AN$16)-($O427*Lists!$AN$17)-($T427*Lists!$AN$18)+($Z427*Lists!$AN$19),2))</f>
        <v/>
      </c>
      <c r="AB427" s="63" t="str">
        <f t="shared" si="25"/>
        <v/>
      </c>
      <c r="AC427" s="63" t="str">
        <f t="shared" si="26"/>
        <v/>
      </c>
      <c r="AD427" s="63" t="str">
        <f>IF($A427="","",IFERROR(IF(VLOOKUP($A427,'Risk Register'!$B$2:$H$1000,4,FALSE())&gt;=4,"Yes",""),""))</f>
        <v/>
      </c>
      <c r="AE427" s="63" t="str">
        <f t="shared" si="27"/>
        <v/>
      </c>
      <c r="AF427" s="62"/>
      <c r="AG427" s="62"/>
      <c r="AH427" s="62"/>
      <c r="AI427" s="62"/>
      <c r="AJ427" s="62"/>
      <c r="AK427" s="62"/>
      <c r="AL427" s="62"/>
      <c r="AM427" s="62"/>
      <c r="AN427" s="62"/>
      <c r="AO427" s="62"/>
      <c r="AP427" s="62"/>
      <c r="AQ427" s="80"/>
    </row>
    <row r="428" spans="1:43" ht="15.75" customHeight="1" x14ac:dyDescent="0.2">
      <c r="A428" s="63" t="str">
        <f t="shared" si="24"/>
        <v/>
      </c>
      <c r="B428" s="62"/>
      <c r="C428" s="62"/>
      <c r="D428" s="62"/>
      <c r="E428" s="62"/>
      <c r="F428" s="62"/>
      <c r="G428" s="62"/>
      <c r="H428" s="62"/>
      <c r="I428" s="66"/>
      <c r="J428" s="66"/>
      <c r="K428" s="66"/>
      <c r="L428" s="66"/>
      <c r="M428" s="66"/>
      <c r="N428" s="64" t="str">
        <f>IF(OR($B428="", $I428="", $J428="", $K428="", $L428="", $M428=""),"",ROUND(($I428*Lists!$AN$2)+($J428*Lists!$AN$3)+($K428*Lists!$AN$4)+($L428*Lists!$AN$5)+($M428*Lists!$AN$6),2))</f>
        <v/>
      </c>
      <c r="O428" s="64" t="str">
        <f>IF($A428="","",IFERROR(VLOOKUP($A428,'Risk Register'!$B$2:$I$1000,8,FALSE()),""))</f>
        <v/>
      </c>
      <c r="P428" s="66"/>
      <c r="Q428" s="66"/>
      <c r="R428" s="66"/>
      <c r="S428" s="66"/>
      <c r="T428" s="64" t="str">
        <f>IF(OR($B428="", $P428="", $Q428="", $R428="", $S428=""),"",ROUND(($P428*Lists!$AN$7)+($Q428*Lists!$AN$8)+($R428*Lists!$AN$9)+($S428*Lists!$AN$10),2))</f>
        <v/>
      </c>
      <c r="U428" s="66"/>
      <c r="V428" s="66"/>
      <c r="W428" s="66"/>
      <c r="X428" s="66"/>
      <c r="Y428" s="66"/>
      <c r="Z428" s="64" t="str">
        <f>IF(OR($B428="", $U428="", $V428="", $W428="", $X428="", $Y428=""),"",ROUND(($U428*Lists!$AN$11)+($V428*Lists!$AN$12)+($W428*Lists!$AN$13)+($X428*Lists!$AN$14)+($Y428*Lists!$AN$15),2))</f>
        <v/>
      </c>
      <c r="AA428" s="64" t="str">
        <f>IF(OR($B428="", $N428="", $O428="", $T428="", $Z428=""),"",ROUND(($N428*Lists!$AN$16)-($O428*Lists!$AN$17)-($T428*Lists!$AN$18)+($Z428*Lists!$AN$19),2))</f>
        <v/>
      </c>
      <c r="AB428" s="63" t="str">
        <f t="shared" si="25"/>
        <v/>
      </c>
      <c r="AC428" s="63" t="str">
        <f t="shared" si="26"/>
        <v/>
      </c>
      <c r="AD428" s="63" t="str">
        <f>IF($A428="","",IFERROR(IF(VLOOKUP($A428,'Risk Register'!$B$2:$H$1000,4,FALSE())&gt;=4,"Yes",""),""))</f>
        <v/>
      </c>
      <c r="AE428" s="63" t="str">
        <f t="shared" si="27"/>
        <v/>
      </c>
      <c r="AF428" s="62"/>
      <c r="AG428" s="62"/>
      <c r="AH428" s="62"/>
      <c r="AI428" s="62"/>
      <c r="AJ428" s="62"/>
      <c r="AK428" s="62"/>
      <c r="AL428" s="62"/>
      <c r="AM428" s="62"/>
      <c r="AN428" s="62"/>
      <c r="AO428" s="62"/>
      <c r="AP428" s="62"/>
      <c r="AQ428" s="80"/>
    </row>
    <row r="429" spans="1:43" ht="15.75" customHeight="1" x14ac:dyDescent="0.2">
      <c r="A429" s="63" t="str">
        <f t="shared" si="24"/>
        <v/>
      </c>
      <c r="B429" s="62"/>
      <c r="C429" s="62"/>
      <c r="D429" s="62"/>
      <c r="E429" s="62"/>
      <c r="F429" s="62"/>
      <c r="G429" s="62"/>
      <c r="H429" s="62"/>
      <c r="I429" s="66"/>
      <c r="J429" s="66"/>
      <c r="K429" s="66"/>
      <c r="L429" s="66"/>
      <c r="M429" s="66"/>
      <c r="N429" s="64" t="str">
        <f>IF(OR($B429="", $I429="", $J429="", $K429="", $L429="", $M429=""),"",ROUND(($I429*Lists!$AN$2)+($J429*Lists!$AN$3)+($K429*Lists!$AN$4)+($L429*Lists!$AN$5)+($M429*Lists!$AN$6),2))</f>
        <v/>
      </c>
      <c r="O429" s="64" t="str">
        <f>IF($A429="","",IFERROR(VLOOKUP($A429,'Risk Register'!$B$2:$I$1000,8,FALSE()),""))</f>
        <v/>
      </c>
      <c r="P429" s="66"/>
      <c r="Q429" s="66"/>
      <c r="R429" s="66"/>
      <c r="S429" s="66"/>
      <c r="T429" s="64" t="str">
        <f>IF(OR($B429="", $P429="", $Q429="", $R429="", $S429=""),"",ROUND(($P429*Lists!$AN$7)+($Q429*Lists!$AN$8)+($R429*Lists!$AN$9)+($S429*Lists!$AN$10),2))</f>
        <v/>
      </c>
      <c r="U429" s="66"/>
      <c r="V429" s="66"/>
      <c r="W429" s="66"/>
      <c r="X429" s="66"/>
      <c r="Y429" s="66"/>
      <c r="Z429" s="64" t="str">
        <f>IF(OR($B429="", $U429="", $V429="", $W429="", $X429="", $Y429=""),"",ROUND(($U429*Lists!$AN$11)+($V429*Lists!$AN$12)+($W429*Lists!$AN$13)+($X429*Lists!$AN$14)+($Y429*Lists!$AN$15),2))</f>
        <v/>
      </c>
      <c r="AA429" s="64" t="str">
        <f>IF(OR($B429="", $N429="", $O429="", $T429="", $Z429=""),"",ROUND(($N429*Lists!$AN$16)-($O429*Lists!$AN$17)-($T429*Lists!$AN$18)+($Z429*Lists!$AN$19),2))</f>
        <v/>
      </c>
      <c r="AB429" s="63" t="str">
        <f t="shared" si="25"/>
        <v/>
      </c>
      <c r="AC429" s="63" t="str">
        <f t="shared" si="26"/>
        <v/>
      </c>
      <c r="AD429" s="63" t="str">
        <f>IF($A429="","",IFERROR(IF(VLOOKUP($A429,'Risk Register'!$B$2:$H$1000,4,FALSE())&gt;=4,"Yes",""),""))</f>
        <v/>
      </c>
      <c r="AE429" s="63" t="str">
        <f t="shared" si="27"/>
        <v/>
      </c>
      <c r="AF429" s="62"/>
      <c r="AG429" s="62"/>
      <c r="AH429" s="62"/>
      <c r="AI429" s="62"/>
      <c r="AJ429" s="62"/>
      <c r="AK429" s="62"/>
      <c r="AL429" s="62"/>
      <c r="AM429" s="62"/>
      <c r="AN429" s="62"/>
      <c r="AO429" s="62"/>
      <c r="AP429" s="62"/>
      <c r="AQ429" s="80"/>
    </row>
    <row r="430" spans="1:43" ht="15.75" customHeight="1" x14ac:dyDescent="0.2">
      <c r="A430" s="63" t="str">
        <f t="shared" si="24"/>
        <v/>
      </c>
      <c r="B430" s="62"/>
      <c r="C430" s="62"/>
      <c r="D430" s="62"/>
      <c r="E430" s="62"/>
      <c r="F430" s="62"/>
      <c r="G430" s="62"/>
      <c r="H430" s="62"/>
      <c r="I430" s="66"/>
      <c r="J430" s="66"/>
      <c r="K430" s="66"/>
      <c r="L430" s="66"/>
      <c r="M430" s="66"/>
      <c r="N430" s="64" t="str">
        <f>IF(OR($B430="", $I430="", $J430="", $K430="", $L430="", $M430=""),"",ROUND(($I430*Lists!$AN$2)+($J430*Lists!$AN$3)+($K430*Lists!$AN$4)+($L430*Lists!$AN$5)+($M430*Lists!$AN$6),2))</f>
        <v/>
      </c>
      <c r="O430" s="64" t="str">
        <f>IF($A430="","",IFERROR(VLOOKUP($A430,'Risk Register'!$B$2:$I$1000,8,FALSE()),""))</f>
        <v/>
      </c>
      <c r="P430" s="66"/>
      <c r="Q430" s="66"/>
      <c r="R430" s="66"/>
      <c r="S430" s="66"/>
      <c r="T430" s="64" t="str">
        <f>IF(OR($B430="", $P430="", $Q430="", $R430="", $S430=""),"",ROUND(($P430*Lists!$AN$7)+($Q430*Lists!$AN$8)+($R430*Lists!$AN$9)+($S430*Lists!$AN$10),2))</f>
        <v/>
      </c>
      <c r="U430" s="66"/>
      <c r="V430" s="66"/>
      <c r="W430" s="66"/>
      <c r="X430" s="66"/>
      <c r="Y430" s="66"/>
      <c r="Z430" s="64" t="str">
        <f>IF(OR($B430="", $U430="", $V430="", $W430="", $X430="", $Y430=""),"",ROUND(($U430*Lists!$AN$11)+($V430*Lists!$AN$12)+($W430*Lists!$AN$13)+($X430*Lists!$AN$14)+($Y430*Lists!$AN$15),2))</f>
        <v/>
      </c>
      <c r="AA430" s="64" t="str">
        <f>IF(OR($B430="", $N430="", $O430="", $T430="", $Z430=""),"",ROUND(($N430*Lists!$AN$16)-($O430*Lists!$AN$17)-($T430*Lists!$AN$18)+($Z430*Lists!$AN$19),2))</f>
        <v/>
      </c>
      <c r="AB430" s="63" t="str">
        <f t="shared" si="25"/>
        <v/>
      </c>
      <c r="AC430" s="63" t="str">
        <f t="shared" si="26"/>
        <v/>
      </c>
      <c r="AD430" s="63" t="str">
        <f>IF($A430="","",IFERROR(IF(VLOOKUP($A430,'Risk Register'!$B$2:$H$1000,4,FALSE())&gt;=4,"Yes",""),""))</f>
        <v/>
      </c>
      <c r="AE430" s="63" t="str">
        <f t="shared" si="27"/>
        <v/>
      </c>
      <c r="AF430" s="62"/>
      <c r="AG430" s="62"/>
      <c r="AH430" s="62"/>
      <c r="AI430" s="62"/>
      <c r="AJ430" s="62"/>
      <c r="AK430" s="62"/>
      <c r="AL430" s="62"/>
      <c r="AM430" s="62"/>
      <c r="AN430" s="62"/>
      <c r="AO430" s="62"/>
      <c r="AP430" s="62"/>
      <c r="AQ430" s="80"/>
    </row>
    <row r="431" spans="1:43" ht="15.75" customHeight="1" x14ac:dyDescent="0.2">
      <c r="A431" s="63" t="str">
        <f t="shared" si="24"/>
        <v/>
      </c>
      <c r="B431" s="62"/>
      <c r="C431" s="62"/>
      <c r="D431" s="62"/>
      <c r="E431" s="62"/>
      <c r="F431" s="62"/>
      <c r="G431" s="62"/>
      <c r="H431" s="62"/>
      <c r="I431" s="66"/>
      <c r="J431" s="66"/>
      <c r="K431" s="66"/>
      <c r="L431" s="66"/>
      <c r="M431" s="66"/>
      <c r="N431" s="64" t="str">
        <f>IF(OR($B431="", $I431="", $J431="", $K431="", $L431="", $M431=""),"",ROUND(($I431*Lists!$AN$2)+($J431*Lists!$AN$3)+($K431*Lists!$AN$4)+($L431*Lists!$AN$5)+($M431*Lists!$AN$6),2))</f>
        <v/>
      </c>
      <c r="O431" s="64" t="str">
        <f>IF($A431="","",IFERROR(VLOOKUP($A431,'Risk Register'!$B$2:$I$1000,8,FALSE()),""))</f>
        <v/>
      </c>
      <c r="P431" s="66"/>
      <c r="Q431" s="66"/>
      <c r="R431" s="66"/>
      <c r="S431" s="66"/>
      <c r="T431" s="64" t="str">
        <f>IF(OR($B431="", $P431="", $Q431="", $R431="", $S431=""),"",ROUND(($P431*Lists!$AN$7)+($Q431*Lists!$AN$8)+($R431*Lists!$AN$9)+($S431*Lists!$AN$10),2))</f>
        <v/>
      </c>
      <c r="U431" s="66"/>
      <c r="V431" s="66"/>
      <c r="W431" s="66"/>
      <c r="X431" s="66"/>
      <c r="Y431" s="66"/>
      <c r="Z431" s="64" t="str">
        <f>IF(OR($B431="", $U431="", $V431="", $W431="", $X431="", $Y431=""),"",ROUND(($U431*Lists!$AN$11)+($V431*Lists!$AN$12)+($W431*Lists!$AN$13)+($X431*Lists!$AN$14)+($Y431*Lists!$AN$15),2))</f>
        <v/>
      </c>
      <c r="AA431" s="64" t="str">
        <f>IF(OR($B431="", $N431="", $O431="", $T431="", $Z431=""),"",ROUND(($N431*Lists!$AN$16)-($O431*Lists!$AN$17)-($T431*Lists!$AN$18)+($Z431*Lists!$AN$19),2))</f>
        <v/>
      </c>
      <c r="AB431" s="63" t="str">
        <f t="shared" si="25"/>
        <v/>
      </c>
      <c r="AC431" s="63" t="str">
        <f t="shared" si="26"/>
        <v/>
      </c>
      <c r="AD431" s="63" t="str">
        <f>IF($A431="","",IFERROR(IF(VLOOKUP($A431,'Risk Register'!$B$2:$H$1000,4,FALSE())&gt;=4,"Yes",""),""))</f>
        <v/>
      </c>
      <c r="AE431" s="63" t="str">
        <f t="shared" si="27"/>
        <v/>
      </c>
      <c r="AF431" s="62"/>
      <c r="AG431" s="62"/>
      <c r="AH431" s="62"/>
      <c r="AI431" s="62"/>
      <c r="AJ431" s="62"/>
      <c r="AK431" s="62"/>
      <c r="AL431" s="62"/>
      <c r="AM431" s="62"/>
      <c r="AN431" s="62"/>
      <c r="AO431" s="62"/>
      <c r="AP431" s="62"/>
      <c r="AQ431" s="80"/>
    </row>
    <row r="432" spans="1:43" ht="15.75" customHeight="1" x14ac:dyDescent="0.2">
      <c r="A432" s="63" t="str">
        <f t="shared" si="24"/>
        <v/>
      </c>
      <c r="B432" s="62"/>
      <c r="C432" s="62"/>
      <c r="D432" s="62"/>
      <c r="E432" s="62"/>
      <c r="F432" s="62"/>
      <c r="G432" s="62"/>
      <c r="H432" s="62"/>
      <c r="I432" s="66"/>
      <c r="J432" s="66"/>
      <c r="K432" s="66"/>
      <c r="L432" s="66"/>
      <c r="M432" s="66"/>
      <c r="N432" s="64" t="str">
        <f>IF(OR($B432="", $I432="", $J432="", $K432="", $L432="", $M432=""),"",ROUND(($I432*Lists!$AN$2)+($J432*Lists!$AN$3)+($K432*Lists!$AN$4)+($L432*Lists!$AN$5)+($M432*Lists!$AN$6),2))</f>
        <v/>
      </c>
      <c r="O432" s="64" t="str">
        <f>IF($A432="","",IFERROR(VLOOKUP($A432,'Risk Register'!$B$2:$I$1000,8,FALSE()),""))</f>
        <v/>
      </c>
      <c r="P432" s="66"/>
      <c r="Q432" s="66"/>
      <c r="R432" s="66"/>
      <c r="S432" s="66"/>
      <c r="T432" s="64" t="str">
        <f>IF(OR($B432="", $P432="", $Q432="", $R432="", $S432=""),"",ROUND(($P432*Lists!$AN$7)+($Q432*Lists!$AN$8)+($R432*Lists!$AN$9)+($S432*Lists!$AN$10),2))</f>
        <v/>
      </c>
      <c r="U432" s="66"/>
      <c r="V432" s="66"/>
      <c r="W432" s="66"/>
      <c r="X432" s="66"/>
      <c r="Y432" s="66"/>
      <c r="Z432" s="64" t="str">
        <f>IF(OR($B432="", $U432="", $V432="", $W432="", $X432="", $Y432=""),"",ROUND(($U432*Lists!$AN$11)+($V432*Lists!$AN$12)+($W432*Lists!$AN$13)+($X432*Lists!$AN$14)+($Y432*Lists!$AN$15),2))</f>
        <v/>
      </c>
      <c r="AA432" s="64" t="str">
        <f>IF(OR($B432="", $N432="", $O432="", $T432="", $Z432=""),"",ROUND(($N432*Lists!$AN$16)-($O432*Lists!$AN$17)-($T432*Lists!$AN$18)+($Z432*Lists!$AN$19),2))</f>
        <v/>
      </c>
      <c r="AB432" s="63" t="str">
        <f t="shared" si="25"/>
        <v/>
      </c>
      <c r="AC432" s="63" t="str">
        <f t="shared" si="26"/>
        <v/>
      </c>
      <c r="AD432" s="63" t="str">
        <f>IF($A432="","",IFERROR(IF(VLOOKUP($A432,'Risk Register'!$B$2:$H$1000,4,FALSE())&gt;=4,"Yes",""),""))</f>
        <v/>
      </c>
      <c r="AE432" s="63" t="str">
        <f t="shared" si="27"/>
        <v/>
      </c>
      <c r="AF432" s="62"/>
      <c r="AG432" s="62"/>
      <c r="AH432" s="62"/>
      <c r="AI432" s="62"/>
      <c r="AJ432" s="62"/>
      <c r="AK432" s="62"/>
      <c r="AL432" s="62"/>
      <c r="AM432" s="62"/>
      <c r="AN432" s="62"/>
      <c r="AO432" s="62"/>
      <c r="AP432" s="62"/>
      <c r="AQ432" s="80"/>
    </row>
    <row r="433" spans="1:43" ht="15.75" customHeight="1" x14ac:dyDescent="0.2">
      <c r="A433" s="63" t="str">
        <f t="shared" si="24"/>
        <v/>
      </c>
      <c r="B433" s="62"/>
      <c r="C433" s="62"/>
      <c r="D433" s="62"/>
      <c r="E433" s="62"/>
      <c r="F433" s="62"/>
      <c r="G433" s="62"/>
      <c r="H433" s="62"/>
      <c r="I433" s="66"/>
      <c r="J433" s="66"/>
      <c r="K433" s="66"/>
      <c r="L433" s="66"/>
      <c r="M433" s="66"/>
      <c r="N433" s="64" t="str">
        <f>IF(OR($B433="", $I433="", $J433="", $K433="", $L433="", $M433=""),"",ROUND(($I433*Lists!$AN$2)+($J433*Lists!$AN$3)+($K433*Lists!$AN$4)+($L433*Lists!$AN$5)+($M433*Lists!$AN$6),2))</f>
        <v/>
      </c>
      <c r="O433" s="64" t="str">
        <f>IF($A433="","",IFERROR(VLOOKUP($A433,'Risk Register'!$B$2:$I$1000,8,FALSE()),""))</f>
        <v/>
      </c>
      <c r="P433" s="66"/>
      <c r="Q433" s="66"/>
      <c r="R433" s="66"/>
      <c r="S433" s="66"/>
      <c r="T433" s="64" t="str">
        <f>IF(OR($B433="", $P433="", $Q433="", $R433="", $S433=""),"",ROUND(($P433*Lists!$AN$7)+($Q433*Lists!$AN$8)+($R433*Lists!$AN$9)+($S433*Lists!$AN$10),2))</f>
        <v/>
      </c>
      <c r="U433" s="66"/>
      <c r="V433" s="66"/>
      <c r="W433" s="66"/>
      <c r="X433" s="66"/>
      <c r="Y433" s="66"/>
      <c r="Z433" s="64" t="str">
        <f>IF(OR($B433="", $U433="", $V433="", $W433="", $X433="", $Y433=""),"",ROUND(($U433*Lists!$AN$11)+($V433*Lists!$AN$12)+($W433*Lists!$AN$13)+($X433*Lists!$AN$14)+($Y433*Lists!$AN$15),2))</f>
        <v/>
      </c>
      <c r="AA433" s="64" t="str">
        <f>IF(OR($B433="", $N433="", $O433="", $T433="", $Z433=""),"",ROUND(($N433*Lists!$AN$16)-($O433*Lists!$AN$17)-($T433*Lists!$AN$18)+($Z433*Lists!$AN$19),2))</f>
        <v/>
      </c>
      <c r="AB433" s="63" t="str">
        <f t="shared" si="25"/>
        <v/>
      </c>
      <c r="AC433" s="63" t="str">
        <f t="shared" si="26"/>
        <v/>
      </c>
      <c r="AD433" s="63" t="str">
        <f>IF($A433="","",IFERROR(IF(VLOOKUP($A433,'Risk Register'!$B$2:$H$1000,4,FALSE())&gt;=4,"Yes",""),""))</f>
        <v/>
      </c>
      <c r="AE433" s="63" t="str">
        <f t="shared" si="27"/>
        <v/>
      </c>
      <c r="AF433" s="62"/>
      <c r="AG433" s="62"/>
      <c r="AH433" s="62"/>
      <c r="AI433" s="62"/>
      <c r="AJ433" s="62"/>
      <c r="AK433" s="62"/>
      <c r="AL433" s="62"/>
      <c r="AM433" s="62"/>
      <c r="AN433" s="62"/>
      <c r="AO433" s="62"/>
      <c r="AP433" s="62"/>
      <c r="AQ433" s="80"/>
    </row>
    <row r="434" spans="1:43" ht="15.75" customHeight="1" x14ac:dyDescent="0.2">
      <c r="A434" s="63" t="str">
        <f t="shared" si="24"/>
        <v/>
      </c>
      <c r="B434" s="62"/>
      <c r="C434" s="62"/>
      <c r="D434" s="62"/>
      <c r="E434" s="62"/>
      <c r="F434" s="62"/>
      <c r="G434" s="62"/>
      <c r="H434" s="62"/>
      <c r="I434" s="66"/>
      <c r="J434" s="66"/>
      <c r="K434" s="66"/>
      <c r="L434" s="66"/>
      <c r="M434" s="66"/>
      <c r="N434" s="64" t="str">
        <f>IF(OR($B434="", $I434="", $J434="", $K434="", $L434="", $M434=""),"",ROUND(($I434*Lists!$AN$2)+($J434*Lists!$AN$3)+($K434*Lists!$AN$4)+($L434*Lists!$AN$5)+($M434*Lists!$AN$6),2))</f>
        <v/>
      </c>
      <c r="O434" s="64" t="str">
        <f>IF($A434="","",IFERROR(VLOOKUP($A434,'Risk Register'!$B$2:$I$1000,8,FALSE()),""))</f>
        <v/>
      </c>
      <c r="P434" s="66"/>
      <c r="Q434" s="66"/>
      <c r="R434" s="66"/>
      <c r="S434" s="66"/>
      <c r="T434" s="64" t="str">
        <f>IF(OR($B434="", $P434="", $Q434="", $R434="", $S434=""),"",ROUND(($P434*Lists!$AN$7)+($Q434*Lists!$AN$8)+($R434*Lists!$AN$9)+($S434*Lists!$AN$10),2))</f>
        <v/>
      </c>
      <c r="U434" s="66"/>
      <c r="V434" s="66"/>
      <c r="W434" s="66"/>
      <c r="X434" s="66"/>
      <c r="Y434" s="66"/>
      <c r="Z434" s="64" t="str">
        <f>IF(OR($B434="", $U434="", $V434="", $W434="", $X434="", $Y434=""),"",ROUND(($U434*Lists!$AN$11)+($V434*Lists!$AN$12)+($W434*Lists!$AN$13)+($X434*Lists!$AN$14)+($Y434*Lists!$AN$15),2))</f>
        <v/>
      </c>
      <c r="AA434" s="64" t="str">
        <f>IF(OR($B434="", $N434="", $O434="", $T434="", $Z434=""),"",ROUND(($N434*Lists!$AN$16)-($O434*Lists!$AN$17)-($T434*Lists!$AN$18)+($Z434*Lists!$AN$19),2))</f>
        <v/>
      </c>
      <c r="AB434" s="63" t="str">
        <f t="shared" si="25"/>
        <v/>
      </c>
      <c r="AC434" s="63" t="str">
        <f t="shared" si="26"/>
        <v/>
      </c>
      <c r="AD434" s="63" t="str">
        <f>IF($A434="","",IFERROR(IF(VLOOKUP($A434,'Risk Register'!$B$2:$H$1000,4,FALSE())&gt;=4,"Yes",""),""))</f>
        <v/>
      </c>
      <c r="AE434" s="63" t="str">
        <f t="shared" si="27"/>
        <v/>
      </c>
      <c r="AF434" s="62"/>
      <c r="AG434" s="62"/>
      <c r="AH434" s="62"/>
      <c r="AI434" s="62"/>
      <c r="AJ434" s="62"/>
      <c r="AK434" s="62"/>
      <c r="AL434" s="62"/>
      <c r="AM434" s="62"/>
      <c r="AN434" s="62"/>
      <c r="AO434" s="62"/>
      <c r="AP434" s="62"/>
      <c r="AQ434" s="80"/>
    </row>
    <row r="435" spans="1:43" ht="15.75" customHeight="1" x14ac:dyDescent="0.2">
      <c r="A435" s="63" t="str">
        <f t="shared" si="24"/>
        <v/>
      </c>
      <c r="B435" s="62"/>
      <c r="C435" s="62"/>
      <c r="D435" s="62"/>
      <c r="E435" s="62"/>
      <c r="F435" s="62"/>
      <c r="G435" s="62"/>
      <c r="H435" s="62"/>
      <c r="I435" s="66"/>
      <c r="J435" s="66"/>
      <c r="K435" s="66"/>
      <c r="L435" s="66"/>
      <c r="M435" s="66"/>
      <c r="N435" s="64" t="str">
        <f>IF(OR($B435="", $I435="", $J435="", $K435="", $L435="", $M435=""),"",ROUND(($I435*Lists!$AN$2)+($J435*Lists!$AN$3)+($K435*Lists!$AN$4)+($L435*Lists!$AN$5)+($M435*Lists!$AN$6),2))</f>
        <v/>
      </c>
      <c r="O435" s="64" t="str">
        <f>IF($A435="","",IFERROR(VLOOKUP($A435,'Risk Register'!$B$2:$I$1000,8,FALSE()),""))</f>
        <v/>
      </c>
      <c r="P435" s="66"/>
      <c r="Q435" s="66"/>
      <c r="R435" s="66"/>
      <c r="S435" s="66"/>
      <c r="T435" s="64" t="str">
        <f>IF(OR($B435="", $P435="", $Q435="", $R435="", $S435=""),"",ROUND(($P435*Lists!$AN$7)+($Q435*Lists!$AN$8)+($R435*Lists!$AN$9)+($S435*Lists!$AN$10),2))</f>
        <v/>
      </c>
      <c r="U435" s="66"/>
      <c r="V435" s="66"/>
      <c r="W435" s="66"/>
      <c r="X435" s="66"/>
      <c r="Y435" s="66"/>
      <c r="Z435" s="64" t="str">
        <f>IF(OR($B435="", $U435="", $V435="", $W435="", $X435="", $Y435=""),"",ROUND(($U435*Lists!$AN$11)+($V435*Lists!$AN$12)+($W435*Lists!$AN$13)+($X435*Lists!$AN$14)+($Y435*Lists!$AN$15),2))</f>
        <v/>
      </c>
      <c r="AA435" s="64" t="str">
        <f>IF(OR($B435="", $N435="", $O435="", $T435="", $Z435=""),"",ROUND(($N435*Lists!$AN$16)-($O435*Lists!$AN$17)-($T435*Lists!$AN$18)+($Z435*Lists!$AN$19),2))</f>
        <v/>
      </c>
      <c r="AB435" s="63" t="str">
        <f t="shared" si="25"/>
        <v/>
      </c>
      <c r="AC435" s="63" t="str">
        <f t="shared" si="26"/>
        <v/>
      </c>
      <c r="AD435" s="63" t="str">
        <f>IF($A435="","",IFERROR(IF(VLOOKUP($A435,'Risk Register'!$B$2:$H$1000,4,FALSE())&gt;=4,"Yes",""),""))</f>
        <v/>
      </c>
      <c r="AE435" s="63" t="str">
        <f t="shared" si="27"/>
        <v/>
      </c>
      <c r="AF435" s="62"/>
      <c r="AG435" s="62"/>
      <c r="AH435" s="62"/>
      <c r="AI435" s="62"/>
      <c r="AJ435" s="62"/>
      <c r="AK435" s="62"/>
      <c r="AL435" s="62"/>
      <c r="AM435" s="62"/>
      <c r="AN435" s="62"/>
      <c r="AO435" s="62"/>
      <c r="AP435" s="62"/>
      <c r="AQ435" s="80"/>
    </row>
    <row r="436" spans="1:43" ht="15.75" customHeight="1" x14ac:dyDescent="0.2">
      <c r="A436" s="63" t="str">
        <f t="shared" si="24"/>
        <v/>
      </c>
      <c r="B436" s="62"/>
      <c r="C436" s="62"/>
      <c r="D436" s="62"/>
      <c r="E436" s="62"/>
      <c r="F436" s="62"/>
      <c r="G436" s="62"/>
      <c r="H436" s="62"/>
      <c r="I436" s="66"/>
      <c r="J436" s="66"/>
      <c r="K436" s="66"/>
      <c r="L436" s="66"/>
      <c r="M436" s="66"/>
      <c r="N436" s="64" t="str">
        <f>IF(OR($B436="", $I436="", $J436="", $K436="", $L436="", $M436=""),"",ROUND(($I436*Lists!$AN$2)+($J436*Lists!$AN$3)+($K436*Lists!$AN$4)+($L436*Lists!$AN$5)+($M436*Lists!$AN$6),2))</f>
        <v/>
      </c>
      <c r="O436" s="64" t="str">
        <f>IF($A436="","",IFERROR(VLOOKUP($A436,'Risk Register'!$B$2:$I$1000,8,FALSE()),""))</f>
        <v/>
      </c>
      <c r="P436" s="66"/>
      <c r="Q436" s="66"/>
      <c r="R436" s="66"/>
      <c r="S436" s="66"/>
      <c r="T436" s="64" t="str">
        <f>IF(OR($B436="", $P436="", $Q436="", $R436="", $S436=""),"",ROUND(($P436*Lists!$AN$7)+($Q436*Lists!$AN$8)+($R436*Lists!$AN$9)+($S436*Lists!$AN$10),2))</f>
        <v/>
      </c>
      <c r="U436" s="66"/>
      <c r="V436" s="66"/>
      <c r="W436" s="66"/>
      <c r="X436" s="66"/>
      <c r="Y436" s="66"/>
      <c r="Z436" s="64" t="str">
        <f>IF(OR($B436="", $U436="", $V436="", $W436="", $X436="", $Y436=""),"",ROUND(($U436*Lists!$AN$11)+($V436*Lists!$AN$12)+($W436*Lists!$AN$13)+($X436*Lists!$AN$14)+($Y436*Lists!$AN$15),2))</f>
        <v/>
      </c>
      <c r="AA436" s="64" t="str">
        <f>IF(OR($B436="", $N436="", $O436="", $T436="", $Z436=""),"",ROUND(($N436*Lists!$AN$16)-($O436*Lists!$AN$17)-($T436*Lists!$AN$18)+($Z436*Lists!$AN$19),2))</f>
        <v/>
      </c>
      <c r="AB436" s="63" t="str">
        <f t="shared" si="25"/>
        <v/>
      </c>
      <c r="AC436" s="63" t="str">
        <f t="shared" si="26"/>
        <v/>
      </c>
      <c r="AD436" s="63" t="str">
        <f>IF($A436="","",IFERROR(IF(VLOOKUP($A436,'Risk Register'!$B$2:$H$1000,4,FALSE())&gt;=4,"Yes",""),""))</f>
        <v/>
      </c>
      <c r="AE436" s="63" t="str">
        <f t="shared" si="27"/>
        <v/>
      </c>
      <c r="AF436" s="62"/>
      <c r="AG436" s="62"/>
      <c r="AH436" s="62"/>
      <c r="AI436" s="62"/>
      <c r="AJ436" s="62"/>
      <c r="AK436" s="62"/>
      <c r="AL436" s="62"/>
      <c r="AM436" s="62"/>
      <c r="AN436" s="62"/>
      <c r="AO436" s="62"/>
      <c r="AP436" s="62"/>
      <c r="AQ436" s="80"/>
    </row>
    <row r="437" spans="1:43" ht="15.75" customHeight="1" x14ac:dyDescent="0.2">
      <c r="A437" s="63" t="str">
        <f t="shared" si="24"/>
        <v/>
      </c>
      <c r="B437" s="62"/>
      <c r="C437" s="62"/>
      <c r="D437" s="62"/>
      <c r="E437" s="62"/>
      <c r="F437" s="62"/>
      <c r="G437" s="62"/>
      <c r="H437" s="62"/>
      <c r="I437" s="66"/>
      <c r="J437" s="66"/>
      <c r="K437" s="66"/>
      <c r="L437" s="66"/>
      <c r="M437" s="66"/>
      <c r="N437" s="64" t="str">
        <f>IF(OR($B437="", $I437="", $J437="", $K437="", $L437="", $M437=""),"",ROUND(($I437*Lists!$AN$2)+($J437*Lists!$AN$3)+($K437*Lists!$AN$4)+($L437*Lists!$AN$5)+($M437*Lists!$AN$6),2))</f>
        <v/>
      </c>
      <c r="O437" s="64" t="str">
        <f>IF($A437="","",IFERROR(VLOOKUP($A437,'Risk Register'!$B$2:$I$1000,8,FALSE()),""))</f>
        <v/>
      </c>
      <c r="P437" s="66"/>
      <c r="Q437" s="66"/>
      <c r="R437" s="66"/>
      <c r="S437" s="66"/>
      <c r="T437" s="64" t="str">
        <f>IF(OR($B437="", $P437="", $Q437="", $R437="", $S437=""),"",ROUND(($P437*Lists!$AN$7)+($Q437*Lists!$AN$8)+($R437*Lists!$AN$9)+($S437*Lists!$AN$10),2))</f>
        <v/>
      </c>
      <c r="U437" s="66"/>
      <c r="V437" s="66"/>
      <c r="W437" s="66"/>
      <c r="X437" s="66"/>
      <c r="Y437" s="66"/>
      <c r="Z437" s="64" t="str">
        <f>IF(OR($B437="", $U437="", $V437="", $W437="", $X437="", $Y437=""),"",ROUND(($U437*Lists!$AN$11)+($V437*Lists!$AN$12)+($W437*Lists!$AN$13)+($X437*Lists!$AN$14)+($Y437*Lists!$AN$15),2))</f>
        <v/>
      </c>
      <c r="AA437" s="64" t="str">
        <f>IF(OR($B437="", $N437="", $O437="", $T437="", $Z437=""),"",ROUND(($N437*Lists!$AN$16)-($O437*Lists!$AN$17)-($T437*Lists!$AN$18)+($Z437*Lists!$AN$19),2))</f>
        <v/>
      </c>
      <c r="AB437" s="63" t="str">
        <f t="shared" si="25"/>
        <v/>
      </c>
      <c r="AC437" s="63" t="str">
        <f t="shared" si="26"/>
        <v/>
      </c>
      <c r="AD437" s="63" t="str">
        <f>IF($A437="","",IFERROR(IF(VLOOKUP($A437,'Risk Register'!$B$2:$H$1000,4,FALSE())&gt;=4,"Yes",""),""))</f>
        <v/>
      </c>
      <c r="AE437" s="63" t="str">
        <f t="shared" si="27"/>
        <v/>
      </c>
      <c r="AF437" s="62"/>
      <c r="AG437" s="62"/>
      <c r="AH437" s="62"/>
      <c r="AI437" s="62"/>
      <c r="AJ437" s="62"/>
      <c r="AK437" s="62"/>
      <c r="AL437" s="62"/>
      <c r="AM437" s="62"/>
      <c r="AN437" s="62"/>
      <c r="AO437" s="62"/>
      <c r="AP437" s="62"/>
      <c r="AQ437" s="80"/>
    </row>
    <row r="438" spans="1:43" ht="15.75" customHeight="1" x14ac:dyDescent="0.2">
      <c r="A438" s="63" t="str">
        <f t="shared" si="24"/>
        <v/>
      </c>
      <c r="B438" s="62"/>
      <c r="C438" s="62"/>
      <c r="D438" s="62"/>
      <c r="E438" s="62"/>
      <c r="F438" s="62"/>
      <c r="G438" s="62"/>
      <c r="H438" s="62"/>
      <c r="I438" s="66"/>
      <c r="J438" s="66"/>
      <c r="K438" s="66"/>
      <c r="L438" s="66"/>
      <c r="M438" s="66"/>
      <c r="N438" s="64" t="str">
        <f>IF(OR($B438="", $I438="", $J438="", $K438="", $L438="", $M438=""),"",ROUND(($I438*Lists!$AN$2)+($J438*Lists!$AN$3)+($K438*Lists!$AN$4)+($L438*Lists!$AN$5)+($M438*Lists!$AN$6),2))</f>
        <v/>
      </c>
      <c r="O438" s="64" t="str">
        <f>IF($A438="","",IFERROR(VLOOKUP($A438,'Risk Register'!$B$2:$I$1000,8,FALSE()),""))</f>
        <v/>
      </c>
      <c r="P438" s="66"/>
      <c r="Q438" s="66"/>
      <c r="R438" s="66"/>
      <c r="S438" s="66"/>
      <c r="T438" s="64" t="str">
        <f>IF(OR($B438="", $P438="", $Q438="", $R438="", $S438=""),"",ROUND(($P438*Lists!$AN$7)+($Q438*Lists!$AN$8)+($R438*Lists!$AN$9)+($S438*Lists!$AN$10),2))</f>
        <v/>
      </c>
      <c r="U438" s="66"/>
      <c r="V438" s="66"/>
      <c r="W438" s="66"/>
      <c r="X438" s="66"/>
      <c r="Y438" s="66"/>
      <c r="Z438" s="64" t="str">
        <f>IF(OR($B438="", $U438="", $V438="", $W438="", $X438="", $Y438=""),"",ROUND(($U438*Lists!$AN$11)+($V438*Lists!$AN$12)+($W438*Lists!$AN$13)+($X438*Lists!$AN$14)+($Y438*Lists!$AN$15),2))</f>
        <v/>
      </c>
      <c r="AA438" s="64" t="str">
        <f>IF(OR($B438="", $N438="", $O438="", $T438="", $Z438=""),"",ROUND(($N438*Lists!$AN$16)-($O438*Lists!$AN$17)-($T438*Lists!$AN$18)+($Z438*Lists!$AN$19),2))</f>
        <v/>
      </c>
      <c r="AB438" s="63" t="str">
        <f t="shared" si="25"/>
        <v/>
      </c>
      <c r="AC438" s="63" t="str">
        <f t="shared" si="26"/>
        <v/>
      </c>
      <c r="AD438" s="63" t="str">
        <f>IF($A438="","",IFERROR(IF(VLOOKUP($A438,'Risk Register'!$B$2:$H$1000,4,FALSE())&gt;=4,"Yes",""),""))</f>
        <v/>
      </c>
      <c r="AE438" s="63" t="str">
        <f t="shared" si="27"/>
        <v/>
      </c>
      <c r="AF438" s="62"/>
      <c r="AG438" s="62"/>
      <c r="AH438" s="62"/>
      <c r="AI438" s="62"/>
      <c r="AJ438" s="62"/>
      <c r="AK438" s="62"/>
      <c r="AL438" s="62"/>
      <c r="AM438" s="62"/>
      <c r="AN438" s="62"/>
      <c r="AO438" s="62"/>
      <c r="AP438" s="62"/>
      <c r="AQ438" s="80"/>
    </row>
    <row r="439" spans="1:43" ht="15.75" customHeight="1" x14ac:dyDescent="0.2">
      <c r="A439" s="63" t="str">
        <f t="shared" si="24"/>
        <v/>
      </c>
      <c r="B439" s="62"/>
      <c r="C439" s="62"/>
      <c r="D439" s="62"/>
      <c r="E439" s="62"/>
      <c r="F439" s="62"/>
      <c r="G439" s="62"/>
      <c r="H439" s="62"/>
      <c r="I439" s="66"/>
      <c r="J439" s="66"/>
      <c r="K439" s="66"/>
      <c r="L439" s="66"/>
      <c r="M439" s="66"/>
      <c r="N439" s="64" t="str">
        <f>IF(OR($B439="", $I439="", $J439="", $K439="", $L439="", $M439=""),"",ROUND(($I439*Lists!$AN$2)+($J439*Lists!$AN$3)+($K439*Lists!$AN$4)+($L439*Lists!$AN$5)+($M439*Lists!$AN$6),2))</f>
        <v/>
      </c>
      <c r="O439" s="64" t="str">
        <f>IF($A439="","",IFERROR(VLOOKUP($A439,'Risk Register'!$B$2:$I$1000,8,FALSE()),""))</f>
        <v/>
      </c>
      <c r="P439" s="66"/>
      <c r="Q439" s="66"/>
      <c r="R439" s="66"/>
      <c r="S439" s="66"/>
      <c r="T439" s="64" t="str">
        <f>IF(OR($B439="", $P439="", $Q439="", $R439="", $S439=""),"",ROUND(($P439*Lists!$AN$7)+($Q439*Lists!$AN$8)+($R439*Lists!$AN$9)+($S439*Lists!$AN$10),2))</f>
        <v/>
      </c>
      <c r="U439" s="66"/>
      <c r="V439" s="66"/>
      <c r="W439" s="66"/>
      <c r="X439" s="66"/>
      <c r="Y439" s="66"/>
      <c r="Z439" s="64" t="str">
        <f>IF(OR($B439="", $U439="", $V439="", $W439="", $X439="", $Y439=""),"",ROUND(($U439*Lists!$AN$11)+($V439*Lists!$AN$12)+($W439*Lists!$AN$13)+($X439*Lists!$AN$14)+($Y439*Lists!$AN$15),2))</f>
        <v/>
      </c>
      <c r="AA439" s="64" t="str">
        <f>IF(OR($B439="", $N439="", $O439="", $T439="", $Z439=""),"",ROUND(($N439*Lists!$AN$16)-($O439*Lists!$AN$17)-($T439*Lists!$AN$18)+($Z439*Lists!$AN$19),2))</f>
        <v/>
      </c>
      <c r="AB439" s="63" t="str">
        <f t="shared" si="25"/>
        <v/>
      </c>
      <c r="AC439" s="63" t="str">
        <f t="shared" si="26"/>
        <v/>
      </c>
      <c r="AD439" s="63" t="str">
        <f>IF($A439="","",IFERROR(IF(VLOOKUP($A439,'Risk Register'!$B$2:$H$1000,4,FALSE())&gt;=4,"Yes",""),""))</f>
        <v/>
      </c>
      <c r="AE439" s="63" t="str">
        <f t="shared" si="27"/>
        <v/>
      </c>
      <c r="AF439" s="62"/>
      <c r="AG439" s="62"/>
      <c r="AH439" s="62"/>
      <c r="AI439" s="62"/>
      <c r="AJ439" s="62"/>
      <c r="AK439" s="62"/>
      <c r="AL439" s="62"/>
      <c r="AM439" s="62"/>
      <c r="AN439" s="62"/>
      <c r="AO439" s="62"/>
      <c r="AP439" s="62"/>
      <c r="AQ439" s="80"/>
    </row>
    <row r="440" spans="1:43" ht="15.75" customHeight="1" x14ac:dyDescent="0.2">
      <c r="A440" s="63" t="str">
        <f t="shared" si="24"/>
        <v/>
      </c>
      <c r="B440" s="62"/>
      <c r="C440" s="62"/>
      <c r="D440" s="62"/>
      <c r="E440" s="62"/>
      <c r="F440" s="62"/>
      <c r="G440" s="62"/>
      <c r="H440" s="62"/>
      <c r="I440" s="66"/>
      <c r="J440" s="66"/>
      <c r="K440" s="66"/>
      <c r="L440" s="66"/>
      <c r="M440" s="66"/>
      <c r="N440" s="64" t="str">
        <f>IF(OR($B440="", $I440="", $J440="", $K440="", $L440="", $M440=""),"",ROUND(($I440*Lists!$AN$2)+($J440*Lists!$AN$3)+($K440*Lists!$AN$4)+($L440*Lists!$AN$5)+($M440*Lists!$AN$6),2))</f>
        <v/>
      </c>
      <c r="O440" s="64" t="str">
        <f>IF($A440="","",IFERROR(VLOOKUP($A440,'Risk Register'!$B$2:$I$1000,8,FALSE()),""))</f>
        <v/>
      </c>
      <c r="P440" s="66"/>
      <c r="Q440" s="66"/>
      <c r="R440" s="66"/>
      <c r="S440" s="66"/>
      <c r="T440" s="64" t="str">
        <f>IF(OR($B440="", $P440="", $Q440="", $R440="", $S440=""),"",ROUND(($P440*Lists!$AN$7)+($Q440*Lists!$AN$8)+($R440*Lists!$AN$9)+($S440*Lists!$AN$10),2))</f>
        <v/>
      </c>
      <c r="U440" s="66"/>
      <c r="V440" s="66"/>
      <c r="W440" s="66"/>
      <c r="X440" s="66"/>
      <c r="Y440" s="66"/>
      <c r="Z440" s="64" t="str">
        <f>IF(OR($B440="", $U440="", $V440="", $W440="", $X440="", $Y440=""),"",ROUND(($U440*Lists!$AN$11)+($V440*Lists!$AN$12)+($W440*Lists!$AN$13)+($X440*Lists!$AN$14)+($Y440*Lists!$AN$15),2))</f>
        <v/>
      </c>
      <c r="AA440" s="64" t="str">
        <f>IF(OR($B440="", $N440="", $O440="", $T440="", $Z440=""),"",ROUND(($N440*Lists!$AN$16)-($O440*Lists!$AN$17)-($T440*Lists!$AN$18)+($Z440*Lists!$AN$19),2))</f>
        <v/>
      </c>
      <c r="AB440" s="63" t="str">
        <f t="shared" si="25"/>
        <v/>
      </c>
      <c r="AC440" s="63" t="str">
        <f t="shared" si="26"/>
        <v/>
      </c>
      <c r="AD440" s="63" t="str">
        <f>IF($A440="","",IFERROR(IF(VLOOKUP($A440,'Risk Register'!$B$2:$H$1000,4,FALSE())&gt;=4,"Yes",""),""))</f>
        <v/>
      </c>
      <c r="AE440" s="63" t="str">
        <f t="shared" si="27"/>
        <v/>
      </c>
      <c r="AF440" s="62"/>
      <c r="AG440" s="62"/>
      <c r="AH440" s="62"/>
      <c r="AI440" s="62"/>
      <c r="AJ440" s="62"/>
      <c r="AK440" s="62"/>
      <c r="AL440" s="62"/>
      <c r="AM440" s="62"/>
      <c r="AN440" s="62"/>
      <c r="AO440" s="62"/>
      <c r="AP440" s="62"/>
      <c r="AQ440" s="80"/>
    </row>
    <row r="441" spans="1:43" ht="15.75" customHeight="1" x14ac:dyDescent="0.2">
      <c r="A441" s="63" t="str">
        <f t="shared" si="24"/>
        <v/>
      </c>
      <c r="B441" s="62"/>
      <c r="C441" s="62"/>
      <c r="D441" s="62"/>
      <c r="E441" s="62"/>
      <c r="F441" s="62"/>
      <c r="G441" s="62"/>
      <c r="H441" s="62"/>
      <c r="I441" s="66"/>
      <c r="J441" s="66"/>
      <c r="K441" s="66"/>
      <c r="L441" s="66"/>
      <c r="M441" s="66"/>
      <c r="N441" s="64" t="str">
        <f>IF(OR($B441="", $I441="", $J441="", $K441="", $L441="", $M441=""),"",ROUND(($I441*Lists!$AN$2)+($J441*Lists!$AN$3)+($K441*Lists!$AN$4)+($L441*Lists!$AN$5)+($M441*Lists!$AN$6),2))</f>
        <v/>
      </c>
      <c r="O441" s="64" t="str">
        <f>IF($A441="","",IFERROR(VLOOKUP($A441,'Risk Register'!$B$2:$I$1000,8,FALSE()),""))</f>
        <v/>
      </c>
      <c r="P441" s="66"/>
      <c r="Q441" s="66"/>
      <c r="R441" s="66"/>
      <c r="S441" s="66"/>
      <c r="T441" s="64" t="str">
        <f>IF(OR($B441="", $P441="", $Q441="", $R441="", $S441=""),"",ROUND(($P441*Lists!$AN$7)+($Q441*Lists!$AN$8)+($R441*Lists!$AN$9)+($S441*Lists!$AN$10),2))</f>
        <v/>
      </c>
      <c r="U441" s="66"/>
      <c r="V441" s="66"/>
      <c r="W441" s="66"/>
      <c r="X441" s="66"/>
      <c r="Y441" s="66"/>
      <c r="Z441" s="64" t="str">
        <f>IF(OR($B441="", $U441="", $V441="", $W441="", $X441="", $Y441=""),"",ROUND(($U441*Lists!$AN$11)+($V441*Lists!$AN$12)+($W441*Lists!$AN$13)+($X441*Lists!$AN$14)+($Y441*Lists!$AN$15),2))</f>
        <v/>
      </c>
      <c r="AA441" s="64" t="str">
        <f>IF(OR($B441="", $N441="", $O441="", $T441="", $Z441=""),"",ROUND(($N441*Lists!$AN$16)-($O441*Lists!$AN$17)-($T441*Lists!$AN$18)+($Z441*Lists!$AN$19),2))</f>
        <v/>
      </c>
      <c r="AB441" s="63" t="str">
        <f t="shared" si="25"/>
        <v/>
      </c>
      <c r="AC441" s="63" t="str">
        <f t="shared" si="26"/>
        <v/>
      </c>
      <c r="AD441" s="63" t="str">
        <f>IF($A441="","",IFERROR(IF(VLOOKUP($A441,'Risk Register'!$B$2:$H$1000,4,FALSE())&gt;=4,"Yes",""),""))</f>
        <v/>
      </c>
      <c r="AE441" s="63" t="str">
        <f t="shared" si="27"/>
        <v/>
      </c>
      <c r="AF441" s="62"/>
      <c r="AG441" s="62"/>
      <c r="AH441" s="62"/>
      <c r="AI441" s="62"/>
      <c r="AJ441" s="62"/>
      <c r="AK441" s="62"/>
      <c r="AL441" s="62"/>
      <c r="AM441" s="62"/>
      <c r="AN441" s="62"/>
      <c r="AO441" s="62"/>
      <c r="AP441" s="62"/>
      <c r="AQ441" s="80"/>
    </row>
    <row r="442" spans="1:43" ht="15.75" customHeight="1" x14ac:dyDescent="0.2">
      <c r="A442" s="63" t="str">
        <f t="shared" si="24"/>
        <v/>
      </c>
      <c r="B442" s="62"/>
      <c r="C442" s="62"/>
      <c r="D442" s="62"/>
      <c r="E442" s="62"/>
      <c r="F442" s="62"/>
      <c r="G442" s="62"/>
      <c r="H442" s="62"/>
      <c r="I442" s="66"/>
      <c r="J442" s="66"/>
      <c r="K442" s="66"/>
      <c r="L442" s="66"/>
      <c r="M442" s="66"/>
      <c r="N442" s="64" t="str">
        <f>IF(OR($B442="", $I442="", $J442="", $K442="", $L442="", $M442=""),"",ROUND(($I442*Lists!$AN$2)+($J442*Lists!$AN$3)+($K442*Lists!$AN$4)+($L442*Lists!$AN$5)+($M442*Lists!$AN$6),2))</f>
        <v/>
      </c>
      <c r="O442" s="64" t="str">
        <f>IF($A442="","",IFERROR(VLOOKUP($A442,'Risk Register'!$B$2:$I$1000,8,FALSE()),""))</f>
        <v/>
      </c>
      <c r="P442" s="66"/>
      <c r="Q442" s="66"/>
      <c r="R442" s="66"/>
      <c r="S442" s="66"/>
      <c r="T442" s="64" t="str">
        <f>IF(OR($B442="", $P442="", $Q442="", $R442="", $S442=""),"",ROUND(($P442*Lists!$AN$7)+($Q442*Lists!$AN$8)+($R442*Lists!$AN$9)+($S442*Lists!$AN$10),2))</f>
        <v/>
      </c>
      <c r="U442" s="66"/>
      <c r="V442" s="66"/>
      <c r="W442" s="66"/>
      <c r="X442" s="66"/>
      <c r="Y442" s="66"/>
      <c r="Z442" s="64" t="str">
        <f>IF(OR($B442="", $U442="", $V442="", $W442="", $X442="", $Y442=""),"",ROUND(($U442*Lists!$AN$11)+($V442*Lists!$AN$12)+($W442*Lists!$AN$13)+($X442*Lists!$AN$14)+($Y442*Lists!$AN$15),2))</f>
        <v/>
      </c>
      <c r="AA442" s="64" t="str">
        <f>IF(OR($B442="", $N442="", $O442="", $T442="", $Z442=""),"",ROUND(($N442*Lists!$AN$16)-($O442*Lists!$AN$17)-($T442*Lists!$AN$18)+($Z442*Lists!$AN$19),2))</f>
        <v/>
      </c>
      <c r="AB442" s="63" t="str">
        <f t="shared" si="25"/>
        <v/>
      </c>
      <c r="AC442" s="63" t="str">
        <f t="shared" si="26"/>
        <v/>
      </c>
      <c r="AD442" s="63" t="str">
        <f>IF($A442="","",IFERROR(IF(VLOOKUP($A442,'Risk Register'!$B$2:$H$1000,4,FALSE())&gt;=4,"Yes",""),""))</f>
        <v/>
      </c>
      <c r="AE442" s="63" t="str">
        <f t="shared" si="27"/>
        <v/>
      </c>
      <c r="AF442" s="62"/>
      <c r="AG442" s="62"/>
      <c r="AH442" s="62"/>
      <c r="AI442" s="62"/>
      <c r="AJ442" s="62"/>
      <c r="AK442" s="62"/>
      <c r="AL442" s="62"/>
      <c r="AM442" s="62"/>
      <c r="AN442" s="62"/>
      <c r="AO442" s="62"/>
      <c r="AP442" s="62"/>
      <c r="AQ442" s="80"/>
    </row>
    <row r="443" spans="1:43" ht="15.75" customHeight="1" x14ac:dyDescent="0.2">
      <c r="A443" s="63" t="str">
        <f t="shared" si="24"/>
        <v/>
      </c>
      <c r="B443" s="62"/>
      <c r="C443" s="62"/>
      <c r="D443" s="62"/>
      <c r="E443" s="62"/>
      <c r="F443" s="62"/>
      <c r="G443" s="62"/>
      <c r="H443" s="62"/>
      <c r="I443" s="66"/>
      <c r="J443" s="66"/>
      <c r="K443" s="66"/>
      <c r="L443" s="66"/>
      <c r="M443" s="66"/>
      <c r="N443" s="64" t="str">
        <f>IF(OR($B443="", $I443="", $J443="", $K443="", $L443="", $M443=""),"",ROUND(($I443*Lists!$AN$2)+($J443*Lists!$AN$3)+($K443*Lists!$AN$4)+($L443*Lists!$AN$5)+($M443*Lists!$AN$6),2))</f>
        <v/>
      </c>
      <c r="O443" s="64" t="str">
        <f>IF($A443="","",IFERROR(VLOOKUP($A443,'Risk Register'!$B$2:$I$1000,8,FALSE()),""))</f>
        <v/>
      </c>
      <c r="P443" s="66"/>
      <c r="Q443" s="66"/>
      <c r="R443" s="66"/>
      <c r="S443" s="66"/>
      <c r="T443" s="64" t="str">
        <f>IF(OR($B443="", $P443="", $Q443="", $R443="", $S443=""),"",ROUND(($P443*Lists!$AN$7)+($Q443*Lists!$AN$8)+($R443*Lists!$AN$9)+($S443*Lists!$AN$10),2))</f>
        <v/>
      </c>
      <c r="U443" s="66"/>
      <c r="V443" s="66"/>
      <c r="W443" s="66"/>
      <c r="X443" s="66"/>
      <c r="Y443" s="66"/>
      <c r="Z443" s="64" t="str">
        <f>IF(OR($B443="", $U443="", $V443="", $W443="", $X443="", $Y443=""),"",ROUND(($U443*Lists!$AN$11)+($V443*Lists!$AN$12)+($W443*Lists!$AN$13)+($X443*Lists!$AN$14)+($Y443*Lists!$AN$15),2))</f>
        <v/>
      </c>
      <c r="AA443" s="64" t="str">
        <f>IF(OR($B443="", $N443="", $O443="", $T443="", $Z443=""),"",ROUND(($N443*Lists!$AN$16)-($O443*Lists!$AN$17)-($T443*Lists!$AN$18)+($Z443*Lists!$AN$19),2))</f>
        <v/>
      </c>
      <c r="AB443" s="63" t="str">
        <f t="shared" si="25"/>
        <v/>
      </c>
      <c r="AC443" s="63" t="str">
        <f t="shared" si="26"/>
        <v/>
      </c>
      <c r="AD443" s="63" t="str">
        <f>IF($A443="","",IFERROR(IF(VLOOKUP($A443,'Risk Register'!$B$2:$H$1000,4,FALSE())&gt;=4,"Yes",""),""))</f>
        <v/>
      </c>
      <c r="AE443" s="63" t="str">
        <f t="shared" si="27"/>
        <v/>
      </c>
      <c r="AF443" s="62"/>
      <c r="AG443" s="62"/>
      <c r="AH443" s="62"/>
      <c r="AI443" s="62"/>
      <c r="AJ443" s="62"/>
      <c r="AK443" s="62"/>
      <c r="AL443" s="62"/>
      <c r="AM443" s="62"/>
      <c r="AN443" s="62"/>
      <c r="AO443" s="62"/>
      <c r="AP443" s="62"/>
      <c r="AQ443" s="80"/>
    </row>
    <row r="444" spans="1:43" ht="15.75" customHeight="1" x14ac:dyDescent="0.2">
      <c r="A444" s="63" t="str">
        <f t="shared" si="24"/>
        <v/>
      </c>
      <c r="B444" s="62"/>
      <c r="C444" s="62"/>
      <c r="D444" s="62"/>
      <c r="E444" s="62"/>
      <c r="F444" s="62"/>
      <c r="G444" s="62"/>
      <c r="H444" s="62"/>
      <c r="I444" s="66"/>
      <c r="J444" s="66"/>
      <c r="K444" s="66"/>
      <c r="L444" s="66"/>
      <c r="M444" s="66"/>
      <c r="N444" s="64" t="str">
        <f>IF(OR($B444="", $I444="", $J444="", $K444="", $L444="", $M444=""),"",ROUND(($I444*Lists!$AN$2)+($J444*Lists!$AN$3)+($K444*Lists!$AN$4)+($L444*Lists!$AN$5)+($M444*Lists!$AN$6),2))</f>
        <v/>
      </c>
      <c r="O444" s="64" t="str">
        <f>IF($A444="","",IFERROR(VLOOKUP($A444,'Risk Register'!$B$2:$I$1000,8,FALSE()),""))</f>
        <v/>
      </c>
      <c r="P444" s="66"/>
      <c r="Q444" s="66"/>
      <c r="R444" s="66"/>
      <c r="S444" s="66"/>
      <c r="T444" s="64" t="str">
        <f>IF(OR($B444="", $P444="", $Q444="", $R444="", $S444=""),"",ROUND(($P444*Lists!$AN$7)+($Q444*Lists!$AN$8)+($R444*Lists!$AN$9)+($S444*Lists!$AN$10),2))</f>
        <v/>
      </c>
      <c r="U444" s="66"/>
      <c r="V444" s="66"/>
      <c r="W444" s="66"/>
      <c r="X444" s="66"/>
      <c r="Y444" s="66"/>
      <c r="Z444" s="64" t="str">
        <f>IF(OR($B444="", $U444="", $V444="", $W444="", $X444="", $Y444=""),"",ROUND(($U444*Lists!$AN$11)+($V444*Lists!$AN$12)+($W444*Lists!$AN$13)+($X444*Lists!$AN$14)+($Y444*Lists!$AN$15),2))</f>
        <v/>
      </c>
      <c r="AA444" s="64" t="str">
        <f>IF(OR($B444="", $N444="", $O444="", $T444="", $Z444=""),"",ROUND(($N444*Lists!$AN$16)-($O444*Lists!$AN$17)-($T444*Lists!$AN$18)+($Z444*Lists!$AN$19),2))</f>
        <v/>
      </c>
      <c r="AB444" s="63" t="str">
        <f t="shared" si="25"/>
        <v/>
      </c>
      <c r="AC444" s="63" t="str">
        <f t="shared" si="26"/>
        <v/>
      </c>
      <c r="AD444" s="63" t="str">
        <f>IF($A444="","",IFERROR(IF(VLOOKUP($A444,'Risk Register'!$B$2:$H$1000,4,FALSE())&gt;=4,"Yes",""),""))</f>
        <v/>
      </c>
      <c r="AE444" s="63" t="str">
        <f t="shared" si="27"/>
        <v/>
      </c>
      <c r="AF444" s="62"/>
      <c r="AG444" s="62"/>
      <c r="AH444" s="62"/>
      <c r="AI444" s="62"/>
      <c r="AJ444" s="62"/>
      <c r="AK444" s="62"/>
      <c r="AL444" s="62"/>
      <c r="AM444" s="62"/>
      <c r="AN444" s="62"/>
      <c r="AO444" s="62"/>
      <c r="AP444" s="62"/>
      <c r="AQ444" s="80"/>
    </row>
    <row r="445" spans="1:43" ht="15.75" customHeight="1" x14ac:dyDescent="0.2">
      <c r="A445" s="63" t="str">
        <f t="shared" si="24"/>
        <v/>
      </c>
      <c r="B445" s="62"/>
      <c r="C445" s="62"/>
      <c r="D445" s="62"/>
      <c r="E445" s="62"/>
      <c r="F445" s="62"/>
      <c r="G445" s="62"/>
      <c r="H445" s="62"/>
      <c r="I445" s="66"/>
      <c r="J445" s="66"/>
      <c r="K445" s="66"/>
      <c r="L445" s="66"/>
      <c r="M445" s="66"/>
      <c r="N445" s="64" t="str">
        <f>IF(OR($B445="", $I445="", $J445="", $K445="", $L445="", $M445=""),"",ROUND(($I445*Lists!$AN$2)+($J445*Lists!$AN$3)+($K445*Lists!$AN$4)+($L445*Lists!$AN$5)+($M445*Lists!$AN$6),2))</f>
        <v/>
      </c>
      <c r="O445" s="64" t="str">
        <f>IF($A445="","",IFERROR(VLOOKUP($A445,'Risk Register'!$B$2:$I$1000,8,FALSE()),""))</f>
        <v/>
      </c>
      <c r="P445" s="66"/>
      <c r="Q445" s="66"/>
      <c r="R445" s="66"/>
      <c r="S445" s="66"/>
      <c r="T445" s="64" t="str">
        <f>IF(OR($B445="", $P445="", $Q445="", $R445="", $S445=""),"",ROUND(($P445*Lists!$AN$7)+($Q445*Lists!$AN$8)+($R445*Lists!$AN$9)+($S445*Lists!$AN$10),2))</f>
        <v/>
      </c>
      <c r="U445" s="66"/>
      <c r="V445" s="66"/>
      <c r="W445" s="66"/>
      <c r="X445" s="66"/>
      <c r="Y445" s="66"/>
      <c r="Z445" s="64" t="str">
        <f>IF(OR($B445="", $U445="", $V445="", $W445="", $X445="", $Y445=""),"",ROUND(($U445*Lists!$AN$11)+($V445*Lists!$AN$12)+($W445*Lists!$AN$13)+($X445*Lists!$AN$14)+($Y445*Lists!$AN$15),2))</f>
        <v/>
      </c>
      <c r="AA445" s="64" t="str">
        <f>IF(OR($B445="", $N445="", $O445="", $T445="", $Z445=""),"",ROUND(($N445*Lists!$AN$16)-($O445*Lists!$AN$17)-($T445*Lists!$AN$18)+($Z445*Lists!$AN$19),2))</f>
        <v/>
      </c>
      <c r="AB445" s="63" t="str">
        <f t="shared" si="25"/>
        <v/>
      </c>
      <c r="AC445" s="63" t="str">
        <f t="shared" si="26"/>
        <v/>
      </c>
      <c r="AD445" s="63" t="str">
        <f>IF($A445="","",IFERROR(IF(VLOOKUP($A445,'Risk Register'!$B$2:$H$1000,4,FALSE())&gt;=4,"Yes",""),""))</f>
        <v/>
      </c>
      <c r="AE445" s="63" t="str">
        <f t="shared" si="27"/>
        <v/>
      </c>
      <c r="AF445" s="62"/>
      <c r="AG445" s="62"/>
      <c r="AH445" s="62"/>
      <c r="AI445" s="62"/>
      <c r="AJ445" s="62"/>
      <c r="AK445" s="62"/>
      <c r="AL445" s="62"/>
      <c r="AM445" s="62"/>
      <c r="AN445" s="62"/>
      <c r="AO445" s="62"/>
      <c r="AP445" s="62"/>
      <c r="AQ445" s="80"/>
    </row>
    <row r="446" spans="1:43" ht="15.75" customHeight="1" x14ac:dyDescent="0.2">
      <c r="A446" s="63" t="str">
        <f t="shared" si="24"/>
        <v/>
      </c>
      <c r="B446" s="62"/>
      <c r="C446" s="62"/>
      <c r="D446" s="62"/>
      <c r="E446" s="62"/>
      <c r="F446" s="62"/>
      <c r="G446" s="62"/>
      <c r="H446" s="62"/>
      <c r="I446" s="66"/>
      <c r="J446" s="66"/>
      <c r="K446" s="66"/>
      <c r="L446" s="66"/>
      <c r="M446" s="66"/>
      <c r="N446" s="64" t="str">
        <f>IF(OR($B446="", $I446="", $J446="", $K446="", $L446="", $M446=""),"",ROUND(($I446*Lists!$AN$2)+($J446*Lists!$AN$3)+($K446*Lists!$AN$4)+($L446*Lists!$AN$5)+($M446*Lists!$AN$6),2))</f>
        <v/>
      </c>
      <c r="O446" s="64" t="str">
        <f>IF($A446="","",IFERROR(VLOOKUP($A446,'Risk Register'!$B$2:$I$1000,8,FALSE()),""))</f>
        <v/>
      </c>
      <c r="P446" s="66"/>
      <c r="Q446" s="66"/>
      <c r="R446" s="66"/>
      <c r="S446" s="66"/>
      <c r="T446" s="64" t="str">
        <f>IF(OR($B446="", $P446="", $Q446="", $R446="", $S446=""),"",ROUND(($P446*Lists!$AN$7)+($Q446*Lists!$AN$8)+($R446*Lists!$AN$9)+($S446*Lists!$AN$10),2))</f>
        <v/>
      </c>
      <c r="U446" s="66"/>
      <c r="V446" s="66"/>
      <c r="W446" s="66"/>
      <c r="X446" s="66"/>
      <c r="Y446" s="66"/>
      <c r="Z446" s="64" t="str">
        <f>IF(OR($B446="", $U446="", $V446="", $W446="", $X446="", $Y446=""),"",ROUND(($U446*Lists!$AN$11)+($V446*Lists!$AN$12)+($W446*Lists!$AN$13)+($X446*Lists!$AN$14)+($Y446*Lists!$AN$15),2))</f>
        <v/>
      </c>
      <c r="AA446" s="64" t="str">
        <f>IF(OR($B446="", $N446="", $O446="", $T446="", $Z446=""),"",ROUND(($N446*Lists!$AN$16)-($O446*Lists!$AN$17)-($T446*Lists!$AN$18)+($Z446*Lists!$AN$19),2))</f>
        <v/>
      </c>
      <c r="AB446" s="63" t="str">
        <f t="shared" si="25"/>
        <v/>
      </c>
      <c r="AC446" s="63" t="str">
        <f t="shared" si="26"/>
        <v/>
      </c>
      <c r="AD446" s="63" t="str">
        <f>IF($A446="","",IFERROR(IF(VLOOKUP($A446,'Risk Register'!$B$2:$H$1000,4,FALSE())&gt;=4,"Yes",""),""))</f>
        <v/>
      </c>
      <c r="AE446" s="63" t="str">
        <f t="shared" si="27"/>
        <v/>
      </c>
      <c r="AF446" s="62"/>
      <c r="AG446" s="62"/>
      <c r="AH446" s="62"/>
      <c r="AI446" s="62"/>
      <c r="AJ446" s="62"/>
      <c r="AK446" s="62"/>
      <c r="AL446" s="62"/>
      <c r="AM446" s="62"/>
      <c r="AN446" s="62"/>
      <c r="AO446" s="62"/>
      <c r="AP446" s="62"/>
      <c r="AQ446" s="80"/>
    </row>
    <row r="447" spans="1:43" ht="15.75" customHeight="1" x14ac:dyDescent="0.2">
      <c r="A447" s="63" t="str">
        <f t="shared" si="24"/>
        <v/>
      </c>
      <c r="B447" s="62"/>
      <c r="C447" s="62"/>
      <c r="D447" s="62"/>
      <c r="E447" s="62"/>
      <c r="F447" s="62"/>
      <c r="G447" s="62"/>
      <c r="H447" s="62"/>
      <c r="I447" s="66"/>
      <c r="J447" s="66"/>
      <c r="K447" s="66"/>
      <c r="L447" s="66"/>
      <c r="M447" s="66"/>
      <c r="N447" s="64" t="str">
        <f>IF(OR($B447="", $I447="", $J447="", $K447="", $L447="", $M447=""),"",ROUND(($I447*Lists!$AN$2)+($J447*Lists!$AN$3)+($K447*Lists!$AN$4)+($L447*Lists!$AN$5)+($M447*Lists!$AN$6),2))</f>
        <v/>
      </c>
      <c r="O447" s="64" t="str">
        <f>IF($A447="","",IFERROR(VLOOKUP($A447,'Risk Register'!$B$2:$I$1000,8,FALSE()),""))</f>
        <v/>
      </c>
      <c r="P447" s="66"/>
      <c r="Q447" s="66"/>
      <c r="R447" s="66"/>
      <c r="S447" s="66"/>
      <c r="T447" s="64" t="str">
        <f>IF(OR($B447="", $P447="", $Q447="", $R447="", $S447=""),"",ROUND(($P447*Lists!$AN$7)+($Q447*Lists!$AN$8)+($R447*Lists!$AN$9)+($S447*Lists!$AN$10),2))</f>
        <v/>
      </c>
      <c r="U447" s="66"/>
      <c r="V447" s="66"/>
      <c r="W447" s="66"/>
      <c r="X447" s="66"/>
      <c r="Y447" s="66"/>
      <c r="Z447" s="64" t="str">
        <f>IF(OR($B447="", $U447="", $V447="", $W447="", $X447="", $Y447=""),"",ROUND(($U447*Lists!$AN$11)+($V447*Lists!$AN$12)+($W447*Lists!$AN$13)+($X447*Lists!$AN$14)+($Y447*Lists!$AN$15),2))</f>
        <v/>
      </c>
      <c r="AA447" s="64" t="str">
        <f>IF(OR($B447="", $N447="", $O447="", $T447="", $Z447=""),"",ROUND(($N447*Lists!$AN$16)-($O447*Lists!$AN$17)-($T447*Lists!$AN$18)+($Z447*Lists!$AN$19),2))</f>
        <v/>
      </c>
      <c r="AB447" s="63" t="str">
        <f t="shared" si="25"/>
        <v/>
      </c>
      <c r="AC447" s="63" t="str">
        <f t="shared" si="26"/>
        <v/>
      </c>
      <c r="AD447" s="63" t="str">
        <f>IF($A447="","",IFERROR(IF(VLOOKUP($A447,'Risk Register'!$B$2:$H$1000,4,FALSE())&gt;=4,"Yes",""),""))</f>
        <v/>
      </c>
      <c r="AE447" s="63" t="str">
        <f t="shared" si="27"/>
        <v/>
      </c>
      <c r="AF447" s="62"/>
      <c r="AG447" s="62"/>
      <c r="AH447" s="62"/>
      <c r="AI447" s="62"/>
      <c r="AJ447" s="62"/>
      <c r="AK447" s="62"/>
      <c r="AL447" s="62"/>
      <c r="AM447" s="62"/>
      <c r="AN447" s="62"/>
      <c r="AO447" s="62"/>
      <c r="AP447" s="62"/>
      <c r="AQ447" s="80"/>
    </row>
    <row r="448" spans="1:43" ht="15.75" customHeight="1" x14ac:dyDescent="0.2">
      <c r="A448" s="63" t="str">
        <f t="shared" si="24"/>
        <v/>
      </c>
      <c r="B448" s="62"/>
      <c r="C448" s="62"/>
      <c r="D448" s="62"/>
      <c r="E448" s="62"/>
      <c r="F448" s="62"/>
      <c r="G448" s="62"/>
      <c r="H448" s="62"/>
      <c r="I448" s="66"/>
      <c r="J448" s="66"/>
      <c r="K448" s="66"/>
      <c r="L448" s="66"/>
      <c r="M448" s="66"/>
      <c r="N448" s="64" t="str">
        <f>IF(OR($B448="", $I448="", $J448="", $K448="", $L448="", $M448=""),"",ROUND(($I448*Lists!$AN$2)+($J448*Lists!$AN$3)+($K448*Lists!$AN$4)+($L448*Lists!$AN$5)+($M448*Lists!$AN$6),2))</f>
        <v/>
      </c>
      <c r="O448" s="64" t="str">
        <f>IF($A448="","",IFERROR(VLOOKUP($A448,'Risk Register'!$B$2:$I$1000,8,FALSE()),""))</f>
        <v/>
      </c>
      <c r="P448" s="66"/>
      <c r="Q448" s="66"/>
      <c r="R448" s="66"/>
      <c r="S448" s="66"/>
      <c r="T448" s="64" t="str">
        <f>IF(OR($B448="", $P448="", $Q448="", $R448="", $S448=""),"",ROUND(($P448*Lists!$AN$7)+($Q448*Lists!$AN$8)+($R448*Lists!$AN$9)+($S448*Lists!$AN$10),2))</f>
        <v/>
      </c>
      <c r="U448" s="66"/>
      <c r="V448" s="66"/>
      <c r="W448" s="66"/>
      <c r="X448" s="66"/>
      <c r="Y448" s="66"/>
      <c r="Z448" s="64" t="str">
        <f>IF(OR($B448="", $U448="", $V448="", $W448="", $X448="", $Y448=""),"",ROUND(($U448*Lists!$AN$11)+($V448*Lists!$AN$12)+($W448*Lists!$AN$13)+($X448*Lists!$AN$14)+($Y448*Lists!$AN$15),2))</f>
        <v/>
      </c>
      <c r="AA448" s="64" t="str">
        <f>IF(OR($B448="", $N448="", $O448="", $T448="", $Z448=""),"",ROUND(($N448*Lists!$AN$16)-($O448*Lists!$AN$17)-($T448*Lists!$AN$18)+($Z448*Lists!$AN$19),2))</f>
        <v/>
      </c>
      <c r="AB448" s="63" t="str">
        <f t="shared" si="25"/>
        <v/>
      </c>
      <c r="AC448" s="63" t="str">
        <f t="shared" si="26"/>
        <v/>
      </c>
      <c r="AD448" s="63" t="str">
        <f>IF($A448="","",IFERROR(IF(VLOOKUP($A448,'Risk Register'!$B$2:$H$1000,4,FALSE())&gt;=4,"Yes",""),""))</f>
        <v/>
      </c>
      <c r="AE448" s="63" t="str">
        <f t="shared" si="27"/>
        <v/>
      </c>
      <c r="AF448" s="62"/>
      <c r="AG448" s="62"/>
      <c r="AH448" s="62"/>
      <c r="AI448" s="62"/>
      <c r="AJ448" s="62"/>
      <c r="AK448" s="62"/>
      <c r="AL448" s="62"/>
      <c r="AM448" s="62"/>
      <c r="AN448" s="62"/>
      <c r="AO448" s="62"/>
      <c r="AP448" s="62"/>
      <c r="AQ448" s="80"/>
    </row>
    <row r="449" spans="1:43" ht="15.75" customHeight="1" x14ac:dyDescent="0.2">
      <c r="A449" s="63" t="str">
        <f t="shared" si="24"/>
        <v/>
      </c>
      <c r="B449" s="62"/>
      <c r="C449" s="62"/>
      <c r="D449" s="62"/>
      <c r="E449" s="62"/>
      <c r="F449" s="62"/>
      <c r="G449" s="62"/>
      <c r="H449" s="62"/>
      <c r="I449" s="66"/>
      <c r="J449" s="66"/>
      <c r="K449" s="66"/>
      <c r="L449" s="66"/>
      <c r="M449" s="66"/>
      <c r="N449" s="64" t="str">
        <f>IF(OR($B449="", $I449="", $J449="", $K449="", $L449="", $M449=""),"",ROUND(($I449*Lists!$AN$2)+($J449*Lists!$AN$3)+($K449*Lists!$AN$4)+($L449*Lists!$AN$5)+($M449*Lists!$AN$6),2))</f>
        <v/>
      </c>
      <c r="O449" s="64" t="str">
        <f>IF($A449="","",IFERROR(VLOOKUP($A449,'Risk Register'!$B$2:$I$1000,8,FALSE()),""))</f>
        <v/>
      </c>
      <c r="P449" s="66"/>
      <c r="Q449" s="66"/>
      <c r="R449" s="66"/>
      <c r="S449" s="66"/>
      <c r="T449" s="64" t="str">
        <f>IF(OR($B449="", $P449="", $Q449="", $R449="", $S449=""),"",ROUND(($P449*Lists!$AN$7)+($Q449*Lists!$AN$8)+($R449*Lists!$AN$9)+($S449*Lists!$AN$10),2))</f>
        <v/>
      </c>
      <c r="U449" s="66"/>
      <c r="V449" s="66"/>
      <c r="W449" s="66"/>
      <c r="X449" s="66"/>
      <c r="Y449" s="66"/>
      <c r="Z449" s="64" t="str">
        <f>IF(OR($B449="", $U449="", $V449="", $W449="", $X449="", $Y449=""),"",ROUND(($U449*Lists!$AN$11)+($V449*Lists!$AN$12)+($W449*Lists!$AN$13)+($X449*Lists!$AN$14)+($Y449*Lists!$AN$15),2))</f>
        <v/>
      </c>
      <c r="AA449" s="64" t="str">
        <f>IF(OR($B449="", $N449="", $O449="", $T449="", $Z449=""),"",ROUND(($N449*Lists!$AN$16)-($O449*Lists!$AN$17)-($T449*Lists!$AN$18)+($Z449*Lists!$AN$19),2))</f>
        <v/>
      </c>
      <c r="AB449" s="63" t="str">
        <f t="shared" si="25"/>
        <v/>
      </c>
      <c r="AC449" s="63" t="str">
        <f t="shared" si="26"/>
        <v/>
      </c>
      <c r="AD449" s="63" t="str">
        <f>IF($A449="","",IFERROR(IF(VLOOKUP($A449,'Risk Register'!$B$2:$H$1000,4,FALSE())&gt;=4,"Yes",""),""))</f>
        <v/>
      </c>
      <c r="AE449" s="63" t="str">
        <f t="shared" si="27"/>
        <v/>
      </c>
      <c r="AF449" s="62"/>
      <c r="AG449" s="62"/>
      <c r="AH449" s="62"/>
      <c r="AI449" s="62"/>
      <c r="AJ449" s="62"/>
      <c r="AK449" s="62"/>
      <c r="AL449" s="62"/>
      <c r="AM449" s="62"/>
      <c r="AN449" s="62"/>
      <c r="AO449" s="62"/>
      <c r="AP449" s="62"/>
      <c r="AQ449" s="80"/>
    </row>
    <row r="450" spans="1:43" ht="15.75" customHeight="1" x14ac:dyDescent="0.2">
      <c r="A450" s="63" t="str">
        <f t="shared" si="24"/>
        <v/>
      </c>
      <c r="B450" s="62"/>
      <c r="C450" s="62"/>
      <c r="D450" s="62"/>
      <c r="E450" s="62"/>
      <c r="F450" s="62"/>
      <c r="G450" s="62"/>
      <c r="H450" s="62"/>
      <c r="I450" s="66"/>
      <c r="J450" s="66"/>
      <c r="K450" s="66"/>
      <c r="L450" s="66"/>
      <c r="M450" s="66"/>
      <c r="N450" s="64" t="str">
        <f>IF(OR($B450="", $I450="", $J450="", $K450="", $L450="", $M450=""),"",ROUND(($I450*Lists!$AN$2)+($J450*Lists!$AN$3)+($K450*Lists!$AN$4)+($L450*Lists!$AN$5)+($M450*Lists!$AN$6),2))</f>
        <v/>
      </c>
      <c r="O450" s="64" t="str">
        <f>IF($A450="","",IFERROR(VLOOKUP($A450,'Risk Register'!$B$2:$I$1000,8,FALSE()),""))</f>
        <v/>
      </c>
      <c r="P450" s="66"/>
      <c r="Q450" s="66"/>
      <c r="R450" s="66"/>
      <c r="S450" s="66"/>
      <c r="T450" s="64" t="str">
        <f>IF(OR($B450="", $P450="", $Q450="", $R450="", $S450=""),"",ROUND(($P450*Lists!$AN$7)+($Q450*Lists!$AN$8)+($R450*Lists!$AN$9)+($S450*Lists!$AN$10),2))</f>
        <v/>
      </c>
      <c r="U450" s="66"/>
      <c r="V450" s="66"/>
      <c r="W450" s="66"/>
      <c r="X450" s="66"/>
      <c r="Y450" s="66"/>
      <c r="Z450" s="64" t="str">
        <f>IF(OR($B450="", $U450="", $V450="", $W450="", $X450="", $Y450=""),"",ROUND(($U450*Lists!$AN$11)+($V450*Lists!$AN$12)+($W450*Lists!$AN$13)+($X450*Lists!$AN$14)+($Y450*Lists!$AN$15),2))</f>
        <v/>
      </c>
      <c r="AA450" s="64" t="str">
        <f>IF(OR($B450="", $N450="", $O450="", $T450="", $Z450=""),"",ROUND(($N450*Lists!$AN$16)-($O450*Lists!$AN$17)-($T450*Lists!$AN$18)+($Z450*Lists!$AN$19),2))</f>
        <v/>
      </c>
      <c r="AB450" s="63" t="str">
        <f t="shared" si="25"/>
        <v/>
      </c>
      <c r="AC450" s="63" t="str">
        <f t="shared" si="26"/>
        <v/>
      </c>
      <c r="AD450" s="63" t="str">
        <f>IF($A450="","",IFERROR(IF(VLOOKUP($A450,'Risk Register'!$B$2:$H$1000,4,FALSE())&gt;=4,"Yes",""),""))</f>
        <v/>
      </c>
      <c r="AE450" s="63" t="str">
        <f t="shared" si="27"/>
        <v/>
      </c>
      <c r="AF450" s="62"/>
      <c r="AG450" s="62"/>
      <c r="AH450" s="62"/>
      <c r="AI450" s="62"/>
      <c r="AJ450" s="62"/>
      <c r="AK450" s="62"/>
      <c r="AL450" s="62"/>
      <c r="AM450" s="62"/>
      <c r="AN450" s="62"/>
      <c r="AO450" s="62"/>
      <c r="AP450" s="62"/>
      <c r="AQ450" s="80"/>
    </row>
    <row r="451" spans="1:43" ht="15.75" customHeight="1" x14ac:dyDescent="0.2">
      <c r="A451" s="63" t="str">
        <f t="shared" si="24"/>
        <v/>
      </c>
      <c r="B451" s="62"/>
      <c r="C451" s="62"/>
      <c r="D451" s="62"/>
      <c r="E451" s="62"/>
      <c r="F451" s="62"/>
      <c r="G451" s="62"/>
      <c r="H451" s="62"/>
      <c r="I451" s="66"/>
      <c r="J451" s="66"/>
      <c r="K451" s="66"/>
      <c r="L451" s="66"/>
      <c r="M451" s="66"/>
      <c r="N451" s="64" t="str">
        <f>IF(OR($B451="", $I451="", $J451="", $K451="", $L451="", $M451=""),"",ROUND(($I451*Lists!$AN$2)+($J451*Lists!$AN$3)+($K451*Lists!$AN$4)+($L451*Lists!$AN$5)+($M451*Lists!$AN$6),2))</f>
        <v/>
      </c>
      <c r="O451" s="64" t="str">
        <f>IF($A451="","",IFERROR(VLOOKUP($A451,'Risk Register'!$B$2:$I$1000,8,FALSE()),""))</f>
        <v/>
      </c>
      <c r="P451" s="66"/>
      <c r="Q451" s="66"/>
      <c r="R451" s="66"/>
      <c r="S451" s="66"/>
      <c r="T451" s="64" t="str">
        <f>IF(OR($B451="", $P451="", $Q451="", $R451="", $S451=""),"",ROUND(($P451*Lists!$AN$7)+($Q451*Lists!$AN$8)+($R451*Lists!$AN$9)+($S451*Lists!$AN$10),2))</f>
        <v/>
      </c>
      <c r="U451" s="66"/>
      <c r="V451" s="66"/>
      <c r="W451" s="66"/>
      <c r="X451" s="66"/>
      <c r="Y451" s="66"/>
      <c r="Z451" s="64" t="str">
        <f>IF(OR($B451="", $U451="", $V451="", $W451="", $X451="", $Y451=""),"",ROUND(($U451*Lists!$AN$11)+($V451*Lists!$AN$12)+($W451*Lists!$AN$13)+($X451*Lists!$AN$14)+($Y451*Lists!$AN$15),2))</f>
        <v/>
      </c>
      <c r="AA451" s="64" t="str">
        <f>IF(OR($B451="", $N451="", $O451="", $T451="", $Z451=""),"",ROUND(($N451*Lists!$AN$16)-($O451*Lists!$AN$17)-($T451*Lists!$AN$18)+($Z451*Lists!$AN$19),2))</f>
        <v/>
      </c>
      <c r="AB451" s="63" t="str">
        <f t="shared" si="25"/>
        <v/>
      </c>
      <c r="AC451" s="63" t="str">
        <f t="shared" si="26"/>
        <v/>
      </c>
      <c r="AD451" s="63" t="str">
        <f>IF($A451="","",IFERROR(IF(VLOOKUP($A451,'Risk Register'!$B$2:$H$1000,4,FALSE())&gt;=4,"Yes",""),""))</f>
        <v/>
      </c>
      <c r="AE451" s="63" t="str">
        <f t="shared" si="27"/>
        <v/>
      </c>
      <c r="AF451" s="62"/>
      <c r="AG451" s="62"/>
      <c r="AH451" s="62"/>
      <c r="AI451" s="62"/>
      <c r="AJ451" s="62"/>
      <c r="AK451" s="62"/>
      <c r="AL451" s="62"/>
      <c r="AM451" s="62"/>
      <c r="AN451" s="62"/>
      <c r="AO451" s="62"/>
      <c r="AP451" s="62"/>
      <c r="AQ451" s="80"/>
    </row>
    <row r="452" spans="1:43" ht="15.75" customHeight="1" x14ac:dyDescent="0.2">
      <c r="A452" s="63" t="str">
        <f t="shared" si="24"/>
        <v/>
      </c>
      <c r="B452" s="62"/>
      <c r="C452" s="62"/>
      <c r="D452" s="62"/>
      <c r="E452" s="62"/>
      <c r="F452" s="62"/>
      <c r="G452" s="62"/>
      <c r="H452" s="62"/>
      <c r="I452" s="66"/>
      <c r="J452" s="66"/>
      <c r="K452" s="66"/>
      <c r="L452" s="66"/>
      <c r="M452" s="66"/>
      <c r="N452" s="64" t="str">
        <f>IF(OR($B452="", $I452="", $J452="", $K452="", $L452="", $M452=""),"",ROUND(($I452*Lists!$AN$2)+($J452*Lists!$AN$3)+($K452*Lists!$AN$4)+($L452*Lists!$AN$5)+($M452*Lists!$AN$6),2))</f>
        <v/>
      </c>
      <c r="O452" s="64" t="str">
        <f>IF($A452="","",IFERROR(VLOOKUP($A452,'Risk Register'!$B$2:$I$1000,8,FALSE()),""))</f>
        <v/>
      </c>
      <c r="P452" s="66"/>
      <c r="Q452" s="66"/>
      <c r="R452" s="66"/>
      <c r="S452" s="66"/>
      <c r="T452" s="64" t="str">
        <f>IF(OR($B452="", $P452="", $Q452="", $R452="", $S452=""),"",ROUND(($P452*Lists!$AN$7)+($Q452*Lists!$AN$8)+($R452*Lists!$AN$9)+($S452*Lists!$AN$10),2))</f>
        <v/>
      </c>
      <c r="U452" s="66"/>
      <c r="V452" s="66"/>
      <c r="W452" s="66"/>
      <c r="X452" s="66"/>
      <c r="Y452" s="66"/>
      <c r="Z452" s="64" t="str">
        <f>IF(OR($B452="", $U452="", $V452="", $W452="", $X452="", $Y452=""),"",ROUND(($U452*Lists!$AN$11)+($V452*Lists!$AN$12)+($W452*Lists!$AN$13)+($X452*Lists!$AN$14)+($Y452*Lists!$AN$15),2))</f>
        <v/>
      </c>
      <c r="AA452" s="64" t="str">
        <f>IF(OR($B452="", $N452="", $O452="", $T452="", $Z452=""),"",ROUND(($N452*Lists!$AN$16)-($O452*Lists!$AN$17)-($T452*Lists!$AN$18)+($Z452*Lists!$AN$19),2))</f>
        <v/>
      </c>
      <c r="AB452" s="63" t="str">
        <f t="shared" si="25"/>
        <v/>
      </c>
      <c r="AC452" s="63" t="str">
        <f t="shared" si="26"/>
        <v/>
      </c>
      <c r="AD452" s="63" t="str">
        <f>IF($A452="","",IFERROR(IF(VLOOKUP($A452,'Risk Register'!$B$2:$H$1000,4,FALSE())&gt;=4,"Yes",""),""))</f>
        <v/>
      </c>
      <c r="AE452" s="63" t="str">
        <f t="shared" si="27"/>
        <v/>
      </c>
      <c r="AF452" s="62"/>
      <c r="AG452" s="62"/>
      <c r="AH452" s="62"/>
      <c r="AI452" s="62"/>
      <c r="AJ452" s="62"/>
      <c r="AK452" s="62"/>
      <c r="AL452" s="62"/>
      <c r="AM452" s="62"/>
      <c r="AN452" s="62"/>
      <c r="AO452" s="62"/>
      <c r="AP452" s="62"/>
      <c r="AQ452" s="80"/>
    </row>
    <row r="453" spans="1:43" ht="15.75" customHeight="1" x14ac:dyDescent="0.2">
      <c r="A453" s="63" t="str">
        <f t="shared" si="24"/>
        <v/>
      </c>
      <c r="B453" s="62"/>
      <c r="C453" s="62"/>
      <c r="D453" s="62"/>
      <c r="E453" s="62"/>
      <c r="F453" s="62"/>
      <c r="G453" s="62"/>
      <c r="H453" s="62"/>
      <c r="I453" s="66"/>
      <c r="J453" s="66"/>
      <c r="K453" s="66"/>
      <c r="L453" s="66"/>
      <c r="M453" s="66"/>
      <c r="N453" s="64" t="str">
        <f>IF(OR($B453="", $I453="", $J453="", $K453="", $L453="", $M453=""),"",ROUND(($I453*Lists!$AN$2)+($J453*Lists!$AN$3)+($K453*Lists!$AN$4)+($L453*Lists!$AN$5)+($M453*Lists!$AN$6),2))</f>
        <v/>
      </c>
      <c r="O453" s="64" t="str">
        <f>IF($A453="","",IFERROR(VLOOKUP($A453,'Risk Register'!$B$2:$I$1000,8,FALSE()),""))</f>
        <v/>
      </c>
      <c r="P453" s="66"/>
      <c r="Q453" s="66"/>
      <c r="R453" s="66"/>
      <c r="S453" s="66"/>
      <c r="T453" s="64" t="str">
        <f>IF(OR($B453="", $P453="", $Q453="", $R453="", $S453=""),"",ROUND(($P453*Lists!$AN$7)+($Q453*Lists!$AN$8)+($R453*Lists!$AN$9)+($S453*Lists!$AN$10),2))</f>
        <v/>
      </c>
      <c r="U453" s="66"/>
      <c r="V453" s="66"/>
      <c r="W453" s="66"/>
      <c r="X453" s="66"/>
      <c r="Y453" s="66"/>
      <c r="Z453" s="64" t="str">
        <f>IF(OR($B453="", $U453="", $V453="", $W453="", $X453="", $Y453=""),"",ROUND(($U453*Lists!$AN$11)+($V453*Lists!$AN$12)+($W453*Lists!$AN$13)+($X453*Lists!$AN$14)+($Y453*Lists!$AN$15),2))</f>
        <v/>
      </c>
      <c r="AA453" s="64" t="str">
        <f>IF(OR($B453="", $N453="", $O453="", $T453="", $Z453=""),"",ROUND(($N453*Lists!$AN$16)-($O453*Lists!$AN$17)-($T453*Lists!$AN$18)+($Z453*Lists!$AN$19),2))</f>
        <v/>
      </c>
      <c r="AB453" s="63" t="str">
        <f t="shared" si="25"/>
        <v/>
      </c>
      <c r="AC453" s="63" t="str">
        <f t="shared" si="26"/>
        <v/>
      </c>
      <c r="AD453" s="63" t="str">
        <f>IF($A453="","",IFERROR(IF(VLOOKUP($A453,'Risk Register'!$B$2:$H$1000,4,FALSE())&gt;=4,"Yes",""),""))</f>
        <v/>
      </c>
      <c r="AE453" s="63" t="str">
        <f t="shared" si="27"/>
        <v/>
      </c>
      <c r="AF453" s="62"/>
      <c r="AG453" s="62"/>
      <c r="AH453" s="62"/>
      <c r="AI453" s="62"/>
      <c r="AJ453" s="62"/>
      <c r="AK453" s="62"/>
      <c r="AL453" s="62"/>
      <c r="AM453" s="62"/>
      <c r="AN453" s="62"/>
      <c r="AO453" s="62"/>
      <c r="AP453" s="62"/>
      <c r="AQ453" s="80"/>
    </row>
    <row r="454" spans="1:43" ht="15.75" customHeight="1" x14ac:dyDescent="0.2">
      <c r="A454" s="63" t="str">
        <f t="shared" si="24"/>
        <v/>
      </c>
      <c r="B454" s="62"/>
      <c r="C454" s="62"/>
      <c r="D454" s="62"/>
      <c r="E454" s="62"/>
      <c r="F454" s="62"/>
      <c r="G454" s="62"/>
      <c r="H454" s="62"/>
      <c r="I454" s="66"/>
      <c r="J454" s="66"/>
      <c r="K454" s="66"/>
      <c r="L454" s="66"/>
      <c r="M454" s="66"/>
      <c r="N454" s="64" t="str">
        <f>IF(OR($B454="", $I454="", $J454="", $K454="", $L454="", $M454=""),"",ROUND(($I454*Lists!$AN$2)+($J454*Lists!$AN$3)+($K454*Lists!$AN$4)+($L454*Lists!$AN$5)+($M454*Lists!$AN$6),2))</f>
        <v/>
      </c>
      <c r="O454" s="64" t="str">
        <f>IF($A454="","",IFERROR(VLOOKUP($A454,'Risk Register'!$B$2:$I$1000,8,FALSE()),""))</f>
        <v/>
      </c>
      <c r="P454" s="66"/>
      <c r="Q454" s="66"/>
      <c r="R454" s="66"/>
      <c r="S454" s="66"/>
      <c r="T454" s="64" t="str">
        <f>IF(OR($B454="", $P454="", $Q454="", $R454="", $S454=""),"",ROUND(($P454*Lists!$AN$7)+($Q454*Lists!$AN$8)+($R454*Lists!$AN$9)+($S454*Lists!$AN$10),2))</f>
        <v/>
      </c>
      <c r="U454" s="66"/>
      <c r="V454" s="66"/>
      <c r="W454" s="66"/>
      <c r="X454" s="66"/>
      <c r="Y454" s="66"/>
      <c r="Z454" s="64" t="str">
        <f>IF(OR($B454="", $U454="", $V454="", $W454="", $X454="", $Y454=""),"",ROUND(($U454*Lists!$AN$11)+($V454*Lists!$AN$12)+($W454*Lists!$AN$13)+($X454*Lists!$AN$14)+($Y454*Lists!$AN$15),2))</f>
        <v/>
      </c>
      <c r="AA454" s="64" t="str">
        <f>IF(OR($B454="", $N454="", $O454="", $T454="", $Z454=""),"",ROUND(($N454*Lists!$AN$16)-($O454*Lists!$AN$17)-($T454*Lists!$AN$18)+($Z454*Lists!$AN$19),2))</f>
        <v/>
      </c>
      <c r="AB454" s="63" t="str">
        <f t="shared" si="25"/>
        <v/>
      </c>
      <c r="AC454" s="63" t="str">
        <f t="shared" si="26"/>
        <v/>
      </c>
      <c r="AD454" s="63" t="str">
        <f>IF($A454="","",IFERROR(IF(VLOOKUP($A454,'Risk Register'!$B$2:$H$1000,4,FALSE())&gt;=4,"Yes",""),""))</f>
        <v/>
      </c>
      <c r="AE454" s="63" t="str">
        <f t="shared" si="27"/>
        <v/>
      </c>
      <c r="AF454" s="62"/>
      <c r="AG454" s="62"/>
      <c r="AH454" s="62"/>
      <c r="AI454" s="62"/>
      <c r="AJ454" s="62"/>
      <c r="AK454" s="62"/>
      <c r="AL454" s="62"/>
      <c r="AM454" s="62"/>
      <c r="AN454" s="62"/>
      <c r="AO454" s="62"/>
      <c r="AP454" s="62"/>
      <c r="AQ454" s="80"/>
    </row>
    <row r="455" spans="1:43" ht="15.75" customHeight="1" x14ac:dyDescent="0.2">
      <c r="A455" s="63" t="str">
        <f t="shared" si="24"/>
        <v/>
      </c>
      <c r="B455" s="62"/>
      <c r="C455" s="62"/>
      <c r="D455" s="62"/>
      <c r="E455" s="62"/>
      <c r="F455" s="62"/>
      <c r="G455" s="62"/>
      <c r="H455" s="62"/>
      <c r="I455" s="66"/>
      <c r="J455" s="66"/>
      <c r="K455" s="66"/>
      <c r="L455" s="66"/>
      <c r="M455" s="66"/>
      <c r="N455" s="64" t="str">
        <f>IF(OR($B455="", $I455="", $J455="", $K455="", $L455="", $M455=""),"",ROUND(($I455*Lists!$AN$2)+($J455*Lists!$AN$3)+($K455*Lists!$AN$4)+($L455*Lists!$AN$5)+($M455*Lists!$AN$6),2))</f>
        <v/>
      </c>
      <c r="O455" s="64" t="str">
        <f>IF($A455="","",IFERROR(VLOOKUP($A455,'Risk Register'!$B$2:$I$1000,8,FALSE()),""))</f>
        <v/>
      </c>
      <c r="P455" s="66"/>
      <c r="Q455" s="66"/>
      <c r="R455" s="66"/>
      <c r="S455" s="66"/>
      <c r="T455" s="64" t="str">
        <f>IF(OR($B455="", $P455="", $Q455="", $R455="", $S455=""),"",ROUND(($P455*Lists!$AN$7)+($Q455*Lists!$AN$8)+($R455*Lists!$AN$9)+($S455*Lists!$AN$10),2))</f>
        <v/>
      </c>
      <c r="U455" s="66"/>
      <c r="V455" s="66"/>
      <c r="W455" s="66"/>
      <c r="X455" s="66"/>
      <c r="Y455" s="66"/>
      <c r="Z455" s="64" t="str">
        <f>IF(OR($B455="", $U455="", $V455="", $W455="", $X455="", $Y455=""),"",ROUND(($U455*Lists!$AN$11)+($V455*Lists!$AN$12)+($W455*Lists!$AN$13)+($X455*Lists!$AN$14)+($Y455*Lists!$AN$15),2))</f>
        <v/>
      </c>
      <c r="AA455" s="64" t="str">
        <f>IF(OR($B455="", $N455="", $O455="", $T455="", $Z455=""),"",ROUND(($N455*Lists!$AN$16)-($O455*Lists!$AN$17)-($T455*Lists!$AN$18)+($Z455*Lists!$AN$19),2))</f>
        <v/>
      </c>
      <c r="AB455" s="63" t="str">
        <f t="shared" si="25"/>
        <v/>
      </c>
      <c r="AC455" s="63" t="str">
        <f t="shared" si="26"/>
        <v/>
      </c>
      <c r="AD455" s="63" t="str">
        <f>IF($A455="","",IFERROR(IF(VLOOKUP($A455,'Risk Register'!$B$2:$H$1000,4,FALSE())&gt;=4,"Yes",""),""))</f>
        <v/>
      </c>
      <c r="AE455" s="63" t="str">
        <f t="shared" si="27"/>
        <v/>
      </c>
      <c r="AF455" s="62"/>
      <c r="AG455" s="62"/>
      <c r="AH455" s="62"/>
      <c r="AI455" s="62"/>
      <c r="AJ455" s="62"/>
      <c r="AK455" s="62"/>
      <c r="AL455" s="62"/>
      <c r="AM455" s="62"/>
      <c r="AN455" s="62"/>
      <c r="AO455" s="62"/>
      <c r="AP455" s="62"/>
      <c r="AQ455" s="80"/>
    </row>
    <row r="456" spans="1:43" ht="15.75" customHeight="1" x14ac:dyDescent="0.2">
      <c r="A456" s="63" t="str">
        <f t="shared" si="24"/>
        <v/>
      </c>
      <c r="B456" s="62"/>
      <c r="C456" s="62"/>
      <c r="D456" s="62"/>
      <c r="E456" s="62"/>
      <c r="F456" s="62"/>
      <c r="G456" s="62"/>
      <c r="H456" s="62"/>
      <c r="I456" s="66"/>
      <c r="J456" s="66"/>
      <c r="K456" s="66"/>
      <c r="L456" s="66"/>
      <c r="M456" s="66"/>
      <c r="N456" s="64" t="str">
        <f>IF(OR($B456="", $I456="", $J456="", $K456="", $L456="", $M456=""),"",ROUND(($I456*Lists!$AN$2)+($J456*Lists!$AN$3)+($K456*Lists!$AN$4)+($L456*Lists!$AN$5)+($M456*Lists!$AN$6),2))</f>
        <v/>
      </c>
      <c r="O456" s="64" t="str">
        <f>IF($A456="","",IFERROR(VLOOKUP($A456,'Risk Register'!$B$2:$I$1000,8,FALSE()),""))</f>
        <v/>
      </c>
      <c r="P456" s="66"/>
      <c r="Q456" s="66"/>
      <c r="R456" s="66"/>
      <c r="S456" s="66"/>
      <c r="T456" s="64" t="str">
        <f>IF(OR($B456="", $P456="", $Q456="", $R456="", $S456=""),"",ROUND(($P456*Lists!$AN$7)+($Q456*Lists!$AN$8)+($R456*Lists!$AN$9)+($S456*Lists!$AN$10),2))</f>
        <v/>
      </c>
      <c r="U456" s="66"/>
      <c r="V456" s="66"/>
      <c r="W456" s="66"/>
      <c r="X456" s="66"/>
      <c r="Y456" s="66"/>
      <c r="Z456" s="64" t="str">
        <f>IF(OR($B456="", $U456="", $V456="", $W456="", $X456="", $Y456=""),"",ROUND(($U456*Lists!$AN$11)+($V456*Lists!$AN$12)+($W456*Lists!$AN$13)+($X456*Lists!$AN$14)+($Y456*Lists!$AN$15),2))</f>
        <v/>
      </c>
      <c r="AA456" s="64" t="str">
        <f>IF(OR($B456="", $N456="", $O456="", $T456="", $Z456=""),"",ROUND(($N456*Lists!$AN$16)-($O456*Lists!$AN$17)-($T456*Lists!$AN$18)+($Z456*Lists!$AN$19),2))</f>
        <v/>
      </c>
      <c r="AB456" s="63" t="str">
        <f t="shared" si="25"/>
        <v/>
      </c>
      <c r="AC456" s="63" t="str">
        <f t="shared" si="26"/>
        <v/>
      </c>
      <c r="AD456" s="63" t="str">
        <f>IF($A456="","",IFERROR(IF(VLOOKUP($A456,'Risk Register'!$B$2:$H$1000,4,FALSE())&gt;=4,"Yes",""),""))</f>
        <v/>
      </c>
      <c r="AE456" s="63" t="str">
        <f t="shared" si="27"/>
        <v/>
      </c>
      <c r="AF456" s="62"/>
      <c r="AG456" s="62"/>
      <c r="AH456" s="62"/>
      <c r="AI456" s="62"/>
      <c r="AJ456" s="62"/>
      <c r="AK456" s="62"/>
      <c r="AL456" s="62"/>
      <c r="AM456" s="62"/>
      <c r="AN456" s="62"/>
      <c r="AO456" s="62"/>
      <c r="AP456" s="62"/>
      <c r="AQ456" s="80"/>
    </row>
    <row r="457" spans="1:43" ht="15.75" customHeight="1" x14ac:dyDescent="0.2">
      <c r="A457" s="63" t="str">
        <f t="shared" si="24"/>
        <v/>
      </c>
      <c r="B457" s="62"/>
      <c r="C457" s="62"/>
      <c r="D457" s="62"/>
      <c r="E457" s="62"/>
      <c r="F457" s="62"/>
      <c r="G457" s="62"/>
      <c r="H457" s="62"/>
      <c r="I457" s="66"/>
      <c r="J457" s="66"/>
      <c r="K457" s="66"/>
      <c r="L457" s="66"/>
      <c r="M457" s="66"/>
      <c r="N457" s="64" t="str">
        <f>IF(OR($B457="", $I457="", $J457="", $K457="", $L457="", $M457=""),"",ROUND(($I457*Lists!$AN$2)+($J457*Lists!$AN$3)+($K457*Lists!$AN$4)+($L457*Lists!$AN$5)+($M457*Lists!$AN$6),2))</f>
        <v/>
      </c>
      <c r="O457" s="64" t="str">
        <f>IF($A457="","",IFERROR(VLOOKUP($A457,'Risk Register'!$B$2:$I$1000,8,FALSE()),""))</f>
        <v/>
      </c>
      <c r="P457" s="66"/>
      <c r="Q457" s="66"/>
      <c r="R457" s="66"/>
      <c r="S457" s="66"/>
      <c r="T457" s="64" t="str">
        <f>IF(OR($B457="", $P457="", $Q457="", $R457="", $S457=""),"",ROUND(($P457*Lists!$AN$7)+($Q457*Lists!$AN$8)+($R457*Lists!$AN$9)+($S457*Lists!$AN$10),2))</f>
        <v/>
      </c>
      <c r="U457" s="66"/>
      <c r="V457" s="66"/>
      <c r="W457" s="66"/>
      <c r="X457" s="66"/>
      <c r="Y457" s="66"/>
      <c r="Z457" s="64" t="str">
        <f>IF(OR($B457="", $U457="", $V457="", $W457="", $X457="", $Y457=""),"",ROUND(($U457*Lists!$AN$11)+($V457*Lists!$AN$12)+($W457*Lists!$AN$13)+($X457*Lists!$AN$14)+($Y457*Lists!$AN$15),2))</f>
        <v/>
      </c>
      <c r="AA457" s="64" t="str">
        <f>IF(OR($B457="", $N457="", $O457="", $T457="", $Z457=""),"",ROUND(($N457*Lists!$AN$16)-($O457*Lists!$AN$17)-($T457*Lists!$AN$18)+($Z457*Lists!$AN$19),2))</f>
        <v/>
      </c>
      <c r="AB457" s="63" t="str">
        <f t="shared" si="25"/>
        <v/>
      </c>
      <c r="AC457" s="63" t="str">
        <f t="shared" si="26"/>
        <v/>
      </c>
      <c r="AD457" s="63" t="str">
        <f>IF($A457="","",IFERROR(IF(VLOOKUP($A457,'Risk Register'!$B$2:$H$1000,4,FALSE())&gt;=4,"Yes",""),""))</f>
        <v/>
      </c>
      <c r="AE457" s="63" t="str">
        <f t="shared" si="27"/>
        <v/>
      </c>
      <c r="AF457" s="62"/>
      <c r="AG457" s="62"/>
      <c r="AH457" s="62"/>
      <c r="AI457" s="62"/>
      <c r="AJ457" s="62"/>
      <c r="AK457" s="62"/>
      <c r="AL457" s="62"/>
      <c r="AM457" s="62"/>
      <c r="AN457" s="62"/>
      <c r="AO457" s="62"/>
      <c r="AP457" s="62"/>
      <c r="AQ457" s="80"/>
    </row>
    <row r="458" spans="1:43" ht="15.75" customHeight="1" x14ac:dyDescent="0.2">
      <c r="A458" s="63" t="str">
        <f t="shared" si="24"/>
        <v/>
      </c>
      <c r="B458" s="62"/>
      <c r="C458" s="62"/>
      <c r="D458" s="62"/>
      <c r="E458" s="62"/>
      <c r="F458" s="62"/>
      <c r="G458" s="62"/>
      <c r="H458" s="62"/>
      <c r="I458" s="66"/>
      <c r="J458" s="66"/>
      <c r="K458" s="66"/>
      <c r="L458" s="66"/>
      <c r="M458" s="66"/>
      <c r="N458" s="64" t="str">
        <f>IF(OR($B458="", $I458="", $J458="", $K458="", $L458="", $M458=""),"",ROUND(($I458*Lists!$AN$2)+($J458*Lists!$AN$3)+($K458*Lists!$AN$4)+($L458*Lists!$AN$5)+($M458*Lists!$AN$6),2))</f>
        <v/>
      </c>
      <c r="O458" s="64" t="str">
        <f>IF($A458="","",IFERROR(VLOOKUP($A458,'Risk Register'!$B$2:$I$1000,8,FALSE()),""))</f>
        <v/>
      </c>
      <c r="P458" s="66"/>
      <c r="Q458" s="66"/>
      <c r="R458" s="66"/>
      <c r="S458" s="66"/>
      <c r="T458" s="64" t="str">
        <f>IF(OR($B458="", $P458="", $Q458="", $R458="", $S458=""),"",ROUND(($P458*Lists!$AN$7)+($Q458*Lists!$AN$8)+($R458*Lists!$AN$9)+($S458*Lists!$AN$10),2))</f>
        <v/>
      </c>
      <c r="U458" s="66"/>
      <c r="V458" s="66"/>
      <c r="W458" s="66"/>
      <c r="X458" s="66"/>
      <c r="Y458" s="66"/>
      <c r="Z458" s="64" t="str">
        <f>IF(OR($B458="", $U458="", $V458="", $W458="", $X458="", $Y458=""),"",ROUND(($U458*Lists!$AN$11)+($V458*Lists!$AN$12)+($W458*Lists!$AN$13)+($X458*Lists!$AN$14)+($Y458*Lists!$AN$15),2))</f>
        <v/>
      </c>
      <c r="AA458" s="64" t="str">
        <f>IF(OR($B458="", $N458="", $O458="", $T458="", $Z458=""),"",ROUND(($N458*Lists!$AN$16)-($O458*Lists!$AN$17)-($T458*Lists!$AN$18)+($Z458*Lists!$AN$19),2))</f>
        <v/>
      </c>
      <c r="AB458" s="63" t="str">
        <f t="shared" si="25"/>
        <v/>
      </c>
      <c r="AC458" s="63" t="str">
        <f t="shared" si="26"/>
        <v/>
      </c>
      <c r="AD458" s="63" t="str">
        <f>IF($A458="","",IFERROR(IF(VLOOKUP($A458,'Risk Register'!$B$2:$H$1000,4,FALSE())&gt;=4,"Yes",""),""))</f>
        <v/>
      </c>
      <c r="AE458" s="63" t="str">
        <f t="shared" si="27"/>
        <v/>
      </c>
      <c r="AF458" s="62"/>
      <c r="AG458" s="62"/>
      <c r="AH458" s="62"/>
      <c r="AI458" s="62"/>
      <c r="AJ458" s="62"/>
      <c r="AK458" s="62"/>
      <c r="AL458" s="62"/>
      <c r="AM458" s="62"/>
      <c r="AN458" s="62"/>
      <c r="AO458" s="62"/>
      <c r="AP458" s="62"/>
      <c r="AQ458" s="80"/>
    </row>
    <row r="459" spans="1:43" ht="15.75" customHeight="1" x14ac:dyDescent="0.2">
      <c r="A459" s="63" t="str">
        <f t="shared" si="24"/>
        <v/>
      </c>
      <c r="B459" s="62"/>
      <c r="C459" s="62"/>
      <c r="D459" s="62"/>
      <c r="E459" s="62"/>
      <c r="F459" s="62"/>
      <c r="G459" s="62"/>
      <c r="H459" s="62"/>
      <c r="I459" s="66"/>
      <c r="J459" s="66"/>
      <c r="K459" s="66"/>
      <c r="L459" s="66"/>
      <c r="M459" s="66"/>
      <c r="N459" s="64" t="str">
        <f>IF(OR($B459="", $I459="", $J459="", $K459="", $L459="", $M459=""),"",ROUND(($I459*Lists!$AN$2)+($J459*Lists!$AN$3)+($K459*Lists!$AN$4)+($L459*Lists!$AN$5)+($M459*Lists!$AN$6),2))</f>
        <v/>
      </c>
      <c r="O459" s="64" t="str">
        <f>IF($A459="","",IFERROR(VLOOKUP($A459,'Risk Register'!$B$2:$I$1000,8,FALSE()),""))</f>
        <v/>
      </c>
      <c r="P459" s="66"/>
      <c r="Q459" s="66"/>
      <c r="R459" s="66"/>
      <c r="S459" s="66"/>
      <c r="T459" s="64" t="str">
        <f>IF(OR($B459="", $P459="", $Q459="", $R459="", $S459=""),"",ROUND(($P459*Lists!$AN$7)+($Q459*Lists!$AN$8)+($R459*Lists!$AN$9)+($S459*Lists!$AN$10),2))</f>
        <v/>
      </c>
      <c r="U459" s="66"/>
      <c r="V459" s="66"/>
      <c r="W459" s="66"/>
      <c r="X459" s="66"/>
      <c r="Y459" s="66"/>
      <c r="Z459" s="64" t="str">
        <f>IF(OR($B459="", $U459="", $V459="", $W459="", $X459="", $Y459=""),"",ROUND(($U459*Lists!$AN$11)+($V459*Lists!$AN$12)+($W459*Lists!$AN$13)+($X459*Lists!$AN$14)+($Y459*Lists!$AN$15),2))</f>
        <v/>
      </c>
      <c r="AA459" s="64" t="str">
        <f>IF(OR($B459="", $N459="", $O459="", $T459="", $Z459=""),"",ROUND(($N459*Lists!$AN$16)-($O459*Lists!$AN$17)-($T459*Lists!$AN$18)+($Z459*Lists!$AN$19),2))</f>
        <v/>
      </c>
      <c r="AB459" s="63" t="str">
        <f t="shared" si="25"/>
        <v/>
      </c>
      <c r="AC459" s="63" t="str">
        <f t="shared" si="26"/>
        <v/>
      </c>
      <c r="AD459" s="63" t="str">
        <f>IF($A459="","",IFERROR(IF(VLOOKUP($A459,'Risk Register'!$B$2:$H$1000,4,FALSE())&gt;=4,"Yes",""),""))</f>
        <v/>
      </c>
      <c r="AE459" s="63" t="str">
        <f t="shared" si="27"/>
        <v/>
      </c>
      <c r="AF459" s="62"/>
      <c r="AG459" s="62"/>
      <c r="AH459" s="62"/>
      <c r="AI459" s="62"/>
      <c r="AJ459" s="62"/>
      <c r="AK459" s="62"/>
      <c r="AL459" s="62"/>
      <c r="AM459" s="62"/>
      <c r="AN459" s="62"/>
      <c r="AO459" s="62"/>
      <c r="AP459" s="62"/>
      <c r="AQ459" s="80"/>
    </row>
    <row r="460" spans="1:43" ht="15.75" customHeight="1" x14ac:dyDescent="0.2">
      <c r="A460" s="63" t="str">
        <f t="shared" si="24"/>
        <v/>
      </c>
      <c r="B460" s="62"/>
      <c r="C460" s="62"/>
      <c r="D460" s="62"/>
      <c r="E460" s="62"/>
      <c r="F460" s="62"/>
      <c r="G460" s="62"/>
      <c r="H460" s="62"/>
      <c r="I460" s="66"/>
      <c r="J460" s="66"/>
      <c r="K460" s="66"/>
      <c r="L460" s="66"/>
      <c r="M460" s="66"/>
      <c r="N460" s="64" t="str">
        <f>IF(OR($B460="", $I460="", $J460="", $K460="", $L460="", $M460=""),"",ROUND(($I460*Lists!$AN$2)+($J460*Lists!$AN$3)+($K460*Lists!$AN$4)+($L460*Lists!$AN$5)+($M460*Lists!$AN$6),2))</f>
        <v/>
      </c>
      <c r="O460" s="64" t="str">
        <f>IF($A460="","",IFERROR(VLOOKUP($A460,'Risk Register'!$B$2:$I$1000,8,FALSE()),""))</f>
        <v/>
      </c>
      <c r="P460" s="66"/>
      <c r="Q460" s="66"/>
      <c r="R460" s="66"/>
      <c r="S460" s="66"/>
      <c r="T460" s="64" t="str">
        <f>IF(OR($B460="", $P460="", $Q460="", $R460="", $S460=""),"",ROUND(($P460*Lists!$AN$7)+($Q460*Lists!$AN$8)+($R460*Lists!$AN$9)+($S460*Lists!$AN$10),2))</f>
        <v/>
      </c>
      <c r="U460" s="66"/>
      <c r="V460" s="66"/>
      <c r="W460" s="66"/>
      <c r="X460" s="66"/>
      <c r="Y460" s="66"/>
      <c r="Z460" s="64" t="str">
        <f>IF(OR($B460="", $U460="", $V460="", $W460="", $X460="", $Y460=""),"",ROUND(($U460*Lists!$AN$11)+($V460*Lists!$AN$12)+($W460*Lists!$AN$13)+($X460*Lists!$AN$14)+($Y460*Lists!$AN$15),2))</f>
        <v/>
      </c>
      <c r="AA460" s="64" t="str">
        <f>IF(OR($B460="", $N460="", $O460="", $T460="", $Z460=""),"",ROUND(($N460*Lists!$AN$16)-($O460*Lists!$AN$17)-($T460*Lists!$AN$18)+($Z460*Lists!$AN$19),2))</f>
        <v/>
      </c>
      <c r="AB460" s="63" t="str">
        <f t="shared" si="25"/>
        <v/>
      </c>
      <c r="AC460" s="63" t="str">
        <f t="shared" si="26"/>
        <v/>
      </c>
      <c r="AD460" s="63" t="str">
        <f>IF($A460="","",IFERROR(IF(VLOOKUP($A460,'Risk Register'!$B$2:$H$1000,4,FALSE())&gt;=4,"Yes",""),""))</f>
        <v/>
      </c>
      <c r="AE460" s="63" t="str">
        <f t="shared" si="27"/>
        <v/>
      </c>
      <c r="AF460" s="62"/>
      <c r="AG460" s="62"/>
      <c r="AH460" s="62"/>
      <c r="AI460" s="62"/>
      <c r="AJ460" s="62"/>
      <c r="AK460" s="62"/>
      <c r="AL460" s="62"/>
      <c r="AM460" s="62"/>
      <c r="AN460" s="62"/>
      <c r="AO460" s="62"/>
      <c r="AP460" s="62"/>
      <c r="AQ460" s="80"/>
    </row>
    <row r="461" spans="1:43" ht="15.75" customHeight="1" x14ac:dyDescent="0.2">
      <c r="A461" s="63" t="str">
        <f t="shared" si="24"/>
        <v/>
      </c>
      <c r="B461" s="62"/>
      <c r="C461" s="62"/>
      <c r="D461" s="62"/>
      <c r="E461" s="62"/>
      <c r="F461" s="62"/>
      <c r="G461" s="62"/>
      <c r="H461" s="62"/>
      <c r="I461" s="66"/>
      <c r="J461" s="66"/>
      <c r="K461" s="66"/>
      <c r="L461" s="66"/>
      <c r="M461" s="66"/>
      <c r="N461" s="64" t="str">
        <f>IF(OR($B461="", $I461="", $J461="", $K461="", $L461="", $M461=""),"",ROUND(($I461*Lists!$AN$2)+($J461*Lists!$AN$3)+($K461*Lists!$AN$4)+($L461*Lists!$AN$5)+($M461*Lists!$AN$6),2))</f>
        <v/>
      </c>
      <c r="O461" s="64" t="str">
        <f>IF($A461="","",IFERROR(VLOOKUP($A461,'Risk Register'!$B$2:$I$1000,8,FALSE()),""))</f>
        <v/>
      </c>
      <c r="P461" s="66"/>
      <c r="Q461" s="66"/>
      <c r="R461" s="66"/>
      <c r="S461" s="66"/>
      <c r="T461" s="64" t="str">
        <f>IF(OR($B461="", $P461="", $Q461="", $R461="", $S461=""),"",ROUND(($P461*Lists!$AN$7)+($Q461*Lists!$AN$8)+($R461*Lists!$AN$9)+($S461*Lists!$AN$10),2))</f>
        <v/>
      </c>
      <c r="U461" s="66"/>
      <c r="V461" s="66"/>
      <c r="W461" s="66"/>
      <c r="X461" s="66"/>
      <c r="Y461" s="66"/>
      <c r="Z461" s="64" t="str">
        <f>IF(OR($B461="", $U461="", $V461="", $W461="", $X461="", $Y461=""),"",ROUND(($U461*Lists!$AN$11)+($V461*Lists!$AN$12)+($W461*Lists!$AN$13)+($X461*Lists!$AN$14)+($Y461*Lists!$AN$15),2))</f>
        <v/>
      </c>
      <c r="AA461" s="64" t="str">
        <f>IF(OR($B461="", $N461="", $O461="", $T461="", $Z461=""),"",ROUND(($N461*Lists!$AN$16)-($O461*Lists!$AN$17)-($T461*Lists!$AN$18)+($Z461*Lists!$AN$19),2))</f>
        <v/>
      </c>
      <c r="AB461" s="63" t="str">
        <f t="shared" si="25"/>
        <v/>
      </c>
      <c r="AC461" s="63" t="str">
        <f t="shared" si="26"/>
        <v/>
      </c>
      <c r="AD461" s="63" t="str">
        <f>IF($A461="","",IFERROR(IF(VLOOKUP($A461,'Risk Register'!$B$2:$H$1000,4,FALSE())&gt;=4,"Yes",""),""))</f>
        <v/>
      </c>
      <c r="AE461" s="63" t="str">
        <f t="shared" si="27"/>
        <v/>
      </c>
      <c r="AF461" s="62"/>
      <c r="AG461" s="62"/>
      <c r="AH461" s="62"/>
      <c r="AI461" s="62"/>
      <c r="AJ461" s="62"/>
      <c r="AK461" s="62"/>
      <c r="AL461" s="62"/>
      <c r="AM461" s="62"/>
      <c r="AN461" s="62"/>
      <c r="AO461" s="62"/>
      <c r="AP461" s="62"/>
      <c r="AQ461" s="80"/>
    </row>
    <row r="462" spans="1:43" ht="15.75" customHeight="1" x14ac:dyDescent="0.2">
      <c r="A462" s="63" t="str">
        <f t="shared" si="24"/>
        <v/>
      </c>
      <c r="B462" s="62"/>
      <c r="C462" s="62"/>
      <c r="D462" s="62"/>
      <c r="E462" s="62"/>
      <c r="F462" s="62"/>
      <c r="G462" s="62"/>
      <c r="H462" s="62"/>
      <c r="I462" s="66"/>
      <c r="J462" s="66"/>
      <c r="K462" s="66"/>
      <c r="L462" s="66"/>
      <c r="M462" s="66"/>
      <c r="N462" s="64" t="str">
        <f>IF(OR($B462="", $I462="", $J462="", $K462="", $L462="", $M462=""),"",ROUND(($I462*Lists!$AN$2)+($J462*Lists!$AN$3)+($K462*Lists!$AN$4)+($L462*Lists!$AN$5)+($M462*Lists!$AN$6),2))</f>
        <v/>
      </c>
      <c r="O462" s="64" t="str">
        <f>IF($A462="","",IFERROR(VLOOKUP($A462,'Risk Register'!$B$2:$I$1000,8,FALSE()),""))</f>
        <v/>
      </c>
      <c r="P462" s="66"/>
      <c r="Q462" s="66"/>
      <c r="R462" s="66"/>
      <c r="S462" s="66"/>
      <c r="T462" s="64" t="str">
        <f>IF(OR($B462="", $P462="", $Q462="", $R462="", $S462=""),"",ROUND(($P462*Lists!$AN$7)+($Q462*Lists!$AN$8)+($R462*Lists!$AN$9)+($S462*Lists!$AN$10),2))</f>
        <v/>
      </c>
      <c r="U462" s="66"/>
      <c r="V462" s="66"/>
      <c r="W462" s="66"/>
      <c r="X462" s="66"/>
      <c r="Y462" s="66"/>
      <c r="Z462" s="64" t="str">
        <f>IF(OR($B462="", $U462="", $V462="", $W462="", $X462="", $Y462=""),"",ROUND(($U462*Lists!$AN$11)+($V462*Lists!$AN$12)+($W462*Lists!$AN$13)+($X462*Lists!$AN$14)+($Y462*Lists!$AN$15),2))</f>
        <v/>
      </c>
      <c r="AA462" s="64" t="str">
        <f>IF(OR($B462="", $N462="", $O462="", $T462="", $Z462=""),"",ROUND(($N462*Lists!$AN$16)-($O462*Lists!$AN$17)-($T462*Lists!$AN$18)+($Z462*Lists!$AN$19),2))</f>
        <v/>
      </c>
      <c r="AB462" s="63" t="str">
        <f t="shared" si="25"/>
        <v/>
      </c>
      <c r="AC462" s="63" t="str">
        <f t="shared" si="26"/>
        <v/>
      </c>
      <c r="AD462" s="63" t="str">
        <f>IF($A462="","",IFERROR(IF(VLOOKUP($A462,'Risk Register'!$B$2:$H$1000,4,FALSE())&gt;=4,"Yes",""),""))</f>
        <v/>
      </c>
      <c r="AE462" s="63" t="str">
        <f t="shared" si="27"/>
        <v/>
      </c>
      <c r="AF462" s="62"/>
      <c r="AG462" s="62"/>
      <c r="AH462" s="62"/>
      <c r="AI462" s="62"/>
      <c r="AJ462" s="62"/>
      <c r="AK462" s="62"/>
      <c r="AL462" s="62"/>
      <c r="AM462" s="62"/>
      <c r="AN462" s="62"/>
      <c r="AO462" s="62"/>
      <c r="AP462" s="62"/>
      <c r="AQ462" s="80"/>
    </row>
    <row r="463" spans="1:43" ht="15.75" customHeight="1" x14ac:dyDescent="0.2">
      <c r="A463" s="63" t="str">
        <f t="shared" si="24"/>
        <v/>
      </c>
      <c r="B463" s="62"/>
      <c r="C463" s="62"/>
      <c r="D463" s="62"/>
      <c r="E463" s="62"/>
      <c r="F463" s="62"/>
      <c r="G463" s="62"/>
      <c r="H463" s="62"/>
      <c r="I463" s="66"/>
      <c r="J463" s="66"/>
      <c r="K463" s="66"/>
      <c r="L463" s="66"/>
      <c r="M463" s="66"/>
      <c r="N463" s="64" t="str">
        <f>IF(OR($B463="", $I463="", $J463="", $K463="", $L463="", $M463=""),"",ROUND(($I463*Lists!$AN$2)+($J463*Lists!$AN$3)+($K463*Lists!$AN$4)+($L463*Lists!$AN$5)+($M463*Lists!$AN$6),2))</f>
        <v/>
      </c>
      <c r="O463" s="64" t="str">
        <f>IF($A463="","",IFERROR(VLOOKUP($A463,'Risk Register'!$B$2:$I$1000,8,FALSE()),""))</f>
        <v/>
      </c>
      <c r="P463" s="66"/>
      <c r="Q463" s="66"/>
      <c r="R463" s="66"/>
      <c r="S463" s="66"/>
      <c r="T463" s="64" t="str">
        <f>IF(OR($B463="", $P463="", $Q463="", $R463="", $S463=""),"",ROUND(($P463*Lists!$AN$7)+($Q463*Lists!$AN$8)+($R463*Lists!$AN$9)+($S463*Lists!$AN$10),2))</f>
        <v/>
      </c>
      <c r="U463" s="66"/>
      <c r="V463" s="66"/>
      <c r="W463" s="66"/>
      <c r="X463" s="66"/>
      <c r="Y463" s="66"/>
      <c r="Z463" s="64" t="str">
        <f>IF(OR($B463="", $U463="", $V463="", $W463="", $X463="", $Y463=""),"",ROUND(($U463*Lists!$AN$11)+($V463*Lists!$AN$12)+($W463*Lists!$AN$13)+($X463*Lists!$AN$14)+($Y463*Lists!$AN$15),2))</f>
        <v/>
      </c>
      <c r="AA463" s="64" t="str">
        <f>IF(OR($B463="", $N463="", $O463="", $T463="", $Z463=""),"",ROUND(($N463*Lists!$AN$16)-($O463*Lists!$AN$17)-($T463*Lists!$AN$18)+($Z463*Lists!$AN$19),2))</f>
        <v/>
      </c>
      <c r="AB463" s="63" t="str">
        <f t="shared" si="25"/>
        <v/>
      </c>
      <c r="AC463" s="63" t="str">
        <f t="shared" si="26"/>
        <v/>
      </c>
      <c r="AD463" s="63" t="str">
        <f>IF($A463="","",IFERROR(IF(VLOOKUP($A463,'Risk Register'!$B$2:$H$1000,4,FALSE())&gt;=4,"Yes",""),""))</f>
        <v/>
      </c>
      <c r="AE463" s="63" t="str">
        <f t="shared" si="27"/>
        <v/>
      </c>
      <c r="AF463" s="62"/>
      <c r="AG463" s="62"/>
      <c r="AH463" s="62"/>
      <c r="AI463" s="62"/>
      <c r="AJ463" s="62"/>
      <c r="AK463" s="62"/>
      <c r="AL463" s="62"/>
      <c r="AM463" s="62"/>
      <c r="AN463" s="62"/>
      <c r="AO463" s="62"/>
      <c r="AP463" s="62"/>
      <c r="AQ463" s="80"/>
    </row>
    <row r="464" spans="1:43" ht="15.75" customHeight="1" x14ac:dyDescent="0.2">
      <c r="A464" s="63" t="str">
        <f t="shared" si="24"/>
        <v/>
      </c>
      <c r="B464" s="62"/>
      <c r="C464" s="62"/>
      <c r="D464" s="62"/>
      <c r="E464" s="62"/>
      <c r="F464" s="62"/>
      <c r="G464" s="62"/>
      <c r="H464" s="62"/>
      <c r="I464" s="66"/>
      <c r="J464" s="66"/>
      <c r="K464" s="66"/>
      <c r="L464" s="66"/>
      <c r="M464" s="66"/>
      <c r="N464" s="64" t="str">
        <f>IF(OR($B464="", $I464="", $J464="", $K464="", $L464="", $M464=""),"",ROUND(($I464*Lists!$AN$2)+($J464*Lists!$AN$3)+($K464*Lists!$AN$4)+($L464*Lists!$AN$5)+($M464*Lists!$AN$6),2))</f>
        <v/>
      </c>
      <c r="O464" s="64" t="str">
        <f>IF($A464="","",IFERROR(VLOOKUP($A464,'Risk Register'!$B$2:$I$1000,8,FALSE()),""))</f>
        <v/>
      </c>
      <c r="P464" s="66"/>
      <c r="Q464" s="66"/>
      <c r="R464" s="66"/>
      <c r="S464" s="66"/>
      <c r="T464" s="64" t="str">
        <f>IF(OR($B464="", $P464="", $Q464="", $R464="", $S464=""),"",ROUND(($P464*Lists!$AN$7)+($Q464*Lists!$AN$8)+($R464*Lists!$AN$9)+($S464*Lists!$AN$10),2))</f>
        <v/>
      </c>
      <c r="U464" s="66"/>
      <c r="V464" s="66"/>
      <c r="W464" s="66"/>
      <c r="X464" s="66"/>
      <c r="Y464" s="66"/>
      <c r="Z464" s="64" t="str">
        <f>IF(OR($B464="", $U464="", $V464="", $W464="", $X464="", $Y464=""),"",ROUND(($U464*Lists!$AN$11)+($V464*Lists!$AN$12)+($W464*Lists!$AN$13)+($X464*Lists!$AN$14)+($Y464*Lists!$AN$15),2))</f>
        <v/>
      </c>
      <c r="AA464" s="64" t="str">
        <f>IF(OR($B464="", $N464="", $O464="", $T464="", $Z464=""),"",ROUND(($N464*Lists!$AN$16)-($O464*Lists!$AN$17)-($T464*Lists!$AN$18)+($Z464*Lists!$AN$19),2))</f>
        <v/>
      </c>
      <c r="AB464" s="63" t="str">
        <f t="shared" si="25"/>
        <v/>
      </c>
      <c r="AC464" s="63" t="str">
        <f t="shared" si="26"/>
        <v/>
      </c>
      <c r="AD464" s="63" t="str">
        <f>IF($A464="","",IFERROR(IF(VLOOKUP($A464,'Risk Register'!$B$2:$H$1000,4,FALSE())&gt;=4,"Yes",""),""))</f>
        <v/>
      </c>
      <c r="AE464" s="63" t="str">
        <f t="shared" si="27"/>
        <v/>
      </c>
      <c r="AF464" s="62"/>
      <c r="AG464" s="62"/>
      <c r="AH464" s="62"/>
      <c r="AI464" s="62"/>
      <c r="AJ464" s="62"/>
      <c r="AK464" s="62"/>
      <c r="AL464" s="62"/>
      <c r="AM464" s="62"/>
      <c r="AN464" s="62"/>
      <c r="AO464" s="62"/>
      <c r="AP464" s="62"/>
      <c r="AQ464" s="80"/>
    </row>
    <row r="465" spans="1:43" ht="15.75" customHeight="1" x14ac:dyDescent="0.2">
      <c r="A465" s="63" t="str">
        <f t="shared" si="24"/>
        <v/>
      </c>
      <c r="B465" s="62"/>
      <c r="C465" s="62"/>
      <c r="D465" s="62"/>
      <c r="E465" s="62"/>
      <c r="F465" s="62"/>
      <c r="G465" s="62"/>
      <c r="H465" s="62"/>
      <c r="I465" s="66"/>
      <c r="J465" s="66"/>
      <c r="K465" s="66"/>
      <c r="L465" s="66"/>
      <c r="M465" s="66"/>
      <c r="N465" s="64" t="str">
        <f>IF(OR($B465="", $I465="", $J465="", $K465="", $L465="", $M465=""),"",ROUND(($I465*Lists!$AN$2)+($J465*Lists!$AN$3)+($K465*Lists!$AN$4)+($L465*Lists!$AN$5)+($M465*Lists!$AN$6),2))</f>
        <v/>
      </c>
      <c r="O465" s="64" t="str">
        <f>IF($A465="","",IFERROR(VLOOKUP($A465,'Risk Register'!$B$2:$I$1000,8,FALSE()),""))</f>
        <v/>
      </c>
      <c r="P465" s="66"/>
      <c r="Q465" s="66"/>
      <c r="R465" s="66"/>
      <c r="S465" s="66"/>
      <c r="T465" s="64" t="str">
        <f>IF(OR($B465="", $P465="", $Q465="", $R465="", $S465=""),"",ROUND(($P465*Lists!$AN$7)+($Q465*Lists!$AN$8)+($R465*Lists!$AN$9)+($S465*Lists!$AN$10),2))</f>
        <v/>
      </c>
      <c r="U465" s="66"/>
      <c r="V465" s="66"/>
      <c r="W465" s="66"/>
      <c r="X465" s="66"/>
      <c r="Y465" s="66"/>
      <c r="Z465" s="64" t="str">
        <f>IF(OR($B465="", $U465="", $V465="", $W465="", $X465="", $Y465=""),"",ROUND(($U465*Lists!$AN$11)+($V465*Lists!$AN$12)+($W465*Lists!$AN$13)+($X465*Lists!$AN$14)+($Y465*Lists!$AN$15),2))</f>
        <v/>
      </c>
      <c r="AA465" s="64" t="str">
        <f>IF(OR($B465="", $N465="", $O465="", $T465="", $Z465=""),"",ROUND(($N465*Lists!$AN$16)-($O465*Lists!$AN$17)-($T465*Lists!$AN$18)+($Z465*Lists!$AN$19),2))</f>
        <v/>
      </c>
      <c r="AB465" s="63" t="str">
        <f t="shared" si="25"/>
        <v/>
      </c>
      <c r="AC465" s="63" t="str">
        <f t="shared" si="26"/>
        <v/>
      </c>
      <c r="AD465" s="63" t="str">
        <f>IF($A465="","",IFERROR(IF(VLOOKUP($A465,'Risk Register'!$B$2:$H$1000,4,FALSE())&gt;=4,"Yes",""),""))</f>
        <v/>
      </c>
      <c r="AE465" s="63" t="str">
        <f t="shared" si="27"/>
        <v/>
      </c>
      <c r="AF465" s="62"/>
      <c r="AG465" s="62"/>
      <c r="AH465" s="62"/>
      <c r="AI465" s="62"/>
      <c r="AJ465" s="62"/>
      <c r="AK465" s="62"/>
      <c r="AL465" s="62"/>
      <c r="AM465" s="62"/>
      <c r="AN465" s="62"/>
      <c r="AO465" s="62"/>
      <c r="AP465" s="62"/>
      <c r="AQ465" s="80"/>
    </row>
    <row r="466" spans="1:43" ht="15.75" customHeight="1" x14ac:dyDescent="0.2">
      <c r="A466" s="63" t="str">
        <f t="shared" si="24"/>
        <v/>
      </c>
      <c r="B466" s="62"/>
      <c r="C466" s="62"/>
      <c r="D466" s="62"/>
      <c r="E466" s="62"/>
      <c r="F466" s="62"/>
      <c r="G466" s="62"/>
      <c r="H466" s="62"/>
      <c r="I466" s="66"/>
      <c r="J466" s="66"/>
      <c r="K466" s="66"/>
      <c r="L466" s="66"/>
      <c r="M466" s="66"/>
      <c r="N466" s="64" t="str">
        <f>IF(OR($B466="", $I466="", $J466="", $K466="", $L466="", $M466=""),"",ROUND(($I466*Lists!$AN$2)+($J466*Lists!$AN$3)+($K466*Lists!$AN$4)+($L466*Lists!$AN$5)+($M466*Lists!$AN$6),2))</f>
        <v/>
      </c>
      <c r="O466" s="64" t="str">
        <f>IF($A466="","",IFERROR(VLOOKUP($A466,'Risk Register'!$B$2:$I$1000,8,FALSE()),""))</f>
        <v/>
      </c>
      <c r="P466" s="66"/>
      <c r="Q466" s="66"/>
      <c r="R466" s="66"/>
      <c r="S466" s="66"/>
      <c r="T466" s="64" t="str">
        <f>IF(OR($B466="", $P466="", $Q466="", $R466="", $S466=""),"",ROUND(($P466*Lists!$AN$7)+($Q466*Lists!$AN$8)+($R466*Lists!$AN$9)+($S466*Lists!$AN$10),2))</f>
        <v/>
      </c>
      <c r="U466" s="66"/>
      <c r="V466" s="66"/>
      <c r="W466" s="66"/>
      <c r="X466" s="66"/>
      <c r="Y466" s="66"/>
      <c r="Z466" s="64" t="str">
        <f>IF(OR($B466="", $U466="", $V466="", $W466="", $X466="", $Y466=""),"",ROUND(($U466*Lists!$AN$11)+($V466*Lists!$AN$12)+($W466*Lists!$AN$13)+($X466*Lists!$AN$14)+($Y466*Lists!$AN$15),2))</f>
        <v/>
      </c>
      <c r="AA466" s="64" t="str">
        <f>IF(OR($B466="", $N466="", $O466="", $T466="", $Z466=""),"",ROUND(($N466*Lists!$AN$16)-($O466*Lists!$AN$17)-($T466*Lists!$AN$18)+($Z466*Lists!$AN$19),2))</f>
        <v/>
      </c>
      <c r="AB466" s="63" t="str">
        <f t="shared" si="25"/>
        <v/>
      </c>
      <c r="AC466" s="63" t="str">
        <f t="shared" si="26"/>
        <v/>
      </c>
      <c r="AD466" s="63" t="str">
        <f>IF($A466="","",IFERROR(IF(VLOOKUP($A466,'Risk Register'!$B$2:$H$1000,4,FALSE())&gt;=4,"Yes",""),""))</f>
        <v/>
      </c>
      <c r="AE466" s="63" t="str">
        <f t="shared" si="27"/>
        <v/>
      </c>
      <c r="AF466" s="62"/>
      <c r="AG466" s="62"/>
      <c r="AH466" s="62"/>
      <c r="AI466" s="62"/>
      <c r="AJ466" s="62"/>
      <c r="AK466" s="62"/>
      <c r="AL466" s="62"/>
      <c r="AM466" s="62"/>
      <c r="AN466" s="62"/>
      <c r="AO466" s="62"/>
      <c r="AP466" s="62"/>
      <c r="AQ466" s="80"/>
    </row>
    <row r="467" spans="1:43" ht="15.75" customHeight="1" x14ac:dyDescent="0.2">
      <c r="A467" s="63" t="str">
        <f t="shared" si="24"/>
        <v/>
      </c>
      <c r="B467" s="62"/>
      <c r="C467" s="62"/>
      <c r="D467" s="62"/>
      <c r="E467" s="62"/>
      <c r="F467" s="62"/>
      <c r="G467" s="62"/>
      <c r="H467" s="62"/>
      <c r="I467" s="66"/>
      <c r="J467" s="66"/>
      <c r="K467" s="66"/>
      <c r="L467" s="66"/>
      <c r="M467" s="66"/>
      <c r="N467" s="64" t="str">
        <f>IF(OR($B467="", $I467="", $J467="", $K467="", $L467="", $M467=""),"",ROUND(($I467*Lists!$AN$2)+($J467*Lists!$AN$3)+($K467*Lists!$AN$4)+($L467*Lists!$AN$5)+($M467*Lists!$AN$6),2))</f>
        <v/>
      </c>
      <c r="O467" s="64" t="str">
        <f>IF($A467="","",IFERROR(VLOOKUP($A467,'Risk Register'!$B$2:$I$1000,8,FALSE()),""))</f>
        <v/>
      </c>
      <c r="P467" s="66"/>
      <c r="Q467" s="66"/>
      <c r="R467" s="66"/>
      <c r="S467" s="66"/>
      <c r="T467" s="64" t="str">
        <f>IF(OR($B467="", $P467="", $Q467="", $R467="", $S467=""),"",ROUND(($P467*Lists!$AN$7)+($Q467*Lists!$AN$8)+($R467*Lists!$AN$9)+($S467*Lists!$AN$10),2))</f>
        <v/>
      </c>
      <c r="U467" s="66"/>
      <c r="V467" s="66"/>
      <c r="W467" s="66"/>
      <c r="X467" s="66"/>
      <c r="Y467" s="66"/>
      <c r="Z467" s="64" t="str">
        <f>IF(OR($B467="", $U467="", $V467="", $W467="", $X467="", $Y467=""),"",ROUND(($U467*Lists!$AN$11)+($V467*Lists!$AN$12)+($W467*Lists!$AN$13)+($X467*Lists!$AN$14)+($Y467*Lists!$AN$15),2))</f>
        <v/>
      </c>
      <c r="AA467" s="64" t="str">
        <f>IF(OR($B467="", $N467="", $O467="", $T467="", $Z467=""),"",ROUND(($N467*Lists!$AN$16)-($O467*Lists!$AN$17)-($T467*Lists!$AN$18)+($Z467*Lists!$AN$19),2))</f>
        <v/>
      </c>
      <c r="AB467" s="63" t="str">
        <f t="shared" si="25"/>
        <v/>
      </c>
      <c r="AC467" s="63" t="str">
        <f t="shared" si="26"/>
        <v/>
      </c>
      <c r="AD467" s="63" t="str">
        <f>IF($A467="","",IFERROR(IF(VLOOKUP($A467,'Risk Register'!$B$2:$H$1000,4,FALSE())&gt;=4,"Yes",""),""))</f>
        <v/>
      </c>
      <c r="AE467" s="63" t="str">
        <f t="shared" si="27"/>
        <v/>
      </c>
      <c r="AF467" s="62"/>
      <c r="AG467" s="62"/>
      <c r="AH467" s="62"/>
      <c r="AI467" s="62"/>
      <c r="AJ467" s="62"/>
      <c r="AK467" s="62"/>
      <c r="AL467" s="62"/>
      <c r="AM467" s="62"/>
      <c r="AN467" s="62"/>
      <c r="AO467" s="62"/>
      <c r="AP467" s="62"/>
      <c r="AQ467" s="80"/>
    </row>
    <row r="468" spans="1:43" ht="15.75" customHeight="1" x14ac:dyDescent="0.2">
      <c r="A468" s="63" t="str">
        <f t="shared" si="24"/>
        <v/>
      </c>
      <c r="B468" s="62"/>
      <c r="C468" s="62"/>
      <c r="D468" s="62"/>
      <c r="E468" s="62"/>
      <c r="F468" s="62"/>
      <c r="G468" s="62"/>
      <c r="H468" s="62"/>
      <c r="I468" s="66"/>
      <c r="J468" s="66"/>
      <c r="K468" s="66"/>
      <c r="L468" s="66"/>
      <c r="M468" s="66"/>
      <c r="N468" s="64" t="str">
        <f>IF(OR($B468="", $I468="", $J468="", $K468="", $L468="", $M468=""),"",ROUND(($I468*Lists!$AN$2)+($J468*Lists!$AN$3)+($K468*Lists!$AN$4)+($L468*Lists!$AN$5)+($M468*Lists!$AN$6),2))</f>
        <v/>
      </c>
      <c r="O468" s="64" t="str">
        <f>IF($A468="","",IFERROR(VLOOKUP($A468,'Risk Register'!$B$2:$I$1000,8,FALSE()),""))</f>
        <v/>
      </c>
      <c r="P468" s="66"/>
      <c r="Q468" s="66"/>
      <c r="R468" s="66"/>
      <c r="S468" s="66"/>
      <c r="T468" s="64" t="str">
        <f>IF(OR($B468="", $P468="", $Q468="", $R468="", $S468=""),"",ROUND(($P468*Lists!$AN$7)+($Q468*Lists!$AN$8)+($R468*Lists!$AN$9)+($S468*Lists!$AN$10),2))</f>
        <v/>
      </c>
      <c r="U468" s="66"/>
      <c r="V468" s="66"/>
      <c r="W468" s="66"/>
      <c r="X468" s="66"/>
      <c r="Y468" s="66"/>
      <c r="Z468" s="64" t="str">
        <f>IF(OR($B468="", $U468="", $V468="", $W468="", $X468="", $Y468=""),"",ROUND(($U468*Lists!$AN$11)+($V468*Lists!$AN$12)+($W468*Lists!$AN$13)+($X468*Lists!$AN$14)+($Y468*Lists!$AN$15),2))</f>
        <v/>
      </c>
      <c r="AA468" s="64" t="str">
        <f>IF(OR($B468="", $N468="", $O468="", $T468="", $Z468=""),"",ROUND(($N468*Lists!$AN$16)-($O468*Lists!$AN$17)-($T468*Lists!$AN$18)+($Z468*Lists!$AN$19),2))</f>
        <v/>
      </c>
      <c r="AB468" s="63" t="str">
        <f t="shared" si="25"/>
        <v/>
      </c>
      <c r="AC468" s="63" t="str">
        <f t="shared" si="26"/>
        <v/>
      </c>
      <c r="AD468" s="63" t="str">
        <f>IF($A468="","",IFERROR(IF(VLOOKUP($A468,'Risk Register'!$B$2:$H$1000,4,FALSE())&gt;=4,"Yes",""),""))</f>
        <v/>
      </c>
      <c r="AE468" s="63" t="str">
        <f t="shared" si="27"/>
        <v/>
      </c>
      <c r="AF468" s="62"/>
      <c r="AG468" s="62"/>
      <c r="AH468" s="62"/>
      <c r="AI468" s="62"/>
      <c r="AJ468" s="62"/>
      <c r="AK468" s="62"/>
      <c r="AL468" s="62"/>
      <c r="AM468" s="62"/>
      <c r="AN468" s="62"/>
      <c r="AO468" s="62"/>
      <c r="AP468" s="62"/>
      <c r="AQ468" s="80"/>
    </row>
    <row r="469" spans="1:43" ht="15.75" customHeight="1" x14ac:dyDescent="0.2">
      <c r="A469" s="63" t="str">
        <f t="shared" si="24"/>
        <v/>
      </c>
      <c r="B469" s="62"/>
      <c r="C469" s="62"/>
      <c r="D469" s="62"/>
      <c r="E469" s="62"/>
      <c r="F469" s="62"/>
      <c r="G469" s="62"/>
      <c r="H469" s="62"/>
      <c r="I469" s="66"/>
      <c r="J469" s="66"/>
      <c r="K469" s="66"/>
      <c r="L469" s="66"/>
      <c r="M469" s="66"/>
      <c r="N469" s="64" t="str">
        <f>IF(OR($B469="", $I469="", $J469="", $K469="", $L469="", $M469=""),"",ROUND(($I469*Lists!$AN$2)+($J469*Lists!$AN$3)+($K469*Lists!$AN$4)+($L469*Lists!$AN$5)+($M469*Lists!$AN$6),2))</f>
        <v/>
      </c>
      <c r="O469" s="64" t="str">
        <f>IF($A469="","",IFERROR(VLOOKUP($A469,'Risk Register'!$B$2:$I$1000,8,FALSE()),""))</f>
        <v/>
      </c>
      <c r="P469" s="66"/>
      <c r="Q469" s="66"/>
      <c r="R469" s="66"/>
      <c r="S469" s="66"/>
      <c r="T469" s="64" t="str">
        <f>IF(OR($B469="", $P469="", $Q469="", $R469="", $S469=""),"",ROUND(($P469*Lists!$AN$7)+($Q469*Lists!$AN$8)+($R469*Lists!$AN$9)+($S469*Lists!$AN$10),2))</f>
        <v/>
      </c>
      <c r="U469" s="66"/>
      <c r="V469" s="66"/>
      <c r="W469" s="66"/>
      <c r="X469" s="66"/>
      <c r="Y469" s="66"/>
      <c r="Z469" s="64" t="str">
        <f>IF(OR($B469="", $U469="", $V469="", $W469="", $X469="", $Y469=""),"",ROUND(($U469*Lists!$AN$11)+($V469*Lists!$AN$12)+($W469*Lists!$AN$13)+($X469*Lists!$AN$14)+($Y469*Lists!$AN$15),2))</f>
        <v/>
      </c>
      <c r="AA469" s="64" t="str">
        <f>IF(OR($B469="", $N469="", $O469="", $T469="", $Z469=""),"",ROUND(($N469*Lists!$AN$16)-($O469*Lists!$AN$17)-($T469*Lists!$AN$18)+($Z469*Lists!$AN$19),2))</f>
        <v/>
      </c>
      <c r="AB469" s="63" t="str">
        <f t="shared" si="25"/>
        <v/>
      </c>
      <c r="AC469" s="63" t="str">
        <f t="shared" si="26"/>
        <v/>
      </c>
      <c r="AD469" s="63" t="str">
        <f>IF($A469="","",IFERROR(IF(VLOOKUP($A469,'Risk Register'!$B$2:$H$1000,4,FALSE())&gt;=4,"Yes",""),""))</f>
        <v/>
      </c>
      <c r="AE469" s="63" t="str">
        <f t="shared" si="27"/>
        <v/>
      </c>
      <c r="AF469" s="62"/>
      <c r="AG469" s="62"/>
      <c r="AH469" s="62"/>
      <c r="AI469" s="62"/>
      <c r="AJ469" s="62"/>
      <c r="AK469" s="62"/>
      <c r="AL469" s="62"/>
      <c r="AM469" s="62"/>
      <c r="AN469" s="62"/>
      <c r="AO469" s="62"/>
      <c r="AP469" s="62"/>
      <c r="AQ469" s="80"/>
    </row>
    <row r="470" spans="1:43" ht="15.75" customHeight="1" x14ac:dyDescent="0.2">
      <c r="A470" s="63" t="str">
        <f t="shared" si="24"/>
        <v/>
      </c>
      <c r="B470" s="62"/>
      <c r="C470" s="62"/>
      <c r="D470" s="62"/>
      <c r="E470" s="62"/>
      <c r="F470" s="62"/>
      <c r="G470" s="62"/>
      <c r="H470" s="62"/>
      <c r="I470" s="66"/>
      <c r="J470" s="66"/>
      <c r="K470" s="66"/>
      <c r="L470" s="66"/>
      <c r="M470" s="66"/>
      <c r="N470" s="64" t="str">
        <f>IF(OR($B470="", $I470="", $J470="", $K470="", $L470="", $M470=""),"",ROUND(($I470*Lists!$AN$2)+($J470*Lists!$AN$3)+($K470*Lists!$AN$4)+($L470*Lists!$AN$5)+($M470*Lists!$AN$6),2))</f>
        <v/>
      </c>
      <c r="O470" s="64" t="str">
        <f>IF($A470="","",IFERROR(VLOOKUP($A470,'Risk Register'!$B$2:$I$1000,8,FALSE()),""))</f>
        <v/>
      </c>
      <c r="P470" s="66"/>
      <c r="Q470" s="66"/>
      <c r="R470" s="66"/>
      <c r="S470" s="66"/>
      <c r="T470" s="64" t="str">
        <f>IF(OR($B470="", $P470="", $Q470="", $R470="", $S470=""),"",ROUND(($P470*Lists!$AN$7)+($Q470*Lists!$AN$8)+($R470*Lists!$AN$9)+($S470*Lists!$AN$10),2))</f>
        <v/>
      </c>
      <c r="U470" s="66"/>
      <c r="V470" s="66"/>
      <c r="W470" s="66"/>
      <c r="X470" s="66"/>
      <c r="Y470" s="66"/>
      <c r="Z470" s="64" t="str">
        <f>IF(OR($B470="", $U470="", $V470="", $W470="", $X470="", $Y470=""),"",ROUND(($U470*Lists!$AN$11)+($V470*Lists!$AN$12)+($W470*Lists!$AN$13)+($X470*Lists!$AN$14)+($Y470*Lists!$AN$15),2))</f>
        <v/>
      </c>
      <c r="AA470" s="64" t="str">
        <f>IF(OR($B470="", $N470="", $O470="", $T470="", $Z470=""),"",ROUND(($N470*Lists!$AN$16)-($O470*Lists!$AN$17)-($T470*Lists!$AN$18)+($Z470*Lists!$AN$19),2))</f>
        <v/>
      </c>
      <c r="AB470" s="63" t="str">
        <f t="shared" si="25"/>
        <v/>
      </c>
      <c r="AC470" s="63" t="str">
        <f t="shared" si="26"/>
        <v/>
      </c>
      <c r="AD470" s="63" t="str">
        <f>IF($A470="","",IFERROR(IF(VLOOKUP($A470,'Risk Register'!$B$2:$H$1000,4,FALSE())&gt;=4,"Yes",""),""))</f>
        <v/>
      </c>
      <c r="AE470" s="63" t="str">
        <f t="shared" si="27"/>
        <v/>
      </c>
      <c r="AF470" s="62"/>
      <c r="AG470" s="62"/>
      <c r="AH470" s="62"/>
      <c r="AI470" s="62"/>
      <c r="AJ470" s="62"/>
      <c r="AK470" s="62"/>
      <c r="AL470" s="62"/>
      <c r="AM470" s="62"/>
      <c r="AN470" s="62"/>
      <c r="AO470" s="62"/>
      <c r="AP470" s="62"/>
      <c r="AQ470" s="80"/>
    </row>
    <row r="471" spans="1:43" ht="15.75" customHeight="1" x14ac:dyDescent="0.2">
      <c r="A471" s="63" t="str">
        <f t="shared" ref="A471:A534" si="28">IF($B471="","", "APM-" &amp; RIGHT("0000"&amp;ROW()-1,4))</f>
        <v/>
      </c>
      <c r="B471" s="62"/>
      <c r="C471" s="62"/>
      <c r="D471" s="62"/>
      <c r="E471" s="62"/>
      <c r="F471" s="62"/>
      <c r="G471" s="62"/>
      <c r="H471" s="62"/>
      <c r="I471" s="66"/>
      <c r="J471" s="66"/>
      <c r="K471" s="66"/>
      <c r="L471" s="66"/>
      <c r="M471" s="66"/>
      <c r="N471" s="64" t="str">
        <f>IF(OR($B471="", $I471="", $J471="", $K471="", $L471="", $M471=""),"",ROUND(($I471*Lists!$AN$2)+($J471*Lists!$AN$3)+($K471*Lists!$AN$4)+($L471*Lists!$AN$5)+($M471*Lists!$AN$6),2))</f>
        <v/>
      </c>
      <c r="O471" s="64" t="str">
        <f>IF($A471="","",IFERROR(VLOOKUP($A471,'Risk Register'!$B$2:$I$1000,8,FALSE()),""))</f>
        <v/>
      </c>
      <c r="P471" s="66"/>
      <c r="Q471" s="66"/>
      <c r="R471" s="66"/>
      <c r="S471" s="66"/>
      <c r="T471" s="64" t="str">
        <f>IF(OR($B471="", $P471="", $Q471="", $R471="", $S471=""),"",ROUND(($P471*Lists!$AN$7)+($Q471*Lists!$AN$8)+($R471*Lists!$AN$9)+($S471*Lists!$AN$10),2))</f>
        <v/>
      </c>
      <c r="U471" s="66"/>
      <c r="V471" s="66"/>
      <c r="W471" s="66"/>
      <c r="X471" s="66"/>
      <c r="Y471" s="66"/>
      <c r="Z471" s="64" t="str">
        <f>IF(OR($B471="", $U471="", $V471="", $W471="", $X471="", $Y471=""),"",ROUND(($U471*Lists!$AN$11)+($V471*Lists!$AN$12)+($W471*Lists!$AN$13)+($X471*Lists!$AN$14)+($Y471*Lists!$AN$15),2))</f>
        <v/>
      </c>
      <c r="AA471" s="64" t="str">
        <f>IF(OR($B471="", $N471="", $O471="", $T471="", $Z471=""),"",ROUND(($N471*Lists!$AN$16)-($O471*Lists!$AN$17)-($T471*Lists!$AN$18)+($Z471*Lists!$AN$19),2))</f>
        <v/>
      </c>
      <c r="AB471" s="63" t="str">
        <f t="shared" ref="AB471:AB534" si="29">IF($AA471="","",IF($AA471&gt;=3.5,"INVEST",IF($AA471&gt;=2.5,"TOLERATE",IF($AA471&gt;=1.5,"MIGRATE / MODERNIZE","RETIRE"))))</f>
        <v/>
      </c>
      <c r="AC471" s="63" t="str">
        <f t="shared" ref="AC471:AC534" si="30">IF($B471="","",IF($J471&gt;=4,"Yes",""))</f>
        <v/>
      </c>
      <c r="AD471" s="63" t="str">
        <f>IF($A471="","",IFERROR(IF(VLOOKUP($A471,'Risk Register'!$B$2:$H$1000,4,FALSE())&gt;=4,"Yes",""),""))</f>
        <v/>
      </c>
      <c r="AE471" s="63" t="str">
        <f t="shared" ref="AE471:AE534" si="31">IF(OR($N471="", $O471=""),"",IF($N471&gt;=3.5,IF($O471&gt;=3.5,"High Value / High Risk","High Value / Low Risk"),IF($O471&gt;=3.5,"Low Value / High Risk","Low Value / Low Risk")))</f>
        <v/>
      </c>
      <c r="AF471" s="62"/>
      <c r="AG471" s="62"/>
      <c r="AH471" s="62"/>
      <c r="AI471" s="62"/>
      <c r="AJ471" s="62"/>
      <c r="AK471" s="62"/>
      <c r="AL471" s="62"/>
      <c r="AM471" s="62"/>
      <c r="AN471" s="62"/>
      <c r="AO471" s="62"/>
      <c r="AP471" s="62"/>
      <c r="AQ471" s="80"/>
    </row>
    <row r="472" spans="1:43" ht="15.75" customHeight="1" x14ac:dyDescent="0.2">
      <c r="A472" s="63" t="str">
        <f t="shared" si="28"/>
        <v/>
      </c>
      <c r="B472" s="62"/>
      <c r="C472" s="62"/>
      <c r="D472" s="62"/>
      <c r="E472" s="62"/>
      <c r="F472" s="62"/>
      <c r="G472" s="62"/>
      <c r="H472" s="62"/>
      <c r="I472" s="66"/>
      <c r="J472" s="66"/>
      <c r="K472" s="66"/>
      <c r="L472" s="66"/>
      <c r="M472" s="66"/>
      <c r="N472" s="64" t="str">
        <f>IF(OR($B472="", $I472="", $J472="", $K472="", $L472="", $M472=""),"",ROUND(($I472*Lists!$AN$2)+($J472*Lists!$AN$3)+($K472*Lists!$AN$4)+($L472*Lists!$AN$5)+($M472*Lists!$AN$6),2))</f>
        <v/>
      </c>
      <c r="O472" s="64" t="str">
        <f>IF($A472="","",IFERROR(VLOOKUP($A472,'Risk Register'!$B$2:$I$1000,8,FALSE()),""))</f>
        <v/>
      </c>
      <c r="P472" s="66"/>
      <c r="Q472" s="66"/>
      <c r="R472" s="66"/>
      <c r="S472" s="66"/>
      <c r="T472" s="64" t="str">
        <f>IF(OR($B472="", $P472="", $Q472="", $R472="", $S472=""),"",ROUND(($P472*Lists!$AN$7)+($Q472*Lists!$AN$8)+($R472*Lists!$AN$9)+($S472*Lists!$AN$10),2))</f>
        <v/>
      </c>
      <c r="U472" s="66"/>
      <c r="V472" s="66"/>
      <c r="W472" s="66"/>
      <c r="X472" s="66"/>
      <c r="Y472" s="66"/>
      <c r="Z472" s="64" t="str">
        <f>IF(OR($B472="", $U472="", $V472="", $W472="", $X472="", $Y472=""),"",ROUND(($U472*Lists!$AN$11)+($V472*Lists!$AN$12)+($W472*Lists!$AN$13)+($X472*Lists!$AN$14)+($Y472*Lists!$AN$15),2))</f>
        <v/>
      </c>
      <c r="AA472" s="64" t="str">
        <f>IF(OR($B472="", $N472="", $O472="", $T472="", $Z472=""),"",ROUND(($N472*Lists!$AN$16)-($O472*Lists!$AN$17)-($T472*Lists!$AN$18)+($Z472*Lists!$AN$19),2))</f>
        <v/>
      </c>
      <c r="AB472" s="63" t="str">
        <f t="shared" si="29"/>
        <v/>
      </c>
      <c r="AC472" s="63" t="str">
        <f t="shared" si="30"/>
        <v/>
      </c>
      <c r="AD472" s="63" t="str">
        <f>IF($A472="","",IFERROR(IF(VLOOKUP($A472,'Risk Register'!$B$2:$H$1000,4,FALSE())&gt;=4,"Yes",""),""))</f>
        <v/>
      </c>
      <c r="AE472" s="63" t="str">
        <f t="shared" si="31"/>
        <v/>
      </c>
      <c r="AF472" s="62"/>
      <c r="AG472" s="62"/>
      <c r="AH472" s="62"/>
      <c r="AI472" s="62"/>
      <c r="AJ472" s="62"/>
      <c r="AK472" s="62"/>
      <c r="AL472" s="62"/>
      <c r="AM472" s="62"/>
      <c r="AN472" s="62"/>
      <c r="AO472" s="62"/>
      <c r="AP472" s="62"/>
      <c r="AQ472" s="80"/>
    </row>
    <row r="473" spans="1:43" ht="15.75" customHeight="1" x14ac:dyDescent="0.2">
      <c r="A473" s="63" t="str">
        <f t="shared" si="28"/>
        <v/>
      </c>
      <c r="B473" s="62"/>
      <c r="C473" s="62"/>
      <c r="D473" s="62"/>
      <c r="E473" s="62"/>
      <c r="F473" s="62"/>
      <c r="G473" s="62"/>
      <c r="H473" s="62"/>
      <c r="I473" s="66"/>
      <c r="J473" s="66"/>
      <c r="K473" s="66"/>
      <c r="L473" s="66"/>
      <c r="M473" s="66"/>
      <c r="N473" s="64" t="str">
        <f>IF(OR($B473="", $I473="", $J473="", $K473="", $L473="", $M473=""),"",ROUND(($I473*Lists!$AN$2)+($J473*Lists!$AN$3)+($K473*Lists!$AN$4)+($L473*Lists!$AN$5)+($M473*Lists!$AN$6),2))</f>
        <v/>
      </c>
      <c r="O473" s="64" t="str">
        <f>IF($A473="","",IFERROR(VLOOKUP($A473,'Risk Register'!$B$2:$I$1000,8,FALSE()),""))</f>
        <v/>
      </c>
      <c r="P473" s="66"/>
      <c r="Q473" s="66"/>
      <c r="R473" s="66"/>
      <c r="S473" s="66"/>
      <c r="T473" s="64" t="str">
        <f>IF(OR($B473="", $P473="", $Q473="", $R473="", $S473=""),"",ROUND(($P473*Lists!$AN$7)+($Q473*Lists!$AN$8)+($R473*Lists!$AN$9)+($S473*Lists!$AN$10),2))</f>
        <v/>
      </c>
      <c r="U473" s="66"/>
      <c r="V473" s="66"/>
      <c r="W473" s="66"/>
      <c r="X473" s="66"/>
      <c r="Y473" s="66"/>
      <c r="Z473" s="64" t="str">
        <f>IF(OR($B473="", $U473="", $V473="", $W473="", $X473="", $Y473=""),"",ROUND(($U473*Lists!$AN$11)+($V473*Lists!$AN$12)+($W473*Lists!$AN$13)+($X473*Lists!$AN$14)+($Y473*Lists!$AN$15),2))</f>
        <v/>
      </c>
      <c r="AA473" s="64" t="str">
        <f>IF(OR($B473="", $N473="", $O473="", $T473="", $Z473=""),"",ROUND(($N473*Lists!$AN$16)-($O473*Lists!$AN$17)-($T473*Lists!$AN$18)+($Z473*Lists!$AN$19),2))</f>
        <v/>
      </c>
      <c r="AB473" s="63" t="str">
        <f t="shared" si="29"/>
        <v/>
      </c>
      <c r="AC473" s="63" t="str">
        <f t="shared" si="30"/>
        <v/>
      </c>
      <c r="AD473" s="63" t="str">
        <f>IF($A473="","",IFERROR(IF(VLOOKUP($A473,'Risk Register'!$B$2:$H$1000,4,FALSE())&gt;=4,"Yes",""),""))</f>
        <v/>
      </c>
      <c r="AE473" s="63" t="str">
        <f t="shared" si="31"/>
        <v/>
      </c>
      <c r="AF473" s="62"/>
      <c r="AG473" s="62"/>
      <c r="AH473" s="62"/>
      <c r="AI473" s="62"/>
      <c r="AJ473" s="62"/>
      <c r="AK473" s="62"/>
      <c r="AL473" s="62"/>
      <c r="AM473" s="62"/>
      <c r="AN473" s="62"/>
      <c r="AO473" s="62"/>
      <c r="AP473" s="62"/>
      <c r="AQ473" s="80"/>
    </row>
    <row r="474" spans="1:43" ht="15.75" customHeight="1" x14ac:dyDescent="0.2">
      <c r="A474" s="63" t="str">
        <f t="shared" si="28"/>
        <v/>
      </c>
      <c r="B474" s="62"/>
      <c r="C474" s="62"/>
      <c r="D474" s="62"/>
      <c r="E474" s="62"/>
      <c r="F474" s="62"/>
      <c r="G474" s="62"/>
      <c r="H474" s="62"/>
      <c r="I474" s="66"/>
      <c r="J474" s="66"/>
      <c r="K474" s="66"/>
      <c r="L474" s="66"/>
      <c r="M474" s="66"/>
      <c r="N474" s="64" t="str">
        <f>IF(OR($B474="", $I474="", $J474="", $K474="", $L474="", $M474=""),"",ROUND(($I474*Lists!$AN$2)+($J474*Lists!$AN$3)+($K474*Lists!$AN$4)+($L474*Lists!$AN$5)+($M474*Lists!$AN$6),2))</f>
        <v/>
      </c>
      <c r="O474" s="64" t="str">
        <f>IF($A474="","",IFERROR(VLOOKUP($A474,'Risk Register'!$B$2:$I$1000,8,FALSE()),""))</f>
        <v/>
      </c>
      <c r="P474" s="66"/>
      <c r="Q474" s="66"/>
      <c r="R474" s="66"/>
      <c r="S474" s="66"/>
      <c r="T474" s="64" t="str">
        <f>IF(OR($B474="", $P474="", $Q474="", $R474="", $S474=""),"",ROUND(($P474*Lists!$AN$7)+($Q474*Lists!$AN$8)+($R474*Lists!$AN$9)+($S474*Lists!$AN$10),2))</f>
        <v/>
      </c>
      <c r="U474" s="66"/>
      <c r="V474" s="66"/>
      <c r="W474" s="66"/>
      <c r="X474" s="66"/>
      <c r="Y474" s="66"/>
      <c r="Z474" s="64" t="str">
        <f>IF(OR($B474="", $U474="", $V474="", $W474="", $X474="", $Y474=""),"",ROUND(($U474*Lists!$AN$11)+($V474*Lists!$AN$12)+($W474*Lists!$AN$13)+($X474*Lists!$AN$14)+($Y474*Lists!$AN$15),2))</f>
        <v/>
      </c>
      <c r="AA474" s="64" t="str">
        <f>IF(OR($B474="", $N474="", $O474="", $T474="", $Z474=""),"",ROUND(($N474*Lists!$AN$16)-($O474*Lists!$AN$17)-($T474*Lists!$AN$18)+($Z474*Lists!$AN$19),2))</f>
        <v/>
      </c>
      <c r="AB474" s="63" t="str">
        <f t="shared" si="29"/>
        <v/>
      </c>
      <c r="AC474" s="63" t="str">
        <f t="shared" si="30"/>
        <v/>
      </c>
      <c r="AD474" s="63" t="str">
        <f>IF($A474="","",IFERROR(IF(VLOOKUP($A474,'Risk Register'!$B$2:$H$1000,4,FALSE())&gt;=4,"Yes",""),""))</f>
        <v/>
      </c>
      <c r="AE474" s="63" t="str">
        <f t="shared" si="31"/>
        <v/>
      </c>
      <c r="AF474" s="62"/>
      <c r="AG474" s="62"/>
      <c r="AH474" s="62"/>
      <c r="AI474" s="62"/>
      <c r="AJ474" s="62"/>
      <c r="AK474" s="62"/>
      <c r="AL474" s="62"/>
      <c r="AM474" s="62"/>
      <c r="AN474" s="62"/>
      <c r="AO474" s="62"/>
      <c r="AP474" s="62"/>
      <c r="AQ474" s="80"/>
    </row>
    <row r="475" spans="1:43" ht="15.75" customHeight="1" x14ac:dyDescent="0.2">
      <c r="A475" s="63" t="str">
        <f t="shared" si="28"/>
        <v/>
      </c>
      <c r="B475" s="62"/>
      <c r="C475" s="62"/>
      <c r="D475" s="62"/>
      <c r="E475" s="62"/>
      <c r="F475" s="62"/>
      <c r="G475" s="62"/>
      <c r="H475" s="62"/>
      <c r="I475" s="66"/>
      <c r="J475" s="66"/>
      <c r="K475" s="66"/>
      <c r="L475" s="66"/>
      <c r="M475" s="66"/>
      <c r="N475" s="64" t="str">
        <f>IF(OR($B475="", $I475="", $J475="", $K475="", $L475="", $M475=""),"",ROUND(($I475*Lists!$AN$2)+($J475*Lists!$AN$3)+($K475*Lists!$AN$4)+($L475*Lists!$AN$5)+($M475*Lists!$AN$6),2))</f>
        <v/>
      </c>
      <c r="O475" s="64" t="str">
        <f>IF($A475="","",IFERROR(VLOOKUP($A475,'Risk Register'!$B$2:$I$1000,8,FALSE()),""))</f>
        <v/>
      </c>
      <c r="P475" s="66"/>
      <c r="Q475" s="66"/>
      <c r="R475" s="66"/>
      <c r="S475" s="66"/>
      <c r="T475" s="64" t="str">
        <f>IF(OR($B475="", $P475="", $Q475="", $R475="", $S475=""),"",ROUND(($P475*Lists!$AN$7)+($Q475*Lists!$AN$8)+($R475*Lists!$AN$9)+($S475*Lists!$AN$10),2))</f>
        <v/>
      </c>
      <c r="U475" s="66"/>
      <c r="V475" s="66"/>
      <c r="W475" s="66"/>
      <c r="X475" s="66"/>
      <c r="Y475" s="66"/>
      <c r="Z475" s="64" t="str">
        <f>IF(OR($B475="", $U475="", $V475="", $W475="", $X475="", $Y475=""),"",ROUND(($U475*Lists!$AN$11)+($V475*Lists!$AN$12)+($W475*Lists!$AN$13)+($X475*Lists!$AN$14)+($Y475*Lists!$AN$15),2))</f>
        <v/>
      </c>
      <c r="AA475" s="64" t="str">
        <f>IF(OR($B475="", $N475="", $O475="", $T475="", $Z475=""),"",ROUND(($N475*Lists!$AN$16)-($O475*Lists!$AN$17)-($T475*Lists!$AN$18)+($Z475*Lists!$AN$19),2))</f>
        <v/>
      </c>
      <c r="AB475" s="63" t="str">
        <f t="shared" si="29"/>
        <v/>
      </c>
      <c r="AC475" s="63" t="str">
        <f t="shared" si="30"/>
        <v/>
      </c>
      <c r="AD475" s="63" t="str">
        <f>IF($A475="","",IFERROR(IF(VLOOKUP($A475,'Risk Register'!$B$2:$H$1000,4,FALSE())&gt;=4,"Yes",""),""))</f>
        <v/>
      </c>
      <c r="AE475" s="63" t="str">
        <f t="shared" si="31"/>
        <v/>
      </c>
      <c r="AF475" s="62"/>
      <c r="AG475" s="62"/>
      <c r="AH475" s="62"/>
      <c r="AI475" s="62"/>
      <c r="AJ475" s="62"/>
      <c r="AK475" s="62"/>
      <c r="AL475" s="62"/>
      <c r="AM475" s="62"/>
      <c r="AN475" s="62"/>
      <c r="AO475" s="62"/>
      <c r="AP475" s="62"/>
      <c r="AQ475" s="80"/>
    </row>
    <row r="476" spans="1:43" ht="15.75" customHeight="1" x14ac:dyDescent="0.2">
      <c r="A476" s="63" t="str">
        <f t="shared" si="28"/>
        <v/>
      </c>
      <c r="B476" s="62"/>
      <c r="C476" s="62"/>
      <c r="D476" s="62"/>
      <c r="E476" s="62"/>
      <c r="F476" s="62"/>
      <c r="G476" s="62"/>
      <c r="H476" s="62"/>
      <c r="I476" s="66"/>
      <c r="J476" s="66"/>
      <c r="K476" s="66"/>
      <c r="L476" s="66"/>
      <c r="M476" s="66"/>
      <c r="N476" s="64" t="str">
        <f>IF(OR($B476="", $I476="", $J476="", $K476="", $L476="", $M476=""),"",ROUND(($I476*Lists!$AN$2)+($J476*Lists!$AN$3)+($K476*Lists!$AN$4)+($L476*Lists!$AN$5)+($M476*Lists!$AN$6),2))</f>
        <v/>
      </c>
      <c r="O476" s="64" t="str">
        <f>IF($A476="","",IFERROR(VLOOKUP($A476,'Risk Register'!$B$2:$I$1000,8,FALSE()),""))</f>
        <v/>
      </c>
      <c r="P476" s="66"/>
      <c r="Q476" s="66"/>
      <c r="R476" s="66"/>
      <c r="S476" s="66"/>
      <c r="T476" s="64" t="str">
        <f>IF(OR($B476="", $P476="", $Q476="", $R476="", $S476=""),"",ROUND(($P476*Lists!$AN$7)+($Q476*Lists!$AN$8)+($R476*Lists!$AN$9)+($S476*Lists!$AN$10),2))</f>
        <v/>
      </c>
      <c r="U476" s="66"/>
      <c r="V476" s="66"/>
      <c r="W476" s="66"/>
      <c r="X476" s="66"/>
      <c r="Y476" s="66"/>
      <c r="Z476" s="64" t="str">
        <f>IF(OR($B476="", $U476="", $V476="", $W476="", $X476="", $Y476=""),"",ROUND(($U476*Lists!$AN$11)+($V476*Lists!$AN$12)+($W476*Lists!$AN$13)+($X476*Lists!$AN$14)+($Y476*Lists!$AN$15),2))</f>
        <v/>
      </c>
      <c r="AA476" s="64" t="str">
        <f>IF(OR($B476="", $N476="", $O476="", $T476="", $Z476=""),"",ROUND(($N476*Lists!$AN$16)-($O476*Lists!$AN$17)-($T476*Lists!$AN$18)+($Z476*Lists!$AN$19),2))</f>
        <v/>
      </c>
      <c r="AB476" s="63" t="str">
        <f t="shared" si="29"/>
        <v/>
      </c>
      <c r="AC476" s="63" t="str">
        <f t="shared" si="30"/>
        <v/>
      </c>
      <c r="AD476" s="63" t="str">
        <f>IF($A476="","",IFERROR(IF(VLOOKUP($A476,'Risk Register'!$B$2:$H$1000,4,FALSE())&gt;=4,"Yes",""),""))</f>
        <v/>
      </c>
      <c r="AE476" s="63" t="str">
        <f t="shared" si="31"/>
        <v/>
      </c>
      <c r="AF476" s="62"/>
      <c r="AG476" s="62"/>
      <c r="AH476" s="62"/>
      <c r="AI476" s="62"/>
      <c r="AJ476" s="62"/>
      <c r="AK476" s="62"/>
      <c r="AL476" s="62"/>
      <c r="AM476" s="62"/>
      <c r="AN476" s="62"/>
      <c r="AO476" s="62"/>
      <c r="AP476" s="62"/>
      <c r="AQ476" s="80"/>
    </row>
    <row r="477" spans="1:43" ht="15.75" customHeight="1" x14ac:dyDescent="0.2">
      <c r="A477" s="63" t="str">
        <f t="shared" si="28"/>
        <v/>
      </c>
      <c r="B477" s="62"/>
      <c r="C477" s="62"/>
      <c r="D477" s="62"/>
      <c r="E477" s="62"/>
      <c r="F477" s="62"/>
      <c r="G477" s="62"/>
      <c r="H477" s="62"/>
      <c r="I477" s="66"/>
      <c r="J477" s="66"/>
      <c r="K477" s="66"/>
      <c r="L477" s="66"/>
      <c r="M477" s="66"/>
      <c r="N477" s="64" t="str">
        <f>IF(OR($B477="", $I477="", $J477="", $K477="", $L477="", $M477=""),"",ROUND(($I477*Lists!$AN$2)+($J477*Lists!$AN$3)+($K477*Lists!$AN$4)+($L477*Lists!$AN$5)+($M477*Lists!$AN$6),2))</f>
        <v/>
      </c>
      <c r="O477" s="64" t="str">
        <f>IF($A477="","",IFERROR(VLOOKUP($A477,'Risk Register'!$B$2:$I$1000,8,FALSE()),""))</f>
        <v/>
      </c>
      <c r="P477" s="66"/>
      <c r="Q477" s="66"/>
      <c r="R477" s="66"/>
      <c r="S477" s="66"/>
      <c r="T477" s="64" t="str">
        <f>IF(OR($B477="", $P477="", $Q477="", $R477="", $S477=""),"",ROUND(($P477*Lists!$AN$7)+($Q477*Lists!$AN$8)+($R477*Lists!$AN$9)+($S477*Lists!$AN$10),2))</f>
        <v/>
      </c>
      <c r="U477" s="66"/>
      <c r="V477" s="66"/>
      <c r="W477" s="66"/>
      <c r="X477" s="66"/>
      <c r="Y477" s="66"/>
      <c r="Z477" s="64" t="str">
        <f>IF(OR($B477="", $U477="", $V477="", $W477="", $X477="", $Y477=""),"",ROUND(($U477*Lists!$AN$11)+($V477*Lists!$AN$12)+($W477*Lists!$AN$13)+($X477*Lists!$AN$14)+($Y477*Lists!$AN$15),2))</f>
        <v/>
      </c>
      <c r="AA477" s="64" t="str">
        <f>IF(OR($B477="", $N477="", $O477="", $T477="", $Z477=""),"",ROUND(($N477*Lists!$AN$16)-($O477*Lists!$AN$17)-($T477*Lists!$AN$18)+($Z477*Lists!$AN$19),2))</f>
        <v/>
      </c>
      <c r="AB477" s="63" t="str">
        <f t="shared" si="29"/>
        <v/>
      </c>
      <c r="AC477" s="63" t="str">
        <f t="shared" si="30"/>
        <v/>
      </c>
      <c r="AD477" s="63" t="str">
        <f>IF($A477="","",IFERROR(IF(VLOOKUP($A477,'Risk Register'!$B$2:$H$1000,4,FALSE())&gt;=4,"Yes",""),""))</f>
        <v/>
      </c>
      <c r="AE477" s="63" t="str">
        <f t="shared" si="31"/>
        <v/>
      </c>
      <c r="AF477" s="62"/>
      <c r="AG477" s="62"/>
      <c r="AH477" s="62"/>
      <c r="AI477" s="62"/>
      <c r="AJ477" s="62"/>
      <c r="AK477" s="62"/>
      <c r="AL477" s="62"/>
      <c r="AM477" s="62"/>
      <c r="AN477" s="62"/>
      <c r="AO477" s="62"/>
      <c r="AP477" s="62"/>
      <c r="AQ477" s="80"/>
    </row>
    <row r="478" spans="1:43" ht="15.75" customHeight="1" x14ac:dyDescent="0.2">
      <c r="A478" s="63" t="str">
        <f t="shared" si="28"/>
        <v/>
      </c>
      <c r="B478" s="62"/>
      <c r="C478" s="62"/>
      <c r="D478" s="62"/>
      <c r="E478" s="62"/>
      <c r="F478" s="62"/>
      <c r="G478" s="62"/>
      <c r="H478" s="62"/>
      <c r="I478" s="66"/>
      <c r="J478" s="66"/>
      <c r="K478" s="66"/>
      <c r="L478" s="66"/>
      <c r="M478" s="66"/>
      <c r="N478" s="64" t="str">
        <f>IF(OR($B478="", $I478="", $J478="", $K478="", $L478="", $M478=""),"",ROUND(($I478*Lists!$AN$2)+($J478*Lists!$AN$3)+($K478*Lists!$AN$4)+($L478*Lists!$AN$5)+($M478*Lists!$AN$6),2))</f>
        <v/>
      </c>
      <c r="O478" s="64" t="str">
        <f>IF($A478="","",IFERROR(VLOOKUP($A478,'Risk Register'!$B$2:$I$1000,8,FALSE()),""))</f>
        <v/>
      </c>
      <c r="P478" s="66"/>
      <c r="Q478" s="66"/>
      <c r="R478" s="66"/>
      <c r="S478" s="66"/>
      <c r="T478" s="64" t="str">
        <f>IF(OR($B478="", $P478="", $Q478="", $R478="", $S478=""),"",ROUND(($P478*Lists!$AN$7)+($Q478*Lists!$AN$8)+($R478*Lists!$AN$9)+($S478*Lists!$AN$10),2))</f>
        <v/>
      </c>
      <c r="U478" s="66"/>
      <c r="V478" s="66"/>
      <c r="W478" s="66"/>
      <c r="X478" s="66"/>
      <c r="Y478" s="66"/>
      <c r="Z478" s="64" t="str">
        <f>IF(OR($B478="", $U478="", $V478="", $W478="", $X478="", $Y478=""),"",ROUND(($U478*Lists!$AN$11)+($V478*Lists!$AN$12)+($W478*Lists!$AN$13)+($X478*Lists!$AN$14)+($Y478*Lists!$AN$15),2))</f>
        <v/>
      </c>
      <c r="AA478" s="64" t="str">
        <f>IF(OR($B478="", $N478="", $O478="", $T478="", $Z478=""),"",ROUND(($N478*Lists!$AN$16)-($O478*Lists!$AN$17)-($T478*Lists!$AN$18)+($Z478*Lists!$AN$19),2))</f>
        <v/>
      </c>
      <c r="AB478" s="63" t="str">
        <f t="shared" si="29"/>
        <v/>
      </c>
      <c r="AC478" s="63" t="str">
        <f t="shared" si="30"/>
        <v/>
      </c>
      <c r="AD478" s="63" t="str">
        <f>IF($A478="","",IFERROR(IF(VLOOKUP($A478,'Risk Register'!$B$2:$H$1000,4,FALSE())&gt;=4,"Yes",""),""))</f>
        <v/>
      </c>
      <c r="AE478" s="63" t="str">
        <f t="shared" si="31"/>
        <v/>
      </c>
      <c r="AF478" s="62"/>
      <c r="AG478" s="62"/>
      <c r="AH478" s="62"/>
      <c r="AI478" s="62"/>
      <c r="AJ478" s="62"/>
      <c r="AK478" s="62"/>
      <c r="AL478" s="62"/>
      <c r="AM478" s="62"/>
      <c r="AN478" s="62"/>
      <c r="AO478" s="62"/>
      <c r="AP478" s="62"/>
      <c r="AQ478" s="80"/>
    </row>
    <row r="479" spans="1:43" ht="15.75" customHeight="1" x14ac:dyDescent="0.2">
      <c r="A479" s="63" t="str">
        <f t="shared" si="28"/>
        <v/>
      </c>
      <c r="B479" s="62"/>
      <c r="C479" s="62"/>
      <c r="D479" s="62"/>
      <c r="E479" s="62"/>
      <c r="F479" s="62"/>
      <c r="G479" s="62"/>
      <c r="H479" s="62"/>
      <c r="I479" s="66"/>
      <c r="J479" s="66"/>
      <c r="K479" s="66"/>
      <c r="L479" s="66"/>
      <c r="M479" s="66"/>
      <c r="N479" s="64" t="str">
        <f>IF(OR($B479="", $I479="", $J479="", $K479="", $L479="", $M479=""),"",ROUND(($I479*Lists!$AN$2)+($J479*Lists!$AN$3)+($K479*Lists!$AN$4)+($L479*Lists!$AN$5)+($M479*Lists!$AN$6),2))</f>
        <v/>
      </c>
      <c r="O479" s="64" t="str">
        <f>IF($A479="","",IFERROR(VLOOKUP($A479,'Risk Register'!$B$2:$I$1000,8,FALSE()),""))</f>
        <v/>
      </c>
      <c r="P479" s="66"/>
      <c r="Q479" s="66"/>
      <c r="R479" s="66"/>
      <c r="S479" s="66"/>
      <c r="T479" s="64" t="str">
        <f>IF(OR($B479="", $P479="", $Q479="", $R479="", $S479=""),"",ROUND(($P479*Lists!$AN$7)+($Q479*Lists!$AN$8)+($R479*Lists!$AN$9)+($S479*Lists!$AN$10),2))</f>
        <v/>
      </c>
      <c r="U479" s="66"/>
      <c r="V479" s="66"/>
      <c r="W479" s="66"/>
      <c r="X479" s="66"/>
      <c r="Y479" s="66"/>
      <c r="Z479" s="64" t="str">
        <f>IF(OR($B479="", $U479="", $V479="", $W479="", $X479="", $Y479=""),"",ROUND(($U479*Lists!$AN$11)+($V479*Lists!$AN$12)+($W479*Lists!$AN$13)+($X479*Lists!$AN$14)+($Y479*Lists!$AN$15),2))</f>
        <v/>
      </c>
      <c r="AA479" s="64" t="str">
        <f>IF(OR($B479="", $N479="", $O479="", $T479="", $Z479=""),"",ROUND(($N479*Lists!$AN$16)-($O479*Lists!$AN$17)-($T479*Lists!$AN$18)+($Z479*Lists!$AN$19),2))</f>
        <v/>
      </c>
      <c r="AB479" s="63" t="str">
        <f t="shared" si="29"/>
        <v/>
      </c>
      <c r="AC479" s="63" t="str">
        <f t="shared" si="30"/>
        <v/>
      </c>
      <c r="AD479" s="63" t="str">
        <f>IF($A479="","",IFERROR(IF(VLOOKUP($A479,'Risk Register'!$B$2:$H$1000,4,FALSE())&gt;=4,"Yes",""),""))</f>
        <v/>
      </c>
      <c r="AE479" s="63" t="str">
        <f t="shared" si="31"/>
        <v/>
      </c>
      <c r="AF479" s="62"/>
      <c r="AG479" s="62"/>
      <c r="AH479" s="62"/>
      <c r="AI479" s="62"/>
      <c r="AJ479" s="62"/>
      <c r="AK479" s="62"/>
      <c r="AL479" s="62"/>
      <c r="AM479" s="62"/>
      <c r="AN479" s="62"/>
      <c r="AO479" s="62"/>
      <c r="AP479" s="62"/>
      <c r="AQ479" s="80"/>
    </row>
    <row r="480" spans="1:43" ht="15.75" customHeight="1" x14ac:dyDescent="0.2">
      <c r="A480" s="63" t="str">
        <f t="shared" si="28"/>
        <v/>
      </c>
      <c r="B480" s="62"/>
      <c r="C480" s="62"/>
      <c r="D480" s="62"/>
      <c r="E480" s="62"/>
      <c r="F480" s="62"/>
      <c r="G480" s="62"/>
      <c r="H480" s="62"/>
      <c r="I480" s="66"/>
      <c r="J480" s="66"/>
      <c r="K480" s="66"/>
      <c r="L480" s="66"/>
      <c r="M480" s="66"/>
      <c r="N480" s="64" t="str">
        <f>IF(OR($B480="", $I480="", $J480="", $K480="", $L480="", $M480=""),"",ROUND(($I480*Lists!$AN$2)+($J480*Lists!$AN$3)+($K480*Lists!$AN$4)+($L480*Lists!$AN$5)+($M480*Lists!$AN$6),2))</f>
        <v/>
      </c>
      <c r="O480" s="64" t="str">
        <f>IF($A480="","",IFERROR(VLOOKUP($A480,'Risk Register'!$B$2:$I$1000,8,FALSE()),""))</f>
        <v/>
      </c>
      <c r="P480" s="66"/>
      <c r="Q480" s="66"/>
      <c r="R480" s="66"/>
      <c r="S480" s="66"/>
      <c r="T480" s="64" t="str">
        <f>IF(OR($B480="", $P480="", $Q480="", $R480="", $S480=""),"",ROUND(($P480*Lists!$AN$7)+($Q480*Lists!$AN$8)+($R480*Lists!$AN$9)+($S480*Lists!$AN$10),2))</f>
        <v/>
      </c>
      <c r="U480" s="66"/>
      <c r="V480" s="66"/>
      <c r="W480" s="66"/>
      <c r="X480" s="66"/>
      <c r="Y480" s="66"/>
      <c r="Z480" s="64" t="str">
        <f>IF(OR($B480="", $U480="", $V480="", $W480="", $X480="", $Y480=""),"",ROUND(($U480*Lists!$AN$11)+($V480*Lists!$AN$12)+($W480*Lists!$AN$13)+($X480*Lists!$AN$14)+($Y480*Lists!$AN$15),2))</f>
        <v/>
      </c>
      <c r="AA480" s="64" t="str">
        <f>IF(OR($B480="", $N480="", $O480="", $T480="", $Z480=""),"",ROUND(($N480*Lists!$AN$16)-($O480*Lists!$AN$17)-($T480*Lists!$AN$18)+($Z480*Lists!$AN$19),2))</f>
        <v/>
      </c>
      <c r="AB480" s="63" t="str">
        <f t="shared" si="29"/>
        <v/>
      </c>
      <c r="AC480" s="63" t="str">
        <f t="shared" si="30"/>
        <v/>
      </c>
      <c r="AD480" s="63" t="str">
        <f>IF($A480="","",IFERROR(IF(VLOOKUP($A480,'Risk Register'!$B$2:$H$1000,4,FALSE())&gt;=4,"Yes",""),""))</f>
        <v/>
      </c>
      <c r="AE480" s="63" t="str">
        <f t="shared" si="31"/>
        <v/>
      </c>
      <c r="AF480" s="62"/>
      <c r="AG480" s="62"/>
      <c r="AH480" s="62"/>
      <c r="AI480" s="62"/>
      <c r="AJ480" s="62"/>
      <c r="AK480" s="62"/>
      <c r="AL480" s="62"/>
      <c r="AM480" s="62"/>
      <c r="AN480" s="62"/>
      <c r="AO480" s="62"/>
      <c r="AP480" s="62"/>
      <c r="AQ480" s="80"/>
    </row>
    <row r="481" spans="1:43" ht="15.75" customHeight="1" x14ac:dyDescent="0.2">
      <c r="A481" s="63" t="str">
        <f t="shared" si="28"/>
        <v/>
      </c>
      <c r="B481" s="62"/>
      <c r="C481" s="62"/>
      <c r="D481" s="62"/>
      <c r="E481" s="62"/>
      <c r="F481" s="62"/>
      <c r="G481" s="62"/>
      <c r="H481" s="62"/>
      <c r="I481" s="66"/>
      <c r="J481" s="66"/>
      <c r="K481" s="66"/>
      <c r="L481" s="66"/>
      <c r="M481" s="66"/>
      <c r="N481" s="64" t="str">
        <f>IF(OR($B481="", $I481="", $J481="", $K481="", $L481="", $M481=""),"",ROUND(($I481*Lists!$AN$2)+($J481*Lists!$AN$3)+($K481*Lists!$AN$4)+($L481*Lists!$AN$5)+($M481*Lists!$AN$6),2))</f>
        <v/>
      </c>
      <c r="O481" s="64" t="str">
        <f>IF($A481="","",IFERROR(VLOOKUP($A481,'Risk Register'!$B$2:$I$1000,8,FALSE()),""))</f>
        <v/>
      </c>
      <c r="P481" s="66"/>
      <c r="Q481" s="66"/>
      <c r="R481" s="66"/>
      <c r="S481" s="66"/>
      <c r="T481" s="64" t="str">
        <f>IF(OR($B481="", $P481="", $Q481="", $R481="", $S481=""),"",ROUND(($P481*Lists!$AN$7)+($Q481*Lists!$AN$8)+($R481*Lists!$AN$9)+($S481*Lists!$AN$10),2))</f>
        <v/>
      </c>
      <c r="U481" s="66"/>
      <c r="V481" s="66"/>
      <c r="W481" s="66"/>
      <c r="X481" s="66"/>
      <c r="Y481" s="66"/>
      <c r="Z481" s="64" t="str">
        <f>IF(OR($B481="", $U481="", $V481="", $W481="", $X481="", $Y481=""),"",ROUND(($U481*Lists!$AN$11)+($V481*Lists!$AN$12)+($W481*Lists!$AN$13)+($X481*Lists!$AN$14)+($Y481*Lists!$AN$15),2))</f>
        <v/>
      </c>
      <c r="AA481" s="64" t="str">
        <f>IF(OR($B481="", $N481="", $O481="", $T481="", $Z481=""),"",ROUND(($N481*Lists!$AN$16)-($O481*Lists!$AN$17)-($T481*Lists!$AN$18)+($Z481*Lists!$AN$19),2))</f>
        <v/>
      </c>
      <c r="AB481" s="63" t="str">
        <f t="shared" si="29"/>
        <v/>
      </c>
      <c r="AC481" s="63" t="str">
        <f t="shared" si="30"/>
        <v/>
      </c>
      <c r="AD481" s="63" t="str">
        <f>IF($A481="","",IFERROR(IF(VLOOKUP($A481,'Risk Register'!$B$2:$H$1000,4,FALSE())&gt;=4,"Yes",""),""))</f>
        <v/>
      </c>
      <c r="AE481" s="63" t="str">
        <f t="shared" si="31"/>
        <v/>
      </c>
      <c r="AF481" s="62"/>
      <c r="AG481" s="62"/>
      <c r="AH481" s="62"/>
      <c r="AI481" s="62"/>
      <c r="AJ481" s="62"/>
      <c r="AK481" s="62"/>
      <c r="AL481" s="62"/>
      <c r="AM481" s="62"/>
      <c r="AN481" s="62"/>
      <c r="AO481" s="62"/>
      <c r="AP481" s="62"/>
      <c r="AQ481" s="80"/>
    </row>
    <row r="482" spans="1:43" ht="15.75" customHeight="1" x14ac:dyDescent="0.2">
      <c r="A482" s="63" t="str">
        <f t="shared" si="28"/>
        <v/>
      </c>
      <c r="B482" s="62"/>
      <c r="C482" s="62"/>
      <c r="D482" s="62"/>
      <c r="E482" s="62"/>
      <c r="F482" s="62"/>
      <c r="G482" s="62"/>
      <c r="H482" s="62"/>
      <c r="I482" s="66"/>
      <c r="J482" s="66"/>
      <c r="K482" s="66"/>
      <c r="L482" s="66"/>
      <c r="M482" s="66"/>
      <c r="N482" s="64" t="str">
        <f>IF(OR($B482="", $I482="", $J482="", $K482="", $L482="", $M482=""),"",ROUND(($I482*Lists!$AN$2)+($J482*Lists!$AN$3)+($K482*Lists!$AN$4)+($L482*Lists!$AN$5)+($M482*Lists!$AN$6),2))</f>
        <v/>
      </c>
      <c r="O482" s="64" t="str">
        <f>IF($A482="","",IFERROR(VLOOKUP($A482,'Risk Register'!$B$2:$I$1000,8,FALSE()),""))</f>
        <v/>
      </c>
      <c r="P482" s="66"/>
      <c r="Q482" s="66"/>
      <c r="R482" s="66"/>
      <c r="S482" s="66"/>
      <c r="T482" s="64" t="str">
        <f>IF(OR($B482="", $P482="", $Q482="", $R482="", $S482=""),"",ROUND(($P482*Lists!$AN$7)+($Q482*Lists!$AN$8)+($R482*Lists!$AN$9)+($S482*Lists!$AN$10),2))</f>
        <v/>
      </c>
      <c r="U482" s="66"/>
      <c r="V482" s="66"/>
      <c r="W482" s="66"/>
      <c r="X482" s="66"/>
      <c r="Y482" s="66"/>
      <c r="Z482" s="64" t="str">
        <f>IF(OR($B482="", $U482="", $V482="", $W482="", $X482="", $Y482=""),"",ROUND(($U482*Lists!$AN$11)+($V482*Lists!$AN$12)+($W482*Lists!$AN$13)+($X482*Lists!$AN$14)+($Y482*Lists!$AN$15),2))</f>
        <v/>
      </c>
      <c r="AA482" s="64" t="str">
        <f>IF(OR($B482="", $N482="", $O482="", $T482="", $Z482=""),"",ROUND(($N482*Lists!$AN$16)-($O482*Lists!$AN$17)-($T482*Lists!$AN$18)+($Z482*Lists!$AN$19),2))</f>
        <v/>
      </c>
      <c r="AB482" s="63" t="str">
        <f t="shared" si="29"/>
        <v/>
      </c>
      <c r="AC482" s="63" t="str">
        <f t="shared" si="30"/>
        <v/>
      </c>
      <c r="AD482" s="63" t="str">
        <f>IF($A482="","",IFERROR(IF(VLOOKUP($A482,'Risk Register'!$B$2:$H$1000,4,FALSE())&gt;=4,"Yes",""),""))</f>
        <v/>
      </c>
      <c r="AE482" s="63" t="str">
        <f t="shared" si="31"/>
        <v/>
      </c>
      <c r="AF482" s="62"/>
      <c r="AG482" s="62"/>
      <c r="AH482" s="62"/>
      <c r="AI482" s="62"/>
      <c r="AJ482" s="62"/>
      <c r="AK482" s="62"/>
      <c r="AL482" s="62"/>
      <c r="AM482" s="62"/>
      <c r="AN482" s="62"/>
      <c r="AO482" s="62"/>
      <c r="AP482" s="62"/>
      <c r="AQ482" s="80"/>
    </row>
    <row r="483" spans="1:43" ht="15.75" customHeight="1" x14ac:dyDescent="0.2">
      <c r="A483" s="63" t="str">
        <f t="shared" si="28"/>
        <v/>
      </c>
      <c r="B483" s="62"/>
      <c r="C483" s="62"/>
      <c r="D483" s="62"/>
      <c r="E483" s="62"/>
      <c r="F483" s="62"/>
      <c r="G483" s="62"/>
      <c r="H483" s="62"/>
      <c r="I483" s="66"/>
      <c r="J483" s="66"/>
      <c r="K483" s="66"/>
      <c r="L483" s="66"/>
      <c r="M483" s="66"/>
      <c r="N483" s="64" t="str">
        <f>IF(OR($B483="", $I483="", $J483="", $K483="", $L483="", $M483=""),"",ROUND(($I483*Lists!$AN$2)+($J483*Lists!$AN$3)+($K483*Lists!$AN$4)+($L483*Lists!$AN$5)+($M483*Lists!$AN$6),2))</f>
        <v/>
      </c>
      <c r="O483" s="64" t="str">
        <f>IF($A483="","",IFERROR(VLOOKUP($A483,'Risk Register'!$B$2:$I$1000,8,FALSE()),""))</f>
        <v/>
      </c>
      <c r="P483" s="66"/>
      <c r="Q483" s="66"/>
      <c r="R483" s="66"/>
      <c r="S483" s="66"/>
      <c r="T483" s="64" t="str">
        <f>IF(OR($B483="", $P483="", $Q483="", $R483="", $S483=""),"",ROUND(($P483*Lists!$AN$7)+($Q483*Lists!$AN$8)+($R483*Lists!$AN$9)+($S483*Lists!$AN$10),2))</f>
        <v/>
      </c>
      <c r="U483" s="66"/>
      <c r="V483" s="66"/>
      <c r="W483" s="66"/>
      <c r="X483" s="66"/>
      <c r="Y483" s="66"/>
      <c r="Z483" s="64" t="str">
        <f>IF(OR($B483="", $U483="", $V483="", $W483="", $X483="", $Y483=""),"",ROUND(($U483*Lists!$AN$11)+($V483*Lists!$AN$12)+($W483*Lists!$AN$13)+($X483*Lists!$AN$14)+($Y483*Lists!$AN$15),2))</f>
        <v/>
      </c>
      <c r="AA483" s="64" t="str">
        <f>IF(OR($B483="", $N483="", $O483="", $T483="", $Z483=""),"",ROUND(($N483*Lists!$AN$16)-($O483*Lists!$AN$17)-($T483*Lists!$AN$18)+($Z483*Lists!$AN$19),2))</f>
        <v/>
      </c>
      <c r="AB483" s="63" t="str">
        <f t="shared" si="29"/>
        <v/>
      </c>
      <c r="AC483" s="63" t="str">
        <f t="shared" si="30"/>
        <v/>
      </c>
      <c r="AD483" s="63" t="str">
        <f>IF($A483="","",IFERROR(IF(VLOOKUP($A483,'Risk Register'!$B$2:$H$1000,4,FALSE())&gt;=4,"Yes",""),""))</f>
        <v/>
      </c>
      <c r="AE483" s="63" t="str">
        <f t="shared" si="31"/>
        <v/>
      </c>
      <c r="AF483" s="62"/>
      <c r="AG483" s="62"/>
      <c r="AH483" s="62"/>
      <c r="AI483" s="62"/>
      <c r="AJ483" s="62"/>
      <c r="AK483" s="62"/>
      <c r="AL483" s="62"/>
      <c r="AM483" s="62"/>
      <c r="AN483" s="62"/>
      <c r="AO483" s="62"/>
      <c r="AP483" s="62"/>
      <c r="AQ483" s="80"/>
    </row>
    <row r="484" spans="1:43" ht="15.75" customHeight="1" x14ac:dyDescent="0.2">
      <c r="A484" s="63" t="str">
        <f t="shared" si="28"/>
        <v/>
      </c>
      <c r="B484" s="62"/>
      <c r="C484" s="62"/>
      <c r="D484" s="62"/>
      <c r="E484" s="62"/>
      <c r="F484" s="62"/>
      <c r="G484" s="62"/>
      <c r="H484" s="62"/>
      <c r="I484" s="66"/>
      <c r="J484" s="66"/>
      <c r="K484" s="66"/>
      <c r="L484" s="66"/>
      <c r="M484" s="66"/>
      <c r="N484" s="64" t="str">
        <f>IF(OR($B484="", $I484="", $J484="", $K484="", $L484="", $M484=""),"",ROUND(($I484*Lists!$AN$2)+($J484*Lists!$AN$3)+($K484*Lists!$AN$4)+($L484*Lists!$AN$5)+($M484*Lists!$AN$6),2))</f>
        <v/>
      </c>
      <c r="O484" s="64" t="str">
        <f>IF($A484="","",IFERROR(VLOOKUP($A484,'Risk Register'!$B$2:$I$1000,8,FALSE()),""))</f>
        <v/>
      </c>
      <c r="P484" s="66"/>
      <c r="Q484" s="66"/>
      <c r="R484" s="66"/>
      <c r="S484" s="66"/>
      <c r="T484" s="64" t="str">
        <f>IF(OR($B484="", $P484="", $Q484="", $R484="", $S484=""),"",ROUND(($P484*Lists!$AN$7)+($Q484*Lists!$AN$8)+($R484*Lists!$AN$9)+($S484*Lists!$AN$10),2))</f>
        <v/>
      </c>
      <c r="U484" s="66"/>
      <c r="V484" s="66"/>
      <c r="W484" s="66"/>
      <c r="X484" s="66"/>
      <c r="Y484" s="66"/>
      <c r="Z484" s="64" t="str">
        <f>IF(OR($B484="", $U484="", $V484="", $W484="", $X484="", $Y484=""),"",ROUND(($U484*Lists!$AN$11)+($V484*Lists!$AN$12)+($W484*Lists!$AN$13)+($X484*Lists!$AN$14)+($Y484*Lists!$AN$15),2))</f>
        <v/>
      </c>
      <c r="AA484" s="64" t="str">
        <f>IF(OR($B484="", $N484="", $O484="", $T484="", $Z484=""),"",ROUND(($N484*Lists!$AN$16)-($O484*Lists!$AN$17)-($T484*Lists!$AN$18)+($Z484*Lists!$AN$19),2))</f>
        <v/>
      </c>
      <c r="AB484" s="63" t="str">
        <f t="shared" si="29"/>
        <v/>
      </c>
      <c r="AC484" s="63" t="str">
        <f t="shared" si="30"/>
        <v/>
      </c>
      <c r="AD484" s="63" t="str">
        <f>IF($A484="","",IFERROR(IF(VLOOKUP($A484,'Risk Register'!$B$2:$H$1000,4,FALSE())&gt;=4,"Yes",""),""))</f>
        <v/>
      </c>
      <c r="AE484" s="63" t="str">
        <f t="shared" si="31"/>
        <v/>
      </c>
      <c r="AF484" s="62"/>
      <c r="AG484" s="62"/>
      <c r="AH484" s="62"/>
      <c r="AI484" s="62"/>
      <c r="AJ484" s="62"/>
      <c r="AK484" s="62"/>
      <c r="AL484" s="62"/>
      <c r="AM484" s="62"/>
      <c r="AN484" s="62"/>
      <c r="AO484" s="62"/>
      <c r="AP484" s="62"/>
      <c r="AQ484" s="80"/>
    </row>
    <row r="485" spans="1:43" ht="15.75" customHeight="1" x14ac:dyDescent="0.2">
      <c r="A485" s="63" t="str">
        <f t="shared" si="28"/>
        <v/>
      </c>
      <c r="B485" s="62"/>
      <c r="C485" s="62"/>
      <c r="D485" s="62"/>
      <c r="E485" s="62"/>
      <c r="F485" s="62"/>
      <c r="G485" s="62"/>
      <c r="H485" s="62"/>
      <c r="I485" s="66"/>
      <c r="J485" s="66"/>
      <c r="K485" s="66"/>
      <c r="L485" s="66"/>
      <c r="M485" s="66"/>
      <c r="N485" s="64" t="str">
        <f>IF(OR($B485="", $I485="", $J485="", $K485="", $L485="", $M485=""),"",ROUND(($I485*Lists!$AN$2)+($J485*Lists!$AN$3)+($K485*Lists!$AN$4)+($L485*Lists!$AN$5)+($M485*Lists!$AN$6),2))</f>
        <v/>
      </c>
      <c r="O485" s="64" t="str">
        <f>IF($A485="","",IFERROR(VLOOKUP($A485,'Risk Register'!$B$2:$I$1000,8,FALSE()),""))</f>
        <v/>
      </c>
      <c r="P485" s="66"/>
      <c r="Q485" s="66"/>
      <c r="R485" s="66"/>
      <c r="S485" s="66"/>
      <c r="T485" s="64" t="str">
        <f>IF(OR($B485="", $P485="", $Q485="", $R485="", $S485=""),"",ROUND(($P485*Lists!$AN$7)+($Q485*Lists!$AN$8)+($R485*Lists!$AN$9)+($S485*Lists!$AN$10),2))</f>
        <v/>
      </c>
      <c r="U485" s="66"/>
      <c r="V485" s="66"/>
      <c r="W485" s="66"/>
      <c r="X485" s="66"/>
      <c r="Y485" s="66"/>
      <c r="Z485" s="64" t="str">
        <f>IF(OR($B485="", $U485="", $V485="", $W485="", $X485="", $Y485=""),"",ROUND(($U485*Lists!$AN$11)+($V485*Lists!$AN$12)+($W485*Lists!$AN$13)+($X485*Lists!$AN$14)+($Y485*Lists!$AN$15),2))</f>
        <v/>
      </c>
      <c r="AA485" s="64" t="str">
        <f>IF(OR($B485="", $N485="", $O485="", $T485="", $Z485=""),"",ROUND(($N485*Lists!$AN$16)-($O485*Lists!$AN$17)-($T485*Lists!$AN$18)+($Z485*Lists!$AN$19),2))</f>
        <v/>
      </c>
      <c r="AB485" s="63" t="str">
        <f t="shared" si="29"/>
        <v/>
      </c>
      <c r="AC485" s="63" t="str">
        <f t="shared" si="30"/>
        <v/>
      </c>
      <c r="AD485" s="63" t="str">
        <f>IF($A485="","",IFERROR(IF(VLOOKUP($A485,'Risk Register'!$B$2:$H$1000,4,FALSE())&gt;=4,"Yes",""),""))</f>
        <v/>
      </c>
      <c r="AE485" s="63" t="str">
        <f t="shared" si="31"/>
        <v/>
      </c>
      <c r="AF485" s="62"/>
      <c r="AG485" s="62"/>
      <c r="AH485" s="62"/>
      <c r="AI485" s="62"/>
      <c r="AJ485" s="62"/>
      <c r="AK485" s="62"/>
      <c r="AL485" s="62"/>
      <c r="AM485" s="62"/>
      <c r="AN485" s="62"/>
      <c r="AO485" s="62"/>
      <c r="AP485" s="62"/>
      <c r="AQ485" s="80"/>
    </row>
    <row r="486" spans="1:43" ht="15.75" customHeight="1" x14ac:dyDescent="0.2">
      <c r="A486" s="63" t="str">
        <f t="shared" si="28"/>
        <v/>
      </c>
      <c r="B486" s="62"/>
      <c r="C486" s="62"/>
      <c r="D486" s="62"/>
      <c r="E486" s="62"/>
      <c r="F486" s="62"/>
      <c r="G486" s="62"/>
      <c r="H486" s="62"/>
      <c r="I486" s="66"/>
      <c r="J486" s="66"/>
      <c r="K486" s="66"/>
      <c r="L486" s="66"/>
      <c r="M486" s="66"/>
      <c r="N486" s="64" t="str">
        <f>IF(OR($B486="", $I486="", $J486="", $K486="", $L486="", $M486=""),"",ROUND(($I486*Lists!$AN$2)+($J486*Lists!$AN$3)+($K486*Lists!$AN$4)+($L486*Lists!$AN$5)+($M486*Lists!$AN$6),2))</f>
        <v/>
      </c>
      <c r="O486" s="64" t="str">
        <f>IF($A486="","",IFERROR(VLOOKUP($A486,'Risk Register'!$B$2:$I$1000,8,FALSE()),""))</f>
        <v/>
      </c>
      <c r="P486" s="66"/>
      <c r="Q486" s="66"/>
      <c r="R486" s="66"/>
      <c r="S486" s="66"/>
      <c r="T486" s="64" t="str">
        <f>IF(OR($B486="", $P486="", $Q486="", $R486="", $S486=""),"",ROUND(($P486*Lists!$AN$7)+($Q486*Lists!$AN$8)+($R486*Lists!$AN$9)+($S486*Lists!$AN$10),2))</f>
        <v/>
      </c>
      <c r="U486" s="66"/>
      <c r="V486" s="66"/>
      <c r="W486" s="66"/>
      <c r="X486" s="66"/>
      <c r="Y486" s="66"/>
      <c r="Z486" s="64" t="str">
        <f>IF(OR($B486="", $U486="", $V486="", $W486="", $X486="", $Y486=""),"",ROUND(($U486*Lists!$AN$11)+($V486*Lists!$AN$12)+($W486*Lists!$AN$13)+($X486*Lists!$AN$14)+($Y486*Lists!$AN$15),2))</f>
        <v/>
      </c>
      <c r="AA486" s="64" t="str">
        <f>IF(OR($B486="", $N486="", $O486="", $T486="", $Z486=""),"",ROUND(($N486*Lists!$AN$16)-($O486*Lists!$AN$17)-($T486*Lists!$AN$18)+($Z486*Lists!$AN$19),2))</f>
        <v/>
      </c>
      <c r="AB486" s="63" t="str">
        <f t="shared" si="29"/>
        <v/>
      </c>
      <c r="AC486" s="63" t="str">
        <f t="shared" si="30"/>
        <v/>
      </c>
      <c r="AD486" s="63" t="str">
        <f>IF($A486="","",IFERROR(IF(VLOOKUP($A486,'Risk Register'!$B$2:$H$1000,4,FALSE())&gt;=4,"Yes",""),""))</f>
        <v/>
      </c>
      <c r="AE486" s="63" t="str">
        <f t="shared" si="31"/>
        <v/>
      </c>
      <c r="AF486" s="62"/>
      <c r="AG486" s="62"/>
      <c r="AH486" s="62"/>
      <c r="AI486" s="62"/>
      <c r="AJ486" s="62"/>
      <c r="AK486" s="62"/>
      <c r="AL486" s="62"/>
      <c r="AM486" s="62"/>
      <c r="AN486" s="62"/>
      <c r="AO486" s="62"/>
      <c r="AP486" s="62"/>
      <c r="AQ486" s="80"/>
    </row>
    <row r="487" spans="1:43" ht="15.75" customHeight="1" x14ac:dyDescent="0.2">
      <c r="A487" s="63" t="str">
        <f t="shared" si="28"/>
        <v/>
      </c>
      <c r="B487" s="62"/>
      <c r="C487" s="62"/>
      <c r="D487" s="62"/>
      <c r="E487" s="62"/>
      <c r="F487" s="62"/>
      <c r="G487" s="62"/>
      <c r="H487" s="62"/>
      <c r="I487" s="66"/>
      <c r="J487" s="66"/>
      <c r="K487" s="66"/>
      <c r="L487" s="66"/>
      <c r="M487" s="66"/>
      <c r="N487" s="64" t="str">
        <f>IF(OR($B487="", $I487="", $J487="", $K487="", $L487="", $M487=""),"",ROUND(($I487*Lists!$AN$2)+($J487*Lists!$AN$3)+($K487*Lists!$AN$4)+($L487*Lists!$AN$5)+($M487*Lists!$AN$6),2))</f>
        <v/>
      </c>
      <c r="O487" s="64" t="str">
        <f>IF($A487="","",IFERROR(VLOOKUP($A487,'Risk Register'!$B$2:$I$1000,8,FALSE()),""))</f>
        <v/>
      </c>
      <c r="P487" s="66"/>
      <c r="Q487" s="66"/>
      <c r="R487" s="66"/>
      <c r="S487" s="66"/>
      <c r="T487" s="64" t="str">
        <f>IF(OR($B487="", $P487="", $Q487="", $R487="", $S487=""),"",ROUND(($P487*Lists!$AN$7)+($Q487*Lists!$AN$8)+($R487*Lists!$AN$9)+($S487*Lists!$AN$10),2))</f>
        <v/>
      </c>
      <c r="U487" s="66"/>
      <c r="V487" s="66"/>
      <c r="W487" s="66"/>
      <c r="X487" s="66"/>
      <c r="Y487" s="66"/>
      <c r="Z487" s="64" t="str">
        <f>IF(OR($B487="", $U487="", $V487="", $W487="", $X487="", $Y487=""),"",ROUND(($U487*Lists!$AN$11)+($V487*Lists!$AN$12)+($W487*Lists!$AN$13)+($X487*Lists!$AN$14)+($Y487*Lists!$AN$15),2))</f>
        <v/>
      </c>
      <c r="AA487" s="64" t="str">
        <f>IF(OR($B487="", $N487="", $O487="", $T487="", $Z487=""),"",ROUND(($N487*Lists!$AN$16)-($O487*Lists!$AN$17)-($T487*Lists!$AN$18)+($Z487*Lists!$AN$19),2))</f>
        <v/>
      </c>
      <c r="AB487" s="63" t="str">
        <f t="shared" si="29"/>
        <v/>
      </c>
      <c r="AC487" s="63" t="str">
        <f t="shared" si="30"/>
        <v/>
      </c>
      <c r="AD487" s="63" t="str">
        <f>IF($A487="","",IFERROR(IF(VLOOKUP($A487,'Risk Register'!$B$2:$H$1000,4,FALSE())&gt;=4,"Yes",""),""))</f>
        <v/>
      </c>
      <c r="AE487" s="63" t="str">
        <f t="shared" si="31"/>
        <v/>
      </c>
      <c r="AF487" s="62"/>
      <c r="AG487" s="62"/>
      <c r="AH487" s="62"/>
      <c r="AI487" s="62"/>
      <c r="AJ487" s="62"/>
      <c r="AK487" s="62"/>
      <c r="AL487" s="62"/>
      <c r="AM487" s="62"/>
      <c r="AN487" s="62"/>
      <c r="AO487" s="62"/>
      <c r="AP487" s="62"/>
      <c r="AQ487" s="80"/>
    </row>
    <row r="488" spans="1:43" ht="15.75" customHeight="1" x14ac:dyDescent="0.2">
      <c r="A488" s="63" t="str">
        <f t="shared" si="28"/>
        <v/>
      </c>
      <c r="B488" s="62"/>
      <c r="C488" s="62"/>
      <c r="D488" s="62"/>
      <c r="E488" s="62"/>
      <c r="F488" s="62"/>
      <c r="G488" s="62"/>
      <c r="H488" s="62"/>
      <c r="I488" s="66"/>
      <c r="J488" s="66"/>
      <c r="K488" s="66"/>
      <c r="L488" s="66"/>
      <c r="M488" s="66"/>
      <c r="N488" s="64" t="str">
        <f>IF(OR($B488="", $I488="", $J488="", $K488="", $L488="", $M488=""),"",ROUND(($I488*Lists!$AN$2)+($J488*Lists!$AN$3)+($K488*Lists!$AN$4)+($L488*Lists!$AN$5)+($M488*Lists!$AN$6),2))</f>
        <v/>
      </c>
      <c r="O488" s="64" t="str">
        <f>IF($A488="","",IFERROR(VLOOKUP($A488,'Risk Register'!$B$2:$I$1000,8,FALSE()),""))</f>
        <v/>
      </c>
      <c r="P488" s="66"/>
      <c r="Q488" s="66"/>
      <c r="R488" s="66"/>
      <c r="S488" s="66"/>
      <c r="T488" s="64" t="str">
        <f>IF(OR($B488="", $P488="", $Q488="", $R488="", $S488=""),"",ROUND(($P488*Lists!$AN$7)+($Q488*Lists!$AN$8)+($R488*Lists!$AN$9)+($S488*Lists!$AN$10),2))</f>
        <v/>
      </c>
      <c r="U488" s="66"/>
      <c r="V488" s="66"/>
      <c r="W488" s="66"/>
      <c r="X488" s="66"/>
      <c r="Y488" s="66"/>
      <c r="Z488" s="64" t="str">
        <f>IF(OR($B488="", $U488="", $V488="", $W488="", $X488="", $Y488=""),"",ROUND(($U488*Lists!$AN$11)+($V488*Lists!$AN$12)+($W488*Lists!$AN$13)+($X488*Lists!$AN$14)+($Y488*Lists!$AN$15),2))</f>
        <v/>
      </c>
      <c r="AA488" s="64" t="str">
        <f>IF(OR($B488="", $N488="", $O488="", $T488="", $Z488=""),"",ROUND(($N488*Lists!$AN$16)-($O488*Lists!$AN$17)-($T488*Lists!$AN$18)+($Z488*Lists!$AN$19),2))</f>
        <v/>
      </c>
      <c r="AB488" s="63" t="str">
        <f t="shared" si="29"/>
        <v/>
      </c>
      <c r="AC488" s="63" t="str">
        <f t="shared" si="30"/>
        <v/>
      </c>
      <c r="AD488" s="63" t="str">
        <f>IF($A488="","",IFERROR(IF(VLOOKUP($A488,'Risk Register'!$B$2:$H$1000,4,FALSE())&gt;=4,"Yes",""),""))</f>
        <v/>
      </c>
      <c r="AE488" s="63" t="str">
        <f t="shared" si="31"/>
        <v/>
      </c>
      <c r="AF488" s="62"/>
      <c r="AG488" s="62"/>
      <c r="AH488" s="62"/>
      <c r="AI488" s="62"/>
      <c r="AJ488" s="62"/>
      <c r="AK488" s="62"/>
      <c r="AL488" s="62"/>
      <c r="AM488" s="62"/>
      <c r="AN488" s="62"/>
      <c r="AO488" s="62"/>
      <c r="AP488" s="62"/>
      <c r="AQ488" s="80"/>
    </row>
    <row r="489" spans="1:43" ht="15.75" customHeight="1" x14ac:dyDescent="0.2">
      <c r="A489" s="63" t="str">
        <f t="shared" si="28"/>
        <v/>
      </c>
      <c r="B489" s="62"/>
      <c r="C489" s="62"/>
      <c r="D489" s="62"/>
      <c r="E489" s="62"/>
      <c r="F489" s="62"/>
      <c r="G489" s="62"/>
      <c r="H489" s="62"/>
      <c r="I489" s="66"/>
      <c r="J489" s="66"/>
      <c r="K489" s="66"/>
      <c r="L489" s="66"/>
      <c r="M489" s="66"/>
      <c r="N489" s="64" t="str">
        <f>IF(OR($B489="", $I489="", $J489="", $K489="", $L489="", $M489=""),"",ROUND(($I489*Lists!$AN$2)+($J489*Lists!$AN$3)+($K489*Lists!$AN$4)+($L489*Lists!$AN$5)+($M489*Lists!$AN$6),2))</f>
        <v/>
      </c>
      <c r="O489" s="64" t="str">
        <f>IF($A489="","",IFERROR(VLOOKUP($A489,'Risk Register'!$B$2:$I$1000,8,FALSE()),""))</f>
        <v/>
      </c>
      <c r="P489" s="66"/>
      <c r="Q489" s="66"/>
      <c r="R489" s="66"/>
      <c r="S489" s="66"/>
      <c r="T489" s="64" t="str">
        <f>IF(OR($B489="", $P489="", $Q489="", $R489="", $S489=""),"",ROUND(($P489*Lists!$AN$7)+($Q489*Lists!$AN$8)+($R489*Lists!$AN$9)+($S489*Lists!$AN$10),2))</f>
        <v/>
      </c>
      <c r="U489" s="66"/>
      <c r="V489" s="66"/>
      <c r="W489" s="66"/>
      <c r="X489" s="66"/>
      <c r="Y489" s="66"/>
      <c r="Z489" s="64" t="str">
        <f>IF(OR($B489="", $U489="", $V489="", $W489="", $X489="", $Y489=""),"",ROUND(($U489*Lists!$AN$11)+($V489*Lists!$AN$12)+($W489*Lists!$AN$13)+($X489*Lists!$AN$14)+($Y489*Lists!$AN$15),2))</f>
        <v/>
      </c>
      <c r="AA489" s="64" t="str">
        <f>IF(OR($B489="", $N489="", $O489="", $T489="", $Z489=""),"",ROUND(($N489*Lists!$AN$16)-($O489*Lists!$AN$17)-($T489*Lists!$AN$18)+($Z489*Lists!$AN$19),2))</f>
        <v/>
      </c>
      <c r="AB489" s="63" t="str">
        <f t="shared" si="29"/>
        <v/>
      </c>
      <c r="AC489" s="63" t="str">
        <f t="shared" si="30"/>
        <v/>
      </c>
      <c r="AD489" s="63" t="str">
        <f>IF($A489="","",IFERROR(IF(VLOOKUP($A489,'Risk Register'!$B$2:$H$1000,4,FALSE())&gt;=4,"Yes",""),""))</f>
        <v/>
      </c>
      <c r="AE489" s="63" t="str">
        <f t="shared" si="31"/>
        <v/>
      </c>
      <c r="AF489" s="62"/>
      <c r="AG489" s="62"/>
      <c r="AH489" s="62"/>
      <c r="AI489" s="62"/>
      <c r="AJ489" s="62"/>
      <c r="AK489" s="62"/>
      <c r="AL489" s="62"/>
      <c r="AM489" s="62"/>
      <c r="AN489" s="62"/>
      <c r="AO489" s="62"/>
      <c r="AP489" s="62"/>
      <c r="AQ489" s="80"/>
    </row>
    <row r="490" spans="1:43" ht="15.75" customHeight="1" x14ac:dyDescent="0.2">
      <c r="A490" s="63" t="str">
        <f t="shared" si="28"/>
        <v/>
      </c>
      <c r="B490" s="62"/>
      <c r="C490" s="62"/>
      <c r="D490" s="62"/>
      <c r="E490" s="62"/>
      <c r="F490" s="62"/>
      <c r="G490" s="62"/>
      <c r="H490" s="62"/>
      <c r="I490" s="66"/>
      <c r="J490" s="66"/>
      <c r="K490" s="66"/>
      <c r="L490" s="66"/>
      <c r="M490" s="66"/>
      <c r="N490" s="64" t="str">
        <f>IF(OR($B490="", $I490="", $J490="", $K490="", $L490="", $M490=""),"",ROUND(($I490*Lists!$AN$2)+($J490*Lists!$AN$3)+($K490*Lists!$AN$4)+($L490*Lists!$AN$5)+($M490*Lists!$AN$6),2))</f>
        <v/>
      </c>
      <c r="O490" s="64" t="str">
        <f>IF($A490="","",IFERROR(VLOOKUP($A490,'Risk Register'!$B$2:$I$1000,8,FALSE()),""))</f>
        <v/>
      </c>
      <c r="P490" s="66"/>
      <c r="Q490" s="66"/>
      <c r="R490" s="66"/>
      <c r="S490" s="66"/>
      <c r="T490" s="64" t="str">
        <f>IF(OR($B490="", $P490="", $Q490="", $R490="", $S490=""),"",ROUND(($P490*Lists!$AN$7)+($Q490*Lists!$AN$8)+($R490*Lists!$AN$9)+($S490*Lists!$AN$10),2))</f>
        <v/>
      </c>
      <c r="U490" s="66"/>
      <c r="V490" s="66"/>
      <c r="W490" s="66"/>
      <c r="X490" s="66"/>
      <c r="Y490" s="66"/>
      <c r="Z490" s="64" t="str">
        <f>IF(OR($B490="", $U490="", $V490="", $W490="", $X490="", $Y490=""),"",ROUND(($U490*Lists!$AN$11)+($V490*Lists!$AN$12)+($W490*Lists!$AN$13)+($X490*Lists!$AN$14)+($Y490*Lists!$AN$15),2))</f>
        <v/>
      </c>
      <c r="AA490" s="64" t="str">
        <f>IF(OR($B490="", $N490="", $O490="", $T490="", $Z490=""),"",ROUND(($N490*Lists!$AN$16)-($O490*Lists!$AN$17)-($T490*Lists!$AN$18)+($Z490*Lists!$AN$19),2))</f>
        <v/>
      </c>
      <c r="AB490" s="63" t="str">
        <f t="shared" si="29"/>
        <v/>
      </c>
      <c r="AC490" s="63" t="str">
        <f t="shared" si="30"/>
        <v/>
      </c>
      <c r="AD490" s="63" t="str">
        <f>IF($A490="","",IFERROR(IF(VLOOKUP($A490,'Risk Register'!$B$2:$H$1000,4,FALSE())&gt;=4,"Yes",""),""))</f>
        <v/>
      </c>
      <c r="AE490" s="63" t="str">
        <f t="shared" si="31"/>
        <v/>
      </c>
      <c r="AF490" s="62"/>
      <c r="AG490" s="62"/>
      <c r="AH490" s="62"/>
      <c r="AI490" s="62"/>
      <c r="AJ490" s="62"/>
      <c r="AK490" s="62"/>
      <c r="AL490" s="62"/>
      <c r="AM490" s="62"/>
      <c r="AN490" s="62"/>
      <c r="AO490" s="62"/>
      <c r="AP490" s="62"/>
      <c r="AQ490" s="80"/>
    </row>
    <row r="491" spans="1:43" ht="15.75" customHeight="1" x14ac:dyDescent="0.2">
      <c r="A491" s="63" t="str">
        <f t="shared" si="28"/>
        <v/>
      </c>
      <c r="B491" s="62"/>
      <c r="C491" s="62"/>
      <c r="D491" s="62"/>
      <c r="E491" s="62"/>
      <c r="F491" s="62"/>
      <c r="G491" s="62"/>
      <c r="H491" s="62"/>
      <c r="I491" s="66"/>
      <c r="J491" s="66"/>
      <c r="K491" s="66"/>
      <c r="L491" s="66"/>
      <c r="M491" s="66"/>
      <c r="N491" s="64" t="str">
        <f>IF(OR($B491="", $I491="", $J491="", $K491="", $L491="", $M491=""),"",ROUND(($I491*Lists!$AN$2)+($J491*Lists!$AN$3)+($K491*Lists!$AN$4)+($L491*Lists!$AN$5)+($M491*Lists!$AN$6),2))</f>
        <v/>
      </c>
      <c r="O491" s="64" t="str">
        <f>IF($A491="","",IFERROR(VLOOKUP($A491,'Risk Register'!$B$2:$I$1000,8,FALSE()),""))</f>
        <v/>
      </c>
      <c r="P491" s="66"/>
      <c r="Q491" s="66"/>
      <c r="R491" s="66"/>
      <c r="S491" s="66"/>
      <c r="T491" s="64" t="str">
        <f>IF(OR($B491="", $P491="", $Q491="", $R491="", $S491=""),"",ROUND(($P491*Lists!$AN$7)+($Q491*Lists!$AN$8)+($R491*Lists!$AN$9)+($S491*Lists!$AN$10),2))</f>
        <v/>
      </c>
      <c r="U491" s="66"/>
      <c r="V491" s="66"/>
      <c r="W491" s="66"/>
      <c r="X491" s="66"/>
      <c r="Y491" s="66"/>
      <c r="Z491" s="64" t="str">
        <f>IF(OR($B491="", $U491="", $V491="", $W491="", $X491="", $Y491=""),"",ROUND(($U491*Lists!$AN$11)+($V491*Lists!$AN$12)+($W491*Lists!$AN$13)+($X491*Lists!$AN$14)+($Y491*Lists!$AN$15),2))</f>
        <v/>
      </c>
      <c r="AA491" s="64" t="str">
        <f>IF(OR($B491="", $N491="", $O491="", $T491="", $Z491=""),"",ROUND(($N491*Lists!$AN$16)-($O491*Lists!$AN$17)-($T491*Lists!$AN$18)+($Z491*Lists!$AN$19),2))</f>
        <v/>
      </c>
      <c r="AB491" s="63" t="str">
        <f t="shared" si="29"/>
        <v/>
      </c>
      <c r="AC491" s="63" t="str">
        <f t="shared" si="30"/>
        <v/>
      </c>
      <c r="AD491" s="63" t="str">
        <f>IF($A491="","",IFERROR(IF(VLOOKUP($A491,'Risk Register'!$B$2:$H$1000,4,FALSE())&gt;=4,"Yes",""),""))</f>
        <v/>
      </c>
      <c r="AE491" s="63" t="str">
        <f t="shared" si="31"/>
        <v/>
      </c>
      <c r="AF491" s="62"/>
      <c r="AG491" s="62"/>
      <c r="AH491" s="62"/>
      <c r="AI491" s="62"/>
      <c r="AJ491" s="62"/>
      <c r="AK491" s="62"/>
      <c r="AL491" s="62"/>
      <c r="AM491" s="62"/>
      <c r="AN491" s="62"/>
      <c r="AO491" s="62"/>
      <c r="AP491" s="62"/>
      <c r="AQ491" s="80"/>
    </row>
    <row r="492" spans="1:43" ht="15.75" customHeight="1" x14ac:dyDescent="0.2">
      <c r="A492" s="63" t="str">
        <f t="shared" si="28"/>
        <v/>
      </c>
      <c r="B492" s="62"/>
      <c r="C492" s="62"/>
      <c r="D492" s="62"/>
      <c r="E492" s="62"/>
      <c r="F492" s="62"/>
      <c r="G492" s="62"/>
      <c r="H492" s="62"/>
      <c r="I492" s="66"/>
      <c r="J492" s="66"/>
      <c r="K492" s="66"/>
      <c r="L492" s="66"/>
      <c r="M492" s="66"/>
      <c r="N492" s="64" t="str">
        <f>IF(OR($B492="", $I492="", $J492="", $K492="", $L492="", $M492=""),"",ROUND(($I492*Lists!$AN$2)+($J492*Lists!$AN$3)+($K492*Lists!$AN$4)+($L492*Lists!$AN$5)+($M492*Lists!$AN$6),2))</f>
        <v/>
      </c>
      <c r="O492" s="64" t="str">
        <f>IF($A492="","",IFERROR(VLOOKUP($A492,'Risk Register'!$B$2:$I$1000,8,FALSE()),""))</f>
        <v/>
      </c>
      <c r="P492" s="66"/>
      <c r="Q492" s="66"/>
      <c r="R492" s="66"/>
      <c r="S492" s="66"/>
      <c r="T492" s="64" t="str">
        <f>IF(OR($B492="", $P492="", $Q492="", $R492="", $S492=""),"",ROUND(($P492*Lists!$AN$7)+($Q492*Lists!$AN$8)+($R492*Lists!$AN$9)+($S492*Lists!$AN$10),2))</f>
        <v/>
      </c>
      <c r="U492" s="66"/>
      <c r="V492" s="66"/>
      <c r="W492" s="66"/>
      <c r="X492" s="66"/>
      <c r="Y492" s="66"/>
      <c r="Z492" s="64" t="str">
        <f>IF(OR($B492="", $U492="", $V492="", $W492="", $X492="", $Y492=""),"",ROUND(($U492*Lists!$AN$11)+($V492*Lists!$AN$12)+($W492*Lists!$AN$13)+($X492*Lists!$AN$14)+($Y492*Lists!$AN$15),2))</f>
        <v/>
      </c>
      <c r="AA492" s="64" t="str">
        <f>IF(OR($B492="", $N492="", $O492="", $T492="", $Z492=""),"",ROUND(($N492*Lists!$AN$16)-($O492*Lists!$AN$17)-($T492*Lists!$AN$18)+($Z492*Lists!$AN$19),2))</f>
        <v/>
      </c>
      <c r="AB492" s="63" t="str">
        <f t="shared" si="29"/>
        <v/>
      </c>
      <c r="AC492" s="63" t="str">
        <f t="shared" si="30"/>
        <v/>
      </c>
      <c r="AD492" s="63" t="str">
        <f>IF($A492="","",IFERROR(IF(VLOOKUP($A492,'Risk Register'!$B$2:$H$1000,4,FALSE())&gt;=4,"Yes",""),""))</f>
        <v/>
      </c>
      <c r="AE492" s="63" t="str">
        <f t="shared" si="31"/>
        <v/>
      </c>
      <c r="AF492" s="62"/>
      <c r="AG492" s="62"/>
      <c r="AH492" s="62"/>
      <c r="AI492" s="62"/>
      <c r="AJ492" s="62"/>
      <c r="AK492" s="62"/>
      <c r="AL492" s="62"/>
      <c r="AM492" s="62"/>
      <c r="AN492" s="62"/>
      <c r="AO492" s="62"/>
      <c r="AP492" s="62"/>
      <c r="AQ492" s="80"/>
    </row>
    <row r="493" spans="1:43" ht="15.75" customHeight="1" x14ac:dyDescent="0.2">
      <c r="A493" s="63" t="str">
        <f t="shared" si="28"/>
        <v/>
      </c>
      <c r="B493" s="62"/>
      <c r="C493" s="62"/>
      <c r="D493" s="62"/>
      <c r="E493" s="62"/>
      <c r="F493" s="62"/>
      <c r="G493" s="62"/>
      <c r="H493" s="62"/>
      <c r="I493" s="66"/>
      <c r="J493" s="66"/>
      <c r="K493" s="66"/>
      <c r="L493" s="66"/>
      <c r="M493" s="66"/>
      <c r="N493" s="64" t="str">
        <f>IF(OR($B493="", $I493="", $J493="", $K493="", $L493="", $M493=""),"",ROUND(($I493*Lists!$AN$2)+($J493*Lists!$AN$3)+($K493*Lists!$AN$4)+($L493*Lists!$AN$5)+($M493*Lists!$AN$6),2))</f>
        <v/>
      </c>
      <c r="O493" s="64" t="str">
        <f>IF($A493="","",IFERROR(VLOOKUP($A493,'Risk Register'!$B$2:$I$1000,8,FALSE()),""))</f>
        <v/>
      </c>
      <c r="P493" s="66"/>
      <c r="Q493" s="66"/>
      <c r="R493" s="66"/>
      <c r="S493" s="66"/>
      <c r="T493" s="64" t="str">
        <f>IF(OR($B493="", $P493="", $Q493="", $R493="", $S493=""),"",ROUND(($P493*Lists!$AN$7)+($Q493*Lists!$AN$8)+($R493*Lists!$AN$9)+($S493*Lists!$AN$10),2))</f>
        <v/>
      </c>
      <c r="U493" s="66"/>
      <c r="V493" s="66"/>
      <c r="W493" s="66"/>
      <c r="X493" s="66"/>
      <c r="Y493" s="66"/>
      <c r="Z493" s="64" t="str">
        <f>IF(OR($B493="", $U493="", $V493="", $W493="", $X493="", $Y493=""),"",ROUND(($U493*Lists!$AN$11)+($V493*Lists!$AN$12)+($W493*Lists!$AN$13)+($X493*Lists!$AN$14)+($Y493*Lists!$AN$15),2))</f>
        <v/>
      </c>
      <c r="AA493" s="64" t="str">
        <f>IF(OR($B493="", $N493="", $O493="", $T493="", $Z493=""),"",ROUND(($N493*Lists!$AN$16)-($O493*Lists!$AN$17)-($T493*Lists!$AN$18)+($Z493*Lists!$AN$19),2))</f>
        <v/>
      </c>
      <c r="AB493" s="63" t="str">
        <f t="shared" si="29"/>
        <v/>
      </c>
      <c r="AC493" s="63" t="str">
        <f t="shared" si="30"/>
        <v/>
      </c>
      <c r="AD493" s="63" t="str">
        <f>IF($A493="","",IFERROR(IF(VLOOKUP($A493,'Risk Register'!$B$2:$H$1000,4,FALSE())&gt;=4,"Yes",""),""))</f>
        <v/>
      </c>
      <c r="AE493" s="63" t="str">
        <f t="shared" si="31"/>
        <v/>
      </c>
      <c r="AF493" s="62"/>
      <c r="AG493" s="62"/>
      <c r="AH493" s="62"/>
      <c r="AI493" s="62"/>
      <c r="AJ493" s="62"/>
      <c r="AK493" s="62"/>
      <c r="AL493" s="62"/>
      <c r="AM493" s="62"/>
      <c r="AN493" s="62"/>
      <c r="AO493" s="62"/>
      <c r="AP493" s="62"/>
      <c r="AQ493" s="80"/>
    </row>
    <row r="494" spans="1:43" ht="15.75" customHeight="1" x14ac:dyDescent="0.2">
      <c r="A494" s="63" t="str">
        <f t="shared" si="28"/>
        <v/>
      </c>
      <c r="B494" s="62"/>
      <c r="C494" s="62"/>
      <c r="D494" s="62"/>
      <c r="E494" s="62"/>
      <c r="F494" s="62"/>
      <c r="G494" s="62"/>
      <c r="H494" s="62"/>
      <c r="I494" s="66"/>
      <c r="J494" s="66"/>
      <c r="K494" s="66"/>
      <c r="L494" s="66"/>
      <c r="M494" s="66"/>
      <c r="N494" s="64" t="str">
        <f>IF(OR($B494="", $I494="", $J494="", $K494="", $L494="", $M494=""),"",ROUND(($I494*Lists!$AN$2)+($J494*Lists!$AN$3)+($K494*Lists!$AN$4)+($L494*Lists!$AN$5)+($M494*Lists!$AN$6),2))</f>
        <v/>
      </c>
      <c r="O494" s="64" t="str">
        <f>IF($A494="","",IFERROR(VLOOKUP($A494,'Risk Register'!$B$2:$I$1000,8,FALSE()),""))</f>
        <v/>
      </c>
      <c r="P494" s="66"/>
      <c r="Q494" s="66"/>
      <c r="R494" s="66"/>
      <c r="S494" s="66"/>
      <c r="T494" s="64" t="str">
        <f>IF(OR($B494="", $P494="", $Q494="", $R494="", $S494=""),"",ROUND(($P494*Lists!$AN$7)+($Q494*Lists!$AN$8)+($R494*Lists!$AN$9)+($S494*Lists!$AN$10),2))</f>
        <v/>
      </c>
      <c r="U494" s="66"/>
      <c r="V494" s="66"/>
      <c r="W494" s="66"/>
      <c r="X494" s="66"/>
      <c r="Y494" s="66"/>
      <c r="Z494" s="64" t="str">
        <f>IF(OR($B494="", $U494="", $V494="", $W494="", $X494="", $Y494=""),"",ROUND(($U494*Lists!$AN$11)+($V494*Lists!$AN$12)+($W494*Lists!$AN$13)+($X494*Lists!$AN$14)+($Y494*Lists!$AN$15),2))</f>
        <v/>
      </c>
      <c r="AA494" s="64" t="str">
        <f>IF(OR($B494="", $N494="", $O494="", $T494="", $Z494=""),"",ROUND(($N494*Lists!$AN$16)-($O494*Lists!$AN$17)-($T494*Lists!$AN$18)+($Z494*Lists!$AN$19),2))</f>
        <v/>
      </c>
      <c r="AB494" s="63" t="str">
        <f t="shared" si="29"/>
        <v/>
      </c>
      <c r="AC494" s="63" t="str">
        <f t="shared" si="30"/>
        <v/>
      </c>
      <c r="AD494" s="63" t="str">
        <f>IF($A494="","",IFERROR(IF(VLOOKUP($A494,'Risk Register'!$B$2:$H$1000,4,FALSE())&gt;=4,"Yes",""),""))</f>
        <v/>
      </c>
      <c r="AE494" s="63" t="str">
        <f t="shared" si="31"/>
        <v/>
      </c>
      <c r="AF494" s="62"/>
      <c r="AG494" s="62"/>
      <c r="AH494" s="62"/>
      <c r="AI494" s="62"/>
      <c r="AJ494" s="62"/>
      <c r="AK494" s="62"/>
      <c r="AL494" s="62"/>
      <c r="AM494" s="62"/>
      <c r="AN494" s="62"/>
      <c r="AO494" s="62"/>
      <c r="AP494" s="62"/>
      <c r="AQ494" s="80"/>
    </row>
    <row r="495" spans="1:43" ht="15.75" customHeight="1" x14ac:dyDescent="0.2">
      <c r="A495" s="63" t="str">
        <f t="shared" si="28"/>
        <v/>
      </c>
      <c r="B495" s="62"/>
      <c r="C495" s="62"/>
      <c r="D495" s="62"/>
      <c r="E495" s="62"/>
      <c r="F495" s="62"/>
      <c r="G495" s="62"/>
      <c r="H495" s="62"/>
      <c r="I495" s="66"/>
      <c r="J495" s="66"/>
      <c r="K495" s="66"/>
      <c r="L495" s="66"/>
      <c r="M495" s="66"/>
      <c r="N495" s="64" t="str">
        <f>IF(OR($B495="", $I495="", $J495="", $K495="", $L495="", $M495=""),"",ROUND(($I495*Lists!$AN$2)+($J495*Lists!$AN$3)+($K495*Lists!$AN$4)+($L495*Lists!$AN$5)+($M495*Lists!$AN$6),2))</f>
        <v/>
      </c>
      <c r="O495" s="64" t="str">
        <f>IF($A495="","",IFERROR(VLOOKUP($A495,'Risk Register'!$B$2:$I$1000,8,FALSE()),""))</f>
        <v/>
      </c>
      <c r="P495" s="66"/>
      <c r="Q495" s="66"/>
      <c r="R495" s="66"/>
      <c r="S495" s="66"/>
      <c r="T495" s="64" t="str">
        <f>IF(OR($B495="", $P495="", $Q495="", $R495="", $S495=""),"",ROUND(($P495*Lists!$AN$7)+($Q495*Lists!$AN$8)+($R495*Lists!$AN$9)+($S495*Lists!$AN$10),2))</f>
        <v/>
      </c>
      <c r="U495" s="66"/>
      <c r="V495" s="66"/>
      <c r="W495" s="66"/>
      <c r="X495" s="66"/>
      <c r="Y495" s="66"/>
      <c r="Z495" s="64" t="str">
        <f>IF(OR($B495="", $U495="", $V495="", $W495="", $X495="", $Y495=""),"",ROUND(($U495*Lists!$AN$11)+($V495*Lists!$AN$12)+($W495*Lists!$AN$13)+($X495*Lists!$AN$14)+($Y495*Lists!$AN$15),2))</f>
        <v/>
      </c>
      <c r="AA495" s="64" t="str">
        <f>IF(OR($B495="", $N495="", $O495="", $T495="", $Z495=""),"",ROUND(($N495*Lists!$AN$16)-($O495*Lists!$AN$17)-($T495*Lists!$AN$18)+($Z495*Lists!$AN$19),2))</f>
        <v/>
      </c>
      <c r="AB495" s="63" t="str">
        <f t="shared" si="29"/>
        <v/>
      </c>
      <c r="AC495" s="63" t="str">
        <f t="shared" si="30"/>
        <v/>
      </c>
      <c r="AD495" s="63" t="str">
        <f>IF($A495="","",IFERROR(IF(VLOOKUP($A495,'Risk Register'!$B$2:$H$1000,4,FALSE())&gt;=4,"Yes",""),""))</f>
        <v/>
      </c>
      <c r="AE495" s="63" t="str">
        <f t="shared" si="31"/>
        <v/>
      </c>
      <c r="AF495" s="62"/>
      <c r="AG495" s="62"/>
      <c r="AH495" s="62"/>
      <c r="AI495" s="62"/>
      <c r="AJ495" s="62"/>
      <c r="AK495" s="62"/>
      <c r="AL495" s="62"/>
      <c r="AM495" s="62"/>
      <c r="AN495" s="62"/>
      <c r="AO495" s="62"/>
      <c r="AP495" s="62"/>
      <c r="AQ495" s="80"/>
    </row>
    <row r="496" spans="1:43" ht="15.75" customHeight="1" x14ac:dyDescent="0.2">
      <c r="A496" s="63" t="str">
        <f t="shared" si="28"/>
        <v/>
      </c>
      <c r="B496" s="62"/>
      <c r="C496" s="62"/>
      <c r="D496" s="62"/>
      <c r="E496" s="62"/>
      <c r="F496" s="62"/>
      <c r="G496" s="62"/>
      <c r="H496" s="62"/>
      <c r="I496" s="66"/>
      <c r="J496" s="66"/>
      <c r="K496" s="66"/>
      <c r="L496" s="66"/>
      <c r="M496" s="66"/>
      <c r="N496" s="64" t="str">
        <f>IF(OR($B496="", $I496="", $J496="", $K496="", $L496="", $M496=""),"",ROUND(($I496*Lists!$AN$2)+($J496*Lists!$AN$3)+($K496*Lists!$AN$4)+($L496*Lists!$AN$5)+($M496*Lists!$AN$6),2))</f>
        <v/>
      </c>
      <c r="O496" s="64" t="str">
        <f>IF($A496="","",IFERROR(VLOOKUP($A496,'Risk Register'!$B$2:$I$1000,8,FALSE()),""))</f>
        <v/>
      </c>
      <c r="P496" s="66"/>
      <c r="Q496" s="66"/>
      <c r="R496" s="66"/>
      <c r="S496" s="66"/>
      <c r="T496" s="64" t="str">
        <f>IF(OR($B496="", $P496="", $Q496="", $R496="", $S496=""),"",ROUND(($P496*Lists!$AN$7)+($Q496*Lists!$AN$8)+($R496*Lists!$AN$9)+($S496*Lists!$AN$10),2))</f>
        <v/>
      </c>
      <c r="U496" s="66"/>
      <c r="V496" s="66"/>
      <c r="W496" s="66"/>
      <c r="X496" s="66"/>
      <c r="Y496" s="66"/>
      <c r="Z496" s="64" t="str">
        <f>IF(OR($B496="", $U496="", $V496="", $W496="", $X496="", $Y496=""),"",ROUND(($U496*Lists!$AN$11)+($V496*Lists!$AN$12)+($W496*Lists!$AN$13)+($X496*Lists!$AN$14)+($Y496*Lists!$AN$15),2))</f>
        <v/>
      </c>
      <c r="AA496" s="64" t="str">
        <f>IF(OR($B496="", $N496="", $O496="", $T496="", $Z496=""),"",ROUND(($N496*Lists!$AN$16)-($O496*Lists!$AN$17)-($T496*Lists!$AN$18)+($Z496*Lists!$AN$19),2))</f>
        <v/>
      </c>
      <c r="AB496" s="63" t="str">
        <f t="shared" si="29"/>
        <v/>
      </c>
      <c r="AC496" s="63" t="str">
        <f t="shared" si="30"/>
        <v/>
      </c>
      <c r="AD496" s="63" t="str">
        <f>IF($A496="","",IFERROR(IF(VLOOKUP($A496,'Risk Register'!$B$2:$H$1000,4,FALSE())&gt;=4,"Yes",""),""))</f>
        <v/>
      </c>
      <c r="AE496" s="63" t="str">
        <f t="shared" si="31"/>
        <v/>
      </c>
      <c r="AF496" s="62"/>
      <c r="AG496" s="62"/>
      <c r="AH496" s="62"/>
      <c r="AI496" s="62"/>
      <c r="AJ496" s="62"/>
      <c r="AK496" s="62"/>
      <c r="AL496" s="62"/>
      <c r="AM496" s="62"/>
      <c r="AN496" s="62"/>
      <c r="AO496" s="62"/>
      <c r="AP496" s="62"/>
      <c r="AQ496" s="80"/>
    </row>
    <row r="497" spans="1:43" ht="15.75" customHeight="1" x14ac:dyDescent="0.2">
      <c r="A497" s="63" t="str">
        <f t="shared" si="28"/>
        <v/>
      </c>
      <c r="B497" s="62"/>
      <c r="C497" s="62"/>
      <c r="D497" s="62"/>
      <c r="E497" s="62"/>
      <c r="F497" s="62"/>
      <c r="G497" s="62"/>
      <c r="H497" s="62"/>
      <c r="I497" s="66"/>
      <c r="J497" s="66"/>
      <c r="K497" s="66"/>
      <c r="L497" s="66"/>
      <c r="M497" s="66"/>
      <c r="N497" s="64" t="str">
        <f>IF(OR($B497="", $I497="", $J497="", $K497="", $L497="", $M497=""),"",ROUND(($I497*Lists!$AN$2)+($J497*Lists!$AN$3)+($K497*Lists!$AN$4)+($L497*Lists!$AN$5)+($M497*Lists!$AN$6),2))</f>
        <v/>
      </c>
      <c r="O497" s="64" t="str">
        <f>IF($A497="","",IFERROR(VLOOKUP($A497,'Risk Register'!$B$2:$I$1000,8,FALSE()),""))</f>
        <v/>
      </c>
      <c r="P497" s="66"/>
      <c r="Q497" s="66"/>
      <c r="R497" s="66"/>
      <c r="S497" s="66"/>
      <c r="T497" s="64" t="str">
        <f>IF(OR($B497="", $P497="", $Q497="", $R497="", $S497=""),"",ROUND(($P497*Lists!$AN$7)+($Q497*Lists!$AN$8)+($R497*Lists!$AN$9)+($S497*Lists!$AN$10),2))</f>
        <v/>
      </c>
      <c r="U497" s="66"/>
      <c r="V497" s="66"/>
      <c r="W497" s="66"/>
      <c r="X497" s="66"/>
      <c r="Y497" s="66"/>
      <c r="Z497" s="64" t="str">
        <f>IF(OR($B497="", $U497="", $V497="", $W497="", $X497="", $Y497=""),"",ROUND(($U497*Lists!$AN$11)+($V497*Lists!$AN$12)+($W497*Lists!$AN$13)+($X497*Lists!$AN$14)+($Y497*Lists!$AN$15),2))</f>
        <v/>
      </c>
      <c r="AA497" s="64" t="str">
        <f>IF(OR($B497="", $N497="", $O497="", $T497="", $Z497=""),"",ROUND(($N497*Lists!$AN$16)-($O497*Lists!$AN$17)-($T497*Lists!$AN$18)+($Z497*Lists!$AN$19),2))</f>
        <v/>
      </c>
      <c r="AB497" s="63" t="str">
        <f t="shared" si="29"/>
        <v/>
      </c>
      <c r="AC497" s="63" t="str">
        <f t="shared" si="30"/>
        <v/>
      </c>
      <c r="AD497" s="63" t="str">
        <f>IF($A497="","",IFERROR(IF(VLOOKUP($A497,'Risk Register'!$B$2:$H$1000,4,FALSE())&gt;=4,"Yes",""),""))</f>
        <v/>
      </c>
      <c r="AE497" s="63" t="str">
        <f t="shared" si="31"/>
        <v/>
      </c>
      <c r="AF497" s="62"/>
      <c r="AG497" s="62"/>
      <c r="AH497" s="62"/>
      <c r="AI497" s="62"/>
      <c r="AJ497" s="62"/>
      <c r="AK497" s="62"/>
      <c r="AL497" s="62"/>
      <c r="AM497" s="62"/>
      <c r="AN497" s="62"/>
      <c r="AO497" s="62"/>
      <c r="AP497" s="62"/>
      <c r="AQ497" s="80"/>
    </row>
    <row r="498" spans="1:43" ht="15.75" customHeight="1" x14ac:dyDescent="0.2">
      <c r="A498" s="63" t="str">
        <f t="shared" si="28"/>
        <v/>
      </c>
      <c r="B498" s="62"/>
      <c r="C498" s="62"/>
      <c r="D498" s="62"/>
      <c r="E498" s="62"/>
      <c r="F498" s="62"/>
      <c r="G498" s="62"/>
      <c r="H498" s="62"/>
      <c r="I498" s="66"/>
      <c r="J498" s="66"/>
      <c r="K498" s="66"/>
      <c r="L498" s="66"/>
      <c r="M498" s="66"/>
      <c r="N498" s="64" t="str">
        <f>IF(OR($B498="", $I498="", $J498="", $K498="", $L498="", $M498=""),"",ROUND(($I498*Lists!$AN$2)+($J498*Lists!$AN$3)+($K498*Lists!$AN$4)+($L498*Lists!$AN$5)+($M498*Lists!$AN$6),2))</f>
        <v/>
      </c>
      <c r="O498" s="64" t="str">
        <f>IF($A498="","",IFERROR(VLOOKUP($A498,'Risk Register'!$B$2:$I$1000,8,FALSE()),""))</f>
        <v/>
      </c>
      <c r="P498" s="66"/>
      <c r="Q498" s="66"/>
      <c r="R498" s="66"/>
      <c r="S498" s="66"/>
      <c r="T498" s="64" t="str">
        <f>IF(OR($B498="", $P498="", $Q498="", $R498="", $S498=""),"",ROUND(($P498*Lists!$AN$7)+($Q498*Lists!$AN$8)+($R498*Lists!$AN$9)+($S498*Lists!$AN$10),2))</f>
        <v/>
      </c>
      <c r="U498" s="66"/>
      <c r="V498" s="66"/>
      <c r="W498" s="66"/>
      <c r="X498" s="66"/>
      <c r="Y498" s="66"/>
      <c r="Z498" s="64" t="str">
        <f>IF(OR($B498="", $U498="", $V498="", $W498="", $X498="", $Y498=""),"",ROUND(($U498*Lists!$AN$11)+($V498*Lists!$AN$12)+($W498*Lists!$AN$13)+($X498*Lists!$AN$14)+($Y498*Lists!$AN$15),2))</f>
        <v/>
      </c>
      <c r="AA498" s="64" t="str">
        <f>IF(OR($B498="", $N498="", $O498="", $T498="", $Z498=""),"",ROUND(($N498*Lists!$AN$16)-($O498*Lists!$AN$17)-($T498*Lists!$AN$18)+($Z498*Lists!$AN$19),2))</f>
        <v/>
      </c>
      <c r="AB498" s="63" t="str">
        <f t="shared" si="29"/>
        <v/>
      </c>
      <c r="AC498" s="63" t="str">
        <f t="shared" si="30"/>
        <v/>
      </c>
      <c r="AD498" s="63" t="str">
        <f>IF($A498="","",IFERROR(IF(VLOOKUP($A498,'Risk Register'!$B$2:$H$1000,4,FALSE())&gt;=4,"Yes",""),""))</f>
        <v/>
      </c>
      <c r="AE498" s="63" t="str">
        <f t="shared" si="31"/>
        <v/>
      </c>
      <c r="AF498" s="62"/>
      <c r="AG498" s="62"/>
      <c r="AH498" s="62"/>
      <c r="AI498" s="62"/>
      <c r="AJ498" s="62"/>
      <c r="AK498" s="62"/>
      <c r="AL498" s="62"/>
      <c r="AM498" s="62"/>
      <c r="AN498" s="62"/>
      <c r="AO498" s="62"/>
      <c r="AP498" s="62"/>
      <c r="AQ498" s="80"/>
    </row>
    <row r="499" spans="1:43" ht="15.75" customHeight="1" x14ac:dyDescent="0.2">
      <c r="A499" s="63" t="str">
        <f t="shared" si="28"/>
        <v/>
      </c>
      <c r="B499" s="62"/>
      <c r="C499" s="62"/>
      <c r="D499" s="62"/>
      <c r="E499" s="62"/>
      <c r="F499" s="62"/>
      <c r="G499" s="62"/>
      <c r="H499" s="62"/>
      <c r="I499" s="66"/>
      <c r="J499" s="66"/>
      <c r="K499" s="66"/>
      <c r="L499" s="66"/>
      <c r="M499" s="66"/>
      <c r="N499" s="64" t="str">
        <f>IF(OR($B499="", $I499="", $J499="", $K499="", $L499="", $M499=""),"",ROUND(($I499*Lists!$AN$2)+($J499*Lists!$AN$3)+($K499*Lists!$AN$4)+($L499*Lists!$AN$5)+($M499*Lists!$AN$6),2))</f>
        <v/>
      </c>
      <c r="O499" s="64" t="str">
        <f>IF($A499="","",IFERROR(VLOOKUP($A499,'Risk Register'!$B$2:$I$1000,8,FALSE()),""))</f>
        <v/>
      </c>
      <c r="P499" s="66"/>
      <c r="Q499" s="66"/>
      <c r="R499" s="66"/>
      <c r="S499" s="66"/>
      <c r="T499" s="64" t="str">
        <f>IF(OR($B499="", $P499="", $Q499="", $R499="", $S499=""),"",ROUND(($P499*Lists!$AN$7)+($Q499*Lists!$AN$8)+($R499*Lists!$AN$9)+($S499*Lists!$AN$10),2))</f>
        <v/>
      </c>
      <c r="U499" s="66"/>
      <c r="V499" s="66"/>
      <c r="W499" s="66"/>
      <c r="X499" s="66"/>
      <c r="Y499" s="66"/>
      <c r="Z499" s="64" t="str">
        <f>IF(OR($B499="", $U499="", $V499="", $W499="", $X499="", $Y499=""),"",ROUND(($U499*Lists!$AN$11)+($V499*Lists!$AN$12)+($W499*Lists!$AN$13)+($X499*Lists!$AN$14)+($Y499*Lists!$AN$15),2))</f>
        <v/>
      </c>
      <c r="AA499" s="64" t="str">
        <f>IF(OR($B499="", $N499="", $O499="", $T499="", $Z499=""),"",ROUND(($N499*Lists!$AN$16)-($O499*Lists!$AN$17)-($T499*Lists!$AN$18)+($Z499*Lists!$AN$19),2))</f>
        <v/>
      </c>
      <c r="AB499" s="63" t="str">
        <f t="shared" si="29"/>
        <v/>
      </c>
      <c r="AC499" s="63" t="str">
        <f t="shared" si="30"/>
        <v/>
      </c>
      <c r="AD499" s="63" t="str">
        <f>IF($A499="","",IFERROR(IF(VLOOKUP($A499,'Risk Register'!$B$2:$H$1000,4,FALSE())&gt;=4,"Yes",""),""))</f>
        <v/>
      </c>
      <c r="AE499" s="63" t="str">
        <f t="shared" si="31"/>
        <v/>
      </c>
      <c r="AF499" s="62"/>
      <c r="AG499" s="62"/>
      <c r="AH499" s="62"/>
      <c r="AI499" s="62"/>
      <c r="AJ499" s="62"/>
      <c r="AK499" s="62"/>
      <c r="AL499" s="62"/>
      <c r="AM499" s="62"/>
      <c r="AN499" s="62"/>
      <c r="AO499" s="62"/>
      <c r="AP499" s="62"/>
      <c r="AQ499" s="80"/>
    </row>
    <row r="500" spans="1:43" ht="15.75" customHeight="1" x14ac:dyDescent="0.2">
      <c r="A500" s="63" t="str">
        <f t="shared" si="28"/>
        <v/>
      </c>
      <c r="B500" s="62"/>
      <c r="C500" s="62"/>
      <c r="D500" s="62"/>
      <c r="E500" s="62"/>
      <c r="F500" s="62"/>
      <c r="G500" s="62"/>
      <c r="H500" s="62"/>
      <c r="I500" s="66"/>
      <c r="J500" s="66"/>
      <c r="K500" s="66"/>
      <c r="L500" s="66"/>
      <c r="M500" s="66"/>
      <c r="N500" s="64" t="str">
        <f>IF(OR($B500="", $I500="", $J500="", $K500="", $L500="", $M500=""),"",ROUND(($I500*Lists!$AN$2)+($J500*Lists!$AN$3)+($K500*Lists!$AN$4)+($L500*Lists!$AN$5)+($M500*Lists!$AN$6),2))</f>
        <v/>
      </c>
      <c r="O500" s="64" t="str">
        <f>IF($A500="","",IFERROR(VLOOKUP($A500,'Risk Register'!$B$2:$I$1000,8,FALSE()),""))</f>
        <v/>
      </c>
      <c r="P500" s="66"/>
      <c r="Q500" s="66"/>
      <c r="R500" s="66"/>
      <c r="S500" s="66"/>
      <c r="T500" s="64" t="str">
        <f>IF(OR($B500="", $P500="", $Q500="", $R500="", $S500=""),"",ROUND(($P500*Lists!$AN$7)+($Q500*Lists!$AN$8)+($R500*Lists!$AN$9)+($S500*Lists!$AN$10),2))</f>
        <v/>
      </c>
      <c r="U500" s="66"/>
      <c r="V500" s="66"/>
      <c r="W500" s="66"/>
      <c r="X500" s="66"/>
      <c r="Y500" s="66"/>
      <c r="Z500" s="64" t="str">
        <f>IF(OR($B500="", $U500="", $V500="", $W500="", $X500="", $Y500=""),"",ROUND(($U500*Lists!$AN$11)+($V500*Lists!$AN$12)+($W500*Lists!$AN$13)+($X500*Lists!$AN$14)+($Y500*Lists!$AN$15),2))</f>
        <v/>
      </c>
      <c r="AA500" s="64" t="str">
        <f>IF(OR($B500="", $N500="", $O500="", $T500="", $Z500=""),"",ROUND(($N500*Lists!$AN$16)-($O500*Lists!$AN$17)-($T500*Lists!$AN$18)+($Z500*Lists!$AN$19),2))</f>
        <v/>
      </c>
      <c r="AB500" s="63" t="str">
        <f t="shared" si="29"/>
        <v/>
      </c>
      <c r="AC500" s="63" t="str">
        <f t="shared" si="30"/>
        <v/>
      </c>
      <c r="AD500" s="63" t="str">
        <f>IF($A500="","",IFERROR(IF(VLOOKUP($A500,'Risk Register'!$B$2:$H$1000,4,FALSE())&gt;=4,"Yes",""),""))</f>
        <v/>
      </c>
      <c r="AE500" s="63" t="str">
        <f t="shared" si="31"/>
        <v/>
      </c>
      <c r="AF500" s="62"/>
      <c r="AG500" s="62"/>
      <c r="AH500" s="62"/>
      <c r="AI500" s="62"/>
      <c r="AJ500" s="62"/>
      <c r="AK500" s="62"/>
      <c r="AL500" s="62"/>
      <c r="AM500" s="62"/>
      <c r="AN500" s="62"/>
      <c r="AO500" s="62"/>
      <c r="AP500" s="62"/>
      <c r="AQ500" s="80"/>
    </row>
    <row r="501" spans="1:43" ht="15.75" customHeight="1" x14ac:dyDescent="0.2">
      <c r="A501" s="63" t="str">
        <f t="shared" si="28"/>
        <v/>
      </c>
      <c r="B501" s="62"/>
      <c r="C501" s="62"/>
      <c r="D501" s="62"/>
      <c r="E501" s="62"/>
      <c r="F501" s="62"/>
      <c r="G501" s="62"/>
      <c r="H501" s="62"/>
      <c r="I501" s="66"/>
      <c r="J501" s="66"/>
      <c r="K501" s="66"/>
      <c r="L501" s="66"/>
      <c r="M501" s="66"/>
      <c r="N501" s="64" t="str">
        <f>IF(OR($B501="", $I501="", $J501="", $K501="", $L501="", $M501=""),"",ROUND(($I501*Lists!$AN$2)+($J501*Lists!$AN$3)+($K501*Lists!$AN$4)+($L501*Lists!$AN$5)+($M501*Lists!$AN$6),2))</f>
        <v/>
      </c>
      <c r="O501" s="64" t="str">
        <f>IF($A501="","",IFERROR(VLOOKUP($A501,'Risk Register'!$B$2:$I$1000,8,FALSE()),""))</f>
        <v/>
      </c>
      <c r="P501" s="66"/>
      <c r="Q501" s="66"/>
      <c r="R501" s="66"/>
      <c r="S501" s="66"/>
      <c r="T501" s="64" t="str">
        <f>IF(OR($B501="", $P501="", $Q501="", $R501="", $S501=""),"",ROUND(($P501*Lists!$AN$7)+($Q501*Lists!$AN$8)+($R501*Lists!$AN$9)+($S501*Lists!$AN$10),2))</f>
        <v/>
      </c>
      <c r="U501" s="66"/>
      <c r="V501" s="66"/>
      <c r="W501" s="66"/>
      <c r="X501" s="66"/>
      <c r="Y501" s="66"/>
      <c r="Z501" s="64" t="str">
        <f>IF(OR($B501="", $U501="", $V501="", $W501="", $X501="", $Y501=""),"",ROUND(($U501*Lists!$AN$11)+($V501*Lists!$AN$12)+($W501*Lists!$AN$13)+($X501*Lists!$AN$14)+($Y501*Lists!$AN$15),2))</f>
        <v/>
      </c>
      <c r="AA501" s="64" t="str">
        <f>IF(OR($B501="", $N501="", $O501="", $T501="", $Z501=""),"",ROUND(($N501*Lists!$AN$16)-($O501*Lists!$AN$17)-($T501*Lists!$AN$18)+($Z501*Lists!$AN$19),2))</f>
        <v/>
      </c>
      <c r="AB501" s="63" t="str">
        <f t="shared" si="29"/>
        <v/>
      </c>
      <c r="AC501" s="63" t="str">
        <f t="shared" si="30"/>
        <v/>
      </c>
      <c r="AD501" s="63" t="str">
        <f>IF($A501="","",IFERROR(IF(VLOOKUP($A501,'Risk Register'!$B$2:$H$1000,4,FALSE())&gt;=4,"Yes",""),""))</f>
        <v/>
      </c>
      <c r="AE501" s="63" t="str">
        <f t="shared" si="31"/>
        <v/>
      </c>
      <c r="AF501" s="62"/>
      <c r="AG501" s="62"/>
      <c r="AH501" s="62"/>
      <c r="AI501" s="62"/>
      <c r="AJ501" s="62"/>
      <c r="AK501" s="62"/>
      <c r="AL501" s="62"/>
      <c r="AM501" s="62"/>
      <c r="AN501" s="62"/>
      <c r="AO501" s="62"/>
      <c r="AP501" s="62"/>
      <c r="AQ501" s="80"/>
    </row>
    <row r="502" spans="1:43" ht="15.75" customHeight="1" x14ac:dyDescent="0.2">
      <c r="A502" s="63" t="str">
        <f t="shared" si="28"/>
        <v/>
      </c>
      <c r="B502" s="62"/>
      <c r="C502" s="62"/>
      <c r="D502" s="62"/>
      <c r="E502" s="62"/>
      <c r="F502" s="62"/>
      <c r="G502" s="62"/>
      <c r="H502" s="62"/>
      <c r="I502" s="66"/>
      <c r="J502" s="66"/>
      <c r="K502" s="66"/>
      <c r="L502" s="66"/>
      <c r="M502" s="66"/>
      <c r="N502" s="64" t="str">
        <f>IF(OR($B502="", $I502="", $J502="", $K502="", $L502="", $M502=""),"",ROUND(($I502*Lists!$AN$2)+($J502*Lists!$AN$3)+($K502*Lists!$AN$4)+($L502*Lists!$AN$5)+($M502*Lists!$AN$6),2))</f>
        <v/>
      </c>
      <c r="O502" s="64" t="str">
        <f>IF($A502="","",IFERROR(VLOOKUP($A502,'Risk Register'!$B$2:$I$1000,8,FALSE()),""))</f>
        <v/>
      </c>
      <c r="P502" s="66"/>
      <c r="Q502" s="66"/>
      <c r="R502" s="66"/>
      <c r="S502" s="66"/>
      <c r="T502" s="64" t="str">
        <f>IF(OR($B502="", $P502="", $Q502="", $R502="", $S502=""),"",ROUND(($P502*Lists!$AN$7)+($Q502*Lists!$AN$8)+($R502*Lists!$AN$9)+($S502*Lists!$AN$10),2))</f>
        <v/>
      </c>
      <c r="U502" s="66"/>
      <c r="V502" s="66"/>
      <c r="W502" s="66"/>
      <c r="X502" s="66"/>
      <c r="Y502" s="66"/>
      <c r="Z502" s="64" t="str">
        <f>IF(OR($B502="", $U502="", $V502="", $W502="", $X502="", $Y502=""),"",ROUND(($U502*Lists!$AN$11)+($V502*Lists!$AN$12)+($W502*Lists!$AN$13)+($X502*Lists!$AN$14)+($Y502*Lists!$AN$15),2))</f>
        <v/>
      </c>
      <c r="AA502" s="64" t="str">
        <f>IF(OR($B502="", $N502="", $O502="", $T502="", $Z502=""),"",ROUND(($N502*Lists!$AN$16)-($O502*Lists!$AN$17)-($T502*Lists!$AN$18)+($Z502*Lists!$AN$19),2))</f>
        <v/>
      </c>
      <c r="AB502" s="63" t="str">
        <f t="shared" si="29"/>
        <v/>
      </c>
      <c r="AC502" s="63" t="str">
        <f t="shared" si="30"/>
        <v/>
      </c>
      <c r="AD502" s="63" t="str">
        <f>IF($A502="","",IFERROR(IF(VLOOKUP($A502,'Risk Register'!$B$2:$H$1000,4,FALSE())&gt;=4,"Yes",""),""))</f>
        <v/>
      </c>
      <c r="AE502" s="63" t="str">
        <f t="shared" si="31"/>
        <v/>
      </c>
      <c r="AF502" s="62"/>
      <c r="AG502" s="62"/>
      <c r="AH502" s="62"/>
      <c r="AI502" s="62"/>
      <c r="AJ502" s="62"/>
      <c r="AK502" s="62"/>
      <c r="AL502" s="62"/>
      <c r="AM502" s="62"/>
      <c r="AN502" s="62"/>
      <c r="AO502" s="62"/>
      <c r="AP502" s="62"/>
      <c r="AQ502" s="80"/>
    </row>
    <row r="503" spans="1:43" ht="15.75" customHeight="1" x14ac:dyDescent="0.2">
      <c r="A503" s="63" t="str">
        <f t="shared" si="28"/>
        <v/>
      </c>
      <c r="B503" s="62"/>
      <c r="C503" s="62"/>
      <c r="D503" s="62"/>
      <c r="E503" s="62"/>
      <c r="F503" s="62"/>
      <c r="G503" s="62"/>
      <c r="H503" s="62"/>
      <c r="I503" s="66"/>
      <c r="J503" s="66"/>
      <c r="K503" s="66"/>
      <c r="L503" s="66"/>
      <c r="M503" s="66"/>
      <c r="N503" s="64" t="str">
        <f>IF(OR($B503="", $I503="", $J503="", $K503="", $L503="", $M503=""),"",ROUND(($I503*Lists!$AN$2)+($J503*Lists!$AN$3)+($K503*Lists!$AN$4)+($L503*Lists!$AN$5)+($M503*Lists!$AN$6),2))</f>
        <v/>
      </c>
      <c r="O503" s="64" t="str">
        <f>IF($A503="","",IFERROR(VLOOKUP($A503,'Risk Register'!$B$2:$I$1000,8,FALSE()),""))</f>
        <v/>
      </c>
      <c r="P503" s="66"/>
      <c r="Q503" s="66"/>
      <c r="R503" s="66"/>
      <c r="S503" s="66"/>
      <c r="T503" s="64" t="str">
        <f>IF(OR($B503="", $P503="", $Q503="", $R503="", $S503=""),"",ROUND(($P503*Lists!$AN$7)+($Q503*Lists!$AN$8)+($R503*Lists!$AN$9)+($S503*Lists!$AN$10),2))</f>
        <v/>
      </c>
      <c r="U503" s="66"/>
      <c r="V503" s="66"/>
      <c r="W503" s="66"/>
      <c r="X503" s="66"/>
      <c r="Y503" s="66"/>
      <c r="Z503" s="64" t="str">
        <f>IF(OR($B503="", $U503="", $V503="", $W503="", $X503="", $Y503=""),"",ROUND(($U503*Lists!$AN$11)+($V503*Lists!$AN$12)+($W503*Lists!$AN$13)+($X503*Lists!$AN$14)+($Y503*Lists!$AN$15),2))</f>
        <v/>
      </c>
      <c r="AA503" s="64" t="str">
        <f>IF(OR($B503="", $N503="", $O503="", $T503="", $Z503=""),"",ROUND(($N503*Lists!$AN$16)-($O503*Lists!$AN$17)-($T503*Lists!$AN$18)+($Z503*Lists!$AN$19),2))</f>
        <v/>
      </c>
      <c r="AB503" s="63" t="str">
        <f t="shared" si="29"/>
        <v/>
      </c>
      <c r="AC503" s="63" t="str">
        <f t="shared" si="30"/>
        <v/>
      </c>
      <c r="AD503" s="63" t="str">
        <f>IF($A503="","",IFERROR(IF(VLOOKUP($A503,'Risk Register'!$B$2:$H$1000,4,FALSE())&gt;=4,"Yes",""),""))</f>
        <v/>
      </c>
      <c r="AE503" s="63" t="str">
        <f t="shared" si="31"/>
        <v/>
      </c>
      <c r="AF503" s="62"/>
      <c r="AG503" s="62"/>
      <c r="AH503" s="62"/>
      <c r="AI503" s="62"/>
      <c r="AJ503" s="62"/>
      <c r="AK503" s="62"/>
      <c r="AL503" s="62"/>
      <c r="AM503" s="62"/>
      <c r="AN503" s="62"/>
      <c r="AO503" s="62"/>
      <c r="AP503" s="62"/>
      <c r="AQ503" s="80"/>
    </row>
    <row r="504" spans="1:43" ht="15.75" customHeight="1" x14ac:dyDescent="0.2">
      <c r="A504" s="63" t="str">
        <f t="shared" si="28"/>
        <v/>
      </c>
      <c r="B504" s="62"/>
      <c r="C504" s="62"/>
      <c r="D504" s="62"/>
      <c r="E504" s="62"/>
      <c r="F504" s="62"/>
      <c r="G504" s="62"/>
      <c r="H504" s="62"/>
      <c r="I504" s="66"/>
      <c r="J504" s="66"/>
      <c r="K504" s="66"/>
      <c r="L504" s="66"/>
      <c r="M504" s="66"/>
      <c r="N504" s="64" t="str">
        <f>IF(OR($B504="", $I504="", $J504="", $K504="", $L504="", $M504=""),"",ROUND(($I504*Lists!$AN$2)+($J504*Lists!$AN$3)+($K504*Lists!$AN$4)+($L504*Lists!$AN$5)+($M504*Lists!$AN$6),2))</f>
        <v/>
      </c>
      <c r="O504" s="64" t="str">
        <f>IF($A504="","",IFERROR(VLOOKUP($A504,'Risk Register'!$B$2:$I$1000,8,FALSE()),""))</f>
        <v/>
      </c>
      <c r="P504" s="66"/>
      <c r="Q504" s="66"/>
      <c r="R504" s="66"/>
      <c r="S504" s="66"/>
      <c r="T504" s="64" t="str">
        <f>IF(OR($B504="", $P504="", $Q504="", $R504="", $S504=""),"",ROUND(($P504*Lists!$AN$7)+($Q504*Lists!$AN$8)+($R504*Lists!$AN$9)+($S504*Lists!$AN$10),2))</f>
        <v/>
      </c>
      <c r="U504" s="66"/>
      <c r="V504" s="66"/>
      <c r="W504" s="66"/>
      <c r="X504" s="66"/>
      <c r="Y504" s="66"/>
      <c r="Z504" s="64" t="str">
        <f>IF(OR($B504="", $U504="", $V504="", $W504="", $X504="", $Y504=""),"",ROUND(($U504*Lists!$AN$11)+($V504*Lists!$AN$12)+($W504*Lists!$AN$13)+($X504*Lists!$AN$14)+($Y504*Lists!$AN$15),2))</f>
        <v/>
      </c>
      <c r="AA504" s="64" t="str">
        <f>IF(OR($B504="", $N504="", $O504="", $T504="", $Z504=""),"",ROUND(($N504*Lists!$AN$16)-($O504*Lists!$AN$17)-($T504*Lists!$AN$18)+($Z504*Lists!$AN$19),2))</f>
        <v/>
      </c>
      <c r="AB504" s="63" t="str">
        <f t="shared" si="29"/>
        <v/>
      </c>
      <c r="AC504" s="63" t="str">
        <f t="shared" si="30"/>
        <v/>
      </c>
      <c r="AD504" s="63" t="str">
        <f>IF($A504="","",IFERROR(IF(VLOOKUP($A504,'Risk Register'!$B$2:$H$1000,4,FALSE())&gt;=4,"Yes",""),""))</f>
        <v/>
      </c>
      <c r="AE504" s="63" t="str">
        <f t="shared" si="31"/>
        <v/>
      </c>
      <c r="AF504" s="62"/>
      <c r="AG504" s="62"/>
      <c r="AH504" s="62"/>
      <c r="AI504" s="62"/>
      <c r="AJ504" s="62"/>
      <c r="AK504" s="62"/>
      <c r="AL504" s="62"/>
      <c r="AM504" s="62"/>
      <c r="AN504" s="62"/>
      <c r="AO504" s="62"/>
      <c r="AP504" s="62"/>
      <c r="AQ504" s="80"/>
    </row>
    <row r="505" spans="1:43" ht="15.75" customHeight="1" x14ac:dyDescent="0.2">
      <c r="A505" s="63" t="str">
        <f t="shared" si="28"/>
        <v/>
      </c>
      <c r="B505" s="62"/>
      <c r="C505" s="62"/>
      <c r="D505" s="62"/>
      <c r="E505" s="62"/>
      <c r="F505" s="62"/>
      <c r="G505" s="62"/>
      <c r="H505" s="62"/>
      <c r="I505" s="66"/>
      <c r="J505" s="66"/>
      <c r="K505" s="66"/>
      <c r="L505" s="66"/>
      <c r="M505" s="66"/>
      <c r="N505" s="64" t="str">
        <f>IF(OR($B505="", $I505="", $J505="", $K505="", $L505="", $M505=""),"",ROUND(($I505*Lists!$AN$2)+($J505*Lists!$AN$3)+($K505*Lists!$AN$4)+($L505*Lists!$AN$5)+($M505*Lists!$AN$6),2))</f>
        <v/>
      </c>
      <c r="O505" s="64" t="str">
        <f>IF($A505="","",IFERROR(VLOOKUP($A505,'Risk Register'!$B$2:$I$1000,8,FALSE()),""))</f>
        <v/>
      </c>
      <c r="P505" s="66"/>
      <c r="Q505" s="66"/>
      <c r="R505" s="66"/>
      <c r="S505" s="66"/>
      <c r="T505" s="64" t="str">
        <f>IF(OR($B505="", $P505="", $Q505="", $R505="", $S505=""),"",ROUND(($P505*Lists!$AN$7)+($Q505*Lists!$AN$8)+($R505*Lists!$AN$9)+($S505*Lists!$AN$10),2))</f>
        <v/>
      </c>
      <c r="U505" s="66"/>
      <c r="V505" s="66"/>
      <c r="W505" s="66"/>
      <c r="X505" s="66"/>
      <c r="Y505" s="66"/>
      <c r="Z505" s="64" t="str">
        <f>IF(OR($B505="", $U505="", $V505="", $W505="", $X505="", $Y505=""),"",ROUND(($U505*Lists!$AN$11)+($V505*Lists!$AN$12)+($W505*Lists!$AN$13)+($X505*Lists!$AN$14)+($Y505*Lists!$AN$15),2))</f>
        <v/>
      </c>
      <c r="AA505" s="64" t="str">
        <f>IF(OR($B505="", $N505="", $O505="", $T505="", $Z505=""),"",ROUND(($N505*Lists!$AN$16)-($O505*Lists!$AN$17)-($T505*Lists!$AN$18)+($Z505*Lists!$AN$19),2))</f>
        <v/>
      </c>
      <c r="AB505" s="63" t="str">
        <f t="shared" si="29"/>
        <v/>
      </c>
      <c r="AC505" s="63" t="str">
        <f t="shared" si="30"/>
        <v/>
      </c>
      <c r="AD505" s="63" t="str">
        <f>IF($A505="","",IFERROR(IF(VLOOKUP($A505,'Risk Register'!$B$2:$H$1000,4,FALSE())&gt;=4,"Yes",""),""))</f>
        <v/>
      </c>
      <c r="AE505" s="63" t="str">
        <f t="shared" si="31"/>
        <v/>
      </c>
      <c r="AF505" s="62"/>
      <c r="AG505" s="62"/>
      <c r="AH505" s="62"/>
      <c r="AI505" s="62"/>
      <c r="AJ505" s="62"/>
      <c r="AK505" s="62"/>
      <c r="AL505" s="62"/>
      <c r="AM505" s="62"/>
      <c r="AN505" s="62"/>
      <c r="AO505" s="62"/>
      <c r="AP505" s="62"/>
      <c r="AQ505" s="80"/>
    </row>
    <row r="506" spans="1:43" ht="15.75" customHeight="1" x14ac:dyDescent="0.2">
      <c r="A506" s="63" t="str">
        <f t="shared" si="28"/>
        <v/>
      </c>
      <c r="B506" s="62"/>
      <c r="C506" s="62"/>
      <c r="D506" s="62"/>
      <c r="E506" s="62"/>
      <c r="F506" s="62"/>
      <c r="G506" s="62"/>
      <c r="H506" s="62"/>
      <c r="I506" s="66"/>
      <c r="J506" s="66"/>
      <c r="K506" s="66"/>
      <c r="L506" s="66"/>
      <c r="M506" s="66"/>
      <c r="N506" s="64" t="str">
        <f>IF(OR($B506="", $I506="", $J506="", $K506="", $L506="", $M506=""),"",ROUND(($I506*Lists!$AN$2)+($J506*Lists!$AN$3)+($K506*Lists!$AN$4)+($L506*Lists!$AN$5)+($M506*Lists!$AN$6),2))</f>
        <v/>
      </c>
      <c r="O506" s="64" t="str">
        <f>IF($A506="","",IFERROR(VLOOKUP($A506,'Risk Register'!$B$2:$I$1000,8,FALSE()),""))</f>
        <v/>
      </c>
      <c r="P506" s="66"/>
      <c r="Q506" s="66"/>
      <c r="R506" s="66"/>
      <c r="S506" s="66"/>
      <c r="T506" s="64" t="str">
        <f>IF(OR($B506="", $P506="", $Q506="", $R506="", $S506=""),"",ROUND(($P506*Lists!$AN$7)+($Q506*Lists!$AN$8)+($R506*Lists!$AN$9)+($S506*Lists!$AN$10),2))</f>
        <v/>
      </c>
      <c r="U506" s="66"/>
      <c r="V506" s="66"/>
      <c r="W506" s="66"/>
      <c r="X506" s="66"/>
      <c r="Y506" s="66"/>
      <c r="Z506" s="64" t="str">
        <f>IF(OR($B506="", $U506="", $V506="", $W506="", $X506="", $Y506=""),"",ROUND(($U506*Lists!$AN$11)+($V506*Lists!$AN$12)+($W506*Lists!$AN$13)+($X506*Lists!$AN$14)+($Y506*Lists!$AN$15),2))</f>
        <v/>
      </c>
      <c r="AA506" s="64" t="str">
        <f>IF(OR($B506="", $N506="", $O506="", $T506="", $Z506=""),"",ROUND(($N506*Lists!$AN$16)-($O506*Lists!$AN$17)-($T506*Lists!$AN$18)+($Z506*Lists!$AN$19),2))</f>
        <v/>
      </c>
      <c r="AB506" s="63" t="str">
        <f t="shared" si="29"/>
        <v/>
      </c>
      <c r="AC506" s="63" t="str">
        <f t="shared" si="30"/>
        <v/>
      </c>
      <c r="AD506" s="63" t="str">
        <f>IF($A506="","",IFERROR(IF(VLOOKUP($A506,'Risk Register'!$B$2:$H$1000,4,FALSE())&gt;=4,"Yes",""),""))</f>
        <v/>
      </c>
      <c r="AE506" s="63" t="str">
        <f t="shared" si="31"/>
        <v/>
      </c>
      <c r="AF506" s="62"/>
      <c r="AG506" s="62"/>
      <c r="AH506" s="62"/>
      <c r="AI506" s="62"/>
      <c r="AJ506" s="62"/>
      <c r="AK506" s="62"/>
      <c r="AL506" s="62"/>
      <c r="AM506" s="62"/>
      <c r="AN506" s="62"/>
      <c r="AO506" s="62"/>
      <c r="AP506" s="62"/>
      <c r="AQ506" s="80"/>
    </row>
    <row r="507" spans="1:43" ht="15.75" customHeight="1" x14ac:dyDescent="0.2">
      <c r="A507" s="63" t="str">
        <f t="shared" si="28"/>
        <v/>
      </c>
      <c r="B507" s="62"/>
      <c r="C507" s="62"/>
      <c r="D507" s="62"/>
      <c r="E507" s="62"/>
      <c r="F507" s="62"/>
      <c r="G507" s="62"/>
      <c r="H507" s="62"/>
      <c r="I507" s="66"/>
      <c r="J507" s="66"/>
      <c r="K507" s="66"/>
      <c r="L507" s="66"/>
      <c r="M507" s="66"/>
      <c r="N507" s="64" t="str">
        <f>IF(OR($B507="", $I507="", $J507="", $K507="", $L507="", $M507=""),"",ROUND(($I507*Lists!$AN$2)+($J507*Lists!$AN$3)+($K507*Lists!$AN$4)+($L507*Lists!$AN$5)+($M507*Lists!$AN$6),2))</f>
        <v/>
      </c>
      <c r="O507" s="64" t="str">
        <f>IF($A507="","",IFERROR(VLOOKUP($A507,'Risk Register'!$B$2:$I$1000,8,FALSE()),""))</f>
        <v/>
      </c>
      <c r="P507" s="66"/>
      <c r="Q507" s="66"/>
      <c r="R507" s="66"/>
      <c r="S507" s="66"/>
      <c r="T507" s="64" t="str">
        <f>IF(OR($B507="", $P507="", $Q507="", $R507="", $S507=""),"",ROUND(($P507*Lists!$AN$7)+($Q507*Lists!$AN$8)+($R507*Lists!$AN$9)+($S507*Lists!$AN$10),2))</f>
        <v/>
      </c>
      <c r="U507" s="66"/>
      <c r="V507" s="66"/>
      <c r="W507" s="66"/>
      <c r="X507" s="66"/>
      <c r="Y507" s="66"/>
      <c r="Z507" s="64" t="str">
        <f>IF(OR($B507="", $U507="", $V507="", $W507="", $X507="", $Y507=""),"",ROUND(($U507*Lists!$AN$11)+($V507*Lists!$AN$12)+($W507*Lists!$AN$13)+($X507*Lists!$AN$14)+($Y507*Lists!$AN$15),2))</f>
        <v/>
      </c>
      <c r="AA507" s="64" t="str">
        <f>IF(OR($B507="", $N507="", $O507="", $T507="", $Z507=""),"",ROUND(($N507*Lists!$AN$16)-($O507*Lists!$AN$17)-($T507*Lists!$AN$18)+($Z507*Lists!$AN$19),2))</f>
        <v/>
      </c>
      <c r="AB507" s="63" t="str">
        <f t="shared" si="29"/>
        <v/>
      </c>
      <c r="AC507" s="63" t="str">
        <f t="shared" si="30"/>
        <v/>
      </c>
      <c r="AD507" s="63" t="str">
        <f>IF($A507="","",IFERROR(IF(VLOOKUP($A507,'Risk Register'!$B$2:$H$1000,4,FALSE())&gt;=4,"Yes",""),""))</f>
        <v/>
      </c>
      <c r="AE507" s="63" t="str">
        <f t="shared" si="31"/>
        <v/>
      </c>
      <c r="AF507" s="62"/>
      <c r="AG507" s="62"/>
      <c r="AH507" s="62"/>
      <c r="AI507" s="62"/>
      <c r="AJ507" s="62"/>
      <c r="AK507" s="62"/>
      <c r="AL507" s="62"/>
      <c r="AM507" s="62"/>
      <c r="AN507" s="62"/>
      <c r="AO507" s="62"/>
      <c r="AP507" s="62"/>
      <c r="AQ507" s="80"/>
    </row>
    <row r="508" spans="1:43" ht="15.75" customHeight="1" x14ac:dyDescent="0.2">
      <c r="A508" s="63" t="str">
        <f t="shared" si="28"/>
        <v/>
      </c>
      <c r="B508" s="62"/>
      <c r="C508" s="62"/>
      <c r="D508" s="62"/>
      <c r="E508" s="62"/>
      <c r="F508" s="62"/>
      <c r="G508" s="62"/>
      <c r="H508" s="62"/>
      <c r="I508" s="66"/>
      <c r="J508" s="66"/>
      <c r="K508" s="66"/>
      <c r="L508" s="66"/>
      <c r="M508" s="66"/>
      <c r="N508" s="64" t="str">
        <f>IF(OR($B508="", $I508="", $J508="", $K508="", $L508="", $M508=""),"",ROUND(($I508*Lists!$AN$2)+($J508*Lists!$AN$3)+($K508*Lists!$AN$4)+($L508*Lists!$AN$5)+($M508*Lists!$AN$6),2))</f>
        <v/>
      </c>
      <c r="O508" s="64" t="str">
        <f>IF($A508="","",IFERROR(VLOOKUP($A508,'Risk Register'!$B$2:$I$1000,8,FALSE()),""))</f>
        <v/>
      </c>
      <c r="P508" s="66"/>
      <c r="Q508" s="66"/>
      <c r="R508" s="66"/>
      <c r="S508" s="66"/>
      <c r="T508" s="64" t="str">
        <f>IF(OR($B508="", $P508="", $Q508="", $R508="", $S508=""),"",ROUND(($P508*Lists!$AN$7)+($Q508*Lists!$AN$8)+($R508*Lists!$AN$9)+($S508*Lists!$AN$10),2))</f>
        <v/>
      </c>
      <c r="U508" s="66"/>
      <c r="V508" s="66"/>
      <c r="W508" s="66"/>
      <c r="X508" s="66"/>
      <c r="Y508" s="66"/>
      <c r="Z508" s="64" t="str">
        <f>IF(OR($B508="", $U508="", $V508="", $W508="", $X508="", $Y508=""),"",ROUND(($U508*Lists!$AN$11)+($V508*Lists!$AN$12)+($W508*Lists!$AN$13)+($X508*Lists!$AN$14)+($Y508*Lists!$AN$15),2))</f>
        <v/>
      </c>
      <c r="AA508" s="64" t="str">
        <f>IF(OR($B508="", $N508="", $O508="", $T508="", $Z508=""),"",ROUND(($N508*Lists!$AN$16)-($O508*Lists!$AN$17)-($T508*Lists!$AN$18)+($Z508*Lists!$AN$19),2))</f>
        <v/>
      </c>
      <c r="AB508" s="63" t="str">
        <f t="shared" si="29"/>
        <v/>
      </c>
      <c r="AC508" s="63" t="str">
        <f t="shared" si="30"/>
        <v/>
      </c>
      <c r="AD508" s="63" t="str">
        <f>IF($A508="","",IFERROR(IF(VLOOKUP($A508,'Risk Register'!$B$2:$H$1000,4,FALSE())&gt;=4,"Yes",""),""))</f>
        <v/>
      </c>
      <c r="AE508" s="63" t="str">
        <f t="shared" si="31"/>
        <v/>
      </c>
      <c r="AF508" s="62"/>
      <c r="AG508" s="62"/>
      <c r="AH508" s="62"/>
      <c r="AI508" s="62"/>
      <c r="AJ508" s="62"/>
      <c r="AK508" s="62"/>
      <c r="AL508" s="62"/>
      <c r="AM508" s="62"/>
      <c r="AN508" s="62"/>
      <c r="AO508" s="62"/>
      <c r="AP508" s="62"/>
      <c r="AQ508" s="80"/>
    </row>
    <row r="509" spans="1:43" ht="15.75" customHeight="1" x14ac:dyDescent="0.2">
      <c r="A509" s="63" t="str">
        <f t="shared" si="28"/>
        <v/>
      </c>
      <c r="B509" s="62"/>
      <c r="C509" s="62"/>
      <c r="D509" s="62"/>
      <c r="E509" s="62"/>
      <c r="F509" s="62"/>
      <c r="G509" s="62"/>
      <c r="H509" s="62"/>
      <c r="I509" s="66"/>
      <c r="J509" s="66"/>
      <c r="K509" s="66"/>
      <c r="L509" s="66"/>
      <c r="M509" s="66"/>
      <c r="N509" s="64" t="str">
        <f>IF(OR($B509="", $I509="", $J509="", $K509="", $L509="", $M509=""),"",ROUND(($I509*Lists!$AN$2)+($J509*Lists!$AN$3)+($K509*Lists!$AN$4)+($L509*Lists!$AN$5)+($M509*Lists!$AN$6),2))</f>
        <v/>
      </c>
      <c r="O509" s="64" t="str">
        <f>IF($A509="","",IFERROR(VLOOKUP($A509,'Risk Register'!$B$2:$I$1000,8,FALSE()),""))</f>
        <v/>
      </c>
      <c r="P509" s="66"/>
      <c r="Q509" s="66"/>
      <c r="R509" s="66"/>
      <c r="S509" s="66"/>
      <c r="T509" s="64" t="str">
        <f>IF(OR($B509="", $P509="", $Q509="", $R509="", $S509=""),"",ROUND(($P509*Lists!$AN$7)+($Q509*Lists!$AN$8)+($R509*Lists!$AN$9)+($S509*Lists!$AN$10),2))</f>
        <v/>
      </c>
      <c r="U509" s="66"/>
      <c r="V509" s="66"/>
      <c r="W509" s="66"/>
      <c r="X509" s="66"/>
      <c r="Y509" s="66"/>
      <c r="Z509" s="64" t="str">
        <f>IF(OR($B509="", $U509="", $V509="", $W509="", $X509="", $Y509=""),"",ROUND(($U509*Lists!$AN$11)+($V509*Lists!$AN$12)+($W509*Lists!$AN$13)+($X509*Lists!$AN$14)+($Y509*Lists!$AN$15),2))</f>
        <v/>
      </c>
      <c r="AA509" s="64" t="str">
        <f>IF(OR($B509="", $N509="", $O509="", $T509="", $Z509=""),"",ROUND(($N509*Lists!$AN$16)-($O509*Lists!$AN$17)-($T509*Lists!$AN$18)+($Z509*Lists!$AN$19),2))</f>
        <v/>
      </c>
      <c r="AB509" s="63" t="str">
        <f t="shared" si="29"/>
        <v/>
      </c>
      <c r="AC509" s="63" t="str">
        <f t="shared" si="30"/>
        <v/>
      </c>
      <c r="AD509" s="63" t="str">
        <f>IF($A509="","",IFERROR(IF(VLOOKUP($A509,'Risk Register'!$B$2:$H$1000,4,FALSE())&gt;=4,"Yes",""),""))</f>
        <v/>
      </c>
      <c r="AE509" s="63" t="str">
        <f t="shared" si="31"/>
        <v/>
      </c>
      <c r="AF509" s="62"/>
      <c r="AG509" s="62"/>
      <c r="AH509" s="62"/>
      <c r="AI509" s="62"/>
      <c r="AJ509" s="62"/>
      <c r="AK509" s="62"/>
      <c r="AL509" s="62"/>
      <c r="AM509" s="62"/>
      <c r="AN509" s="62"/>
      <c r="AO509" s="62"/>
      <c r="AP509" s="62"/>
      <c r="AQ509" s="80"/>
    </row>
    <row r="510" spans="1:43" ht="15.75" customHeight="1" x14ac:dyDescent="0.2">
      <c r="A510" s="63" t="str">
        <f t="shared" si="28"/>
        <v/>
      </c>
      <c r="B510" s="62"/>
      <c r="C510" s="62"/>
      <c r="D510" s="62"/>
      <c r="E510" s="62"/>
      <c r="F510" s="62"/>
      <c r="G510" s="62"/>
      <c r="H510" s="62"/>
      <c r="I510" s="66"/>
      <c r="J510" s="66"/>
      <c r="K510" s="66"/>
      <c r="L510" s="66"/>
      <c r="M510" s="66"/>
      <c r="N510" s="64" t="str">
        <f>IF(OR($B510="", $I510="", $J510="", $K510="", $L510="", $M510=""),"",ROUND(($I510*Lists!$AN$2)+($J510*Lists!$AN$3)+($K510*Lists!$AN$4)+($L510*Lists!$AN$5)+($M510*Lists!$AN$6),2))</f>
        <v/>
      </c>
      <c r="O510" s="64" t="str">
        <f>IF($A510="","",IFERROR(VLOOKUP($A510,'Risk Register'!$B$2:$I$1000,8,FALSE()),""))</f>
        <v/>
      </c>
      <c r="P510" s="66"/>
      <c r="Q510" s="66"/>
      <c r="R510" s="66"/>
      <c r="S510" s="66"/>
      <c r="T510" s="64" t="str">
        <f>IF(OR($B510="", $P510="", $Q510="", $R510="", $S510=""),"",ROUND(($P510*Lists!$AN$7)+($Q510*Lists!$AN$8)+($R510*Lists!$AN$9)+($S510*Lists!$AN$10),2))</f>
        <v/>
      </c>
      <c r="U510" s="66"/>
      <c r="V510" s="66"/>
      <c r="W510" s="66"/>
      <c r="X510" s="66"/>
      <c r="Y510" s="66"/>
      <c r="Z510" s="64" t="str">
        <f>IF(OR($B510="", $U510="", $V510="", $W510="", $X510="", $Y510=""),"",ROUND(($U510*Lists!$AN$11)+($V510*Lists!$AN$12)+($W510*Lists!$AN$13)+($X510*Lists!$AN$14)+($Y510*Lists!$AN$15),2))</f>
        <v/>
      </c>
      <c r="AA510" s="64" t="str">
        <f>IF(OR($B510="", $N510="", $O510="", $T510="", $Z510=""),"",ROUND(($N510*Lists!$AN$16)-($O510*Lists!$AN$17)-($T510*Lists!$AN$18)+($Z510*Lists!$AN$19),2))</f>
        <v/>
      </c>
      <c r="AB510" s="63" t="str">
        <f t="shared" si="29"/>
        <v/>
      </c>
      <c r="AC510" s="63" t="str">
        <f t="shared" si="30"/>
        <v/>
      </c>
      <c r="AD510" s="63" t="str">
        <f>IF($A510="","",IFERROR(IF(VLOOKUP($A510,'Risk Register'!$B$2:$H$1000,4,FALSE())&gt;=4,"Yes",""),""))</f>
        <v/>
      </c>
      <c r="AE510" s="63" t="str">
        <f t="shared" si="31"/>
        <v/>
      </c>
      <c r="AF510" s="62"/>
      <c r="AG510" s="62"/>
      <c r="AH510" s="62"/>
      <c r="AI510" s="62"/>
      <c r="AJ510" s="62"/>
      <c r="AK510" s="62"/>
      <c r="AL510" s="62"/>
      <c r="AM510" s="62"/>
      <c r="AN510" s="62"/>
      <c r="AO510" s="62"/>
      <c r="AP510" s="62"/>
      <c r="AQ510" s="80"/>
    </row>
    <row r="511" spans="1:43" ht="15.75" customHeight="1" x14ac:dyDescent="0.2">
      <c r="A511" s="63" t="str">
        <f t="shared" si="28"/>
        <v/>
      </c>
      <c r="B511" s="62"/>
      <c r="C511" s="62"/>
      <c r="D511" s="62"/>
      <c r="E511" s="62"/>
      <c r="F511" s="62"/>
      <c r="G511" s="62"/>
      <c r="H511" s="62"/>
      <c r="I511" s="66"/>
      <c r="J511" s="66"/>
      <c r="K511" s="66"/>
      <c r="L511" s="66"/>
      <c r="M511" s="66"/>
      <c r="N511" s="64" t="str">
        <f>IF(OR($B511="", $I511="", $J511="", $K511="", $L511="", $M511=""),"",ROUND(($I511*Lists!$AN$2)+($J511*Lists!$AN$3)+($K511*Lists!$AN$4)+($L511*Lists!$AN$5)+($M511*Lists!$AN$6),2))</f>
        <v/>
      </c>
      <c r="O511" s="64" t="str">
        <f>IF($A511="","",IFERROR(VLOOKUP($A511,'Risk Register'!$B$2:$I$1000,8,FALSE()),""))</f>
        <v/>
      </c>
      <c r="P511" s="66"/>
      <c r="Q511" s="66"/>
      <c r="R511" s="66"/>
      <c r="S511" s="66"/>
      <c r="T511" s="64" t="str">
        <f>IF(OR($B511="", $P511="", $Q511="", $R511="", $S511=""),"",ROUND(($P511*Lists!$AN$7)+($Q511*Lists!$AN$8)+($R511*Lists!$AN$9)+($S511*Lists!$AN$10),2))</f>
        <v/>
      </c>
      <c r="U511" s="66"/>
      <c r="V511" s="66"/>
      <c r="W511" s="66"/>
      <c r="X511" s="66"/>
      <c r="Y511" s="66"/>
      <c r="Z511" s="64" t="str">
        <f>IF(OR($B511="", $U511="", $V511="", $W511="", $X511="", $Y511=""),"",ROUND(($U511*Lists!$AN$11)+($V511*Lists!$AN$12)+($W511*Lists!$AN$13)+($X511*Lists!$AN$14)+($Y511*Lists!$AN$15),2))</f>
        <v/>
      </c>
      <c r="AA511" s="64" t="str">
        <f>IF(OR($B511="", $N511="", $O511="", $T511="", $Z511=""),"",ROUND(($N511*Lists!$AN$16)-($O511*Lists!$AN$17)-($T511*Lists!$AN$18)+($Z511*Lists!$AN$19),2))</f>
        <v/>
      </c>
      <c r="AB511" s="63" t="str">
        <f t="shared" si="29"/>
        <v/>
      </c>
      <c r="AC511" s="63" t="str">
        <f t="shared" si="30"/>
        <v/>
      </c>
      <c r="AD511" s="63" t="str">
        <f>IF($A511="","",IFERROR(IF(VLOOKUP($A511,'Risk Register'!$B$2:$H$1000,4,FALSE())&gt;=4,"Yes",""),""))</f>
        <v/>
      </c>
      <c r="AE511" s="63" t="str">
        <f t="shared" si="31"/>
        <v/>
      </c>
      <c r="AF511" s="62"/>
      <c r="AG511" s="62"/>
      <c r="AH511" s="62"/>
      <c r="AI511" s="62"/>
      <c r="AJ511" s="62"/>
      <c r="AK511" s="62"/>
      <c r="AL511" s="62"/>
      <c r="AM511" s="62"/>
      <c r="AN511" s="62"/>
      <c r="AO511" s="62"/>
      <c r="AP511" s="62"/>
      <c r="AQ511" s="80"/>
    </row>
    <row r="512" spans="1:43" ht="15.75" customHeight="1" x14ac:dyDescent="0.2">
      <c r="A512" s="63" t="str">
        <f t="shared" si="28"/>
        <v/>
      </c>
      <c r="B512" s="62"/>
      <c r="C512" s="62"/>
      <c r="D512" s="62"/>
      <c r="E512" s="62"/>
      <c r="F512" s="62"/>
      <c r="G512" s="62"/>
      <c r="H512" s="62"/>
      <c r="I512" s="66"/>
      <c r="J512" s="66"/>
      <c r="K512" s="66"/>
      <c r="L512" s="66"/>
      <c r="M512" s="66"/>
      <c r="N512" s="64" t="str">
        <f>IF(OR($B512="", $I512="", $J512="", $K512="", $L512="", $M512=""),"",ROUND(($I512*Lists!$AN$2)+($J512*Lists!$AN$3)+($K512*Lists!$AN$4)+($L512*Lists!$AN$5)+($M512*Lists!$AN$6),2))</f>
        <v/>
      </c>
      <c r="O512" s="64" t="str">
        <f>IF($A512="","",IFERROR(VLOOKUP($A512,'Risk Register'!$B$2:$I$1000,8,FALSE()),""))</f>
        <v/>
      </c>
      <c r="P512" s="66"/>
      <c r="Q512" s="66"/>
      <c r="R512" s="66"/>
      <c r="S512" s="66"/>
      <c r="T512" s="64" t="str">
        <f>IF(OR($B512="", $P512="", $Q512="", $R512="", $S512=""),"",ROUND(($P512*Lists!$AN$7)+($Q512*Lists!$AN$8)+($R512*Lists!$AN$9)+($S512*Lists!$AN$10),2))</f>
        <v/>
      </c>
      <c r="U512" s="66"/>
      <c r="V512" s="66"/>
      <c r="W512" s="66"/>
      <c r="X512" s="66"/>
      <c r="Y512" s="66"/>
      <c r="Z512" s="64" t="str">
        <f>IF(OR($B512="", $U512="", $V512="", $W512="", $X512="", $Y512=""),"",ROUND(($U512*Lists!$AN$11)+($V512*Lists!$AN$12)+($W512*Lists!$AN$13)+($X512*Lists!$AN$14)+($Y512*Lists!$AN$15),2))</f>
        <v/>
      </c>
      <c r="AA512" s="64" t="str">
        <f>IF(OR($B512="", $N512="", $O512="", $T512="", $Z512=""),"",ROUND(($N512*Lists!$AN$16)-($O512*Lists!$AN$17)-($T512*Lists!$AN$18)+($Z512*Lists!$AN$19),2))</f>
        <v/>
      </c>
      <c r="AB512" s="63" t="str">
        <f t="shared" si="29"/>
        <v/>
      </c>
      <c r="AC512" s="63" t="str">
        <f t="shared" si="30"/>
        <v/>
      </c>
      <c r="AD512" s="63" t="str">
        <f>IF($A512="","",IFERROR(IF(VLOOKUP($A512,'Risk Register'!$B$2:$H$1000,4,FALSE())&gt;=4,"Yes",""),""))</f>
        <v/>
      </c>
      <c r="AE512" s="63" t="str">
        <f t="shared" si="31"/>
        <v/>
      </c>
      <c r="AF512" s="62"/>
      <c r="AG512" s="62"/>
      <c r="AH512" s="62"/>
      <c r="AI512" s="62"/>
      <c r="AJ512" s="62"/>
      <c r="AK512" s="62"/>
      <c r="AL512" s="62"/>
      <c r="AM512" s="62"/>
      <c r="AN512" s="62"/>
      <c r="AO512" s="62"/>
      <c r="AP512" s="62"/>
      <c r="AQ512" s="80"/>
    </row>
    <row r="513" spans="1:43" ht="15.75" customHeight="1" x14ac:dyDescent="0.2">
      <c r="A513" s="63" t="str">
        <f t="shared" si="28"/>
        <v/>
      </c>
      <c r="B513" s="62"/>
      <c r="C513" s="62"/>
      <c r="D513" s="62"/>
      <c r="E513" s="62"/>
      <c r="F513" s="62"/>
      <c r="G513" s="62"/>
      <c r="H513" s="62"/>
      <c r="I513" s="66"/>
      <c r="J513" s="66"/>
      <c r="K513" s="66"/>
      <c r="L513" s="66"/>
      <c r="M513" s="66"/>
      <c r="N513" s="64" t="str">
        <f>IF(OR($B513="", $I513="", $J513="", $K513="", $L513="", $M513=""),"",ROUND(($I513*Lists!$AN$2)+($J513*Lists!$AN$3)+($K513*Lists!$AN$4)+($L513*Lists!$AN$5)+($M513*Lists!$AN$6),2))</f>
        <v/>
      </c>
      <c r="O513" s="64" t="str">
        <f>IF($A513="","",IFERROR(VLOOKUP($A513,'Risk Register'!$B$2:$I$1000,8,FALSE()),""))</f>
        <v/>
      </c>
      <c r="P513" s="66"/>
      <c r="Q513" s="66"/>
      <c r="R513" s="66"/>
      <c r="S513" s="66"/>
      <c r="T513" s="64" t="str">
        <f>IF(OR($B513="", $P513="", $Q513="", $R513="", $S513=""),"",ROUND(($P513*Lists!$AN$7)+($Q513*Lists!$AN$8)+($R513*Lists!$AN$9)+($S513*Lists!$AN$10),2))</f>
        <v/>
      </c>
      <c r="U513" s="66"/>
      <c r="V513" s="66"/>
      <c r="W513" s="66"/>
      <c r="X513" s="66"/>
      <c r="Y513" s="66"/>
      <c r="Z513" s="64" t="str">
        <f>IF(OR($B513="", $U513="", $V513="", $W513="", $X513="", $Y513=""),"",ROUND(($U513*Lists!$AN$11)+($V513*Lists!$AN$12)+($W513*Lists!$AN$13)+($X513*Lists!$AN$14)+($Y513*Lists!$AN$15),2))</f>
        <v/>
      </c>
      <c r="AA513" s="64" t="str">
        <f>IF(OR($B513="", $N513="", $O513="", $T513="", $Z513=""),"",ROUND(($N513*Lists!$AN$16)-($O513*Lists!$AN$17)-($T513*Lists!$AN$18)+($Z513*Lists!$AN$19),2))</f>
        <v/>
      </c>
      <c r="AB513" s="63" t="str">
        <f t="shared" si="29"/>
        <v/>
      </c>
      <c r="AC513" s="63" t="str">
        <f t="shared" si="30"/>
        <v/>
      </c>
      <c r="AD513" s="63" t="str">
        <f>IF($A513="","",IFERROR(IF(VLOOKUP($A513,'Risk Register'!$B$2:$H$1000,4,FALSE())&gt;=4,"Yes",""),""))</f>
        <v/>
      </c>
      <c r="AE513" s="63" t="str">
        <f t="shared" si="31"/>
        <v/>
      </c>
      <c r="AF513" s="62"/>
      <c r="AG513" s="62"/>
      <c r="AH513" s="62"/>
      <c r="AI513" s="62"/>
      <c r="AJ513" s="62"/>
      <c r="AK513" s="62"/>
      <c r="AL513" s="62"/>
      <c r="AM513" s="62"/>
      <c r="AN513" s="62"/>
      <c r="AO513" s="62"/>
      <c r="AP513" s="62"/>
      <c r="AQ513" s="80"/>
    </row>
    <row r="514" spans="1:43" ht="15.75" customHeight="1" x14ac:dyDescent="0.2">
      <c r="A514" s="63" t="str">
        <f t="shared" si="28"/>
        <v/>
      </c>
      <c r="B514" s="62"/>
      <c r="C514" s="62"/>
      <c r="D514" s="62"/>
      <c r="E514" s="62"/>
      <c r="F514" s="62"/>
      <c r="G514" s="62"/>
      <c r="H514" s="62"/>
      <c r="I514" s="66"/>
      <c r="J514" s="66"/>
      <c r="K514" s="66"/>
      <c r="L514" s="66"/>
      <c r="M514" s="66"/>
      <c r="N514" s="64" t="str">
        <f>IF(OR($B514="", $I514="", $J514="", $K514="", $L514="", $M514=""),"",ROUND(($I514*Lists!$AN$2)+($J514*Lists!$AN$3)+($K514*Lists!$AN$4)+($L514*Lists!$AN$5)+($M514*Lists!$AN$6),2))</f>
        <v/>
      </c>
      <c r="O514" s="64" t="str">
        <f>IF($A514="","",IFERROR(VLOOKUP($A514,'Risk Register'!$B$2:$I$1000,8,FALSE()),""))</f>
        <v/>
      </c>
      <c r="P514" s="66"/>
      <c r="Q514" s="66"/>
      <c r="R514" s="66"/>
      <c r="S514" s="66"/>
      <c r="T514" s="64" t="str">
        <f>IF(OR($B514="", $P514="", $Q514="", $R514="", $S514=""),"",ROUND(($P514*Lists!$AN$7)+($Q514*Lists!$AN$8)+($R514*Lists!$AN$9)+($S514*Lists!$AN$10),2))</f>
        <v/>
      </c>
      <c r="U514" s="66"/>
      <c r="V514" s="66"/>
      <c r="W514" s="66"/>
      <c r="X514" s="66"/>
      <c r="Y514" s="66"/>
      <c r="Z514" s="64" t="str">
        <f>IF(OR($B514="", $U514="", $V514="", $W514="", $X514="", $Y514=""),"",ROUND(($U514*Lists!$AN$11)+($V514*Lists!$AN$12)+($W514*Lists!$AN$13)+($X514*Lists!$AN$14)+($Y514*Lists!$AN$15),2))</f>
        <v/>
      </c>
      <c r="AA514" s="64" t="str">
        <f>IF(OR($B514="", $N514="", $O514="", $T514="", $Z514=""),"",ROUND(($N514*Lists!$AN$16)-($O514*Lists!$AN$17)-($T514*Lists!$AN$18)+($Z514*Lists!$AN$19),2))</f>
        <v/>
      </c>
      <c r="AB514" s="63" t="str">
        <f t="shared" si="29"/>
        <v/>
      </c>
      <c r="AC514" s="63" t="str">
        <f t="shared" si="30"/>
        <v/>
      </c>
      <c r="AD514" s="63" t="str">
        <f>IF($A514="","",IFERROR(IF(VLOOKUP($A514,'Risk Register'!$B$2:$H$1000,4,FALSE())&gt;=4,"Yes",""),""))</f>
        <v/>
      </c>
      <c r="AE514" s="63" t="str">
        <f t="shared" si="31"/>
        <v/>
      </c>
      <c r="AF514" s="62"/>
      <c r="AG514" s="62"/>
      <c r="AH514" s="62"/>
      <c r="AI514" s="62"/>
      <c r="AJ514" s="62"/>
      <c r="AK514" s="62"/>
      <c r="AL514" s="62"/>
      <c r="AM514" s="62"/>
      <c r="AN514" s="62"/>
      <c r="AO514" s="62"/>
      <c r="AP514" s="62"/>
      <c r="AQ514" s="80"/>
    </row>
    <row r="515" spans="1:43" ht="15.75" customHeight="1" x14ac:dyDescent="0.2">
      <c r="A515" s="63" t="str">
        <f t="shared" si="28"/>
        <v/>
      </c>
      <c r="B515" s="62"/>
      <c r="C515" s="62"/>
      <c r="D515" s="62"/>
      <c r="E515" s="62"/>
      <c r="F515" s="62"/>
      <c r="G515" s="62"/>
      <c r="H515" s="62"/>
      <c r="I515" s="66"/>
      <c r="J515" s="66"/>
      <c r="K515" s="66"/>
      <c r="L515" s="66"/>
      <c r="M515" s="66"/>
      <c r="N515" s="64" t="str">
        <f>IF(OR($B515="", $I515="", $J515="", $K515="", $L515="", $M515=""),"",ROUND(($I515*Lists!$AN$2)+($J515*Lists!$AN$3)+($K515*Lists!$AN$4)+($L515*Lists!$AN$5)+($M515*Lists!$AN$6),2))</f>
        <v/>
      </c>
      <c r="O515" s="64" t="str">
        <f>IF($A515="","",IFERROR(VLOOKUP($A515,'Risk Register'!$B$2:$I$1000,8,FALSE()),""))</f>
        <v/>
      </c>
      <c r="P515" s="66"/>
      <c r="Q515" s="66"/>
      <c r="R515" s="66"/>
      <c r="S515" s="66"/>
      <c r="T515" s="64" t="str">
        <f>IF(OR($B515="", $P515="", $Q515="", $R515="", $S515=""),"",ROUND(($P515*Lists!$AN$7)+($Q515*Lists!$AN$8)+($R515*Lists!$AN$9)+($S515*Lists!$AN$10),2))</f>
        <v/>
      </c>
      <c r="U515" s="66"/>
      <c r="V515" s="66"/>
      <c r="W515" s="66"/>
      <c r="X515" s="66"/>
      <c r="Y515" s="66"/>
      <c r="Z515" s="64" t="str">
        <f>IF(OR($B515="", $U515="", $V515="", $W515="", $X515="", $Y515=""),"",ROUND(($U515*Lists!$AN$11)+($V515*Lists!$AN$12)+($W515*Lists!$AN$13)+($X515*Lists!$AN$14)+($Y515*Lists!$AN$15),2))</f>
        <v/>
      </c>
      <c r="AA515" s="64" t="str">
        <f>IF(OR($B515="", $N515="", $O515="", $T515="", $Z515=""),"",ROUND(($N515*Lists!$AN$16)-($O515*Lists!$AN$17)-($T515*Lists!$AN$18)+($Z515*Lists!$AN$19),2))</f>
        <v/>
      </c>
      <c r="AB515" s="63" t="str">
        <f t="shared" si="29"/>
        <v/>
      </c>
      <c r="AC515" s="63" t="str">
        <f t="shared" si="30"/>
        <v/>
      </c>
      <c r="AD515" s="63" t="str">
        <f>IF($A515="","",IFERROR(IF(VLOOKUP($A515,'Risk Register'!$B$2:$H$1000,4,FALSE())&gt;=4,"Yes",""),""))</f>
        <v/>
      </c>
      <c r="AE515" s="63" t="str">
        <f t="shared" si="31"/>
        <v/>
      </c>
      <c r="AF515" s="62"/>
      <c r="AG515" s="62"/>
      <c r="AH515" s="62"/>
      <c r="AI515" s="62"/>
      <c r="AJ515" s="62"/>
      <c r="AK515" s="62"/>
      <c r="AL515" s="62"/>
      <c r="AM515" s="62"/>
      <c r="AN515" s="62"/>
      <c r="AO515" s="62"/>
      <c r="AP515" s="62"/>
      <c r="AQ515" s="80"/>
    </row>
    <row r="516" spans="1:43" ht="15.75" customHeight="1" x14ac:dyDescent="0.2">
      <c r="A516" s="63" t="str">
        <f t="shared" si="28"/>
        <v/>
      </c>
      <c r="B516" s="62"/>
      <c r="C516" s="62"/>
      <c r="D516" s="62"/>
      <c r="E516" s="62"/>
      <c r="F516" s="62"/>
      <c r="G516" s="62"/>
      <c r="H516" s="62"/>
      <c r="I516" s="66"/>
      <c r="J516" s="66"/>
      <c r="K516" s="66"/>
      <c r="L516" s="66"/>
      <c r="M516" s="66"/>
      <c r="N516" s="64" t="str">
        <f>IF(OR($B516="", $I516="", $J516="", $K516="", $L516="", $M516=""),"",ROUND(($I516*Lists!$AN$2)+($J516*Lists!$AN$3)+($K516*Lists!$AN$4)+($L516*Lists!$AN$5)+($M516*Lists!$AN$6),2))</f>
        <v/>
      </c>
      <c r="O516" s="64" t="str">
        <f>IF($A516="","",IFERROR(VLOOKUP($A516,'Risk Register'!$B$2:$I$1000,8,FALSE()),""))</f>
        <v/>
      </c>
      <c r="P516" s="66"/>
      <c r="Q516" s="66"/>
      <c r="R516" s="66"/>
      <c r="S516" s="66"/>
      <c r="T516" s="64" t="str">
        <f>IF(OR($B516="", $P516="", $Q516="", $R516="", $S516=""),"",ROUND(($P516*Lists!$AN$7)+($Q516*Lists!$AN$8)+($R516*Lists!$AN$9)+($S516*Lists!$AN$10),2))</f>
        <v/>
      </c>
      <c r="U516" s="66"/>
      <c r="V516" s="66"/>
      <c r="W516" s="66"/>
      <c r="X516" s="66"/>
      <c r="Y516" s="66"/>
      <c r="Z516" s="64" t="str">
        <f>IF(OR($B516="", $U516="", $V516="", $W516="", $X516="", $Y516=""),"",ROUND(($U516*Lists!$AN$11)+($V516*Lists!$AN$12)+($W516*Lists!$AN$13)+($X516*Lists!$AN$14)+($Y516*Lists!$AN$15),2))</f>
        <v/>
      </c>
      <c r="AA516" s="64" t="str">
        <f>IF(OR($B516="", $N516="", $O516="", $T516="", $Z516=""),"",ROUND(($N516*Lists!$AN$16)-($O516*Lists!$AN$17)-($T516*Lists!$AN$18)+($Z516*Lists!$AN$19),2))</f>
        <v/>
      </c>
      <c r="AB516" s="63" t="str">
        <f t="shared" si="29"/>
        <v/>
      </c>
      <c r="AC516" s="63" t="str">
        <f t="shared" si="30"/>
        <v/>
      </c>
      <c r="AD516" s="63" t="str">
        <f>IF($A516="","",IFERROR(IF(VLOOKUP($A516,'Risk Register'!$B$2:$H$1000,4,FALSE())&gt;=4,"Yes",""),""))</f>
        <v/>
      </c>
      <c r="AE516" s="63" t="str">
        <f t="shared" si="31"/>
        <v/>
      </c>
      <c r="AF516" s="62"/>
      <c r="AG516" s="62"/>
      <c r="AH516" s="62"/>
      <c r="AI516" s="62"/>
      <c r="AJ516" s="62"/>
      <c r="AK516" s="62"/>
      <c r="AL516" s="62"/>
      <c r="AM516" s="62"/>
      <c r="AN516" s="62"/>
      <c r="AO516" s="62"/>
      <c r="AP516" s="62"/>
      <c r="AQ516" s="80"/>
    </row>
    <row r="517" spans="1:43" ht="15.75" customHeight="1" x14ac:dyDescent="0.2">
      <c r="A517" s="63" t="str">
        <f t="shared" si="28"/>
        <v/>
      </c>
      <c r="B517" s="62"/>
      <c r="C517" s="62"/>
      <c r="D517" s="62"/>
      <c r="E517" s="62"/>
      <c r="F517" s="62"/>
      <c r="G517" s="62"/>
      <c r="H517" s="62"/>
      <c r="I517" s="66"/>
      <c r="J517" s="66"/>
      <c r="K517" s="66"/>
      <c r="L517" s="66"/>
      <c r="M517" s="66"/>
      <c r="N517" s="64" t="str">
        <f>IF(OR($B517="", $I517="", $J517="", $K517="", $L517="", $M517=""),"",ROUND(($I517*Lists!$AN$2)+($J517*Lists!$AN$3)+($K517*Lists!$AN$4)+($L517*Lists!$AN$5)+($M517*Lists!$AN$6),2))</f>
        <v/>
      </c>
      <c r="O517" s="64" t="str">
        <f>IF($A517="","",IFERROR(VLOOKUP($A517,'Risk Register'!$B$2:$I$1000,8,FALSE()),""))</f>
        <v/>
      </c>
      <c r="P517" s="66"/>
      <c r="Q517" s="66"/>
      <c r="R517" s="66"/>
      <c r="S517" s="66"/>
      <c r="T517" s="64" t="str">
        <f>IF(OR($B517="", $P517="", $Q517="", $R517="", $S517=""),"",ROUND(($P517*Lists!$AN$7)+($Q517*Lists!$AN$8)+($R517*Lists!$AN$9)+($S517*Lists!$AN$10),2))</f>
        <v/>
      </c>
      <c r="U517" s="66"/>
      <c r="V517" s="66"/>
      <c r="W517" s="66"/>
      <c r="X517" s="66"/>
      <c r="Y517" s="66"/>
      <c r="Z517" s="64" t="str">
        <f>IF(OR($B517="", $U517="", $V517="", $W517="", $X517="", $Y517=""),"",ROUND(($U517*Lists!$AN$11)+($V517*Lists!$AN$12)+($W517*Lists!$AN$13)+($X517*Lists!$AN$14)+($Y517*Lists!$AN$15),2))</f>
        <v/>
      </c>
      <c r="AA517" s="64" t="str">
        <f>IF(OR($B517="", $N517="", $O517="", $T517="", $Z517=""),"",ROUND(($N517*Lists!$AN$16)-($O517*Lists!$AN$17)-($T517*Lists!$AN$18)+($Z517*Lists!$AN$19),2))</f>
        <v/>
      </c>
      <c r="AB517" s="63" t="str">
        <f t="shared" si="29"/>
        <v/>
      </c>
      <c r="AC517" s="63" t="str">
        <f t="shared" si="30"/>
        <v/>
      </c>
      <c r="AD517" s="63" t="str">
        <f>IF($A517="","",IFERROR(IF(VLOOKUP($A517,'Risk Register'!$B$2:$H$1000,4,FALSE())&gt;=4,"Yes",""),""))</f>
        <v/>
      </c>
      <c r="AE517" s="63" t="str">
        <f t="shared" si="31"/>
        <v/>
      </c>
      <c r="AF517" s="62"/>
      <c r="AG517" s="62"/>
      <c r="AH517" s="62"/>
      <c r="AI517" s="62"/>
      <c r="AJ517" s="62"/>
      <c r="AK517" s="62"/>
      <c r="AL517" s="62"/>
      <c r="AM517" s="62"/>
      <c r="AN517" s="62"/>
      <c r="AO517" s="62"/>
      <c r="AP517" s="62"/>
      <c r="AQ517" s="80"/>
    </row>
    <row r="518" spans="1:43" ht="15.75" customHeight="1" x14ac:dyDescent="0.2">
      <c r="A518" s="63" t="str">
        <f t="shared" si="28"/>
        <v/>
      </c>
      <c r="B518" s="62"/>
      <c r="C518" s="62"/>
      <c r="D518" s="62"/>
      <c r="E518" s="62"/>
      <c r="F518" s="62"/>
      <c r="G518" s="62"/>
      <c r="H518" s="62"/>
      <c r="I518" s="66"/>
      <c r="J518" s="66"/>
      <c r="K518" s="66"/>
      <c r="L518" s="66"/>
      <c r="M518" s="66"/>
      <c r="N518" s="64" t="str">
        <f>IF(OR($B518="", $I518="", $J518="", $K518="", $L518="", $M518=""),"",ROUND(($I518*Lists!$AN$2)+($J518*Lists!$AN$3)+($K518*Lists!$AN$4)+($L518*Lists!$AN$5)+($M518*Lists!$AN$6),2))</f>
        <v/>
      </c>
      <c r="O518" s="64" t="str">
        <f>IF($A518="","",IFERROR(VLOOKUP($A518,'Risk Register'!$B$2:$I$1000,8,FALSE()),""))</f>
        <v/>
      </c>
      <c r="P518" s="66"/>
      <c r="Q518" s="66"/>
      <c r="R518" s="66"/>
      <c r="S518" s="66"/>
      <c r="T518" s="64" t="str">
        <f>IF(OR($B518="", $P518="", $Q518="", $R518="", $S518=""),"",ROUND(($P518*Lists!$AN$7)+($Q518*Lists!$AN$8)+($R518*Lists!$AN$9)+($S518*Lists!$AN$10),2))</f>
        <v/>
      </c>
      <c r="U518" s="66"/>
      <c r="V518" s="66"/>
      <c r="W518" s="66"/>
      <c r="X518" s="66"/>
      <c r="Y518" s="66"/>
      <c r="Z518" s="64" t="str">
        <f>IF(OR($B518="", $U518="", $V518="", $W518="", $X518="", $Y518=""),"",ROUND(($U518*Lists!$AN$11)+($V518*Lists!$AN$12)+($W518*Lists!$AN$13)+($X518*Lists!$AN$14)+($Y518*Lists!$AN$15),2))</f>
        <v/>
      </c>
      <c r="AA518" s="64" t="str">
        <f>IF(OR($B518="", $N518="", $O518="", $T518="", $Z518=""),"",ROUND(($N518*Lists!$AN$16)-($O518*Lists!$AN$17)-($T518*Lists!$AN$18)+($Z518*Lists!$AN$19),2))</f>
        <v/>
      </c>
      <c r="AB518" s="63" t="str">
        <f t="shared" si="29"/>
        <v/>
      </c>
      <c r="AC518" s="63" t="str">
        <f t="shared" si="30"/>
        <v/>
      </c>
      <c r="AD518" s="63" t="str">
        <f>IF($A518="","",IFERROR(IF(VLOOKUP($A518,'Risk Register'!$B$2:$H$1000,4,FALSE())&gt;=4,"Yes",""),""))</f>
        <v/>
      </c>
      <c r="AE518" s="63" t="str">
        <f t="shared" si="31"/>
        <v/>
      </c>
      <c r="AF518" s="62"/>
      <c r="AG518" s="62"/>
      <c r="AH518" s="62"/>
      <c r="AI518" s="62"/>
      <c r="AJ518" s="62"/>
      <c r="AK518" s="62"/>
      <c r="AL518" s="62"/>
      <c r="AM518" s="62"/>
      <c r="AN518" s="62"/>
      <c r="AO518" s="62"/>
      <c r="AP518" s="62"/>
      <c r="AQ518" s="80"/>
    </row>
    <row r="519" spans="1:43" ht="15.75" customHeight="1" x14ac:dyDescent="0.2">
      <c r="A519" s="63" t="str">
        <f t="shared" si="28"/>
        <v/>
      </c>
      <c r="B519" s="62"/>
      <c r="C519" s="62"/>
      <c r="D519" s="62"/>
      <c r="E519" s="62"/>
      <c r="F519" s="62"/>
      <c r="G519" s="62"/>
      <c r="H519" s="62"/>
      <c r="I519" s="66"/>
      <c r="J519" s="66"/>
      <c r="K519" s="66"/>
      <c r="L519" s="66"/>
      <c r="M519" s="66"/>
      <c r="N519" s="64" t="str">
        <f>IF(OR($B519="", $I519="", $J519="", $K519="", $L519="", $M519=""),"",ROUND(($I519*Lists!$AN$2)+($J519*Lists!$AN$3)+($K519*Lists!$AN$4)+($L519*Lists!$AN$5)+($M519*Lists!$AN$6),2))</f>
        <v/>
      </c>
      <c r="O519" s="64" t="str">
        <f>IF($A519="","",IFERROR(VLOOKUP($A519,'Risk Register'!$B$2:$I$1000,8,FALSE()),""))</f>
        <v/>
      </c>
      <c r="P519" s="66"/>
      <c r="Q519" s="66"/>
      <c r="R519" s="66"/>
      <c r="S519" s="66"/>
      <c r="T519" s="64" t="str">
        <f>IF(OR($B519="", $P519="", $Q519="", $R519="", $S519=""),"",ROUND(($P519*Lists!$AN$7)+($Q519*Lists!$AN$8)+($R519*Lists!$AN$9)+($S519*Lists!$AN$10),2))</f>
        <v/>
      </c>
      <c r="U519" s="66"/>
      <c r="V519" s="66"/>
      <c r="W519" s="66"/>
      <c r="X519" s="66"/>
      <c r="Y519" s="66"/>
      <c r="Z519" s="64" t="str">
        <f>IF(OR($B519="", $U519="", $V519="", $W519="", $X519="", $Y519=""),"",ROUND(($U519*Lists!$AN$11)+($V519*Lists!$AN$12)+($W519*Lists!$AN$13)+($X519*Lists!$AN$14)+($Y519*Lists!$AN$15),2))</f>
        <v/>
      </c>
      <c r="AA519" s="64" t="str">
        <f>IF(OR($B519="", $N519="", $O519="", $T519="", $Z519=""),"",ROUND(($N519*Lists!$AN$16)-($O519*Lists!$AN$17)-($T519*Lists!$AN$18)+($Z519*Lists!$AN$19),2))</f>
        <v/>
      </c>
      <c r="AB519" s="63" t="str">
        <f t="shared" si="29"/>
        <v/>
      </c>
      <c r="AC519" s="63" t="str">
        <f t="shared" si="30"/>
        <v/>
      </c>
      <c r="AD519" s="63" t="str">
        <f>IF($A519="","",IFERROR(IF(VLOOKUP($A519,'Risk Register'!$B$2:$H$1000,4,FALSE())&gt;=4,"Yes",""),""))</f>
        <v/>
      </c>
      <c r="AE519" s="63" t="str">
        <f t="shared" si="31"/>
        <v/>
      </c>
      <c r="AF519" s="62"/>
      <c r="AG519" s="62"/>
      <c r="AH519" s="62"/>
      <c r="AI519" s="62"/>
      <c r="AJ519" s="62"/>
      <c r="AK519" s="62"/>
      <c r="AL519" s="62"/>
      <c r="AM519" s="62"/>
      <c r="AN519" s="62"/>
      <c r="AO519" s="62"/>
      <c r="AP519" s="62"/>
      <c r="AQ519" s="80"/>
    </row>
    <row r="520" spans="1:43" ht="15.75" customHeight="1" x14ac:dyDescent="0.2">
      <c r="A520" s="63" t="str">
        <f t="shared" si="28"/>
        <v/>
      </c>
      <c r="B520" s="62"/>
      <c r="C520" s="62"/>
      <c r="D520" s="62"/>
      <c r="E520" s="62"/>
      <c r="F520" s="62"/>
      <c r="G520" s="62"/>
      <c r="H520" s="62"/>
      <c r="I520" s="66"/>
      <c r="J520" s="66"/>
      <c r="K520" s="66"/>
      <c r="L520" s="66"/>
      <c r="M520" s="66"/>
      <c r="N520" s="64" t="str">
        <f>IF(OR($B520="", $I520="", $J520="", $K520="", $L520="", $M520=""),"",ROUND(($I520*Lists!$AN$2)+($J520*Lists!$AN$3)+($K520*Lists!$AN$4)+($L520*Lists!$AN$5)+($M520*Lists!$AN$6),2))</f>
        <v/>
      </c>
      <c r="O520" s="64" t="str">
        <f>IF($A520="","",IFERROR(VLOOKUP($A520,'Risk Register'!$B$2:$I$1000,8,FALSE()),""))</f>
        <v/>
      </c>
      <c r="P520" s="66"/>
      <c r="Q520" s="66"/>
      <c r="R520" s="66"/>
      <c r="S520" s="66"/>
      <c r="T520" s="64" t="str">
        <f>IF(OR($B520="", $P520="", $Q520="", $R520="", $S520=""),"",ROUND(($P520*Lists!$AN$7)+($Q520*Lists!$AN$8)+($R520*Lists!$AN$9)+($S520*Lists!$AN$10),2))</f>
        <v/>
      </c>
      <c r="U520" s="66"/>
      <c r="V520" s="66"/>
      <c r="W520" s="66"/>
      <c r="X520" s="66"/>
      <c r="Y520" s="66"/>
      <c r="Z520" s="64" t="str">
        <f>IF(OR($B520="", $U520="", $V520="", $W520="", $X520="", $Y520=""),"",ROUND(($U520*Lists!$AN$11)+($V520*Lists!$AN$12)+($W520*Lists!$AN$13)+($X520*Lists!$AN$14)+($Y520*Lists!$AN$15),2))</f>
        <v/>
      </c>
      <c r="AA520" s="64" t="str">
        <f>IF(OR($B520="", $N520="", $O520="", $T520="", $Z520=""),"",ROUND(($N520*Lists!$AN$16)-($O520*Lists!$AN$17)-($T520*Lists!$AN$18)+($Z520*Lists!$AN$19),2))</f>
        <v/>
      </c>
      <c r="AB520" s="63" t="str">
        <f t="shared" si="29"/>
        <v/>
      </c>
      <c r="AC520" s="63" t="str">
        <f t="shared" si="30"/>
        <v/>
      </c>
      <c r="AD520" s="63" t="str">
        <f>IF($A520="","",IFERROR(IF(VLOOKUP($A520,'Risk Register'!$B$2:$H$1000,4,FALSE())&gt;=4,"Yes",""),""))</f>
        <v/>
      </c>
      <c r="AE520" s="63" t="str">
        <f t="shared" si="31"/>
        <v/>
      </c>
      <c r="AF520" s="62"/>
      <c r="AG520" s="62"/>
      <c r="AH520" s="62"/>
      <c r="AI520" s="62"/>
      <c r="AJ520" s="62"/>
      <c r="AK520" s="62"/>
      <c r="AL520" s="62"/>
      <c r="AM520" s="62"/>
      <c r="AN520" s="62"/>
      <c r="AO520" s="62"/>
      <c r="AP520" s="62"/>
      <c r="AQ520" s="80"/>
    </row>
    <row r="521" spans="1:43" ht="15.75" customHeight="1" x14ac:dyDescent="0.2">
      <c r="A521" s="63" t="str">
        <f t="shared" si="28"/>
        <v/>
      </c>
      <c r="B521" s="62"/>
      <c r="C521" s="62"/>
      <c r="D521" s="62"/>
      <c r="E521" s="62"/>
      <c r="F521" s="62"/>
      <c r="G521" s="62"/>
      <c r="H521" s="62"/>
      <c r="I521" s="66"/>
      <c r="J521" s="66"/>
      <c r="K521" s="66"/>
      <c r="L521" s="66"/>
      <c r="M521" s="66"/>
      <c r="N521" s="64" t="str">
        <f>IF(OR($B521="", $I521="", $J521="", $K521="", $L521="", $M521=""),"",ROUND(($I521*Lists!$AN$2)+($J521*Lists!$AN$3)+($K521*Lists!$AN$4)+($L521*Lists!$AN$5)+($M521*Lists!$AN$6),2))</f>
        <v/>
      </c>
      <c r="O521" s="64" t="str">
        <f>IF($A521="","",IFERROR(VLOOKUP($A521,'Risk Register'!$B$2:$I$1000,8,FALSE()),""))</f>
        <v/>
      </c>
      <c r="P521" s="66"/>
      <c r="Q521" s="66"/>
      <c r="R521" s="66"/>
      <c r="S521" s="66"/>
      <c r="T521" s="64" t="str">
        <f>IF(OR($B521="", $P521="", $Q521="", $R521="", $S521=""),"",ROUND(($P521*Lists!$AN$7)+($Q521*Lists!$AN$8)+($R521*Lists!$AN$9)+($S521*Lists!$AN$10),2))</f>
        <v/>
      </c>
      <c r="U521" s="66"/>
      <c r="V521" s="66"/>
      <c r="W521" s="66"/>
      <c r="X521" s="66"/>
      <c r="Y521" s="66"/>
      <c r="Z521" s="64" t="str">
        <f>IF(OR($B521="", $U521="", $V521="", $W521="", $X521="", $Y521=""),"",ROUND(($U521*Lists!$AN$11)+($V521*Lists!$AN$12)+($W521*Lists!$AN$13)+($X521*Lists!$AN$14)+($Y521*Lists!$AN$15),2))</f>
        <v/>
      </c>
      <c r="AA521" s="64" t="str">
        <f>IF(OR($B521="", $N521="", $O521="", $T521="", $Z521=""),"",ROUND(($N521*Lists!$AN$16)-($O521*Lists!$AN$17)-($T521*Lists!$AN$18)+($Z521*Lists!$AN$19),2))</f>
        <v/>
      </c>
      <c r="AB521" s="63" t="str">
        <f t="shared" si="29"/>
        <v/>
      </c>
      <c r="AC521" s="63" t="str">
        <f t="shared" si="30"/>
        <v/>
      </c>
      <c r="AD521" s="63" t="str">
        <f>IF($A521="","",IFERROR(IF(VLOOKUP($A521,'Risk Register'!$B$2:$H$1000,4,FALSE())&gt;=4,"Yes",""),""))</f>
        <v/>
      </c>
      <c r="AE521" s="63" t="str">
        <f t="shared" si="31"/>
        <v/>
      </c>
      <c r="AF521" s="62"/>
      <c r="AG521" s="62"/>
      <c r="AH521" s="62"/>
      <c r="AI521" s="62"/>
      <c r="AJ521" s="62"/>
      <c r="AK521" s="62"/>
      <c r="AL521" s="62"/>
      <c r="AM521" s="62"/>
      <c r="AN521" s="62"/>
      <c r="AO521" s="62"/>
      <c r="AP521" s="62"/>
      <c r="AQ521" s="80"/>
    </row>
    <row r="522" spans="1:43" ht="15.75" customHeight="1" x14ac:dyDescent="0.2">
      <c r="A522" s="63" t="str">
        <f t="shared" si="28"/>
        <v/>
      </c>
      <c r="B522" s="62"/>
      <c r="C522" s="62"/>
      <c r="D522" s="62"/>
      <c r="E522" s="62"/>
      <c r="F522" s="62"/>
      <c r="G522" s="62"/>
      <c r="H522" s="62"/>
      <c r="I522" s="66"/>
      <c r="J522" s="66"/>
      <c r="K522" s="66"/>
      <c r="L522" s="66"/>
      <c r="M522" s="66"/>
      <c r="N522" s="64" t="str">
        <f>IF(OR($B522="", $I522="", $J522="", $K522="", $L522="", $M522=""),"",ROUND(($I522*Lists!$AN$2)+($J522*Lists!$AN$3)+($K522*Lists!$AN$4)+($L522*Lists!$AN$5)+($M522*Lists!$AN$6),2))</f>
        <v/>
      </c>
      <c r="O522" s="64" t="str">
        <f>IF($A522="","",IFERROR(VLOOKUP($A522,'Risk Register'!$B$2:$I$1000,8,FALSE()),""))</f>
        <v/>
      </c>
      <c r="P522" s="66"/>
      <c r="Q522" s="66"/>
      <c r="R522" s="66"/>
      <c r="S522" s="66"/>
      <c r="T522" s="64" t="str">
        <f>IF(OR($B522="", $P522="", $Q522="", $R522="", $S522=""),"",ROUND(($P522*Lists!$AN$7)+($Q522*Lists!$AN$8)+($R522*Lists!$AN$9)+($S522*Lists!$AN$10),2))</f>
        <v/>
      </c>
      <c r="U522" s="66"/>
      <c r="V522" s="66"/>
      <c r="W522" s="66"/>
      <c r="X522" s="66"/>
      <c r="Y522" s="66"/>
      <c r="Z522" s="64" t="str">
        <f>IF(OR($B522="", $U522="", $V522="", $W522="", $X522="", $Y522=""),"",ROUND(($U522*Lists!$AN$11)+($V522*Lists!$AN$12)+($W522*Lists!$AN$13)+($X522*Lists!$AN$14)+($Y522*Lists!$AN$15),2))</f>
        <v/>
      </c>
      <c r="AA522" s="64" t="str">
        <f>IF(OR($B522="", $N522="", $O522="", $T522="", $Z522=""),"",ROUND(($N522*Lists!$AN$16)-($O522*Lists!$AN$17)-($T522*Lists!$AN$18)+($Z522*Lists!$AN$19),2))</f>
        <v/>
      </c>
      <c r="AB522" s="63" t="str">
        <f t="shared" si="29"/>
        <v/>
      </c>
      <c r="AC522" s="63" t="str">
        <f t="shared" si="30"/>
        <v/>
      </c>
      <c r="AD522" s="63" t="str">
        <f>IF($A522="","",IFERROR(IF(VLOOKUP($A522,'Risk Register'!$B$2:$H$1000,4,FALSE())&gt;=4,"Yes",""),""))</f>
        <v/>
      </c>
      <c r="AE522" s="63" t="str">
        <f t="shared" si="31"/>
        <v/>
      </c>
      <c r="AF522" s="62"/>
      <c r="AG522" s="62"/>
      <c r="AH522" s="62"/>
      <c r="AI522" s="62"/>
      <c r="AJ522" s="62"/>
      <c r="AK522" s="62"/>
      <c r="AL522" s="62"/>
      <c r="AM522" s="62"/>
      <c r="AN522" s="62"/>
      <c r="AO522" s="62"/>
      <c r="AP522" s="62"/>
      <c r="AQ522" s="80"/>
    </row>
    <row r="523" spans="1:43" ht="15.75" customHeight="1" x14ac:dyDescent="0.2">
      <c r="A523" s="63" t="str">
        <f t="shared" si="28"/>
        <v/>
      </c>
      <c r="B523" s="62"/>
      <c r="C523" s="62"/>
      <c r="D523" s="62"/>
      <c r="E523" s="62"/>
      <c r="F523" s="62"/>
      <c r="G523" s="62"/>
      <c r="H523" s="62"/>
      <c r="I523" s="66"/>
      <c r="J523" s="66"/>
      <c r="K523" s="66"/>
      <c r="L523" s="66"/>
      <c r="M523" s="66"/>
      <c r="N523" s="64" t="str">
        <f>IF(OR($B523="", $I523="", $J523="", $K523="", $L523="", $M523=""),"",ROUND(($I523*Lists!$AN$2)+($J523*Lists!$AN$3)+($K523*Lists!$AN$4)+($L523*Lists!$AN$5)+($M523*Lists!$AN$6),2))</f>
        <v/>
      </c>
      <c r="O523" s="64" t="str">
        <f>IF($A523="","",IFERROR(VLOOKUP($A523,'Risk Register'!$B$2:$I$1000,8,FALSE()),""))</f>
        <v/>
      </c>
      <c r="P523" s="66"/>
      <c r="Q523" s="66"/>
      <c r="R523" s="66"/>
      <c r="S523" s="66"/>
      <c r="T523" s="64" t="str">
        <f>IF(OR($B523="", $P523="", $Q523="", $R523="", $S523=""),"",ROUND(($P523*Lists!$AN$7)+($Q523*Lists!$AN$8)+($R523*Lists!$AN$9)+($S523*Lists!$AN$10),2))</f>
        <v/>
      </c>
      <c r="U523" s="66"/>
      <c r="V523" s="66"/>
      <c r="W523" s="66"/>
      <c r="X523" s="66"/>
      <c r="Y523" s="66"/>
      <c r="Z523" s="64" t="str">
        <f>IF(OR($B523="", $U523="", $V523="", $W523="", $X523="", $Y523=""),"",ROUND(($U523*Lists!$AN$11)+($V523*Lists!$AN$12)+($W523*Lists!$AN$13)+($X523*Lists!$AN$14)+($Y523*Lists!$AN$15),2))</f>
        <v/>
      </c>
      <c r="AA523" s="64" t="str">
        <f>IF(OR($B523="", $N523="", $O523="", $T523="", $Z523=""),"",ROUND(($N523*Lists!$AN$16)-($O523*Lists!$AN$17)-($T523*Lists!$AN$18)+($Z523*Lists!$AN$19),2))</f>
        <v/>
      </c>
      <c r="AB523" s="63" t="str">
        <f t="shared" si="29"/>
        <v/>
      </c>
      <c r="AC523" s="63" t="str">
        <f t="shared" si="30"/>
        <v/>
      </c>
      <c r="AD523" s="63" t="str">
        <f>IF($A523="","",IFERROR(IF(VLOOKUP($A523,'Risk Register'!$B$2:$H$1000,4,FALSE())&gt;=4,"Yes",""),""))</f>
        <v/>
      </c>
      <c r="AE523" s="63" t="str">
        <f t="shared" si="31"/>
        <v/>
      </c>
      <c r="AF523" s="62"/>
      <c r="AG523" s="62"/>
      <c r="AH523" s="62"/>
      <c r="AI523" s="62"/>
      <c r="AJ523" s="62"/>
      <c r="AK523" s="62"/>
      <c r="AL523" s="62"/>
      <c r="AM523" s="62"/>
      <c r="AN523" s="62"/>
      <c r="AO523" s="62"/>
      <c r="AP523" s="62"/>
      <c r="AQ523" s="80"/>
    </row>
    <row r="524" spans="1:43" ht="15.75" customHeight="1" x14ac:dyDescent="0.2">
      <c r="A524" s="63" t="str">
        <f t="shared" si="28"/>
        <v/>
      </c>
      <c r="B524" s="62"/>
      <c r="C524" s="62"/>
      <c r="D524" s="62"/>
      <c r="E524" s="62"/>
      <c r="F524" s="62"/>
      <c r="G524" s="62"/>
      <c r="H524" s="62"/>
      <c r="I524" s="66"/>
      <c r="J524" s="66"/>
      <c r="K524" s="66"/>
      <c r="L524" s="66"/>
      <c r="M524" s="66"/>
      <c r="N524" s="64" t="str">
        <f>IF(OR($B524="", $I524="", $J524="", $K524="", $L524="", $M524=""),"",ROUND(($I524*Lists!$AN$2)+($J524*Lists!$AN$3)+($K524*Lists!$AN$4)+($L524*Lists!$AN$5)+($M524*Lists!$AN$6),2))</f>
        <v/>
      </c>
      <c r="O524" s="64" t="str">
        <f>IF($A524="","",IFERROR(VLOOKUP($A524,'Risk Register'!$B$2:$I$1000,8,FALSE()),""))</f>
        <v/>
      </c>
      <c r="P524" s="66"/>
      <c r="Q524" s="66"/>
      <c r="R524" s="66"/>
      <c r="S524" s="66"/>
      <c r="T524" s="64" t="str">
        <f>IF(OR($B524="", $P524="", $Q524="", $R524="", $S524=""),"",ROUND(($P524*Lists!$AN$7)+($Q524*Lists!$AN$8)+($R524*Lists!$AN$9)+($S524*Lists!$AN$10),2))</f>
        <v/>
      </c>
      <c r="U524" s="66"/>
      <c r="V524" s="66"/>
      <c r="W524" s="66"/>
      <c r="X524" s="66"/>
      <c r="Y524" s="66"/>
      <c r="Z524" s="64" t="str">
        <f>IF(OR($B524="", $U524="", $V524="", $W524="", $X524="", $Y524=""),"",ROUND(($U524*Lists!$AN$11)+($V524*Lists!$AN$12)+($W524*Lists!$AN$13)+($X524*Lists!$AN$14)+($Y524*Lists!$AN$15),2))</f>
        <v/>
      </c>
      <c r="AA524" s="64" t="str">
        <f>IF(OR($B524="", $N524="", $O524="", $T524="", $Z524=""),"",ROUND(($N524*Lists!$AN$16)-($O524*Lists!$AN$17)-($T524*Lists!$AN$18)+($Z524*Lists!$AN$19),2))</f>
        <v/>
      </c>
      <c r="AB524" s="63" t="str">
        <f t="shared" si="29"/>
        <v/>
      </c>
      <c r="AC524" s="63" t="str">
        <f t="shared" si="30"/>
        <v/>
      </c>
      <c r="AD524" s="63" t="str">
        <f>IF($A524="","",IFERROR(IF(VLOOKUP($A524,'Risk Register'!$B$2:$H$1000,4,FALSE())&gt;=4,"Yes",""),""))</f>
        <v/>
      </c>
      <c r="AE524" s="63" t="str">
        <f t="shared" si="31"/>
        <v/>
      </c>
      <c r="AF524" s="62"/>
      <c r="AG524" s="62"/>
      <c r="AH524" s="62"/>
      <c r="AI524" s="62"/>
      <c r="AJ524" s="62"/>
      <c r="AK524" s="62"/>
      <c r="AL524" s="62"/>
      <c r="AM524" s="62"/>
      <c r="AN524" s="62"/>
      <c r="AO524" s="62"/>
      <c r="AP524" s="62"/>
      <c r="AQ524" s="80"/>
    </row>
    <row r="525" spans="1:43" ht="15.75" customHeight="1" x14ac:dyDescent="0.2">
      <c r="A525" s="63" t="str">
        <f t="shared" si="28"/>
        <v/>
      </c>
      <c r="B525" s="62"/>
      <c r="C525" s="62"/>
      <c r="D525" s="62"/>
      <c r="E525" s="62"/>
      <c r="F525" s="62"/>
      <c r="G525" s="62"/>
      <c r="H525" s="62"/>
      <c r="I525" s="66"/>
      <c r="J525" s="66"/>
      <c r="K525" s="66"/>
      <c r="L525" s="66"/>
      <c r="M525" s="66"/>
      <c r="N525" s="64" t="str">
        <f>IF(OR($B525="", $I525="", $J525="", $K525="", $L525="", $M525=""),"",ROUND(($I525*Lists!$AN$2)+($J525*Lists!$AN$3)+($K525*Lists!$AN$4)+($L525*Lists!$AN$5)+($M525*Lists!$AN$6),2))</f>
        <v/>
      </c>
      <c r="O525" s="64" t="str">
        <f>IF($A525="","",IFERROR(VLOOKUP($A525,'Risk Register'!$B$2:$I$1000,8,FALSE()),""))</f>
        <v/>
      </c>
      <c r="P525" s="66"/>
      <c r="Q525" s="66"/>
      <c r="R525" s="66"/>
      <c r="S525" s="66"/>
      <c r="T525" s="64" t="str">
        <f>IF(OR($B525="", $P525="", $Q525="", $R525="", $S525=""),"",ROUND(($P525*Lists!$AN$7)+($Q525*Lists!$AN$8)+($R525*Lists!$AN$9)+($S525*Lists!$AN$10),2))</f>
        <v/>
      </c>
      <c r="U525" s="66"/>
      <c r="V525" s="66"/>
      <c r="W525" s="66"/>
      <c r="X525" s="66"/>
      <c r="Y525" s="66"/>
      <c r="Z525" s="64" t="str">
        <f>IF(OR($B525="", $U525="", $V525="", $W525="", $X525="", $Y525=""),"",ROUND(($U525*Lists!$AN$11)+($V525*Lists!$AN$12)+($W525*Lists!$AN$13)+($X525*Lists!$AN$14)+($Y525*Lists!$AN$15),2))</f>
        <v/>
      </c>
      <c r="AA525" s="64" t="str">
        <f>IF(OR($B525="", $N525="", $O525="", $T525="", $Z525=""),"",ROUND(($N525*Lists!$AN$16)-($O525*Lists!$AN$17)-($T525*Lists!$AN$18)+($Z525*Lists!$AN$19),2))</f>
        <v/>
      </c>
      <c r="AB525" s="63" t="str">
        <f t="shared" si="29"/>
        <v/>
      </c>
      <c r="AC525" s="63" t="str">
        <f t="shared" si="30"/>
        <v/>
      </c>
      <c r="AD525" s="63" t="str">
        <f>IF($A525="","",IFERROR(IF(VLOOKUP($A525,'Risk Register'!$B$2:$H$1000,4,FALSE())&gt;=4,"Yes",""),""))</f>
        <v/>
      </c>
      <c r="AE525" s="63" t="str">
        <f t="shared" si="31"/>
        <v/>
      </c>
      <c r="AF525" s="62"/>
      <c r="AG525" s="62"/>
      <c r="AH525" s="62"/>
      <c r="AI525" s="62"/>
      <c r="AJ525" s="62"/>
      <c r="AK525" s="62"/>
      <c r="AL525" s="62"/>
      <c r="AM525" s="62"/>
      <c r="AN525" s="62"/>
      <c r="AO525" s="62"/>
      <c r="AP525" s="62"/>
      <c r="AQ525" s="80"/>
    </row>
    <row r="526" spans="1:43" ht="15.75" customHeight="1" x14ac:dyDescent="0.2">
      <c r="A526" s="63" t="str">
        <f t="shared" si="28"/>
        <v/>
      </c>
      <c r="B526" s="62"/>
      <c r="C526" s="62"/>
      <c r="D526" s="62"/>
      <c r="E526" s="62"/>
      <c r="F526" s="62"/>
      <c r="G526" s="62"/>
      <c r="H526" s="62"/>
      <c r="I526" s="66"/>
      <c r="J526" s="66"/>
      <c r="K526" s="66"/>
      <c r="L526" s="66"/>
      <c r="M526" s="66"/>
      <c r="N526" s="64" t="str">
        <f>IF(OR($B526="", $I526="", $J526="", $K526="", $L526="", $M526=""),"",ROUND(($I526*Lists!$AN$2)+($J526*Lists!$AN$3)+($K526*Lists!$AN$4)+($L526*Lists!$AN$5)+($M526*Lists!$AN$6),2))</f>
        <v/>
      </c>
      <c r="O526" s="64" t="str">
        <f>IF($A526="","",IFERROR(VLOOKUP($A526,'Risk Register'!$B$2:$I$1000,8,FALSE()),""))</f>
        <v/>
      </c>
      <c r="P526" s="66"/>
      <c r="Q526" s="66"/>
      <c r="R526" s="66"/>
      <c r="S526" s="66"/>
      <c r="T526" s="64" t="str">
        <f>IF(OR($B526="", $P526="", $Q526="", $R526="", $S526=""),"",ROUND(($P526*Lists!$AN$7)+($Q526*Lists!$AN$8)+($R526*Lists!$AN$9)+($S526*Lists!$AN$10),2))</f>
        <v/>
      </c>
      <c r="U526" s="66"/>
      <c r="V526" s="66"/>
      <c r="W526" s="66"/>
      <c r="X526" s="66"/>
      <c r="Y526" s="66"/>
      <c r="Z526" s="64" t="str">
        <f>IF(OR($B526="", $U526="", $V526="", $W526="", $X526="", $Y526=""),"",ROUND(($U526*Lists!$AN$11)+($V526*Lists!$AN$12)+($W526*Lists!$AN$13)+($X526*Lists!$AN$14)+($Y526*Lists!$AN$15),2))</f>
        <v/>
      </c>
      <c r="AA526" s="64" t="str">
        <f>IF(OR($B526="", $N526="", $O526="", $T526="", $Z526=""),"",ROUND(($N526*Lists!$AN$16)-($O526*Lists!$AN$17)-($T526*Lists!$AN$18)+($Z526*Lists!$AN$19),2))</f>
        <v/>
      </c>
      <c r="AB526" s="63" t="str">
        <f t="shared" si="29"/>
        <v/>
      </c>
      <c r="AC526" s="63" t="str">
        <f t="shared" si="30"/>
        <v/>
      </c>
      <c r="AD526" s="63" t="str">
        <f>IF($A526="","",IFERROR(IF(VLOOKUP($A526,'Risk Register'!$B$2:$H$1000,4,FALSE())&gt;=4,"Yes",""),""))</f>
        <v/>
      </c>
      <c r="AE526" s="63" t="str">
        <f t="shared" si="31"/>
        <v/>
      </c>
      <c r="AF526" s="62"/>
      <c r="AG526" s="62"/>
      <c r="AH526" s="62"/>
      <c r="AI526" s="62"/>
      <c r="AJ526" s="62"/>
      <c r="AK526" s="62"/>
      <c r="AL526" s="62"/>
      <c r="AM526" s="62"/>
      <c r="AN526" s="62"/>
      <c r="AO526" s="62"/>
      <c r="AP526" s="62"/>
      <c r="AQ526" s="80"/>
    </row>
    <row r="527" spans="1:43" ht="15.75" customHeight="1" x14ac:dyDescent="0.2">
      <c r="A527" s="63" t="str">
        <f t="shared" si="28"/>
        <v/>
      </c>
      <c r="B527" s="62"/>
      <c r="C527" s="62"/>
      <c r="D527" s="62"/>
      <c r="E527" s="62"/>
      <c r="F527" s="62"/>
      <c r="G527" s="62"/>
      <c r="H527" s="62"/>
      <c r="I527" s="66"/>
      <c r="J527" s="66"/>
      <c r="K527" s="66"/>
      <c r="L527" s="66"/>
      <c r="M527" s="66"/>
      <c r="N527" s="64" t="str">
        <f>IF(OR($B527="", $I527="", $J527="", $K527="", $L527="", $M527=""),"",ROUND(($I527*Lists!$AN$2)+($J527*Lists!$AN$3)+($K527*Lists!$AN$4)+($L527*Lists!$AN$5)+($M527*Lists!$AN$6),2))</f>
        <v/>
      </c>
      <c r="O527" s="64" t="str">
        <f>IF($A527="","",IFERROR(VLOOKUP($A527,'Risk Register'!$B$2:$I$1000,8,FALSE()),""))</f>
        <v/>
      </c>
      <c r="P527" s="66"/>
      <c r="Q527" s="66"/>
      <c r="R527" s="66"/>
      <c r="S527" s="66"/>
      <c r="T527" s="64" t="str">
        <f>IF(OR($B527="", $P527="", $Q527="", $R527="", $S527=""),"",ROUND(($P527*Lists!$AN$7)+($Q527*Lists!$AN$8)+($R527*Lists!$AN$9)+($S527*Lists!$AN$10),2))</f>
        <v/>
      </c>
      <c r="U527" s="66"/>
      <c r="V527" s="66"/>
      <c r="W527" s="66"/>
      <c r="X527" s="66"/>
      <c r="Y527" s="66"/>
      <c r="Z527" s="64" t="str">
        <f>IF(OR($B527="", $U527="", $V527="", $W527="", $X527="", $Y527=""),"",ROUND(($U527*Lists!$AN$11)+($V527*Lists!$AN$12)+($W527*Lists!$AN$13)+($X527*Lists!$AN$14)+($Y527*Lists!$AN$15),2))</f>
        <v/>
      </c>
      <c r="AA527" s="64" t="str">
        <f>IF(OR($B527="", $N527="", $O527="", $T527="", $Z527=""),"",ROUND(($N527*Lists!$AN$16)-($O527*Lists!$AN$17)-($T527*Lists!$AN$18)+($Z527*Lists!$AN$19),2))</f>
        <v/>
      </c>
      <c r="AB527" s="63" t="str">
        <f t="shared" si="29"/>
        <v/>
      </c>
      <c r="AC527" s="63" t="str">
        <f t="shared" si="30"/>
        <v/>
      </c>
      <c r="AD527" s="63" t="str">
        <f>IF($A527="","",IFERROR(IF(VLOOKUP($A527,'Risk Register'!$B$2:$H$1000,4,FALSE())&gt;=4,"Yes",""),""))</f>
        <v/>
      </c>
      <c r="AE527" s="63" t="str">
        <f t="shared" si="31"/>
        <v/>
      </c>
      <c r="AF527" s="62"/>
      <c r="AG527" s="62"/>
      <c r="AH527" s="62"/>
      <c r="AI527" s="62"/>
      <c r="AJ527" s="62"/>
      <c r="AK527" s="62"/>
      <c r="AL527" s="62"/>
      <c r="AM527" s="62"/>
      <c r="AN527" s="62"/>
      <c r="AO527" s="62"/>
      <c r="AP527" s="62"/>
      <c r="AQ527" s="80"/>
    </row>
    <row r="528" spans="1:43" ht="15.75" customHeight="1" x14ac:dyDescent="0.2">
      <c r="A528" s="63" t="str">
        <f t="shared" si="28"/>
        <v/>
      </c>
      <c r="B528" s="62"/>
      <c r="C528" s="62"/>
      <c r="D528" s="62"/>
      <c r="E528" s="62"/>
      <c r="F528" s="62"/>
      <c r="G528" s="62"/>
      <c r="H528" s="62"/>
      <c r="I528" s="66"/>
      <c r="J528" s="66"/>
      <c r="K528" s="66"/>
      <c r="L528" s="66"/>
      <c r="M528" s="66"/>
      <c r="N528" s="64" t="str">
        <f>IF(OR($B528="", $I528="", $J528="", $K528="", $L528="", $M528=""),"",ROUND(($I528*Lists!$AN$2)+($J528*Lists!$AN$3)+($K528*Lists!$AN$4)+($L528*Lists!$AN$5)+($M528*Lists!$AN$6),2))</f>
        <v/>
      </c>
      <c r="O528" s="64" t="str">
        <f>IF($A528="","",IFERROR(VLOOKUP($A528,'Risk Register'!$B$2:$I$1000,8,FALSE()),""))</f>
        <v/>
      </c>
      <c r="P528" s="66"/>
      <c r="Q528" s="66"/>
      <c r="R528" s="66"/>
      <c r="S528" s="66"/>
      <c r="T528" s="64" t="str">
        <f>IF(OR($B528="", $P528="", $Q528="", $R528="", $S528=""),"",ROUND(($P528*Lists!$AN$7)+($Q528*Lists!$AN$8)+($R528*Lists!$AN$9)+($S528*Lists!$AN$10),2))</f>
        <v/>
      </c>
      <c r="U528" s="66"/>
      <c r="V528" s="66"/>
      <c r="W528" s="66"/>
      <c r="X528" s="66"/>
      <c r="Y528" s="66"/>
      <c r="Z528" s="64" t="str">
        <f>IF(OR($B528="", $U528="", $V528="", $W528="", $X528="", $Y528=""),"",ROUND(($U528*Lists!$AN$11)+($V528*Lists!$AN$12)+($W528*Lists!$AN$13)+($X528*Lists!$AN$14)+($Y528*Lists!$AN$15),2))</f>
        <v/>
      </c>
      <c r="AA528" s="64" t="str">
        <f>IF(OR($B528="", $N528="", $O528="", $T528="", $Z528=""),"",ROUND(($N528*Lists!$AN$16)-($O528*Lists!$AN$17)-($T528*Lists!$AN$18)+($Z528*Lists!$AN$19),2))</f>
        <v/>
      </c>
      <c r="AB528" s="63" t="str">
        <f t="shared" si="29"/>
        <v/>
      </c>
      <c r="AC528" s="63" t="str">
        <f t="shared" si="30"/>
        <v/>
      </c>
      <c r="AD528" s="63" t="str">
        <f>IF($A528="","",IFERROR(IF(VLOOKUP($A528,'Risk Register'!$B$2:$H$1000,4,FALSE())&gt;=4,"Yes",""),""))</f>
        <v/>
      </c>
      <c r="AE528" s="63" t="str">
        <f t="shared" si="31"/>
        <v/>
      </c>
      <c r="AF528" s="62"/>
      <c r="AG528" s="62"/>
      <c r="AH528" s="62"/>
      <c r="AI528" s="62"/>
      <c r="AJ528" s="62"/>
      <c r="AK528" s="62"/>
      <c r="AL528" s="62"/>
      <c r="AM528" s="62"/>
      <c r="AN528" s="62"/>
      <c r="AO528" s="62"/>
      <c r="AP528" s="62"/>
      <c r="AQ528" s="80"/>
    </row>
    <row r="529" spans="1:43" ht="15.75" customHeight="1" x14ac:dyDescent="0.2">
      <c r="A529" s="63" t="str">
        <f t="shared" si="28"/>
        <v/>
      </c>
      <c r="B529" s="62"/>
      <c r="C529" s="62"/>
      <c r="D529" s="62"/>
      <c r="E529" s="62"/>
      <c r="F529" s="62"/>
      <c r="G529" s="62"/>
      <c r="H529" s="62"/>
      <c r="I529" s="66"/>
      <c r="J529" s="66"/>
      <c r="K529" s="66"/>
      <c r="L529" s="66"/>
      <c r="M529" s="66"/>
      <c r="N529" s="64" t="str">
        <f>IF(OR($B529="", $I529="", $J529="", $K529="", $L529="", $M529=""),"",ROUND(($I529*Lists!$AN$2)+($J529*Lists!$AN$3)+($K529*Lists!$AN$4)+($L529*Lists!$AN$5)+($M529*Lists!$AN$6),2))</f>
        <v/>
      </c>
      <c r="O529" s="64" t="str">
        <f>IF($A529="","",IFERROR(VLOOKUP($A529,'Risk Register'!$B$2:$I$1000,8,FALSE()),""))</f>
        <v/>
      </c>
      <c r="P529" s="66"/>
      <c r="Q529" s="66"/>
      <c r="R529" s="66"/>
      <c r="S529" s="66"/>
      <c r="T529" s="64" t="str">
        <f>IF(OR($B529="", $P529="", $Q529="", $R529="", $S529=""),"",ROUND(($P529*Lists!$AN$7)+($Q529*Lists!$AN$8)+($R529*Lists!$AN$9)+($S529*Lists!$AN$10),2))</f>
        <v/>
      </c>
      <c r="U529" s="66"/>
      <c r="V529" s="66"/>
      <c r="W529" s="66"/>
      <c r="X529" s="66"/>
      <c r="Y529" s="66"/>
      <c r="Z529" s="64" t="str">
        <f>IF(OR($B529="", $U529="", $V529="", $W529="", $X529="", $Y529=""),"",ROUND(($U529*Lists!$AN$11)+($V529*Lists!$AN$12)+($W529*Lists!$AN$13)+($X529*Lists!$AN$14)+($Y529*Lists!$AN$15),2))</f>
        <v/>
      </c>
      <c r="AA529" s="64" t="str">
        <f>IF(OR($B529="", $N529="", $O529="", $T529="", $Z529=""),"",ROUND(($N529*Lists!$AN$16)-($O529*Lists!$AN$17)-($T529*Lists!$AN$18)+($Z529*Lists!$AN$19),2))</f>
        <v/>
      </c>
      <c r="AB529" s="63" t="str">
        <f t="shared" si="29"/>
        <v/>
      </c>
      <c r="AC529" s="63" t="str">
        <f t="shared" si="30"/>
        <v/>
      </c>
      <c r="AD529" s="63" t="str">
        <f>IF($A529="","",IFERROR(IF(VLOOKUP($A529,'Risk Register'!$B$2:$H$1000,4,FALSE())&gt;=4,"Yes",""),""))</f>
        <v/>
      </c>
      <c r="AE529" s="63" t="str">
        <f t="shared" si="31"/>
        <v/>
      </c>
      <c r="AF529" s="62"/>
      <c r="AG529" s="62"/>
      <c r="AH529" s="62"/>
      <c r="AI529" s="62"/>
      <c r="AJ529" s="62"/>
      <c r="AK529" s="62"/>
      <c r="AL529" s="62"/>
      <c r="AM529" s="62"/>
      <c r="AN529" s="62"/>
      <c r="AO529" s="62"/>
      <c r="AP529" s="62"/>
      <c r="AQ529" s="80"/>
    </row>
    <row r="530" spans="1:43" ht="15.75" customHeight="1" x14ac:dyDescent="0.2">
      <c r="A530" s="63" t="str">
        <f t="shared" si="28"/>
        <v/>
      </c>
      <c r="B530" s="62"/>
      <c r="C530" s="62"/>
      <c r="D530" s="62"/>
      <c r="E530" s="62"/>
      <c r="F530" s="62"/>
      <c r="G530" s="62"/>
      <c r="H530" s="62"/>
      <c r="I530" s="66"/>
      <c r="J530" s="66"/>
      <c r="K530" s="66"/>
      <c r="L530" s="66"/>
      <c r="M530" s="66"/>
      <c r="N530" s="64" t="str">
        <f>IF(OR($B530="", $I530="", $J530="", $K530="", $L530="", $M530=""),"",ROUND(($I530*Lists!$AN$2)+($J530*Lists!$AN$3)+($K530*Lists!$AN$4)+($L530*Lists!$AN$5)+($M530*Lists!$AN$6),2))</f>
        <v/>
      </c>
      <c r="O530" s="64" t="str">
        <f>IF($A530="","",IFERROR(VLOOKUP($A530,'Risk Register'!$B$2:$I$1000,8,FALSE()),""))</f>
        <v/>
      </c>
      <c r="P530" s="66"/>
      <c r="Q530" s="66"/>
      <c r="R530" s="66"/>
      <c r="S530" s="66"/>
      <c r="T530" s="64" t="str">
        <f>IF(OR($B530="", $P530="", $Q530="", $R530="", $S530=""),"",ROUND(($P530*Lists!$AN$7)+($Q530*Lists!$AN$8)+($R530*Lists!$AN$9)+($S530*Lists!$AN$10),2))</f>
        <v/>
      </c>
      <c r="U530" s="66"/>
      <c r="V530" s="66"/>
      <c r="W530" s="66"/>
      <c r="X530" s="66"/>
      <c r="Y530" s="66"/>
      <c r="Z530" s="64" t="str">
        <f>IF(OR($B530="", $U530="", $V530="", $W530="", $X530="", $Y530=""),"",ROUND(($U530*Lists!$AN$11)+($V530*Lists!$AN$12)+($W530*Lists!$AN$13)+($X530*Lists!$AN$14)+($Y530*Lists!$AN$15),2))</f>
        <v/>
      </c>
      <c r="AA530" s="64" t="str">
        <f>IF(OR($B530="", $N530="", $O530="", $T530="", $Z530=""),"",ROUND(($N530*Lists!$AN$16)-($O530*Lists!$AN$17)-($T530*Lists!$AN$18)+($Z530*Lists!$AN$19),2))</f>
        <v/>
      </c>
      <c r="AB530" s="63" t="str">
        <f t="shared" si="29"/>
        <v/>
      </c>
      <c r="AC530" s="63" t="str">
        <f t="shared" si="30"/>
        <v/>
      </c>
      <c r="AD530" s="63" t="str">
        <f>IF($A530="","",IFERROR(IF(VLOOKUP($A530,'Risk Register'!$B$2:$H$1000,4,FALSE())&gt;=4,"Yes",""),""))</f>
        <v/>
      </c>
      <c r="AE530" s="63" t="str">
        <f t="shared" si="31"/>
        <v/>
      </c>
      <c r="AF530" s="62"/>
      <c r="AG530" s="62"/>
      <c r="AH530" s="62"/>
      <c r="AI530" s="62"/>
      <c r="AJ530" s="62"/>
      <c r="AK530" s="62"/>
      <c r="AL530" s="62"/>
      <c r="AM530" s="62"/>
      <c r="AN530" s="62"/>
      <c r="AO530" s="62"/>
      <c r="AP530" s="62"/>
      <c r="AQ530" s="80"/>
    </row>
    <row r="531" spans="1:43" ht="15.75" customHeight="1" x14ac:dyDescent="0.2">
      <c r="A531" s="63" t="str">
        <f t="shared" si="28"/>
        <v/>
      </c>
      <c r="B531" s="62"/>
      <c r="C531" s="62"/>
      <c r="D531" s="62"/>
      <c r="E531" s="62"/>
      <c r="F531" s="62"/>
      <c r="G531" s="62"/>
      <c r="H531" s="62"/>
      <c r="I531" s="66"/>
      <c r="J531" s="66"/>
      <c r="K531" s="66"/>
      <c r="L531" s="66"/>
      <c r="M531" s="66"/>
      <c r="N531" s="64" t="str">
        <f>IF(OR($B531="", $I531="", $J531="", $K531="", $L531="", $M531=""),"",ROUND(($I531*Lists!$AN$2)+($J531*Lists!$AN$3)+($K531*Lists!$AN$4)+($L531*Lists!$AN$5)+($M531*Lists!$AN$6),2))</f>
        <v/>
      </c>
      <c r="O531" s="64" t="str">
        <f>IF($A531="","",IFERROR(VLOOKUP($A531,'Risk Register'!$B$2:$I$1000,8,FALSE()),""))</f>
        <v/>
      </c>
      <c r="P531" s="66"/>
      <c r="Q531" s="66"/>
      <c r="R531" s="66"/>
      <c r="S531" s="66"/>
      <c r="T531" s="64" t="str">
        <f>IF(OR($B531="", $P531="", $Q531="", $R531="", $S531=""),"",ROUND(($P531*Lists!$AN$7)+($Q531*Lists!$AN$8)+($R531*Lists!$AN$9)+($S531*Lists!$AN$10),2))</f>
        <v/>
      </c>
      <c r="U531" s="66"/>
      <c r="V531" s="66"/>
      <c r="W531" s="66"/>
      <c r="X531" s="66"/>
      <c r="Y531" s="66"/>
      <c r="Z531" s="64" t="str">
        <f>IF(OR($B531="", $U531="", $V531="", $W531="", $X531="", $Y531=""),"",ROUND(($U531*Lists!$AN$11)+($V531*Lists!$AN$12)+($W531*Lists!$AN$13)+($X531*Lists!$AN$14)+($Y531*Lists!$AN$15),2))</f>
        <v/>
      </c>
      <c r="AA531" s="64" t="str">
        <f>IF(OR($B531="", $N531="", $O531="", $T531="", $Z531=""),"",ROUND(($N531*Lists!$AN$16)-($O531*Lists!$AN$17)-($T531*Lists!$AN$18)+($Z531*Lists!$AN$19),2))</f>
        <v/>
      </c>
      <c r="AB531" s="63" t="str">
        <f t="shared" si="29"/>
        <v/>
      </c>
      <c r="AC531" s="63" t="str">
        <f t="shared" si="30"/>
        <v/>
      </c>
      <c r="AD531" s="63" t="str">
        <f>IF($A531="","",IFERROR(IF(VLOOKUP($A531,'Risk Register'!$B$2:$H$1000,4,FALSE())&gt;=4,"Yes",""),""))</f>
        <v/>
      </c>
      <c r="AE531" s="63" t="str">
        <f t="shared" si="31"/>
        <v/>
      </c>
      <c r="AF531" s="62"/>
      <c r="AG531" s="62"/>
      <c r="AH531" s="62"/>
      <c r="AI531" s="62"/>
      <c r="AJ531" s="62"/>
      <c r="AK531" s="62"/>
      <c r="AL531" s="62"/>
      <c r="AM531" s="62"/>
      <c r="AN531" s="62"/>
      <c r="AO531" s="62"/>
      <c r="AP531" s="62"/>
      <c r="AQ531" s="80"/>
    </row>
    <row r="532" spans="1:43" ht="15.75" customHeight="1" x14ac:dyDescent="0.2">
      <c r="A532" s="63" t="str">
        <f t="shared" si="28"/>
        <v/>
      </c>
      <c r="B532" s="62"/>
      <c r="C532" s="62"/>
      <c r="D532" s="62"/>
      <c r="E532" s="62"/>
      <c r="F532" s="62"/>
      <c r="G532" s="62"/>
      <c r="H532" s="62"/>
      <c r="I532" s="66"/>
      <c r="J532" s="66"/>
      <c r="K532" s="66"/>
      <c r="L532" s="66"/>
      <c r="M532" s="66"/>
      <c r="N532" s="64" t="str">
        <f>IF(OR($B532="", $I532="", $J532="", $K532="", $L532="", $M532=""),"",ROUND(($I532*Lists!$AN$2)+($J532*Lists!$AN$3)+($K532*Lists!$AN$4)+($L532*Lists!$AN$5)+($M532*Lists!$AN$6),2))</f>
        <v/>
      </c>
      <c r="O532" s="64" t="str">
        <f>IF($A532="","",IFERROR(VLOOKUP($A532,'Risk Register'!$B$2:$I$1000,8,FALSE()),""))</f>
        <v/>
      </c>
      <c r="P532" s="66"/>
      <c r="Q532" s="66"/>
      <c r="R532" s="66"/>
      <c r="S532" s="66"/>
      <c r="T532" s="64" t="str">
        <f>IF(OR($B532="", $P532="", $Q532="", $R532="", $S532=""),"",ROUND(($P532*Lists!$AN$7)+($Q532*Lists!$AN$8)+($R532*Lists!$AN$9)+($S532*Lists!$AN$10),2))</f>
        <v/>
      </c>
      <c r="U532" s="66"/>
      <c r="V532" s="66"/>
      <c r="W532" s="66"/>
      <c r="X532" s="66"/>
      <c r="Y532" s="66"/>
      <c r="Z532" s="64" t="str">
        <f>IF(OR($B532="", $U532="", $V532="", $W532="", $X532="", $Y532=""),"",ROUND(($U532*Lists!$AN$11)+($V532*Lists!$AN$12)+($W532*Lists!$AN$13)+($X532*Lists!$AN$14)+($Y532*Lists!$AN$15),2))</f>
        <v/>
      </c>
      <c r="AA532" s="64" t="str">
        <f>IF(OR($B532="", $N532="", $O532="", $T532="", $Z532=""),"",ROUND(($N532*Lists!$AN$16)-($O532*Lists!$AN$17)-($T532*Lists!$AN$18)+($Z532*Lists!$AN$19),2))</f>
        <v/>
      </c>
      <c r="AB532" s="63" t="str">
        <f t="shared" si="29"/>
        <v/>
      </c>
      <c r="AC532" s="63" t="str">
        <f t="shared" si="30"/>
        <v/>
      </c>
      <c r="AD532" s="63" t="str">
        <f>IF($A532="","",IFERROR(IF(VLOOKUP($A532,'Risk Register'!$B$2:$H$1000,4,FALSE())&gt;=4,"Yes",""),""))</f>
        <v/>
      </c>
      <c r="AE532" s="63" t="str">
        <f t="shared" si="31"/>
        <v/>
      </c>
      <c r="AF532" s="62"/>
      <c r="AG532" s="62"/>
      <c r="AH532" s="62"/>
      <c r="AI532" s="62"/>
      <c r="AJ532" s="62"/>
      <c r="AK532" s="62"/>
      <c r="AL532" s="62"/>
      <c r="AM532" s="62"/>
      <c r="AN532" s="62"/>
      <c r="AO532" s="62"/>
      <c r="AP532" s="62"/>
      <c r="AQ532" s="80"/>
    </row>
    <row r="533" spans="1:43" ht="15.75" customHeight="1" x14ac:dyDescent="0.2">
      <c r="A533" s="63" t="str">
        <f t="shared" si="28"/>
        <v/>
      </c>
      <c r="B533" s="62"/>
      <c r="C533" s="62"/>
      <c r="D533" s="62"/>
      <c r="E533" s="62"/>
      <c r="F533" s="62"/>
      <c r="G533" s="62"/>
      <c r="H533" s="62"/>
      <c r="I533" s="66"/>
      <c r="J533" s="66"/>
      <c r="K533" s="66"/>
      <c r="L533" s="66"/>
      <c r="M533" s="66"/>
      <c r="N533" s="64" t="str">
        <f>IF(OR($B533="", $I533="", $J533="", $K533="", $L533="", $M533=""),"",ROUND(($I533*Lists!$AN$2)+($J533*Lists!$AN$3)+($K533*Lists!$AN$4)+($L533*Lists!$AN$5)+($M533*Lists!$AN$6),2))</f>
        <v/>
      </c>
      <c r="O533" s="64" t="str">
        <f>IF($A533="","",IFERROR(VLOOKUP($A533,'Risk Register'!$B$2:$I$1000,8,FALSE()),""))</f>
        <v/>
      </c>
      <c r="P533" s="66"/>
      <c r="Q533" s="66"/>
      <c r="R533" s="66"/>
      <c r="S533" s="66"/>
      <c r="T533" s="64" t="str">
        <f>IF(OR($B533="", $P533="", $Q533="", $R533="", $S533=""),"",ROUND(($P533*Lists!$AN$7)+($Q533*Lists!$AN$8)+($R533*Lists!$AN$9)+($S533*Lists!$AN$10),2))</f>
        <v/>
      </c>
      <c r="U533" s="66"/>
      <c r="V533" s="66"/>
      <c r="W533" s="66"/>
      <c r="X533" s="66"/>
      <c r="Y533" s="66"/>
      <c r="Z533" s="64" t="str">
        <f>IF(OR($B533="", $U533="", $V533="", $W533="", $X533="", $Y533=""),"",ROUND(($U533*Lists!$AN$11)+($V533*Lists!$AN$12)+($W533*Lists!$AN$13)+($X533*Lists!$AN$14)+($Y533*Lists!$AN$15),2))</f>
        <v/>
      </c>
      <c r="AA533" s="64" t="str">
        <f>IF(OR($B533="", $N533="", $O533="", $T533="", $Z533=""),"",ROUND(($N533*Lists!$AN$16)-($O533*Lists!$AN$17)-($T533*Lists!$AN$18)+($Z533*Lists!$AN$19),2))</f>
        <v/>
      </c>
      <c r="AB533" s="63" t="str">
        <f t="shared" si="29"/>
        <v/>
      </c>
      <c r="AC533" s="63" t="str">
        <f t="shared" si="30"/>
        <v/>
      </c>
      <c r="AD533" s="63" t="str">
        <f>IF($A533="","",IFERROR(IF(VLOOKUP($A533,'Risk Register'!$B$2:$H$1000,4,FALSE())&gt;=4,"Yes",""),""))</f>
        <v/>
      </c>
      <c r="AE533" s="63" t="str">
        <f t="shared" si="31"/>
        <v/>
      </c>
      <c r="AF533" s="62"/>
      <c r="AG533" s="62"/>
      <c r="AH533" s="62"/>
      <c r="AI533" s="62"/>
      <c r="AJ533" s="62"/>
      <c r="AK533" s="62"/>
      <c r="AL533" s="62"/>
      <c r="AM533" s="62"/>
      <c r="AN533" s="62"/>
      <c r="AO533" s="62"/>
      <c r="AP533" s="62"/>
      <c r="AQ533" s="80"/>
    </row>
    <row r="534" spans="1:43" ht="15.75" customHeight="1" x14ac:dyDescent="0.2">
      <c r="A534" s="63" t="str">
        <f t="shared" si="28"/>
        <v/>
      </c>
      <c r="B534" s="62"/>
      <c r="C534" s="62"/>
      <c r="D534" s="62"/>
      <c r="E534" s="62"/>
      <c r="F534" s="62"/>
      <c r="G534" s="62"/>
      <c r="H534" s="62"/>
      <c r="I534" s="66"/>
      <c r="J534" s="66"/>
      <c r="K534" s="66"/>
      <c r="L534" s="66"/>
      <c r="M534" s="66"/>
      <c r="N534" s="64" t="str">
        <f>IF(OR($B534="", $I534="", $J534="", $K534="", $L534="", $M534=""),"",ROUND(($I534*Lists!$AN$2)+($J534*Lists!$AN$3)+($K534*Lists!$AN$4)+($L534*Lists!$AN$5)+($M534*Lists!$AN$6),2))</f>
        <v/>
      </c>
      <c r="O534" s="64" t="str">
        <f>IF($A534="","",IFERROR(VLOOKUP($A534,'Risk Register'!$B$2:$I$1000,8,FALSE()),""))</f>
        <v/>
      </c>
      <c r="P534" s="66"/>
      <c r="Q534" s="66"/>
      <c r="R534" s="66"/>
      <c r="S534" s="66"/>
      <c r="T534" s="64" t="str">
        <f>IF(OR($B534="", $P534="", $Q534="", $R534="", $S534=""),"",ROUND(($P534*Lists!$AN$7)+($Q534*Lists!$AN$8)+($R534*Lists!$AN$9)+($S534*Lists!$AN$10),2))</f>
        <v/>
      </c>
      <c r="U534" s="66"/>
      <c r="V534" s="66"/>
      <c r="W534" s="66"/>
      <c r="X534" s="66"/>
      <c r="Y534" s="66"/>
      <c r="Z534" s="64" t="str">
        <f>IF(OR($B534="", $U534="", $V534="", $W534="", $X534="", $Y534=""),"",ROUND(($U534*Lists!$AN$11)+($V534*Lists!$AN$12)+($W534*Lists!$AN$13)+($X534*Lists!$AN$14)+($Y534*Lists!$AN$15),2))</f>
        <v/>
      </c>
      <c r="AA534" s="64" t="str">
        <f>IF(OR($B534="", $N534="", $O534="", $T534="", $Z534=""),"",ROUND(($N534*Lists!$AN$16)-($O534*Lists!$AN$17)-($T534*Lists!$AN$18)+($Z534*Lists!$AN$19),2))</f>
        <v/>
      </c>
      <c r="AB534" s="63" t="str">
        <f t="shared" si="29"/>
        <v/>
      </c>
      <c r="AC534" s="63" t="str">
        <f t="shared" si="30"/>
        <v/>
      </c>
      <c r="AD534" s="63" t="str">
        <f>IF($A534="","",IFERROR(IF(VLOOKUP($A534,'Risk Register'!$B$2:$H$1000,4,FALSE())&gt;=4,"Yes",""),""))</f>
        <v/>
      </c>
      <c r="AE534" s="63" t="str">
        <f t="shared" si="31"/>
        <v/>
      </c>
      <c r="AF534" s="62"/>
      <c r="AG534" s="62"/>
      <c r="AH534" s="62"/>
      <c r="AI534" s="62"/>
      <c r="AJ534" s="62"/>
      <c r="AK534" s="62"/>
      <c r="AL534" s="62"/>
      <c r="AM534" s="62"/>
      <c r="AN534" s="62"/>
      <c r="AO534" s="62"/>
      <c r="AP534" s="62"/>
      <c r="AQ534" s="80"/>
    </row>
    <row r="535" spans="1:43" ht="15.75" customHeight="1" x14ac:dyDescent="0.2">
      <c r="A535" s="63" t="str">
        <f t="shared" ref="A535:A598" si="32">IF($B535="","", "APM-" &amp; RIGHT("0000"&amp;ROW()-1,4))</f>
        <v/>
      </c>
      <c r="B535" s="62"/>
      <c r="C535" s="62"/>
      <c r="D535" s="62"/>
      <c r="E535" s="62"/>
      <c r="F535" s="62"/>
      <c r="G535" s="62"/>
      <c r="H535" s="62"/>
      <c r="I535" s="66"/>
      <c r="J535" s="66"/>
      <c r="K535" s="66"/>
      <c r="L535" s="66"/>
      <c r="M535" s="66"/>
      <c r="N535" s="64" t="str">
        <f>IF(OR($B535="", $I535="", $J535="", $K535="", $L535="", $M535=""),"",ROUND(($I535*Lists!$AN$2)+($J535*Lists!$AN$3)+($K535*Lists!$AN$4)+($L535*Lists!$AN$5)+($M535*Lists!$AN$6),2))</f>
        <v/>
      </c>
      <c r="O535" s="64" t="str">
        <f>IF($A535="","",IFERROR(VLOOKUP($A535,'Risk Register'!$B$2:$I$1000,8,FALSE()),""))</f>
        <v/>
      </c>
      <c r="P535" s="66"/>
      <c r="Q535" s="66"/>
      <c r="R535" s="66"/>
      <c r="S535" s="66"/>
      <c r="T535" s="64" t="str">
        <f>IF(OR($B535="", $P535="", $Q535="", $R535="", $S535=""),"",ROUND(($P535*Lists!$AN$7)+($Q535*Lists!$AN$8)+($R535*Lists!$AN$9)+($S535*Lists!$AN$10),2))</f>
        <v/>
      </c>
      <c r="U535" s="66"/>
      <c r="V535" s="66"/>
      <c r="W535" s="66"/>
      <c r="X535" s="66"/>
      <c r="Y535" s="66"/>
      <c r="Z535" s="64" t="str">
        <f>IF(OR($B535="", $U535="", $V535="", $W535="", $X535="", $Y535=""),"",ROUND(($U535*Lists!$AN$11)+($V535*Lists!$AN$12)+($W535*Lists!$AN$13)+($X535*Lists!$AN$14)+($Y535*Lists!$AN$15),2))</f>
        <v/>
      </c>
      <c r="AA535" s="64" t="str">
        <f>IF(OR($B535="", $N535="", $O535="", $T535="", $Z535=""),"",ROUND(($N535*Lists!$AN$16)-($O535*Lists!$AN$17)-($T535*Lists!$AN$18)+($Z535*Lists!$AN$19),2))</f>
        <v/>
      </c>
      <c r="AB535" s="63" t="str">
        <f t="shared" ref="AB535:AB598" si="33">IF($AA535="","",IF($AA535&gt;=3.5,"INVEST",IF($AA535&gt;=2.5,"TOLERATE",IF($AA535&gt;=1.5,"MIGRATE / MODERNIZE","RETIRE"))))</f>
        <v/>
      </c>
      <c r="AC535" s="63" t="str">
        <f t="shared" ref="AC535:AC598" si="34">IF($B535="","",IF($J535&gt;=4,"Yes",""))</f>
        <v/>
      </c>
      <c r="AD535" s="63" t="str">
        <f>IF($A535="","",IFERROR(IF(VLOOKUP($A535,'Risk Register'!$B$2:$H$1000,4,FALSE())&gt;=4,"Yes",""),""))</f>
        <v/>
      </c>
      <c r="AE535" s="63" t="str">
        <f t="shared" ref="AE535:AE598" si="35">IF(OR($N535="", $O535=""),"",IF($N535&gt;=3.5,IF($O535&gt;=3.5,"High Value / High Risk","High Value / Low Risk"),IF($O535&gt;=3.5,"Low Value / High Risk","Low Value / Low Risk")))</f>
        <v/>
      </c>
      <c r="AF535" s="62"/>
      <c r="AG535" s="62"/>
      <c r="AH535" s="62"/>
      <c r="AI535" s="62"/>
      <c r="AJ535" s="62"/>
      <c r="AK535" s="62"/>
      <c r="AL535" s="62"/>
      <c r="AM535" s="62"/>
      <c r="AN535" s="62"/>
      <c r="AO535" s="62"/>
      <c r="AP535" s="62"/>
      <c r="AQ535" s="80"/>
    </row>
    <row r="536" spans="1:43" ht="15.75" customHeight="1" x14ac:dyDescent="0.2">
      <c r="A536" s="63" t="str">
        <f t="shared" si="32"/>
        <v/>
      </c>
      <c r="B536" s="62"/>
      <c r="C536" s="62"/>
      <c r="D536" s="62"/>
      <c r="E536" s="62"/>
      <c r="F536" s="62"/>
      <c r="G536" s="62"/>
      <c r="H536" s="62"/>
      <c r="I536" s="66"/>
      <c r="J536" s="66"/>
      <c r="K536" s="66"/>
      <c r="L536" s="66"/>
      <c r="M536" s="66"/>
      <c r="N536" s="64" t="str">
        <f>IF(OR($B536="", $I536="", $J536="", $K536="", $L536="", $M536=""),"",ROUND(($I536*Lists!$AN$2)+($J536*Lists!$AN$3)+($K536*Lists!$AN$4)+($L536*Lists!$AN$5)+($M536*Lists!$AN$6),2))</f>
        <v/>
      </c>
      <c r="O536" s="64" t="str">
        <f>IF($A536="","",IFERROR(VLOOKUP($A536,'Risk Register'!$B$2:$I$1000,8,FALSE()),""))</f>
        <v/>
      </c>
      <c r="P536" s="66"/>
      <c r="Q536" s="66"/>
      <c r="R536" s="66"/>
      <c r="S536" s="66"/>
      <c r="T536" s="64" t="str">
        <f>IF(OR($B536="", $P536="", $Q536="", $R536="", $S536=""),"",ROUND(($P536*Lists!$AN$7)+($Q536*Lists!$AN$8)+($R536*Lists!$AN$9)+($S536*Lists!$AN$10),2))</f>
        <v/>
      </c>
      <c r="U536" s="66"/>
      <c r="V536" s="66"/>
      <c r="W536" s="66"/>
      <c r="X536" s="66"/>
      <c r="Y536" s="66"/>
      <c r="Z536" s="64" t="str">
        <f>IF(OR($B536="", $U536="", $V536="", $W536="", $X536="", $Y536=""),"",ROUND(($U536*Lists!$AN$11)+($V536*Lists!$AN$12)+($W536*Lists!$AN$13)+($X536*Lists!$AN$14)+($Y536*Lists!$AN$15),2))</f>
        <v/>
      </c>
      <c r="AA536" s="64" t="str">
        <f>IF(OR($B536="", $N536="", $O536="", $T536="", $Z536=""),"",ROUND(($N536*Lists!$AN$16)-($O536*Lists!$AN$17)-($T536*Lists!$AN$18)+($Z536*Lists!$AN$19),2))</f>
        <v/>
      </c>
      <c r="AB536" s="63" t="str">
        <f t="shared" si="33"/>
        <v/>
      </c>
      <c r="AC536" s="63" t="str">
        <f t="shared" si="34"/>
        <v/>
      </c>
      <c r="AD536" s="63" t="str">
        <f>IF($A536="","",IFERROR(IF(VLOOKUP($A536,'Risk Register'!$B$2:$H$1000,4,FALSE())&gt;=4,"Yes",""),""))</f>
        <v/>
      </c>
      <c r="AE536" s="63" t="str">
        <f t="shared" si="35"/>
        <v/>
      </c>
      <c r="AF536" s="62"/>
      <c r="AG536" s="62"/>
      <c r="AH536" s="62"/>
      <c r="AI536" s="62"/>
      <c r="AJ536" s="62"/>
      <c r="AK536" s="62"/>
      <c r="AL536" s="62"/>
      <c r="AM536" s="62"/>
      <c r="AN536" s="62"/>
      <c r="AO536" s="62"/>
      <c r="AP536" s="62"/>
      <c r="AQ536" s="80"/>
    </row>
    <row r="537" spans="1:43" ht="15.75" customHeight="1" x14ac:dyDescent="0.2">
      <c r="A537" s="63" t="str">
        <f t="shared" si="32"/>
        <v/>
      </c>
      <c r="B537" s="62"/>
      <c r="C537" s="62"/>
      <c r="D537" s="62"/>
      <c r="E537" s="62"/>
      <c r="F537" s="62"/>
      <c r="G537" s="62"/>
      <c r="H537" s="62"/>
      <c r="I537" s="66"/>
      <c r="J537" s="66"/>
      <c r="K537" s="66"/>
      <c r="L537" s="66"/>
      <c r="M537" s="66"/>
      <c r="N537" s="64" t="str">
        <f>IF(OR($B537="", $I537="", $J537="", $K537="", $L537="", $M537=""),"",ROUND(($I537*Lists!$AN$2)+($J537*Lists!$AN$3)+($K537*Lists!$AN$4)+($L537*Lists!$AN$5)+($M537*Lists!$AN$6),2))</f>
        <v/>
      </c>
      <c r="O537" s="64" t="str">
        <f>IF($A537="","",IFERROR(VLOOKUP($A537,'Risk Register'!$B$2:$I$1000,8,FALSE()),""))</f>
        <v/>
      </c>
      <c r="P537" s="66"/>
      <c r="Q537" s="66"/>
      <c r="R537" s="66"/>
      <c r="S537" s="66"/>
      <c r="T537" s="64" t="str">
        <f>IF(OR($B537="", $P537="", $Q537="", $R537="", $S537=""),"",ROUND(($P537*Lists!$AN$7)+($Q537*Lists!$AN$8)+($R537*Lists!$AN$9)+($S537*Lists!$AN$10),2))</f>
        <v/>
      </c>
      <c r="U537" s="66"/>
      <c r="V537" s="66"/>
      <c r="W537" s="66"/>
      <c r="X537" s="66"/>
      <c r="Y537" s="66"/>
      <c r="Z537" s="64" t="str">
        <f>IF(OR($B537="", $U537="", $V537="", $W537="", $X537="", $Y537=""),"",ROUND(($U537*Lists!$AN$11)+($V537*Lists!$AN$12)+($W537*Lists!$AN$13)+($X537*Lists!$AN$14)+($Y537*Lists!$AN$15),2))</f>
        <v/>
      </c>
      <c r="AA537" s="64" t="str">
        <f>IF(OR($B537="", $N537="", $O537="", $T537="", $Z537=""),"",ROUND(($N537*Lists!$AN$16)-($O537*Lists!$AN$17)-($T537*Lists!$AN$18)+($Z537*Lists!$AN$19),2))</f>
        <v/>
      </c>
      <c r="AB537" s="63" t="str">
        <f t="shared" si="33"/>
        <v/>
      </c>
      <c r="AC537" s="63" t="str">
        <f t="shared" si="34"/>
        <v/>
      </c>
      <c r="AD537" s="63" t="str">
        <f>IF($A537="","",IFERROR(IF(VLOOKUP($A537,'Risk Register'!$B$2:$H$1000,4,FALSE())&gt;=4,"Yes",""),""))</f>
        <v/>
      </c>
      <c r="AE537" s="63" t="str">
        <f t="shared" si="35"/>
        <v/>
      </c>
      <c r="AF537" s="62"/>
      <c r="AG537" s="62"/>
      <c r="AH537" s="62"/>
      <c r="AI537" s="62"/>
      <c r="AJ537" s="62"/>
      <c r="AK537" s="62"/>
      <c r="AL537" s="62"/>
      <c r="AM537" s="62"/>
      <c r="AN537" s="62"/>
      <c r="AO537" s="62"/>
      <c r="AP537" s="62"/>
      <c r="AQ537" s="80"/>
    </row>
    <row r="538" spans="1:43" ht="15.75" customHeight="1" x14ac:dyDescent="0.2">
      <c r="A538" s="63" t="str">
        <f t="shared" si="32"/>
        <v/>
      </c>
      <c r="B538" s="62"/>
      <c r="C538" s="62"/>
      <c r="D538" s="62"/>
      <c r="E538" s="62"/>
      <c r="F538" s="62"/>
      <c r="G538" s="62"/>
      <c r="H538" s="62"/>
      <c r="I538" s="66"/>
      <c r="J538" s="66"/>
      <c r="K538" s="66"/>
      <c r="L538" s="66"/>
      <c r="M538" s="66"/>
      <c r="N538" s="64" t="str">
        <f>IF(OR($B538="", $I538="", $J538="", $K538="", $L538="", $M538=""),"",ROUND(($I538*Lists!$AN$2)+($J538*Lists!$AN$3)+($K538*Lists!$AN$4)+($L538*Lists!$AN$5)+($M538*Lists!$AN$6),2))</f>
        <v/>
      </c>
      <c r="O538" s="64" t="str">
        <f>IF($A538="","",IFERROR(VLOOKUP($A538,'Risk Register'!$B$2:$I$1000,8,FALSE()),""))</f>
        <v/>
      </c>
      <c r="P538" s="66"/>
      <c r="Q538" s="66"/>
      <c r="R538" s="66"/>
      <c r="S538" s="66"/>
      <c r="T538" s="64" t="str">
        <f>IF(OR($B538="", $P538="", $Q538="", $R538="", $S538=""),"",ROUND(($P538*Lists!$AN$7)+($Q538*Lists!$AN$8)+($R538*Lists!$AN$9)+($S538*Lists!$AN$10),2))</f>
        <v/>
      </c>
      <c r="U538" s="66"/>
      <c r="V538" s="66"/>
      <c r="W538" s="66"/>
      <c r="X538" s="66"/>
      <c r="Y538" s="66"/>
      <c r="Z538" s="64" t="str">
        <f>IF(OR($B538="", $U538="", $V538="", $W538="", $X538="", $Y538=""),"",ROUND(($U538*Lists!$AN$11)+($V538*Lists!$AN$12)+($W538*Lists!$AN$13)+($X538*Lists!$AN$14)+($Y538*Lists!$AN$15),2))</f>
        <v/>
      </c>
      <c r="AA538" s="64" t="str">
        <f>IF(OR($B538="", $N538="", $O538="", $T538="", $Z538=""),"",ROUND(($N538*Lists!$AN$16)-($O538*Lists!$AN$17)-($T538*Lists!$AN$18)+($Z538*Lists!$AN$19),2))</f>
        <v/>
      </c>
      <c r="AB538" s="63" t="str">
        <f t="shared" si="33"/>
        <v/>
      </c>
      <c r="AC538" s="63" t="str">
        <f t="shared" si="34"/>
        <v/>
      </c>
      <c r="AD538" s="63" t="str">
        <f>IF($A538="","",IFERROR(IF(VLOOKUP($A538,'Risk Register'!$B$2:$H$1000,4,FALSE())&gt;=4,"Yes",""),""))</f>
        <v/>
      </c>
      <c r="AE538" s="63" t="str">
        <f t="shared" si="35"/>
        <v/>
      </c>
      <c r="AF538" s="62"/>
      <c r="AG538" s="62"/>
      <c r="AH538" s="62"/>
      <c r="AI538" s="62"/>
      <c r="AJ538" s="62"/>
      <c r="AK538" s="62"/>
      <c r="AL538" s="62"/>
      <c r="AM538" s="62"/>
      <c r="AN538" s="62"/>
      <c r="AO538" s="62"/>
      <c r="AP538" s="62"/>
      <c r="AQ538" s="80"/>
    </row>
    <row r="539" spans="1:43" ht="15.75" customHeight="1" x14ac:dyDescent="0.2">
      <c r="A539" s="63" t="str">
        <f t="shared" si="32"/>
        <v/>
      </c>
      <c r="B539" s="62"/>
      <c r="C539" s="62"/>
      <c r="D539" s="62"/>
      <c r="E539" s="62"/>
      <c r="F539" s="62"/>
      <c r="G539" s="62"/>
      <c r="H539" s="62"/>
      <c r="I539" s="66"/>
      <c r="J539" s="66"/>
      <c r="K539" s="66"/>
      <c r="L539" s="66"/>
      <c r="M539" s="66"/>
      <c r="N539" s="64" t="str">
        <f>IF(OR($B539="", $I539="", $J539="", $K539="", $L539="", $M539=""),"",ROUND(($I539*Lists!$AN$2)+($J539*Lists!$AN$3)+($K539*Lists!$AN$4)+($L539*Lists!$AN$5)+($M539*Lists!$AN$6),2))</f>
        <v/>
      </c>
      <c r="O539" s="64" t="str">
        <f>IF($A539="","",IFERROR(VLOOKUP($A539,'Risk Register'!$B$2:$I$1000,8,FALSE()),""))</f>
        <v/>
      </c>
      <c r="P539" s="66"/>
      <c r="Q539" s="66"/>
      <c r="R539" s="66"/>
      <c r="S539" s="66"/>
      <c r="T539" s="64" t="str">
        <f>IF(OR($B539="", $P539="", $Q539="", $R539="", $S539=""),"",ROUND(($P539*Lists!$AN$7)+($Q539*Lists!$AN$8)+($R539*Lists!$AN$9)+($S539*Lists!$AN$10),2))</f>
        <v/>
      </c>
      <c r="U539" s="66"/>
      <c r="V539" s="66"/>
      <c r="W539" s="66"/>
      <c r="X539" s="66"/>
      <c r="Y539" s="66"/>
      <c r="Z539" s="64" t="str">
        <f>IF(OR($B539="", $U539="", $V539="", $W539="", $X539="", $Y539=""),"",ROUND(($U539*Lists!$AN$11)+($V539*Lists!$AN$12)+($W539*Lists!$AN$13)+($X539*Lists!$AN$14)+($Y539*Lists!$AN$15),2))</f>
        <v/>
      </c>
      <c r="AA539" s="64" t="str">
        <f>IF(OR($B539="", $N539="", $O539="", $T539="", $Z539=""),"",ROUND(($N539*Lists!$AN$16)-($O539*Lists!$AN$17)-($T539*Lists!$AN$18)+($Z539*Lists!$AN$19),2))</f>
        <v/>
      </c>
      <c r="AB539" s="63" t="str">
        <f t="shared" si="33"/>
        <v/>
      </c>
      <c r="AC539" s="63" t="str">
        <f t="shared" si="34"/>
        <v/>
      </c>
      <c r="AD539" s="63" t="str">
        <f>IF($A539="","",IFERROR(IF(VLOOKUP($A539,'Risk Register'!$B$2:$H$1000,4,FALSE())&gt;=4,"Yes",""),""))</f>
        <v/>
      </c>
      <c r="AE539" s="63" t="str">
        <f t="shared" si="35"/>
        <v/>
      </c>
      <c r="AF539" s="62"/>
      <c r="AG539" s="62"/>
      <c r="AH539" s="62"/>
      <c r="AI539" s="62"/>
      <c r="AJ539" s="62"/>
      <c r="AK539" s="62"/>
      <c r="AL539" s="62"/>
      <c r="AM539" s="62"/>
      <c r="AN539" s="62"/>
      <c r="AO539" s="62"/>
      <c r="AP539" s="62"/>
      <c r="AQ539" s="80"/>
    </row>
    <row r="540" spans="1:43" ht="15.75" customHeight="1" x14ac:dyDescent="0.2">
      <c r="A540" s="63" t="str">
        <f t="shared" si="32"/>
        <v/>
      </c>
      <c r="B540" s="62"/>
      <c r="C540" s="62"/>
      <c r="D540" s="62"/>
      <c r="E540" s="62"/>
      <c r="F540" s="62"/>
      <c r="G540" s="62"/>
      <c r="H540" s="62"/>
      <c r="I540" s="66"/>
      <c r="J540" s="66"/>
      <c r="K540" s="66"/>
      <c r="L540" s="66"/>
      <c r="M540" s="66"/>
      <c r="N540" s="64" t="str">
        <f>IF(OR($B540="", $I540="", $J540="", $K540="", $L540="", $M540=""),"",ROUND(($I540*Lists!$AN$2)+($J540*Lists!$AN$3)+($K540*Lists!$AN$4)+($L540*Lists!$AN$5)+($M540*Lists!$AN$6),2))</f>
        <v/>
      </c>
      <c r="O540" s="64" t="str">
        <f>IF($A540="","",IFERROR(VLOOKUP($A540,'Risk Register'!$B$2:$I$1000,8,FALSE()),""))</f>
        <v/>
      </c>
      <c r="P540" s="66"/>
      <c r="Q540" s="66"/>
      <c r="R540" s="66"/>
      <c r="S540" s="66"/>
      <c r="T540" s="64" t="str">
        <f>IF(OR($B540="", $P540="", $Q540="", $R540="", $S540=""),"",ROUND(($P540*Lists!$AN$7)+($Q540*Lists!$AN$8)+($R540*Lists!$AN$9)+($S540*Lists!$AN$10),2))</f>
        <v/>
      </c>
      <c r="U540" s="66"/>
      <c r="V540" s="66"/>
      <c r="W540" s="66"/>
      <c r="X540" s="66"/>
      <c r="Y540" s="66"/>
      <c r="Z540" s="64" t="str">
        <f>IF(OR($B540="", $U540="", $V540="", $W540="", $X540="", $Y540=""),"",ROUND(($U540*Lists!$AN$11)+($V540*Lists!$AN$12)+($W540*Lists!$AN$13)+($X540*Lists!$AN$14)+($Y540*Lists!$AN$15),2))</f>
        <v/>
      </c>
      <c r="AA540" s="64" t="str">
        <f>IF(OR($B540="", $N540="", $O540="", $T540="", $Z540=""),"",ROUND(($N540*Lists!$AN$16)-($O540*Lists!$AN$17)-($T540*Lists!$AN$18)+($Z540*Lists!$AN$19),2))</f>
        <v/>
      </c>
      <c r="AB540" s="63" t="str">
        <f t="shared" si="33"/>
        <v/>
      </c>
      <c r="AC540" s="63" t="str">
        <f t="shared" si="34"/>
        <v/>
      </c>
      <c r="AD540" s="63" t="str">
        <f>IF($A540="","",IFERROR(IF(VLOOKUP($A540,'Risk Register'!$B$2:$H$1000,4,FALSE())&gt;=4,"Yes",""),""))</f>
        <v/>
      </c>
      <c r="AE540" s="63" t="str">
        <f t="shared" si="35"/>
        <v/>
      </c>
      <c r="AF540" s="62"/>
      <c r="AG540" s="62"/>
      <c r="AH540" s="62"/>
      <c r="AI540" s="62"/>
      <c r="AJ540" s="62"/>
      <c r="AK540" s="62"/>
      <c r="AL540" s="62"/>
      <c r="AM540" s="62"/>
      <c r="AN540" s="62"/>
      <c r="AO540" s="62"/>
      <c r="AP540" s="62"/>
      <c r="AQ540" s="80"/>
    </row>
    <row r="541" spans="1:43" ht="15.75" customHeight="1" x14ac:dyDescent="0.2">
      <c r="A541" s="63" t="str">
        <f t="shared" si="32"/>
        <v/>
      </c>
      <c r="B541" s="62"/>
      <c r="C541" s="62"/>
      <c r="D541" s="62"/>
      <c r="E541" s="62"/>
      <c r="F541" s="62"/>
      <c r="G541" s="62"/>
      <c r="H541" s="62"/>
      <c r="I541" s="66"/>
      <c r="J541" s="66"/>
      <c r="K541" s="66"/>
      <c r="L541" s="66"/>
      <c r="M541" s="66"/>
      <c r="N541" s="64" t="str">
        <f>IF(OR($B541="", $I541="", $J541="", $K541="", $L541="", $M541=""),"",ROUND(($I541*Lists!$AN$2)+($J541*Lists!$AN$3)+($K541*Lists!$AN$4)+($L541*Lists!$AN$5)+($M541*Lists!$AN$6),2))</f>
        <v/>
      </c>
      <c r="O541" s="64" t="str">
        <f>IF($A541="","",IFERROR(VLOOKUP($A541,'Risk Register'!$B$2:$I$1000,8,FALSE()),""))</f>
        <v/>
      </c>
      <c r="P541" s="66"/>
      <c r="Q541" s="66"/>
      <c r="R541" s="66"/>
      <c r="S541" s="66"/>
      <c r="T541" s="64" t="str">
        <f>IF(OR($B541="", $P541="", $Q541="", $R541="", $S541=""),"",ROUND(($P541*Lists!$AN$7)+($Q541*Lists!$AN$8)+($R541*Lists!$AN$9)+($S541*Lists!$AN$10),2))</f>
        <v/>
      </c>
      <c r="U541" s="66"/>
      <c r="V541" s="66"/>
      <c r="W541" s="66"/>
      <c r="X541" s="66"/>
      <c r="Y541" s="66"/>
      <c r="Z541" s="64" t="str">
        <f>IF(OR($B541="", $U541="", $V541="", $W541="", $X541="", $Y541=""),"",ROUND(($U541*Lists!$AN$11)+($V541*Lists!$AN$12)+($W541*Lists!$AN$13)+($X541*Lists!$AN$14)+($Y541*Lists!$AN$15),2))</f>
        <v/>
      </c>
      <c r="AA541" s="64" t="str">
        <f>IF(OR($B541="", $N541="", $O541="", $T541="", $Z541=""),"",ROUND(($N541*Lists!$AN$16)-($O541*Lists!$AN$17)-($T541*Lists!$AN$18)+($Z541*Lists!$AN$19),2))</f>
        <v/>
      </c>
      <c r="AB541" s="63" t="str">
        <f t="shared" si="33"/>
        <v/>
      </c>
      <c r="AC541" s="63" t="str">
        <f t="shared" si="34"/>
        <v/>
      </c>
      <c r="AD541" s="63" t="str">
        <f>IF($A541="","",IFERROR(IF(VLOOKUP($A541,'Risk Register'!$B$2:$H$1000,4,FALSE())&gt;=4,"Yes",""),""))</f>
        <v/>
      </c>
      <c r="AE541" s="63" t="str">
        <f t="shared" si="35"/>
        <v/>
      </c>
      <c r="AF541" s="62"/>
      <c r="AG541" s="62"/>
      <c r="AH541" s="62"/>
      <c r="AI541" s="62"/>
      <c r="AJ541" s="62"/>
      <c r="AK541" s="62"/>
      <c r="AL541" s="62"/>
      <c r="AM541" s="62"/>
      <c r="AN541" s="62"/>
      <c r="AO541" s="62"/>
      <c r="AP541" s="62"/>
      <c r="AQ541" s="80"/>
    </row>
    <row r="542" spans="1:43" ht="15.75" customHeight="1" x14ac:dyDescent="0.2">
      <c r="A542" s="63" t="str">
        <f t="shared" si="32"/>
        <v/>
      </c>
      <c r="B542" s="62"/>
      <c r="C542" s="62"/>
      <c r="D542" s="62"/>
      <c r="E542" s="62"/>
      <c r="F542" s="62"/>
      <c r="G542" s="62"/>
      <c r="H542" s="62"/>
      <c r="I542" s="66"/>
      <c r="J542" s="66"/>
      <c r="K542" s="66"/>
      <c r="L542" s="66"/>
      <c r="M542" s="66"/>
      <c r="N542" s="64" t="str">
        <f>IF(OR($B542="", $I542="", $J542="", $K542="", $L542="", $M542=""),"",ROUND(($I542*Lists!$AN$2)+($J542*Lists!$AN$3)+($K542*Lists!$AN$4)+($L542*Lists!$AN$5)+($M542*Lists!$AN$6),2))</f>
        <v/>
      </c>
      <c r="O542" s="64" t="str">
        <f>IF($A542="","",IFERROR(VLOOKUP($A542,'Risk Register'!$B$2:$I$1000,8,FALSE()),""))</f>
        <v/>
      </c>
      <c r="P542" s="66"/>
      <c r="Q542" s="66"/>
      <c r="R542" s="66"/>
      <c r="S542" s="66"/>
      <c r="T542" s="64" t="str">
        <f>IF(OR($B542="", $P542="", $Q542="", $R542="", $S542=""),"",ROUND(($P542*Lists!$AN$7)+($Q542*Lists!$AN$8)+($R542*Lists!$AN$9)+($S542*Lists!$AN$10),2))</f>
        <v/>
      </c>
      <c r="U542" s="66"/>
      <c r="V542" s="66"/>
      <c r="W542" s="66"/>
      <c r="X542" s="66"/>
      <c r="Y542" s="66"/>
      <c r="Z542" s="64" t="str">
        <f>IF(OR($B542="", $U542="", $V542="", $W542="", $X542="", $Y542=""),"",ROUND(($U542*Lists!$AN$11)+($V542*Lists!$AN$12)+($W542*Lists!$AN$13)+($X542*Lists!$AN$14)+($Y542*Lists!$AN$15),2))</f>
        <v/>
      </c>
      <c r="AA542" s="64" t="str">
        <f>IF(OR($B542="", $N542="", $O542="", $T542="", $Z542=""),"",ROUND(($N542*Lists!$AN$16)-($O542*Lists!$AN$17)-($T542*Lists!$AN$18)+($Z542*Lists!$AN$19),2))</f>
        <v/>
      </c>
      <c r="AB542" s="63" t="str">
        <f t="shared" si="33"/>
        <v/>
      </c>
      <c r="AC542" s="63" t="str">
        <f t="shared" si="34"/>
        <v/>
      </c>
      <c r="AD542" s="63" t="str">
        <f>IF($A542="","",IFERROR(IF(VLOOKUP($A542,'Risk Register'!$B$2:$H$1000,4,FALSE())&gt;=4,"Yes",""),""))</f>
        <v/>
      </c>
      <c r="AE542" s="63" t="str">
        <f t="shared" si="35"/>
        <v/>
      </c>
      <c r="AF542" s="62"/>
      <c r="AG542" s="62"/>
      <c r="AH542" s="62"/>
      <c r="AI542" s="62"/>
      <c r="AJ542" s="62"/>
      <c r="AK542" s="62"/>
      <c r="AL542" s="62"/>
      <c r="AM542" s="62"/>
      <c r="AN542" s="62"/>
      <c r="AO542" s="62"/>
      <c r="AP542" s="62"/>
      <c r="AQ542" s="80"/>
    </row>
    <row r="543" spans="1:43" ht="15.75" customHeight="1" x14ac:dyDescent="0.2">
      <c r="A543" s="63" t="str">
        <f t="shared" si="32"/>
        <v/>
      </c>
      <c r="B543" s="62"/>
      <c r="C543" s="62"/>
      <c r="D543" s="62"/>
      <c r="E543" s="62"/>
      <c r="F543" s="62"/>
      <c r="G543" s="62"/>
      <c r="H543" s="62"/>
      <c r="I543" s="66"/>
      <c r="J543" s="66"/>
      <c r="K543" s="66"/>
      <c r="L543" s="66"/>
      <c r="M543" s="66"/>
      <c r="N543" s="64" t="str">
        <f>IF(OR($B543="", $I543="", $J543="", $K543="", $L543="", $M543=""),"",ROUND(($I543*Lists!$AN$2)+($J543*Lists!$AN$3)+($K543*Lists!$AN$4)+($L543*Lists!$AN$5)+($M543*Lists!$AN$6),2))</f>
        <v/>
      </c>
      <c r="O543" s="64" t="str">
        <f>IF($A543="","",IFERROR(VLOOKUP($A543,'Risk Register'!$B$2:$I$1000,8,FALSE()),""))</f>
        <v/>
      </c>
      <c r="P543" s="66"/>
      <c r="Q543" s="66"/>
      <c r="R543" s="66"/>
      <c r="S543" s="66"/>
      <c r="T543" s="64" t="str">
        <f>IF(OR($B543="", $P543="", $Q543="", $R543="", $S543=""),"",ROUND(($P543*Lists!$AN$7)+($Q543*Lists!$AN$8)+($R543*Lists!$AN$9)+($S543*Lists!$AN$10),2))</f>
        <v/>
      </c>
      <c r="U543" s="66"/>
      <c r="V543" s="66"/>
      <c r="W543" s="66"/>
      <c r="X543" s="66"/>
      <c r="Y543" s="66"/>
      <c r="Z543" s="64" t="str">
        <f>IF(OR($B543="", $U543="", $V543="", $W543="", $X543="", $Y543=""),"",ROUND(($U543*Lists!$AN$11)+($V543*Lists!$AN$12)+($W543*Lists!$AN$13)+($X543*Lists!$AN$14)+($Y543*Lists!$AN$15),2))</f>
        <v/>
      </c>
      <c r="AA543" s="64" t="str">
        <f>IF(OR($B543="", $N543="", $O543="", $T543="", $Z543=""),"",ROUND(($N543*Lists!$AN$16)-($O543*Lists!$AN$17)-($T543*Lists!$AN$18)+($Z543*Lists!$AN$19),2))</f>
        <v/>
      </c>
      <c r="AB543" s="63" t="str">
        <f t="shared" si="33"/>
        <v/>
      </c>
      <c r="AC543" s="63" t="str">
        <f t="shared" si="34"/>
        <v/>
      </c>
      <c r="AD543" s="63" t="str">
        <f>IF($A543="","",IFERROR(IF(VLOOKUP($A543,'Risk Register'!$B$2:$H$1000,4,FALSE())&gt;=4,"Yes",""),""))</f>
        <v/>
      </c>
      <c r="AE543" s="63" t="str">
        <f t="shared" si="35"/>
        <v/>
      </c>
      <c r="AF543" s="62"/>
      <c r="AG543" s="62"/>
      <c r="AH543" s="62"/>
      <c r="AI543" s="62"/>
      <c r="AJ543" s="62"/>
      <c r="AK543" s="62"/>
      <c r="AL543" s="62"/>
      <c r="AM543" s="62"/>
      <c r="AN543" s="62"/>
      <c r="AO543" s="62"/>
      <c r="AP543" s="62"/>
      <c r="AQ543" s="80"/>
    </row>
    <row r="544" spans="1:43" ht="15.75" customHeight="1" x14ac:dyDescent="0.2">
      <c r="A544" s="63" t="str">
        <f t="shared" si="32"/>
        <v/>
      </c>
      <c r="B544" s="62"/>
      <c r="C544" s="62"/>
      <c r="D544" s="62"/>
      <c r="E544" s="62"/>
      <c r="F544" s="62"/>
      <c r="G544" s="62"/>
      <c r="H544" s="62"/>
      <c r="I544" s="66"/>
      <c r="J544" s="66"/>
      <c r="K544" s="66"/>
      <c r="L544" s="66"/>
      <c r="M544" s="66"/>
      <c r="N544" s="64" t="str">
        <f>IF(OR($B544="", $I544="", $J544="", $K544="", $L544="", $M544=""),"",ROUND(($I544*Lists!$AN$2)+($J544*Lists!$AN$3)+($K544*Lists!$AN$4)+($L544*Lists!$AN$5)+($M544*Lists!$AN$6),2))</f>
        <v/>
      </c>
      <c r="O544" s="64" t="str">
        <f>IF($A544="","",IFERROR(VLOOKUP($A544,'Risk Register'!$B$2:$I$1000,8,FALSE()),""))</f>
        <v/>
      </c>
      <c r="P544" s="66"/>
      <c r="Q544" s="66"/>
      <c r="R544" s="66"/>
      <c r="S544" s="66"/>
      <c r="T544" s="64" t="str">
        <f>IF(OR($B544="", $P544="", $Q544="", $R544="", $S544=""),"",ROUND(($P544*Lists!$AN$7)+($Q544*Lists!$AN$8)+($R544*Lists!$AN$9)+($S544*Lists!$AN$10),2))</f>
        <v/>
      </c>
      <c r="U544" s="66"/>
      <c r="V544" s="66"/>
      <c r="W544" s="66"/>
      <c r="X544" s="66"/>
      <c r="Y544" s="66"/>
      <c r="Z544" s="64" t="str">
        <f>IF(OR($B544="", $U544="", $V544="", $W544="", $X544="", $Y544=""),"",ROUND(($U544*Lists!$AN$11)+($V544*Lists!$AN$12)+($W544*Lists!$AN$13)+($X544*Lists!$AN$14)+($Y544*Lists!$AN$15),2))</f>
        <v/>
      </c>
      <c r="AA544" s="64" t="str">
        <f>IF(OR($B544="", $N544="", $O544="", $T544="", $Z544=""),"",ROUND(($N544*Lists!$AN$16)-($O544*Lists!$AN$17)-($T544*Lists!$AN$18)+($Z544*Lists!$AN$19),2))</f>
        <v/>
      </c>
      <c r="AB544" s="63" t="str">
        <f t="shared" si="33"/>
        <v/>
      </c>
      <c r="AC544" s="63" t="str">
        <f t="shared" si="34"/>
        <v/>
      </c>
      <c r="AD544" s="63" t="str">
        <f>IF($A544="","",IFERROR(IF(VLOOKUP($A544,'Risk Register'!$B$2:$H$1000,4,FALSE())&gt;=4,"Yes",""),""))</f>
        <v/>
      </c>
      <c r="AE544" s="63" t="str">
        <f t="shared" si="35"/>
        <v/>
      </c>
      <c r="AF544" s="62"/>
      <c r="AG544" s="62"/>
      <c r="AH544" s="62"/>
      <c r="AI544" s="62"/>
      <c r="AJ544" s="62"/>
      <c r="AK544" s="62"/>
      <c r="AL544" s="62"/>
      <c r="AM544" s="62"/>
      <c r="AN544" s="62"/>
      <c r="AO544" s="62"/>
      <c r="AP544" s="62"/>
      <c r="AQ544" s="80"/>
    </row>
    <row r="545" spans="1:43" ht="15.75" customHeight="1" x14ac:dyDescent="0.2">
      <c r="A545" s="63" t="str">
        <f t="shared" si="32"/>
        <v/>
      </c>
      <c r="B545" s="62"/>
      <c r="C545" s="62"/>
      <c r="D545" s="62"/>
      <c r="E545" s="62"/>
      <c r="F545" s="62"/>
      <c r="G545" s="62"/>
      <c r="H545" s="62"/>
      <c r="I545" s="66"/>
      <c r="J545" s="66"/>
      <c r="K545" s="66"/>
      <c r="L545" s="66"/>
      <c r="M545" s="66"/>
      <c r="N545" s="64" t="str">
        <f>IF(OR($B545="", $I545="", $J545="", $K545="", $L545="", $M545=""),"",ROUND(($I545*Lists!$AN$2)+($J545*Lists!$AN$3)+($K545*Lists!$AN$4)+($L545*Lists!$AN$5)+($M545*Lists!$AN$6),2))</f>
        <v/>
      </c>
      <c r="O545" s="64" t="str">
        <f>IF($A545="","",IFERROR(VLOOKUP($A545,'Risk Register'!$B$2:$I$1000,8,FALSE()),""))</f>
        <v/>
      </c>
      <c r="P545" s="66"/>
      <c r="Q545" s="66"/>
      <c r="R545" s="66"/>
      <c r="S545" s="66"/>
      <c r="T545" s="64" t="str">
        <f>IF(OR($B545="", $P545="", $Q545="", $R545="", $S545=""),"",ROUND(($P545*Lists!$AN$7)+($Q545*Lists!$AN$8)+($R545*Lists!$AN$9)+($S545*Lists!$AN$10),2))</f>
        <v/>
      </c>
      <c r="U545" s="66"/>
      <c r="V545" s="66"/>
      <c r="W545" s="66"/>
      <c r="X545" s="66"/>
      <c r="Y545" s="66"/>
      <c r="Z545" s="64" t="str">
        <f>IF(OR($B545="", $U545="", $V545="", $W545="", $X545="", $Y545=""),"",ROUND(($U545*Lists!$AN$11)+($V545*Lists!$AN$12)+($W545*Lists!$AN$13)+($X545*Lists!$AN$14)+($Y545*Lists!$AN$15),2))</f>
        <v/>
      </c>
      <c r="AA545" s="64" t="str">
        <f>IF(OR($B545="", $N545="", $O545="", $T545="", $Z545=""),"",ROUND(($N545*Lists!$AN$16)-($O545*Lists!$AN$17)-($T545*Lists!$AN$18)+($Z545*Lists!$AN$19),2))</f>
        <v/>
      </c>
      <c r="AB545" s="63" t="str">
        <f t="shared" si="33"/>
        <v/>
      </c>
      <c r="AC545" s="63" t="str">
        <f t="shared" si="34"/>
        <v/>
      </c>
      <c r="AD545" s="63" t="str">
        <f>IF($A545="","",IFERROR(IF(VLOOKUP($A545,'Risk Register'!$B$2:$H$1000,4,FALSE())&gt;=4,"Yes",""),""))</f>
        <v/>
      </c>
      <c r="AE545" s="63" t="str">
        <f t="shared" si="35"/>
        <v/>
      </c>
      <c r="AF545" s="62"/>
      <c r="AG545" s="62"/>
      <c r="AH545" s="62"/>
      <c r="AI545" s="62"/>
      <c r="AJ545" s="62"/>
      <c r="AK545" s="62"/>
      <c r="AL545" s="62"/>
      <c r="AM545" s="62"/>
      <c r="AN545" s="62"/>
      <c r="AO545" s="62"/>
      <c r="AP545" s="62"/>
      <c r="AQ545" s="80"/>
    </row>
    <row r="546" spans="1:43" ht="15.75" customHeight="1" x14ac:dyDescent="0.2">
      <c r="A546" s="63" t="str">
        <f t="shared" si="32"/>
        <v/>
      </c>
      <c r="B546" s="62"/>
      <c r="C546" s="62"/>
      <c r="D546" s="62"/>
      <c r="E546" s="62"/>
      <c r="F546" s="62"/>
      <c r="G546" s="62"/>
      <c r="H546" s="62"/>
      <c r="I546" s="66"/>
      <c r="J546" s="66"/>
      <c r="K546" s="66"/>
      <c r="L546" s="66"/>
      <c r="M546" s="66"/>
      <c r="N546" s="64" t="str">
        <f>IF(OR($B546="", $I546="", $J546="", $K546="", $L546="", $M546=""),"",ROUND(($I546*Lists!$AN$2)+($J546*Lists!$AN$3)+($K546*Lists!$AN$4)+($L546*Lists!$AN$5)+($M546*Lists!$AN$6),2))</f>
        <v/>
      </c>
      <c r="O546" s="64" t="str">
        <f>IF($A546="","",IFERROR(VLOOKUP($A546,'Risk Register'!$B$2:$I$1000,8,FALSE()),""))</f>
        <v/>
      </c>
      <c r="P546" s="66"/>
      <c r="Q546" s="66"/>
      <c r="R546" s="66"/>
      <c r="S546" s="66"/>
      <c r="T546" s="64" t="str">
        <f>IF(OR($B546="", $P546="", $Q546="", $R546="", $S546=""),"",ROUND(($P546*Lists!$AN$7)+($Q546*Lists!$AN$8)+($R546*Lists!$AN$9)+($S546*Lists!$AN$10),2))</f>
        <v/>
      </c>
      <c r="U546" s="66"/>
      <c r="V546" s="66"/>
      <c r="W546" s="66"/>
      <c r="X546" s="66"/>
      <c r="Y546" s="66"/>
      <c r="Z546" s="64" t="str">
        <f>IF(OR($B546="", $U546="", $V546="", $W546="", $X546="", $Y546=""),"",ROUND(($U546*Lists!$AN$11)+($V546*Lists!$AN$12)+($W546*Lists!$AN$13)+($X546*Lists!$AN$14)+($Y546*Lists!$AN$15),2))</f>
        <v/>
      </c>
      <c r="AA546" s="64" t="str">
        <f>IF(OR($B546="", $N546="", $O546="", $T546="", $Z546=""),"",ROUND(($N546*Lists!$AN$16)-($O546*Lists!$AN$17)-($T546*Lists!$AN$18)+($Z546*Lists!$AN$19),2))</f>
        <v/>
      </c>
      <c r="AB546" s="63" t="str">
        <f t="shared" si="33"/>
        <v/>
      </c>
      <c r="AC546" s="63" t="str">
        <f t="shared" si="34"/>
        <v/>
      </c>
      <c r="AD546" s="63" t="str">
        <f>IF($A546="","",IFERROR(IF(VLOOKUP($A546,'Risk Register'!$B$2:$H$1000,4,FALSE())&gt;=4,"Yes",""),""))</f>
        <v/>
      </c>
      <c r="AE546" s="63" t="str">
        <f t="shared" si="35"/>
        <v/>
      </c>
      <c r="AF546" s="62"/>
      <c r="AG546" s="62"/>
      <c r="AH546" s="62"/>
      <c r="AI546" s="62"/>
      <c r="AJ546" s="62"/>
      <c r="AK546" s="62"/>
      <c r="AL546" s="62"/>
      <c r="AM546" s="62"/>
      <c r="AN546" s="62"/>
      <c r="AO546" s="62"/>
      <c r="AP546" s="62"/>
      <c r="AQ546" s="80"/>
    </row>
    <row r="547" spans="1:43" ht="15.75" customHeight="1" x14ac:dyDescent="0.2">
      <c r="A547" s="63" t="str">
        <f t="shared" si="32"/>
        <v/>
      </c>
      <c r="B547" s="62"/>
      <c r="C547" s="62"/>
      <c r="D547" s="62"/>
      <c r="E547" s="62"/>
      <c r="F547" s="62"/>
      <c r="G547" s="62"/>
      <c r="H547" s="62"/>
      <c r="I547" s="66"/>
      <c r="J547" s="66"/>
      <c r="K547" s="66"/>
      <c r="L547" s="66"/>
      <c r="M547" s="66"/>
      <c r="N547" s="64" t="str">
        <f>IF(OR($B547="", $I547="", $J547="", $K547="", $L547="", $M547=""),"",ROUND(($I547*Lists!$AN$2)+($J547*Lists!$AN$3)+($K547*Lists!$AN$4)+($L547*Lists!$AN$5)+($M547*Lists!$AN$6),2))</f>
        <v/>
      </c>
      <c r="O547" s="64" t="str">
        <f>IF($A547="","",IFERROR(VLOOKUP($A547,'Risk Register'!$B$2:$I$1000,8,FALSE()),""))</f>
        <v/>
      </c>
      <c r="P547" s="66"/>
      <c r="Q547" s="66"/>
      <c r="R547" s="66"/>
      <c r="S547" s="66"/>
      <c r="T547" s="64" t="str">
        <f>IF(OR($B547="", $P547="", $Q547="", $R547="", $S547=""),"",ROUND(($P547*Lists!$AN$7)+($Q547*Lists!$AN$8)+($R547*Lists!$AN$9)+($S547*Lists!$AN$10),2))</f>
        <v/>
      </c>
      <c r="U547" s="66"/>
      <c r="V547" s="66"/>
      <c r="W547" s="66"/>
      <c r="X547" s="66"/>
      <c r="Y547" s="66"/>
      <c r="Z547" s="64" t="str">
        <f>IF(OR($B547="", $U547="", $V547="", $W547="", $X547="", $Y547=""),"",ROUND(($U547*Lists!$AN$11)+($V547*Lists!$AN$12)+($W547*Lists!$AN$13)+($X547*Lists!$AN$14)+($Y547*Lists!$AN$15),2))</f>
        <v/>
      </c>
      <c r="AA547" s="64" t="str">
        <f>IF(OR($B547="", $N547="", $O547="", $T547="", $Z547=""),"",ROUND(($N547*Lists!$AN$16)-($O547*Lists!$AN$17)-($T547*Lists!$AN$18)+($Z547*Lists!$AN$19),2))</f>
        <v/>
      </c>
      <c r="AB547" s="63" t="str">
        <f t="shared" si="33"/>
        <v/>
      </c>
      <c r="AC547" s="63" t="str">
        <f t="shared" si="34"/>
        <v/>
      </c>
      <c r="AD547" s="63" t="str">
        <f>IF($A547="","",IFERROR(IF(VLOOKUP($A547,'Risk Register'!$B$2:$H$1000,4,FALSE())&gt;=4,"Yes",""),""))</f>
        <v/>
      </c>
      <c r="AE547" s="63" t="str">
        <f t="shared" si="35"/>
        <v/>
      </c>
      <c r="AF547" s="62"/>
      <c r="AG547" s="62"/>
      <c r="AH547" s="62"/>
      <c r="AI547" s="62"/>
      <c r="AJ547" s="62"/>
      <c r="AK547" s="62"/>
      <c r="AL547" s="62"/>
      <c r="AM547" s="62"/>
      <c r="AN547" s="62"/>
      <c r="AO547" s="62"/>
      <c r="AP547" s="62"/>
      <c r="AQ547" s="80"/>
    </row>
    <row r="548" spans="1:43" ht="15.75" customHeight="1" x14ac:dyDescent="0.2">
      <c r="A548" s="63" t="str">
        <f t="shared" si="32"/>
        <v/>
      </c>
      <c r="B548" s="62"/>
      <c r="C548" s="62"/>
      <c r="D548" s="62"/>
      <c r="E548" s="62"/>
      <c r="F548" s="62"/>
      <c r="G548" s="62"/>
      <c r="H548" s="62"/>
      <c r="I548" s="66"/>
      <c r="J548" s="66"/>
      <c r="K548" s="66"/>
      <c r="L548" s="66"/>
      <c r="M548" s="66"/>
      <c r="N548" s="64" t="str">
        <f>IF(OR($B548="", $I548="", $J548="", $K548="", $L548="", $M548=""),"",ROUND(($I548*Lists!$AN$2)+($J548*Lists!$AN$3)+($K548*Lists!$AN$4)+($L548*Lists!$AN$5)+($M548*Lists!$AN$6),2))</f>
        <v/>
      </c>
      <c r="O548" s="64" t="str">
        <f>IF($A548="","",IFERROR(VLOOKUP($A548,'Risk Register'!$B$2:$I$1000,8,FALSE()),""))</f>
        <v/>
      </c>
      <c r="P548" s="66"/>
      <c r="Q548" s="66"/>
      <c r="R548" s="66"/>
      <c r="S548" s="66"/>
      <c r="T548" s="64" t="str">
        <f>IF(OR($B548="", $P548="", $Q548="", $R548="", $S548=""),"",ROUND(($P548*Lists!$AN$7)+($Q548*Lists!$AN$8)+($R548*Lists!$AN$9)+($S548*Lists!$AN$10),2))</f>
        <v/>
      </c>
      <c r="U548" s="66"/>
      <c r="V548" s="66"/>
      <c r="W548" s="66"/>
      <c r="X548" s="66"/>
      <c r="Y548" s="66"/>
      <c r="Z548" s="64" t="str">
        <f>IF(OR($B548="", $U548="", $V548="", $W548="", $X548="", $Y548=""),"",ROUND(($U548*Lists!$AN$11)+($V548*Lists!$AN$12)+($W548*Lists!$AN$13)+($X548*Lists!$AN$14)+($Y548*Lists!$AN$15),2))</f>
        <v/>
      </c>
      <c r="AA548" s="64" t="str">
        <f>IF(OR($B548="", $N548="", $O548="", $T548="", $Z548=""),"",ROUND(($N548*Lists!$AN$16)-($O548*Lists!$AN$17)-($T548*Lists!$AN$18)+($Z548*Lists!$AN$19),2))</f>
        <v/>
      </c>
      <c r="AB548" s="63" t="str">
        <f t="shared" si="33"/>
        <v/>
      </c>
      <c r="AC548" s="63" t="str">
        <f t="shared" si="34"/>
        <v/>
      </c>
      <c r="AD548" s="63" t="str">
        <f>IF($A548="","",IFERROR(IF(VLOOKUP($A548,'Risk Register'!$B$2:$H$1000,4,FALSE())&gt;=4,"Yes",""),""))</f>
        <v/>
      </c>
      <c r="AE548" s="63" t="str">
        <f t="shared" si="35"/>
        <v/>
      </c>
      <c r="AF548" s="62"/>
      <c r="AG548" s="62"/>
      <c r="AH548" s="62"/>
      <c r="AI548" s="62"/>
      <c r="AJ548" s="62"/>
      <c r="AK548" s="62"/>
      <c r="AL548" s="62"/>
      <c r="AM548" s="62"/>
      <c r="AN548" s="62"/>
      <c r="AO548" s="62"/>
      <c r="AP548" s="62"/>
      <c r="AQ548" s="80"/>
    </row>
    <row r="549" spans="1:43" ht="15.75" customHeight="1" x14ac:dyDescent="0.2">
      <c r="A549" s="63" t="str">
        <f t="shared" si="32"/>
        <v/>
      </c>
      <c r="B549" s="62"/>
      <c r="C549" s="62"/>
      <c r="D549" s="62"/>
      <c r="E549" s="62"/>
      <c r="F549" s="62"/>
      <c r="G549" s="62"/>
      <c r="H549" s="62"/>
      <c r="I549" s="66"/>
      <c r="J549" s="66"/>
      <c r="K549" s="66"/>
      <c r="L549" s="66"/>
      <c r="M549" s="66"/>
      <c r="N549" s="64" t="str">
        <f>IF(OR($B549="", $I549="", $J549="", $K549="", $L549="", $M549=""),"",ROUND(($I549*Lists!$AN$2)+($J549*Lists!$AN$3)+($K549*Lists!$AN$4)+($L549*Lists!$AN$5)+($M549*Lists!$AN$6),2))</f>
        <v/>
      </c>
      <c r="O549" s="64" t="str">
        <f>IF($A549="","",IFERROR(VLOOKUP($A549,'Risk Register'!$B$2:$I$1000,8,FALSE()),""))</f>
        <v/>
      </c>
      <c r="P549" s="66"/>
      <c r="Q549" s="66"/>
      <c r="R549" s="66"/>
      <c r="S549" s="66"/>
      <c r="T549" s="64" t="str">
        <f>IF(OR($B549="", $P549="", $Q549="", $R549="", $S549=""),"",ROUND(($P549*Lists!$AN$7)+($Q549*Lists!$AN$8)+($R549*Lists!$AN$9)+($S549*Lists!$AN$10),2))</f>
        <v/>
      </c>
      <c r="U549" s="66"/>
      <c r="V549" s="66"/>
      <c r="W549" s="66"/>
      <c r="X549" s="66"/>
      <c r="Y549" s="66"/>
      <c r="Z549" s="64" t="str">
        <f>IF(OR($B549="", $U549="", $V549="", $W549="", $X549="", $Y549=""),"",ROUND(($U549*Lists!$AN$11)+($V549*Lists!$AN$12)+($W549*Lists!$AN$13)+($X549*Lists!$AN$14)+($Y549*Lists!$AN$15),2))</f>
        <v/>
      </c>
      <c r="AA549" s="64" t="str">
        <f>IF(OR($B549="", $N549="", $O549="", $T549="", $Z549=""),"",ROUND(($N549*Lists!$AN$16)-($O549*Lists!$AN$17)-($T549*Lists!$AN$18)+($Z549*Lists!$AN$19),2))</f>
        <v/>
      </c>
      <c r="AB549" s="63" t="str">
        <f t="shared" si="33"/>
        <v/>
      </c>
      <c r="AC549" s="63" t="str">
        <f t="shared" si="34"/>
        <v/>
      </c>
      <c r="AD549" s="63" t="str">
        <f>IF($A549="","",IFERROR(IF(VLOOKUP($A549,'Risk Register'!$B$2:$H$1000,4,FALSE())&gt;=4,"Yes",""),""))</f>
        <v/>
      </c>
      <c r="AE549" s="63" t="str">
        <f t="shared" si="35"/>
        <v/>
      </c>
      <c r="AF549" s="62"/>
      <c r="AG549" s="62"/>
      <c r="AH549" s="62"/>
      <c r="AI549" s="62"/>
      <c r="AJ549" s="62"/>
      <c r="AK549" s="62"/>
      <c r="AL549" s="62"/>
      <c r="AM549" s="62"/>
      <c r="AN549" s="62"/>
      <c r="AO549" s="62"/>
      <c r="AP549" s="62"/>
      <c r="AQ549" s="80"/>
    </row>
    <row r="550" spans="1:43" ht="15.75" customHeight="1" x14ac:dyDescent="0.2">
      <c r="A550" s="63" t="str">
        <f t="shared" si="32"/>
        <v/>
      </c>
      <c r="B550" s="62"/>
      <c r="C550" s="62"/>
      <c r="D550" s="62"/>
      <c r="E550" s="62"/>
      <c r="F550" s="62"/>
      <c r="G550" s="62"/>
      <c r="H550" s="62"/>
      <c r="I550" s="66"/>
      <c r="J550" s="66"/>
      <c r="K550" s="66"/>
      <c r="L550" s="66"/>
      <c r="M550" s="66"/>
      <c r="N550" s="64" t="str">
        <f>IF(OR($B550="", $I550="", $J550="", $K550="", $L550="", $M550=""),"",ROUND(($I550*Lists!$AN$2)+($J550*Lists!$AN$3)+($K550*Lists!$AN$4)+($L550*Lists!$AN$5)+($M550*Lists!$AN$6),2))</f>
        <v/>
      </c>
      <c r="O550" s="64" t="str">
        <f>IF($A550="","",IFERROR(VLOOKUP($A550,'Risk Register'!$B$2:$I$1000,8,FALSE()),""))</f>
        <v/>
      </c>
      <c r="P550" s="66"/>
      <c r="Q550" s="66"/>
      <c r="R550" s="66"/>
      <c r="S550" s="66"/>
      <c r="T550" s="64" t="str">
        <f>IF(OR($B550="", $P550="", $Q550="", $R550="", $S550=""),"",ROUND(($P550*Lists!$AN$7)+($Q550*Lists!$AN$8)+($R550*Lists!$AN$9)+($S550*Lists!$AN$10),2))</f>
        <v/>
      </c>
      <c r="U550" s="66"/>
      <c r="V550" s="66"/>
      <c r="W550" s="66"/>
      <c r="X550" s="66"/>
      <c r="Y550" s="66"/>
      <c r="Z550" s="64" t="str">
        <f>IF(OR($B550="", $U550="", $V550="", $W550="", $X550="", $Y550=""),"",ROUND(($U550*Lists!$AN$11)+($V550*Lists!$AN$12)+($W550*Lists!$AN$13)+($X550*Lists!$AN$14)+($Y550*Lists!$AN$15),2))</f>
        <v/>
      </c>
      <c r="AA550" s="64" t="str">
        <f>IF(OR($B550="", $N550="", $O550="", $T550="", $Z550=""),"",ROUND(($N550*Lists!$AN$16)-($O550*Lists!$AN$17)-($T550*Lists!$AN$18)+($Z550*Lists!$AN$19),2))</f>
        <v/>
      </c>
      <c r="AB550" s="63" t="str">
        <f t="shared" si="33"/>
        <v/>
      </c>
      <c r="AC550" s="63" t="str">
        <f t="shared" si="34"/>
        <v/>
      </c>
      <c r="AD550" s="63" t="str">
        <f>IF($A550="","",IFERROR(IF(VLOOKUP($A550,'Risk Register'!$B$2:$H$1000,4,FALSE())&gt;=4,"Yes",""),""))</f>
        <v/>
      </c>
      <c r="AE550" s="63" t="str">
        <f t="shared" si="35"/>
        <v/>
      </c>
      <c r="AF550" s="62"/>
      <c r="AG550" s="62"/>
      <c r="AH550" s="62"/>
      <c r="AI550" s="62"/>
      <c r="AJ550" s="62"/>
      <c r="AK550" s="62"/>
      <c r="AL550" s="62"/>
      <c r="AM550" s="62"/>
      <c r="AN550" s="62"/>
      <c r="AO550" s="62"/>
      <c r="AP550" s="62"/>
      <c r="AQ550" s="80"/>
    </row>
    <row r="551" spans="1:43" ht="15.75" customHeight="1" x14ac:dyDescent="0.2">
      <c r="A551" s="63" t="str">
        <f t="shared" si="32"/>
        <v/>
      </c>
      <c r="B551" s="62"/>
      <c r="C551" s="62"/>
      <c r="D551" s="62"/>
      <c r="E551" s="62"/>
      <c r="F551" s="62"/>
      <c r="G551" s="62"/>
      <c r="H551" s="62"/>
      <c r="I551" s="66"/>
      <c r="J551" s="66"/>
      <c r="K551" s="66"/>
      <c r="L551" s="66"/>
      <c r="M551" s="66"/>
      <c r="N551" s="64" t="str">
        <f>IF(OR($B551="", $I551="", $J551="", $K551="", $L551="", $M551=""),"",ROUND(($I551*Lists!$AN$2)+($J551*Lists!$AN$3)+($K551*Lists!$AN$4)+($L551*Lists!$AN$5)+($M551*Lists!$AN$6),2))</f>
        <v/>
      </c>
      <c r="O551" s="64" t="str">
        <f>IF($A551="","",IFERROR(VLOOKUP($A551,'Risk Register'!$B$2:$I$1000,8,FALSE()),""))</f>
        <v/>
      </c>
      <c r="P551" s="66"/>
      <c r="Q551" s="66"/>
      <c r="R551" s="66"/>
      <c r="S551" s="66"/>
      <c r="T551" s="64" t="str">
        <f>IF(OR($B551="", $P551="", $Q551="", $R551="", $S551=""),"",ROUND(($P551*Lists!$AN$7)+($Q551*Lists!$AN$8)+($R551*Lists!$AN$9)+($S551*Lists!$AN$10),2))</f>
        <v/>
      </c>
      <c r="U551" s="66"/>
      <c r="V551" s="66"/>
      <c r="W551" s="66"/>
      <c r="X551" s="66"/>
      <c r="Y551" s="66"/>
      <c r="Z551" s="64" t="str">
        <f>IF(OR($B551="", $U551="", $V551="", $W551="", $X551="", $Y551=""),"",ROUND(($U551*Lists!$AN$11)+($V551*Lists!$AN$12)+($W551*Lists!$AN$13)+($X551*Lists!$AN$14)+($Y551*Lists!$AN$15),2))</f>
        <v/>
      </c>
      <c r="AA551" s="64" t="str">
        <f>IF(OR($B551="", $N551="", $O551="", $T551="", $Z551=""),"",ROUND(($N551*Lists!$AN$16)-($O551*Lists!$AN$17)-($T551*Lists!$AN$18)+($Z551*Lists!$AN$19),2))</f>
        <v/>
      </c>
      <c r="AB551" s="63" t="str">
        <f t="shared" si="33"/>
        <v/>
      </c>
      <c r="AC551" s="63" t="str">
        <f t="shared" si="34"/>
        <v/>
      </c>
      <c r="AD551" s="63" t="str">
        <f>IF($A551="","",IFERROR(IF(VLOOKUP($A551,'Risk Register'!$B$2:$H$1000,4,FALSE())&gt;=4,"Yes",""),""))</f>
        <v/>
      </c>
      <c r="AE551" s="63" t="str">
        <f t="shared" si="35"/>
        <v/>
      </c>
      <c r="AF551" s="62"/>
      <c r="AG551" s="62"/>
      <c r="AH551" s="62"/>
      <c r="AI551" s="62"/>
      <c r="AJ551" s="62"/>
      <c r="AK551" s="62"/>
      <c r="AL551" s="62"/>
      <c r="AM551" s="62"/>
      <c r="AN551" s="62"/>
      <c r="AO551" s="62"/>
      <c r="AP551" s="62"/>
      <c r="AQ551" s="80"/>
    </row>
    <row r="552" spans="1:43" ht="15.75" customHeight="1" x14ac:dyDescent="0.2">
      <c r="A552" s="63" t="str">
        <f t="shared" si="32"/>
        <v/>
      </c>
      <c r="B552" s="62"/>
      <c r="C552" s="62"/>
      <c r="D552" s="62"/>
      <c r="E552" s="62"/>
      <c r="F552" s="62"/>
      <c r="G552" s="62"/>
      <c r="H552" s="62"/>
      <c r="I552" s="66"/>
      <c r="J552" s="66"/>
      <c r="K552" s="66"/>
      <c r="L552" s="66"/>
      <c r="M552" s="66"/>
      <c r="N552" s="64" t="str">
        <f>IF(OR($B552="", $I552="", $J552="", $K552="", $L552="", $M552=""),"",ROUND(($I552*Lists!$AN$2)+($J552*Lists!$AN$3)+($K552*Lists!$AN$4)+($L552*Lists!$AN$5)+($M552*Lists!$AN$6),2))</f>
        <v/>
      </c>
      <c r="O552" s="64" t="str">
        <f>IF($A552="","",IFERROR(VLOOKUP($A552,'Risk Register'!$B$2:$I$1000,8,FALSE()),""))</f>
        <v/>
      </c>
      <c r="P552" s="66"/>
      <c r="Q552" s="66"/>
      <c r="R552" s="66"/>
      <c r="S552" s="66"/>
      <c r="T552" s="64" t="str">
        <f>IF(OR($B552="", $P552="", $Q552="", $R552="", $S552=""),"",ROUND(($P552*Lists!$AN$7)+($Q552*Lists!$AN$8)+($R552*Lists!$AN$9)+($S552*Lists!$AN$10),2))</f>
        <v/>
      </c>
      <c r="U552" s="66"/>
      <c r="V552" s="66"/>
      <c r="W552" s="66"/>
      <c r="X552" s="66"/>
      <c r="Y552" s="66"/>
      <c r="Z552" s="64" t="str">
        <f>IF(OR($B552="", $U552="", $V552="", $W552="", $X552="", $Y552=""),"",ROUND(($U552*Lists!$AN$11)+($V552*Lists!$AN$12)+($W552*Lists!$AN$13)+($X552*Lists!$AN$14)+($Y552*Lists!$AN$15),2))</f>
        <v/>
      </c>
      <c r="AA552" s="64" t="str">
        <f>IF(OR($B552="", $N552="", $O552="", $T552="", $Z552=""),"",ROUND(($N552*Lists!$AN$16)-($O552*Lists!$AN$17)-($T552*Lists!$AN$18)+($Z552*Lists!$AN$19),2))</f>
        <v/>
      </c>
      <c r="AB552" s="63" t="str">
        <f t="shared" si="33"/>
        <v/>
      </c>
      <c r="AC552" s="63" t="str">
        <f t="shared" si="34"/>
        <v/>
      </c>
      <c r="AD552" s="63" t="str">
        <f>IF($A552="","",IFERROR(IF(VLOOKUP($A552,'Risk Register'!$B$2:$H$1000,4,FALSE())&gt;=4,"Yes",""),""))</f>
        <v/>
      </c>
      <c r="AE552" s="63" t="str">
        <f t="shared" si="35"/>
        <v/>
      </c>
      <c r="AF552" s="62"/>
      <c r="AG552" s="62"/>
      <c r="AH552" s="62"/>
      <c r="AI552" s="62"/>
      <c r="AJ552" s="62"/>
      <c r="AK552" s="62"/>
      <c r="AL552" s="62"/>
      <c r="AM552" s="62"/>
      <c r="AN552" s="62"/>
      <c r="AO552" s="62"/>
      <c r="AP552" s="62"/>
      <c r="AQ552" s="80"/>
    </row>
    <row r="553" spans="1:43" ht="15.75" customHeight="1" x14ac:dyDescent="0.2">
      <c r="A553" s="63" t="str">
        <f t="shared" si="32"/>
        <v/>
      </c>
      <c r="B553" s="62"/>
      <c r="C553" s="62"/>
      <c r="D553" s="62"/>
      <c r="E553" s="62"/>
      <c r="F553" s="62"/>
      <c r="G553" s="62"/>
      <c r="H553" s="62"/>
      <c r="I553" s="66"/>
      <c r="J553" s="66"/>
      <c r="K553" s="66"/>
      <c r="L553" s="66"/>
      <c r="M553" s="66"/>
      <c r="N553" s="64" t="str">
        <f>IF(OR($B553="", $I553="", $J553="", $K553="", $L553="", $M553=""),"",ROUND(($I553*Lists!$AN$2)+($J553*Lists!$AN$3)+($K553*Lists!$AN$4)+($L553*Lists!$AN$5)+($M553*Lists!$AN$6),2))</f>
        <v/>
      </c>
      <c r="O553" s="64" t="str">
        <f>IF($A553="","",IFERROR(VLOOKUP($A553,'Risk Register'!$B$2:$I$1000,8,FALSE()),""))</f>
        <v/>
      </c>
      <c r="P553" s="66"/>
      <c r="Q553" s="66"/>
      <c r="R553" s="66"/>
      <c r="S553" s="66"/>
      <c r="T553" s="64" t="str">
        <f>IF(OR($B553="", $P553="", $Q553="", $R553="", $S553=""),"",ROUND(($P553*Lists!$AN$7)+($Q553*Lists!$AN$8)+($R553*Lists!$AN$9)+($S553*Lists!$AN$10),2))</f>
        <v/>
      </c>
      <c r="U553" s="66"/>
      <c r="V553" s="66"/>
      <c r="W553" s="66"/>
      <c r="X553" s="66"/>
      <c r="Y553" s="66"/>
      <c r="Z553" s="64" t="str">
        <f>IF(OR($B553="", $U553="", $V553="", $W553="", $X553="", $Y553=""),"",ROUND(($U553*Lists!$AN$11)+($V553*Lists!$AN$12)+($W553*Lists!$AN$13)+($X553*Lists!$AN$14)+($Y553*Lists!$AN$15),2))</f>
        <v/>
      </c>
      <c r="AA553" s="64" t="str">
        <f>IF(OR($B553="", $N553="", $O553="", $T553="", $Z553=""),"",ROUND(($N553*Lists!$AN$16)-($O553*Lists!$AN$17)-($T553*Lists!$AN$18)+($Z553*Lists!$AN$19),2))</f>
        <v/>
      </c>
      <c r="AB553" s="63" t="str">
        <f t="shared" si="33"/>
        <v/>
      </c>
      <c r="AC553" s="63" t="str">
        <f t="shared" si="34"/>
        <v/>
      </c>
      <c r="AD553" s="63" t="str">
        <f>IF($A553="","",IFERROR(IF(VLOOKUP($A553,'Risk Register'!$B$2:$H$1000,4,FALSE())&gt;=4,"Yes",""),""))</f>
        <v/>
      </c>
      <c r="AE553" s="63" t="str">
        <f t="shared" si="35"/>
        <v/>
      </c>
      <c r="AF553" s="62"/>
      <c r="AG553" s="62"/>
      <c r="AH553" s="62"/>
      <c r="AI553" s="62"/>
      <c r="AJ553" s="62"/>
      <c r="AK553" s="62"/>
      <c r="AL553" s="62"/>
      <c r="AM553" s="62"/>
      <c r="AN553" s="62"/>
      <c r="AO553" s="62"/>
      <c r="AP553" s="62"/>
      <c r="AQ553" s="80"/>
    </row>
    <row r="554" spans="1:43" ht="15.75" customHeight="1" x14ac:dyDescent="0.2">
      <c r="A554" s="63" t="str">
        <f t="shared" si="32"/>
        <v/>
      </c>
      <c r="B554" s="62"/>
      <c r="C554" s="62"/>
      <c r="D554" s="62"/>
      <c r="E554" s="62"/>
      <c r="F554" s="62"/>
      <c r="G554" s="62"/>
      <c r="H554" s="62"/>
      <c r="I554" s="66"/>
      <c r="J554" s="66"/>
      <c r="K554" s="66"/>
      <c r="L554" s="66"/>
      <c r="M554" s="66"/>
      <c r="N554" s="64" t="str">
        <f>IF(OR($B554="", $I554="", $J554="", $K554="", $L554="", $M554=""),"",ROUND(($I554*Lists!$AN$2)+($J554*Lists!$AN$3)+($K554*Lists!$AN$4)+($L554*Lists!$AN$5)+($M554*Lists!$AN$6),2))</f>
        <v/>
      </c>
      <c r="O554" s="64" t="str">
        <f>IF($A554="","",IFERROR(VLOOKUP($A554,'Risk Register'!$B$2:$I$1000,8,FALSE()),""))</f>
        <v/>
      </c>
      <c r="P554" s="66"/>
      <c r="Q554" s="66"/>
      <c r="R554" s="66"/>
      <c r="S554" s="66"/>
      <c r="T554" s="64" t="str">
        <f>IF(OR($B554="", $P554="", $Q554="", $R554="", $S554=""),"",ROUND(($P554*Lists!$AN$7)+($Q554*Lists!$AN$8)+($R554*Lists!$AN$9)+($S554*Lists!$AN$10),2))</f>
        <v/>
      </c>
      <c r="U554" s="66"/>
      <c r="V554" s="66"/>
      <c r="W554" s="66"/>
      <c r="X554" s="66"/>
      <c r="Y554" s="66"/>
      <c r="Z554" s="64" t="str">
        <f>IF(OR($B554="", $U554="", $V554="", $W554="", $X554="", $Y554=""),"",ROUND(($U554*Lists!$AN$11)+($V554*Lists!$AN$12)+($W554*Lists!$AN$13)+($X554*Lists!$AN$14)+($Y554*Lists!$AN$15),2))</f>
        <v/>
      </c>
      <c r="AA554" s="64" t="str">
        <f>IF(OR($B554="", $N554="", $O554="", $T554="", $Z554=""),"",ROUND(($N554*Lists!$AN$16)-($O554*Lists!$AN$17)-($T554*Lists!$AN$18)+($Z554*Lists!$AN$19),2))</f>
        <v/>
      </c>
      <c r="AB554" s="63" t="str">
        <f t="shared" si="33"/>
        <v/>
      </c>
      <c r="AC554" s="63" t="str">
        <f t="shared" si="34"/>
        <v/>
      </c>
      <c r="AD554" s="63" t="str">
        <f>IF($A554="","",IFERROR(IF(VLOOKUP($A554,'Risk Register'!$B$2:$H$1000,4,FALSE())&gt;=4,"Yes",""),""))</f>
        <v/>
      </c>
      <c r="AE554" s="63" t="str">
        <f t="shared" si="35"/>
        <v/>
      </c>
      <c r="AF554" s="62"/>
      <c r="AG554" s="62"/>
      <c r="AH554" s="62"/>
      <c r="AI554" s="62"/>
      <c r="AJ554" s="62"/>
      <c r="AK554" s="62"/>
      <c r="AL554" s="62"/>
      <c r="AM554" s="62"/>
      <c r="AN554" s="62"/>
      <c r="AO554" s="62"/>
      <c r="AP554" s="62"/>
      <c r="AQ554" s="80"/>
    </row>
    <row r="555" spans="1:43" ht="15.75" customHeight="1" x14ac:dyDescent="0.2">
      <c r="A555" s="63" t="str">
        <f t="shared" si="32"/>
        <v/>
      </c>
      <c r="B555" s="62"/>
      <c r="C555" s="62"/>
      <c r="D555" s="62"/>
      <c r="E555" s="62"/>
      <c r="F555" s="62"/>
      <c r="G555" s="62"/>
      <c r="H555" s="62"/>
      <c r="I555" s="66"/>
      <c r="J555" s="66"/>
      <c r="K555" s="66"/>
      <c r="L555" s="66"/>
      <c r="M555" s="66"/>
      <c r="N555" s="64" t="str">
        <f>IF(OR($B555="", $I555="", $J555="", $K555="", $L555="", $M555=""),"",ROUND(($I555*Lists!$AN$2)+($J555*Lists!$AN$3)+($K555*Lists!$AN$4)+($L555*Lists!$AN$5)+($M555*Lists!$AN$6),2))</f>
        <v/>
      </c>
      <c r="O555" s="64" t="str">
        <f>IF($A555="","",IFERROR(VLOOKUP($A555,'Risk Register'!$B$2:$I$1000,8,FALSE()),""))</f>
        <v/>
      </c>
      <c r="P555" s="66"/>
      <c r="Q555" s="66"/>
      <c r="R555" s="66"/>
      <c r="S555" s="66"/>
      <c r="T555" s="64" t="str">
        <f>IF(OR($B555="", $P555="", $Q555="", $R555="", $S555=""),"",ROUND(($P555*Lists!$AN$7)+($Q555*Lists!$AN$8)+($R555*Lists!$AN$9)+($S555*Lists!$AN$10),2))</f>
        <v/>
      </c>
      <c r="U555" s="66"/>
      <c r="V555" s="66"/>
      <c r="W555" s="66"/>
      <c r="X555" s="66"/>
      <c r="Y555" s="66"/>
      <c r="Z555" s="64" t="str">
        <f>IF(OR($B555="", $U555="", $V555="", $W555="", $X555="", $Y555=""),"",ROUND(($U555*Lists!$AN$11)+($V555*Lists!$AN$12)+($W555*Lists!$AN$13)+($X555*Lists!$AN$14)+($Y555*Lists!$AN$15),2))</f>
        <v/>
      </c>
      <c r="AA555" s="64" t="str">
        <f>IF(OR($B555="", $N555="", $O555="", $T555="", $Z555=""),"",ROUND(($N555*Lists!$AN$16)-($O555*Lists!$AN$17)-($T555*Lists!$AN$18)+($Z555*Lists!$AN$19),2))</f>
        <v/>
      </c>
      <c r="AB555" s="63" t="str">
        <f t="shared" si="33"/>
        <v/>
      </c>
      <c r="AC555" s="63" t="str">
        <f t="shared" si="34"/>
        <v/>
      </c>
      <c r="AD555" s="63" t="str">
        <f>IF($A555="","",IFERROR(IF(VLOOKUP($A555,'Risk Register'!$B$2:$H$1000,4,FALSE())&gt;=4,"Yes",""),""))</f>
        <v/>
      </c>
      <c r="AE555" s="63" t="str">
        <f t="shared" si="35"/>
        <v/>
      </c>
      <c r="AF555" s="62"/>
      <c r="AG555" s="62"/>
      <c r="AH555" s="62"/>
      <c r="AI555" s="62"/>
      <c r="AJ555" s="62"/>
      <c r="AK555" s="62"/>
      <c r="AL555" s="62"/>
      <c r="AM555" s="62"/>
      <c r="AN555" s="62"/>
      <c r="AO555" s="62"/>
      <c r="AP555" s="62"/>
      <c r="AQ555" s="80"/>
    </row>
    <row r="556" spans="1:43" ht="15.75" customHeight="1" x14ac:dyDescent="0.2">
      <c r="A556" s="63" t="str">
        <f t="shared" si="32"/>
        <v/>
      </c>
      <c r="B556" s="62"/>
      <c r="C556" s="62"/>
      <c r="D556" s="62"/>
      <c r="E556" s="62"/>
      <c r="F556" s="62"/>
      <c r="G556" s="62"/>
      <c r="H556" s="62"/>
      <c r="I556" s="66"/>
      <c r="J556" s="66"/>
      <c r="K556" s="66"/>
      <c r="L556" s="66"/>
      <c r="M556" s="66"/>
      <c r="N556" s="64" t="str">
        <f>IF(OR($B556="", $I556="", $J556="", $K556="", $L556="", $M556=""),"",ROUND(($I556*Lists!$AN$2)+($J556*Lists!$AN$3)+($K556*Lists!$AN$4)+($L556*Lists!$AN$5)+($M556*Lists!$AN$6),2))</f>
        <v/>
      </c>
      <c r="O556" s="64" t="str">
        <f>IF($A556="","",IFERROR(VLOOKUP($A556,'Risk Register'!$B$2:$I$1000,8,FALSE()),""))</f>
        <v/>
      </c>
      <c r="P556" s="66"/>
      <c r="Q556" s="66"/>
      <c r="R556" s="66"/>
      <c r="S556" s="66"/>
      <c r="T556" s="64" t="str">
        <f>IF(OR($B556="", $P556="", $Q556="", $R556="", $S556=""),"",ROUND(($P556*Lists!$AN$7)+($Q556*Lists!$AN$8)+($R556*Lists!$AN$9)+($S556*Lists!$AN$10),2))</f>
        <v/>
      </c>
      <c r="U556" s="66"/>
      <c r="V556" s="66"/>
      <c r="W556" s="66"/>
      <c r="X556" s="66"/>
      <c r="Y556" s="66"/>
      <c r="Z556" s="64" t="str">
        <f>IF(OR($B556="", $U556="", $V556="", $W556="", $X556="", $Y556=""),"",ROUND(($U556*Lists!$AN$11)+($V556*Lists!$AN$12)+($W556*Lists!$AN$13)+($X556*Lists!$AN$14)+($Y556*Lists!$AN$15),2))</f>
        <v/>
      </c>
      <c r="AA556" s="64" t="str">
        <f>IF(OR($B556="", $N556="", $O556="", $T556="", $Z556=""),"",ROUND(($N556*Lists!$AN$16)-($O556*Lists!$AN$17)-($T556*Lists!$AN$18)+($Z556*Lists!$AN$19),2))</f>
        <v/>
      </c>
      <c r="AB556" s="63" t="str">
        <f t="shared" si="33"/>
        <v/>
      </c>
      <c r="AC556" s="63" t="str">
        <f t="shared" si="34"/>
        <v/>
      </c>
      <c r="AD556" s="63" t="str">
        <f>IF($A556="","",IFERROR(IF(VLOOKUP($A556,'Risk Register'!$B$2:$H$1000,4,FALSE())&gt;=4,"Yes",""),""))</f>
        <v/>
      </c>
      <c r="AE556" s="63" t="str">
        <f t="shared" si="35"/>
        <v/>
      </c>
      <c r="AF556" s="62"/>
      <c r="AG556" s="62"/>
      <c r="AH556" s="62"/>
      <c r="AI556" s="62"/>
      <c r="AJ556" s="62"/>
      <c r="AK556" s="62"/>
      <c r="AL556" s="62"/>
      <c r="AM556" s="62"/>
      <c r="AN556" s="62"/>
      <c r="AO556" s="62"/>
      <c r="AP556" s="62"/>
      <c r="AQ556" s="80"/>
    </row>
    <row r="557" spans="1:43" ht="15.75" customHeight="1" x14ac:dyDescent="0.2">
      <c r="A557" s="63" t="str">
        <f t="shared" si="32"/>
        <v/>
      </c>
      <c r="B557" s="62"/>
      <c r="C557" s="62"/>
      <c r="D557" s="62"/>
      <c r="E557" s="62"/>
      <c r="F557" s="62"/>
      <c r="G557" s="62"/>
      <c r="H557" s="62"/>
      <c r="I557" s="66"/>
      <c r="J557" s="66"/>
      <c r="K557" s="66"/>
      <c r="L557" s="66"/>
      <c r="M557" s="66"/>
      <c r="N557" s="64" t="str">
        <f>IF(OR($B557="", $I557="", $J557="", $K557="", $L557="", $M557=""),"",ROUND(($I557*Lists!$AN$2)+($J557*Lists!$AN$3)+($K557*Lists!$AN$4)+($L557*Lists!$AN$5)+($M557*Lists!$AN$6),2))</f>
        <v/>
      </c>
      <c r="O557" s="64" t="str">
        <f>IF($A557="","",IFERROR(VLOOKUP($A557,'Risk Register'!$B$2:$I$1000,8,FALSE()),""))</f>
        <v/>
      </c>
      <c r="P557" s="66"/>
      <c r="Q557" s="66"/>
      <c r="R557" s="66"/>
      <c r="S557" s="66"/>
      <c r="T557" s="64" t="str">
        <f>IF(OR($B557="", $P557="", $Q557="", $R557="", $S557=""),"",ROUND(($P557*Lists!$AN$7)+($Q557*Lists!$AN$8)+($R557*Lists!$AN$9)+($S557*Lists!$AN$10),2))</f>
        <v/>
      </c>
      <c r="U557" s="66"/>
      <c r="V557" s="66"/>
      <c r="W557" s="66"/>
      <c r="X557" s="66"/>
      <c r="Y557" s="66"/>
      <c r="Z557" s="64" t="str">
        <f>IF(OR($B557="", $U557="", $V557="", $W557="", $X557="", $Y557=""),"",ROUND(($U557*Lists!$AN$11)+($V557*Lists!$AN$12)+($W557*Lists!$AN$13)+($X557*Lists!$AN$14)+($Y557*Lists!$AN$15),2))</f>
        <v/>
      </c>
      <c r="AA557" s="64" t="str">
        <f>IF(OR($B557="", $N557="", $O557="", $T557="", $Z557=""),"",ROUND(($N557*Lists!$AN$16)-($O557*Lists!$AN$17)-($T557*Lists!$AN$18)+($Z557*Lists!$AN$19),2))</f>
        <v/>
      </c>
      <c r="AB557" s="63" t="str">
        <f t="shared" si="33"/>
        <v/>
      </c>
      <c r="AC557" s="63" t="str">
        <f t="shared" si="34"/>
        <v/>
      </c>
      <c r="AD557" s="63" t="str">
        <f>IF($A557="","",IFERROR(IF(VLOOKUP($A557,'Risk Register'!$B$2:$H$1000,4,FALSE())&gt;=4,"Yes",""),""))</f>
        <v/>
      </c>
      <c r="AE557" s="63" t="str">
        <f t="shared" si="35"/>
        <v/>
      </c>
      <c r="AF557" s="62"/>
      <c r="AG557" s="62"/>
      <c r="AH557" s="62"/>
      <c r="AI557" s="62"/>
      <c r="AJ557" s="62"/>
      <c r="AK557" s="62"/>
      <c r="AL557" s="62"/>
      <c r="AM557" s="62"/>
      <c r="AN557" s="62"/>
      <c r="AO557" s="62"/>
      <c r="AP557" s="62"/>
      <c r="AQ557" s="80"/>
    </row>
    <row r="558" spans="1:43" ht="15.75" customHeight="1" x14ac:dyDescent="0.2">
      <c r="A558" s="63" t="str">
        <f t="shared" si="32"/>
        <v/>
      </c>
      <c r="B558" s="62"/>
      <c r="C558" s="62"/>
      <c r="D558" s="62"/>
      <c r="E558" s="62"/>
      <c r="F558" s="62"/>
      <c r="G558" s="62"/>
      <c r="H558" s="62"/>
      <c r="I558" s="66"/>
      <c r="J558" s="66"/>
      <c r="K558" s="66"/>
      <c r="L558" s="66"/>
      <c r="M558" s="66"/>
      <c r="N558" s="64" t="str">
        <f>IF(OR($B558="", $I558="", $J558="", $K558="", $L558="", $M558=""),"",ROUND(($I558*Lists!$AN$2)+($J558*Lists!$AN$3)+($K558*Lists!$AN$4)+($L558*Lists!$AN$5)+($M558*Lists!$AN$6),2))</f>
        <v/>
      </c>
      <c r="O558" s="64" t="str">
        <f>IF($A558="","",IFERROR(VLOOKUP($A558,'Risk Register'!$B$2:$I$1000,8,FALSE()),""))</f>
        <v/>
      </c>
      <c r="P558" s="66"/>
      <c r="Q558" s="66"/>
      <c r="R558" s="66"/>
      <c r="S558" s="66"/>
      <c r="T558" s="64" t="str">
        <f>IF(OR($B558="", $P558="", $Q558="", $R558="", $S558=""),"",ROUND(($P558*Lists!$AN$7)+($Q558*Lists!$AN$8)+($R558*Lists!$AN$9)+($S558*Lists!$AN$10),2))</f>
        <v/>
      </c>
      <c r="U558" s="66"/>
      <c r="V558" s="66"/>
      <c r="W558" s="66"/>
      <c r="X558" s="66"/>
      <c r="Y558" s="66"/>
      <c r="Z558" s="64" t="str">
        <f>IF(OR($B558="", $U558="", $V558="", $W558="", $X558="", $Y558=""),"",ROUND(($U558*Lists!$AN$11)+($V558*Lists!$AN$12)+($W558*Lists!$AN$13)+($X558*Lists!$AN$14)+($Y558*Lists!$AN$15),2))</f>
        <v/>
      </c>
      <c r="AA558" s="64" t="str">
        <f>IF(OR($B558="", $N558="", $O558="", $T558="", $Z558=""),"",ROUND(($N558*Lists!$AN$16)-($O558*Lists!$AN$17)-($T558*Lists!$AN$18)+($Z558*Lists!$AN$19),2))</f>
        <v/>
      </c>
      <c r="AB558" s="63" t="str">
        <f t="shared" si="33"/>
        <v/>
      </c>
      <c r="AC558" s="63" t="str">
        <f t="shared" si="34"/>
        <v/>
      </c>
      <c r="AD558" s="63" t="str">
        <f>IF($A558="","",IFERROR(IF(VLOOKUP($A558,'Risk Register'!$B$2:$H$1000,4,FALSE())&gt;=4,"Yes",""),""))</f>
        <v/>
      </c>
      <c r="AE558" s="63" t="str">
        <f t="shared" si="35"/>
        <v/>
      </c>
      <c r="AF558" s="62"/>
      <c r="AG558" s="62"/>
      <c r="AH558" s="62"/>
      <c r="AI558" s="62"/>
      <c r="AJ558" s="62"/>
      <c r="AK558" s="62"/>
      <c r="AL558" s="62"/>
      <c r="AM558" s="62"/>
      <c r="AN558" s="62"/>
      <c r="AO558" s="62"/>
      <c r="AP558" s="62"/>
      <c r="AQ558" s="80"/>
    </row>
    <row r="559" spans="1:43" ht="15.75" customHeight="1" x14ac:dyDescent="0.2">
      <c r="A559" s="63" t="str">
        <f t="shared" si="32"/>
        <v/>
      </c>
      <c r="B559" s="62"/>
      <c r="C559" s="62"/>
      <c r="D559" s="62"/>
      <c r="E559" s="62"/>
      <c r="F559" s="62"/>
      <c r="G559" s="62"/>
      <c r="H559" s="62"/>
      <c r="I559" s="66"/>
      <c r="J559" s="66"/>
      <c r="K559" s="66"/>
      <c r="L559" s="66"/>
      <c r="M559" s="66"/>
      <c r="N559" s="64" t="str">
        <f>IF(OR($B559="", $I559="", $J559="", $K559="", $L559="", $M559=""),"",ROUND(($I559*Lists!$AN$2)+($J559*Lists!$AN$3)+($K559*Lists!$AN$4)+($L559*Lists!$AN$5)+($M559*Lists!$AN$6),2))</f>
        <v/>
      </c>
      <c r="O559" s="64" t="str">
        <f>IF($A559="","",IFERROR(VLOOKUP($A559,'Risk Register'!$B$2:$I$1000,8,FALSE()),""))</f>
        <v/>
      </c>
      <c r="P559" s="66"/>
      <c r="Q559" s="66"/>
      <c r="R559" s="66"/>
      <c r="S559" s="66"/>
      <c r="T559" s="64" t="str">
        <f>IF(OR($B559="", $P559="", $Q559="", $R559="", $S559=""),"",ROUND(($P559*Lists!$AN$7)+($Q559*Lists!$AN$8)+($R559*Lists!$AN$9)+($S559*Lists!$AN$10),2))</f>
        <v/>
      </c>
      <c r="U559" s="66"/>
      <c r="V559" s="66"/>
      <c r="W559" s="66"/>
      <c r="X559" s="66"/>
      <c r="Y559" s="66"/>
      <c r="Z559" s="64" t="str">
        <f>IF(OR($B559="", $U559="", $V559="", $W559="", $X559="", $Y559=""),"",ROUND(($U559*Lists!$AN$11)+($V559*Lists!$AN$12)+($W559*Lists!$AN$13)+($X559*Lists!$AN$14)+($Y559*Lists!$AN$15),2))</f>
        <v/>
      </c>
      <c r="AA559" s="64" t="str">
        <f>IF(OR($B559="", $N559="", $O559="", $T559="", $Z559=""),"",ROUND(($N559*Lists!$AN$16)-($O559*Lists!$AN$17)-($T559*Lists!$AN$18)+($Z559*Lists!$AN$19),2))</f>
        <v/>
      </c>
      <c r="AB559" s="63" t="str">
        <f t="shared" si="33"/>
        <v/>
      </c>
      <c r="AC559" s="63" t="str">
        <f t="shared" si="34"/>
        <v/>
      </c>
      <c r="AD559" s="63" t="str">
        <f>IF($A559="","",IFERROR(IF(VLOOKUP($A559,'Risk Register'!$B$2:$H$1000,4,FALSE())&gt;=4,"Yes",""),""))</f>
        <v/>
      </c>
      <c r="AE559" s="63" t="str">
        <f t="shared" si="35"/>
        <v/>
      </c>
      <c r="AF559" s="62"/>
      <c r="AG559" s="62"/>
      <c r="AH559" s="62"/>
      <c r="AI559" s="62"/>
      <c r="AJ559" s="62"/>
      <c r="AK559" s="62"/>
      <c r="AL559" s="62"/>
      <c r="AM559" s="62"/>
      <c r="AN559" s="62"/>
      <c r="AO559" s="62"/>
      <c r="AP559" s="62"/>
      <c r="AQ559" s="80"/>
    </row>
    <row r="560" spans="1:43" ht="15.75" customHeight="1" x14ac:dyDescent="0.2">
      <c r="A560" s="63" t="str">
        <f t="shared" si="32"/>
        <v/>
      </c>
      <c r="B560" s="62"/>
      <c r="C560" s="62"/>
      <c r="D560" s="62"/>
      <c r="E560" s="62"/>
      <c r="F560" s="62"/>
      <c r="G560" s="62"/>
      <c r="H560" s="62"/>
      <c r="I560" s="66"/>
      <c r="J560" s="66"/>
      <c r="K560" s="66"/>
      <c r="L560" s="66"/>
      <c r="M560" s="66"/>
      <c r="N560" s="64" t="str">
        <f>IF(OR($B560="", $I560="", $J560="", $K560="", $L560="", $M560=""),"",ROUND(($I560*Lists!$AN$2)+($J560*Lists!$AN$3)+($K560*Lists!$AN$4)+($L560*Lists!$AN$5)+($M560*Lists!$AN$6),2))</f>
        <v/>
      </c>
      <c r="O560" s="64" t="str">
        <f>IF($A560="","",IFERROR(VLOOKUP($A560,'Risk Register'!$B$2:$I$1000,8,FALSE()),""))</f>
        <v/>
      </c>
      <c r="P560" s="66"/>
      <c r="Q560" s="66"/>
      <c r="R560" s="66"/>
      <c r="S560" s="66"/>
      <c r="T560" s="64" t="str">
        <f>IF(OR($B560="", $P560="", $Q560="", $R560="", $S560=""),"",ROUND(($P560*Lists!$AN$7)+($Q560*Lists!$AN$8)+($R560*Lists!$AN$9)+($S560*Lists!$AN$10),2))</f>
        <v/>
      </c>
      <c r="U560" s="66"/>
      <c r="V560" s="66"/>
      <c r="W560" s="66"/>
      <c r="X560" s="66"/>
      <c r="Y560" s="66"/>
      <c r="Z560" s="64" t="str">
        <f>IF(OR($B560="", $U560="", $V560="", $W560="", $X560="", $Y560=""),"",ROUND(($U560*Lists!$AN$11)+($V560*Lists!$AN$12)+($W560*Lists!$AN$13)+($X560*Lists!$AN$14)+($Y560*Lists!$AN$15),2))</f>
        <v/>
      </c>
      <c r="AA560" s="64" t="str">
        <f>IF(OR($B560="", $N560="", $O560="", $T560="", $Z560=""),"",ROUND(($N560*Lists!$AN$16)-($O560*Lists!$AN$17)-($T560*Lists!$AN$18)+($Z560*Lists!$AN$19),2))</f>
        <v/>
      </c>
      <c r="AB560" s="63" t="str">
        <f t="shared" si="33"/>
        <v/>
      </c>
      <c r="AC560" s="63" t="str">
        <f t="shared" si="34"/>
        <v/>
      </c>
      <c r="AD560" s="63" t="str">
        <f>IF($A560="","",IFERROR(IF(VLOOKUP($A560,'Risk Register'!$B$2:$H$1000,4,FALSE())&gt;=4,"Yes",""),""))</f>
        <v/>
      </c>
      <c r="AE560" s="63" t="str">
        <f t="shared" si="35"/>
        <v/>
      </c>
      <c r="AF560" s="62"/>
      <c r="AG560" s="62"/>
      <c r="AH560" s="62"/>
      <c r="AI560" s="62"/>
      <c r="AJ560" s="62"/>
      <c r="AK560" s="62"/>
      <c r="AL560" s="62"/>
      <c r="AM560" s="62"/>
      <c r="AN560" s="62"/>
      <c r="AO560" s="62"/>
      <c r="AP560" s="62"/>
      <c r="AQ560" s="80"/>
    </row>
    <row r="561" spans="1:43" ht="15.75" customHeight="1" x14ac:dyDescent="0.2">
      <c r="A561" s="63" t="str">
        <f t="shared" si="32"/>
        <v/>
      </c>
      <c r="B561" s="62"/>
      <c r="C561" s="62"/>
      <c r="D561" s="62"/>
      <c r="E561" s="62"/>
      <c r="F561" s="62"/>
      <c r="G561" s="62"/>
      <c r="H561" s="62"/>
      <c r="I561" s="66"/>
      <c r="J561" s="66"/>
      <c r="K561" s="66"/>
      <c r="L561" s="66"/>
      <c r="M561" s="66"/>
      <c r="N561" s="64" t="str">
        <f>IF(OR($B561="", $I561="", $J561="", $K561="", $L561="", $M561=""),"",ROUND(($I561*Lists!$AN$2)+($J561*Lists!$AN$3)+($K561*Lists!$AN$4)+($L561*Lists!$AN$5)+($M561*Lists!$AN$6),2))</f>
        <v/>
      </c>
      <c r="O561" s="64" t="str">
        <f>IF($A561="","",IFERROR(VLOOKUP($A561,'Risk Register'!$B$2:$I$1000,8,FALSE()),""))</f>
        <v/>
      </c>
      <c r="P561" s="66"/>
      <c r="Q561" s="66"/>
      <c r="R561" s="66"/>
      <c r="S561" s="66"/>
      <c r="T561" s="64" t="str">
        <f>IF(OR($B561="", $P561="", $Q561="", $R561="", $S561=""),"",ROUND(($P561*Lists!$AN$7)+($Q561*Lists!$AN$8)+($R561*Lists!$AN$9)+($S561*Lists!$AN$10),2))</f>
        <v/>
      </c>
      <c r="U561" s="66"/>
      <c r="V561" s="66"/>
      <c r="W561" s="66"/>
      <c r="X561" s="66"/>
      <c r="Y561" s="66"/>
      <c r="Z561" s="64" t="str">
        <f>IF(OR($B561="", $U561="", $V561="", $W561="", $X561="", $Y561=""),"",ROUND(($U561*Lists!$AN$11)+($V561*Lists!$AN$12)+($W561*Lists!$AN$13)+($X561*Lists!$AN$14)+($Y561*Lists!$AN$15),2))</f>
        <v/>
      </c>
      <c r="AA561" s="64" t="str">
        <f>IF(OR($B561="", $N561="", $O561="", $T561="", $Z561=""),"",ROUND(($N561*Lists!$AN$16)-($O561*Lists!$AN$17)-($T561*Lists!$AN$18)+($Z561*Lists!$AN$19),2))</f>
        <v/>
      </c>
      <c r="AB561" s="63" t="str">
        <f t="shared" si="33"/>
        <v/>
      </c>
      <c r="AC561" s="63" t="str">
        <f t="shared" si="34"/>
        <v/>
      </c>
      <c r="AD561" s="63" t="str">
        <f>IF($A561="","",IFERROR(IF(VLOOKUP($A561,'Risk Register'!$B$2:$H$1000,4,FALSE())&gt;=4,"Yes",""),""))</f>
        <v/>
      </c>
      <c r="AE561" s="63" t="str">
        <f t="shared" si="35"/>
        <v/>
      </c>
      <c r="AF561" s="62"/>
      <c r="AG561" s="62"/>
      <c r="AH561" s="62"/>
      <c r="AI561" s="62"/>
      <c r="AJ561" s="62"/>
      <c r="AK561" s="62"/>
      <c r="AL561" s="62"/>
      <c r="AM561" s="62"/>
      <c r="AN561" s="62"/>
      <c r="AO561" s="62"/>
      <c r="AP561" s="62"/>
      <c r="AQ561" s="80"/>
    </row>
    <row r="562" spans="1:43" ht="15.75" customHeight="1" x14ac:dyDescent="0.2">
      <c r="A562" s="63" t="str">
        <f t="shared" si="32"/>
        <v/>
      </c>
      <c r="B562" s="62"/>
      <c r="C562" s="62"/>
      <c r="D562" s="62"/>
      <c r="E562" s="62"/>
      <c r="F562" s="62"/>
      <c r="G562" s="62"/>
      <c r="H562" s="62"/>
      <c r="I562" s="66"/>
      <c r="J562" s="66"/>
      <c r="K562" s="66"/>
      <c r="L562" s="66"/>
      <c r="M562" s="66"/>
      <c r="N562" s="64" t="str">
        <f>IF(OR($B562="", $I562="", $J562="", $K562="", $L562="", $M562=""),"",ROUND(($I562*Lists!$AN$2)+($J562*Lists!$AN$3)+($K562*Lists!$AN$4)+($L562*Lists!$AN$5)+($M562*Lists!$AN$6),2))</f>
        <v/>
      </c>
      <c r="O562" s="64" t="str">
        <f>IF($A562="","",IFERROR(VLOOKUP($A562,'Risk Register'!$B$2:$I$1000,8,FALSE()),""))</f>
        <v/>
      </c>
      <c r="P562" s="66"/>
      <c r="Q562" s="66"/>
      <c r="R562" s="66"/>
      <c r="S562" s="66"/>
      <c r="T562" s="64" t="str">
        <f>IF(OR($B562="", $P562="", $Q562="", $R562="", $S562=""),"",ROUND(($P562*Lists!$AN$7)+($Q562*Lists!$AN$8)+($R562*Lists!$AN$9)+($S562*Lists!$AN$10),2))</f>
        <v/>
      </c>
      <c r="U562" s="66"/>
      <c r="V562" s="66"/>
      <c r="W562" s="66"/>
      <c r="X562" s="66"/>
      <c r="Y562" s="66"/>
      <c r="Z562" s="64" t="str">
        <f>IF(OR($B562="", $U562="", $V562="", $W562="", $X562="", $Y562=""),"",ROUND(($U562*Lists!$AN$11)+($V562*Lists!$AN$12)+($W562*Lists!$AN$13)+($X562*Lists!$AN$14)+($Y562*Lists!$AN$15),2))</f>
        <v/>
      </c>
      <c r="AA562" s="64" t="str">
        <f>IF(OR($B562="", $N562="", $O562="", $T562="", $Z562=""),"",ROUND(($N562*Lists!$AN$16)-($O562*Lists!$AN$17)-($T562*Lists!$AN$18)+($Z562*Lists!$AN$19),2))</f>
        <v/>
      </c>
      <c r="AB562" s="63" t="str">
        <f t="shared" si="33"/>
        <v/>
      </c>
      <c r="AC562" s="63" t="str">
        <f t="shared" si="34"/>
        <v/>
      </c>
      <c r="AD562" s="63" t="str">
        <f>IF($A562="","",IFERROR(IF(VLOOKUP($A562,'Risk Register'!$B$2:$H$1000,4,FALSE())&gt;=4,"Yes",""),""))</f>
        <v/>
      </c>
      <c r="AE562" s="63" t="str">
        <f t="shared" si="35"/>
        <v/>
      </c>
      <c r="AF562" s="62"/>
      <c r="AG562" s="62"/>
      <c r="AH562" s="62"/>
      <c r="AI562" s="62"/>
      <c r="AJ562" s="62"/>
      <c r="AK562" s="62"/>
      <c r="AL562" s="62"/>
      <c r="AM562" s="62"/>
      <c r="AN562" s="62"/>
      <c r="AO562" s="62"/>
      <c r="AP562" s="62"/>
      <c r="AQ562" s="80"/>
    </row>
    <row r="563" spans="1:43" ht="15.75" customHeight="1" x14ac:dyDescent="0.2">
      <c r="A563" s="63" t="str">
        <f t="shared" si="32"/>
        <v/>
      </c>
      <c r="B563" s="62"/>
      <c r="C563" s="62"/>
      <c r="D563" s="62"/>
      <c r="E563" s="62"/>
      <c r="F563" s="62"/>
      <c r="G563" s="62"/>
      <c r="H563" s="62"/>
      <c r="I563" s="66"/>
      <c r="J563" s="66"/>
      <c r="K563" s="66"/>
      <c r="L563" s="66"/>
      <c r="M563" s="66"/>
      <c r="N563" s="64" t="str">
        <f>IF(OR($B563="", $I563="", $J563="", $K563="", $L563="", $M563=""),"",ROUND(($I563*Lists!$AN$2)+($J563*Lists!$AN$3)+($K563*Lists!$AN$4)+($L563*Lists!$AN$5)+($M563*Lists!$AN$6),2))</f>
        <v/>
      </c>
      <c r="O563" s="64" t="str">
        <f>IF($A563="","",IFERROR(VLOOKUP($A563,'Risk Register'!$B$2:$I$1000,8,FALSE()),""))</f>
        <v/>
      </c>
      <c r="P563" s="66"/>
      <c r="Q563" s="66"/>
      <c r="R563" s="66"/>
      <c r="S563" s="66"/>
      <c r="T563" s="64" t="str">
        <f>IF(OR($B563="", $P563="", $Q563="", $R563="", $S563=""),"",ROUND(($P563*Lists!$AN$7)+($Q563*Lists!$AN$8)+($R563*Lists!$AN$9)+($S563*Lists!$AN$10),2))</f>
        <v/>
      </c>
      <c r="U563" s="66"/>
      <c r="V563" s="66"/>
      <c r="W563" s="66"/>
      <c r="X563" s="66"/>
      <c r="Y563" s="66"/>
      <c r="Z563" s="64" t="str">
        <f>IF(OR($B563="", $U563="", $V563="", $W563="", $X563="", $Y563=""),"",ROUND(($U563*Lists!$AN$11)+($V563*Lists!$AN$12)+($W563*Lists!$AN$13)+($X563*Lists!$AN$14)+($Y563*Lists!$AN$15),2))</f>
        <v/>
      </c>
      <c r="AA563" s="64" t="str">
        <f>IF(OR($B563="", $N563="", $O563="", $T563="", $Z563=""),"",ROUND(($N563*Lists!$AN$16)-($O563*Lists!$AN$17)-($T563*Lists!$AN$18)+($Z563*Lists!$AN$19),2))</f>
        <v/>
      </c>
      <c r="AB563" s="63" t="str">
        <f t="shared" si="33"/>
        <v/>
      </c>
      <c r="AC563" s="63" t="str">
        <f t="shared" si="34"/>
        <v/>
      </c>
      <c r="AD563" s="63" t="str">
        <f>IF($A563="","",IFERROR(IF(VLOOKUP($A563,'Risk Register'!$B$2:$H$1000,4,FALSE())&gt;=4,"Yes",""),""))</f>
        <v/>
      </c>
      <c r="AE563" s="63" t="str">
        <f t="shared" si="35"/>
        <v/>
      </c>
      <c r="AF563" s="62"/>
      <c r="AG563" s="62"/>
      <c r="AH563" s="62"/>
      <c r="AI563" s="62"/>
      <c r="AJ563" s="62"/>
      <c r="AK563" s="62"/>
      <c r="AL563" s="62"/>
      <c r="AM563" s="62"/>
      <c r="AN563" s="62"/>
      <c r="AO563" s="62"/>
      <c r="AP563" s="62"/>
      <c r="AQ563" s="80"/>
    </row>
    <row r="564" spans="1:43" ht="15.75" customHeight="1" x14ac:dyDescent="0.2">
      <c r="A564" s="63" t="str">
        <f t="shared" si="32"/>
        <v/>
      </c>
      <c r="B564" s="62"/>
      <c r="C564" s="62"/>
      <c r="D564" s="62"/>
      <c r="E564" s="62"/>
      <c r="F564" s="62"/>
      <c r="G564" s="62"/>
      <c r="H564" s="62"/>
      <c r="I564" s="66"/>
      <c r="J564" s="66"/>
      <c r="K564" s="66"/>
      <c r="L564" s="66"/>
      <c r="M564" s="66"/>
      <c r="N564" s="64" t="str">
        <f>IF(OR($B564="", $I564="", $J564="", $K564="", $L564="", $M564=""),"",ROUND(($I564*Lists!$AN$2)+($J564*Lists!$AN$3)+($K564*Lists!$AN$4)+($L564*Lists!$AN$5)+($M564*Lists!$AN$6),2))</f>
        <v/>
      </c>
      <c r="O564" s="64" t="str">
        <f>IF($A564="","",IFERROR(VLOOKUP($A564,'Risk Register'!$B$2:$I$1000,8,FALSE()),""))</f>
        <v/>
      </c>
      <c r="P564" s="66"/>
      <c r="Q564" s="66"/>
      <c r="R564" s="66"/>
      <c r="S564" s="66"/>
      <c r="T564" s="64" t="str">
        <f>IF(OR($B564="", $P564="", $Q564="", $R564="", $S564=""),"",ROUND(($P564*Lists!$AN$7)+($Q564*Lists!$AN$8)+($R564*Lists!$AN$9)+($S564*Lists!$AN$10),2))</f>
        <v/>
      </c>
      <c r="U564" s="66"/>
      <c r="V564" s="66"/>
      <c r="W564" s="66"/>
      <c r="X564" s="66"/>
      <c r="Y564" s="66"/>
      <c r="Z564" s="64" t="str">
        <f>IF(OR($B564="", $U564="", $V564="", $W564="", $X564="", $Y564=""),"",ROUND(($U564*Lists!$AN$11)+($V564*Lists!$AN$12)+($W564*Lists!$AN$13)+($X564*Lists!$AN$14)+($Y564*Lists!$AN$15),2))</f>
        <v/>
      </c>
      <c r="AA564" s="64" t="str">
        <f>IF(OR($B564="", $N564="", $O564="", $T564="", $Z564=""),"",ROUND(($N564*Lists!$AN$16)-($O564*Lists!$AN$17)-($T564*Lists!$AN$18)+($Z564*Lists!$AN$19),2))</f>
        <v/>
      </c>
      <c r="AB564" s="63" t="str">
        <f t="shared" si="33"/>
        <v/>
      </c>
      <c r="AC564" s="63" t="str">
        <f t="shared" si="34"/>
        <v/>
      </c>
      <c r="AD564" s="63" t="str">
        <f>IF($A564="","",IFERROR(IF(VLOOKUP($A564,'Risk Register'!$B$2:$H$1000,4,FALSE())&gt;=4,"Yes",""),""))</f>
        <v/>
      </c>
      <c r="AE564" s="63" t="str">
        <f t="shared" si="35"/>
        <v/>
      </c>
      <c r="AF564" s="62"/>
      <c r="AG564" s="62"/>
      <c r="AH564" s="62"/>
      <c r="AI564" s="62"/>
      <c r="AJ564" s="62"/>
      <c r="AK564" s="62"/>
      <c r="AL564" s="62"/>
      <c r="AM564" s="62"/>
      <c r="AN564" s="62"/>
      <c r="AO564" s="62"/>
      <c r="AP564" s="62"/>
      <c r="AQ564" s="80"/>
    </row>
    <row r="565" spans="1:43" ht="15.75" customHeight="1" x14ac:dyDescent="0.2">
      <c r="A565" s="63" t="str">
        <f t="shared" si="32"/>
        <v/>
      </c>
      <c r="B565" s="62"/>
      <c r="C565" s="62"/>
      <c r="D565" s="62"/>
      <c r="E565" s="62"/>
      <c r="F565" s="62"/>
      <c r="G565" s="62"/>
      <c r="H565" s="62"/>
      <c r="I565" s="66"/>
      <c r="J565" s="66"/>
      <c r="K565" s="66"/>
      <c r="L565" s="66"/>
      <c r="M565" s="66"/>
      <c r="N565" s="64" t="str">
        <f>IF(OR($B565="", $I565="", $J565="", $K565="", $L565="", $M565=""),"",ROUND(($I565*Lists!$AN$2)+($J565*Lists!$AN$3)+($K565*Lists!$AN$4)+($L565*Lists!$AN$5)+($M565*Lists!$AN$6),2))</f>
        <v/>
      </c>
      <c r="O565" s="64" t="str">
        <f>IF($A565="","",IFERROR(VLOOKUP($A565,'Risk Register'!$B$2:$I$1000,8,FALSE()),""))</f>
        <v/>
      </c>
      <c r="P565" s="66"/>
      <c r="Q565" s="66"/>
      <c r="R565" s="66"/>
      <c r="S565" s="66"/>
      <c r="T565" s="64" t="str">
        <f>IF(OR($B565="", $P565="", $Q565="", $R565="", $S565=""),"",ROUND(($P565*Lists!$AN$7)+($Q565*Lists!$AN$8)+($R565*Lists!$AN$9)+($S565*Lists!$AN$10),2))</f>
        <v/>
      </c>
      <c r="U565" s="66"/>
      <c r="V565" s="66"/>
      <c r="W565" s="66"/>
      <c r="X565" s="66"/>
      <c r="Y565" s="66"/>
      <c r="Z565" s="64" t="str">
        <f>IF(OR($B565="", $U565="", $V565="", $W565="", $X565="", $Y565=""),"",ROUND(($U565*Lists!$AN$11)+($V565*Lists!$AN$12)+($W565*Lists!$AN$13)+($X565*Lists!$AN$14)+($Y565*Lists!$AN$15),2))</f>
        <v/>
      </c>
      <c r="AA565" s="64" t="str">
        <f>IF(OR($B565="", $N565="", $O565="", $T565="", $Z565=""),"",ROUND(($N565*Lists!$AN$16)-($O565*Lists!$AN$17)-($T565*Lists!$AN$18)+($Z565*Lists!$AN$19),2))</f>
        <v/>
      </c>
      <c r="AB565" s="63" t="str">
        <f t="shared" si="33"/>
        <v/>
      </c>
      <c r="AC565" s="63" t="str">
        <f t="shared" si="34"/>
        <v/>
      </c>
      <c r="AD565" s="63" t="str">
        <f>IF($A565="","",IFERROR(IF(VLOOKUP($A565,'Risk Register'!$B$2:$H$1000,4,FALSE())&gt;=4,"Yes",""),""))</f>
        <v/>
      </c>
      <c r="AE565" s="63" t="str">
        <f t="shared" si="35"/>
        <v/>
      </c>
      <c r="AF565" s="62"/>
      <c r="AG565" s="62"/>
      <c r="AH565" s="62"/>
      <c r="AI565" s="62"/>
      <c r="AJ565" s="62"/>
      <c r="AK565" s="62"/>
      <c r="AL565" s="62"/>
      <c r="AM565" s="62"/>
      <c r="AN565" s="62"/>
      <c r="AO565" s="62"/>
      <c r="AP565" s="62"/>
      <c r="AQ565" s="80"/>
    </row>
    <row r="566" spans="1:43" ht="15.75" customHeight="1" x14ac:dyDescent="0.2">
      <c r="A566" s="63" t="str">
        <f t="shared" si="32"/>
        <v/>
      </c>
      <c r="B566" s="62"/>
      <c r="C566" s="62"/>
      <c r="D566" s="62"/>
      <c r="E566" s="62"/>
      <c r="F566" s="62"/>
      <c r="G566" s="62"/>
      <c r="H566" s="62"/>
      <c r="I566" s="66"/>
      <c r="J566" s="66"/>
      <c r="K566" s="66"/>
      <c r="L566" s="66"/>
      <c r="M566" s="66"/>
      <c r="N566" s="64" t="str">
        <f>IF(OR($B566="", $I566="", $J566="", $K566="", $L566="", $M566=""),"",ROUND(($I566*Lists!$AN$2)+($J566*Lists!$AN$3)+($K566*Lists!$AN$4)+($L566*Lists!$AN$5)+($M566*Lists!$AN$6),2))</f>
        <v/>
      </c>
      <c r="O566" s="64" t="str">
        <f>IF($A566="","",IFERROR(VLOOKUP($A566,'Risk Register'!$B$2:$I$1000,8,FALSE()),""))</f>
        <v/>
      </c>
      <c r="P566" s="66"/>
      <c r="Q566" s="66"/>
      <c r="R566" s="66"/>
      <c r="S566" s="66"/>
      <c r="T566" s="64" t="str">
        <f>IF(OR($B566="", $P566="", $Q566="", $R566="", $S566=""),"",ROUND(($P566*Lists!$AN$7)+($Q566*Lists!$AN$8)+($R566*Lists!$AN$9)+($S566*Lists!$AN$10),2))</f>
        <v/>
      </c>
      <c r="U566" s="66"/>
      <c r="V566" s="66"/>
      <c r="W566" s="66"/>
      <c r="X566" s="66"/>
      <c r="Y566" s="66"/>
      <c r="Z566" s="64" t="str">
        <f>IF(OR($B566="", $U566="", $V566="", $W566="", $X566="", $Y566=""),"",ROUND(($U566*Lists!$AN$11)+($V566*Lists!$AN$12)+($W566*Lists!$AN$13)+($X566*Lists!$AN$14)+($Y566*Lists!$AN$15),2))</f>
        <v/>
      </c>
      <c r="AA566" s="64" t="str">
        <f>IF(OR($B566="", $N566="", $O566="", $T566="", $Z566=""),"",ROUND(($N566*Lists!$AN$16)-($O566*Lists!$AN$17)-($T566*Lists!$AN$18)+($Z566*Lists!$AN$19),2))</f>
        <v/>
      </c>
      <c r="AB566" s="63" t="str">
        <f t="shared" si="33"/>
        <v/>
      </c>
      <c r="AC566" s="63" t="str">
        <f t="shared" si="34"/>
        <v/>
      </c>
      <c r="AD566" s="63" t="str">
        <f>IF($A566="","",IFERROR(IF(VLOOKUP($A566,'Risk Register'!$B$2:$H$1000,4,FALSE())&gt;=4,"Yes",""),""))</f>
        <v/>
      </c>
      <c r="AE566" s="63" t="str">
        <f t="shared" si="35"/>
        <v/>
      </c>
      <c r="AF566" s="62"/>
      <c r="AG566" s="62"/>
      <c r="AH566" s="62"/>
      <c r="AI566" s="62"/>
      <c r="AJ566" s="62"/>
      <c r="AK566" s="62"/>
      <c r="AL566" s="62"/>
      <c r="AM566" s="62"/>
      <c r="AN566" s="62"/>
      <c r="AO566" s="62"/>
      <c r="AP566" s="62"/>
      <c r="AQ566" s="80"/>
    </row>
    <row r="567" spans="1:43" ht="15.75" customHeight="1" x14ac:dyDescent="0.2">
      <c r="A567" s="63" t="str">
        <f t="shared" si="32"/>
        <v/>
      </c>
      <c r="B567" s="62"/>
      <c r="C567" s="62"/>
      <c r="D567" s="62"/>
      <c r="E567" s="62"/>
      <c r="F567" s="62"/>
      <c r="G567" s="62"/>
      <c r="H567" s="62"/>
      <c r="I567" s="66"/>
      <c r="J567" s="66"/>
      <c r="K567" s="66"/>
      <c r="L567" s="66"/>
      <c r="M567" s="66"/>
      <c r="N567" s="64" t="str">
        <f>IF(OR($B567="", $I567="", $J567="", $K567="", $L567="", $M567=""),"",ROUND(($I567*Lists!$AN$2)+($J567*Lists!$AN$3)+($K567*Lists!$AN$4)+($L567*Lists!$AN$5)+($M567*Lists!$AN$6),2))</f>
        <v/>
      </c>
      <c r="O567" s="64" t="str">
        <f>IF($A567="","",IFERROR(VLOOKUP($A567,'Risk Register'!$B$2:$I$1000,8,FALSE()),""))</f>
        <v/>
      </c>
      <c r="P567" s="66"/>
      <c r="Q567" s="66"/>
      <c r="R567" s="66"/>
      <c r="S567" s="66"/>
      <c r="T567" s="64" t="str">
        <f>IF(OR($B567="", $P567="", $Q567="", $R567="", $S567=""),"",ROUND(($P567*Lists!$AN$7)+($Q567*Lists!$AN$8)+($R567*Lists!$AN$9)+($S567*Lists!$AN$10),2))</f>
        <v/>
      </c>
      <c r="U567" s="66"/>
      <c r="V567" s="66"/>
      <c r="W567" s="66"/>
      <c r="X567" s="66"/>
      <c r="Y567" s="66"/>
      <c r="Z567" s="64" t="str">
        <f>IF(OR($B567="", $U567="", $V567="", $W567="", $X567="", $Y567=""),"",ROUND(($U567*Lists!$AN$11)+($V567*Lists!$AN$12)+($W567*Lists!$AN$13)+($X567*Lists!$AN$14)+($Y567*Lists!$AN$15),2))</f>
        <v/>
      </c>
      <c r="AA567" s="64" t="str">
        <f>IF(OR($B567="", $N567="", $O567="", $T567="", $Z567=""),"",ROUND(($N567*Lists!$AN$16)-($O567*Lists!$AN$17)-($T567*Lists!$AN$18)+($Z567*Lists!$AN$19),2))</f>
        <v/>
      </c>
      <c r="AB567" s="63" t="str">
        <f t="shared" si="33"/>
        <v/>
      </c>
      <c r="AC567" s="63" t="str">
        <f t="shared" si="34"/>
        <v/>
      </c>
      <c r="AD567" s="63" t="str">
        <f>IF($A567="","",IFERROR(IF(VLOOKUP($A567,'Risk Register'!$B$2:$H$1000,4,FALSE())&gt;=4,"Yes",""),""))</f>
        <v/>
      </c>
      <c r="AE567" s="63" t="str">
        <f t="shared" si="35"/>
        <v/>
      </c>
      <c r="AF567" s="62"/>
      <c r="AG567" s="62"/>
      <c r="AH567" s="62"/>
      <c r="AI567" s="62"/>
      <c r="AJ567" s="62"/>
      <c r="AK567" s="62"/>
      <c r="AL567" s="62"/>
      <c r="AM567" s="62"/>
      <c r="AN567" s="62"/>
      <c r="AO567" s="62"/>
      <c r="AP567" s="62"/>
      <c r="AQ567" s="80"/>
    </row>
    <row r="568" spans="1:43" ht="15.75" customHeight="1" x14ac:dyDescent="0.2">
      <c r="A568" s="63" t="str">
        <f t="shared" si="32"/>
        <v/>
      </c>
      <c r="B568" s="62"/>
      <c r="C568" s="62"/>
      <c r="D568" s="62"/>
      <c r="E568" s="62"/>
      <c r="F568" s="62"/>
      <c r="G568" s="62"/>
      <c r="H568" s="62"/>
      <c r="I568" s="66"/>
      <c r="J568" s="66"/>
      <c r="K568" s="66"/>
      <c r="L568" s="66"/>
      <c r="M568" s="66"/>
      <c r="N568" s="64" t="str">
        <f>IF(OR($B568="", $I568="", $J568="", $K568="", $L568="", $M568=""),"",ROUND(($I568*Lists!$AN$2)+($J568*Lists!$AN$3)+($K568*Lists!$AN$4)+($L568*Lists!$AN$5)+($M568*Lists!$AN$6),2))</f>
        <v/>
      </c>
      <c r="O568" s="64" t="str">
        <f>IF($A568="","",IFERROR(VLOOKUP($A568,'Risk Register'!$B$2:$I$1000,8,FALSE()),""))</f>
        <v/>
      </c>
      <c r="P568" s="66"/>
      <c r="Q568" s="66"/>
      <c r="R568" s="66"/>
      <c r="S568" s="66"/>
      <c r="T568" s="64" t="str">
        <f>IF(OR($B568="", $P568="", $Q568="", $R568="", $S568=""),"",ROUND(($P568*Lists!$AN$7)+($Q568*Lists!$AN$8)+($R568*Lists!$AN$9)+($S568*Lists!$AN$10),2))</f>
        <v/>
      </c>
      <c r="U568" s="66"/>
      <c r="V568" s="66"/>
      <c r="W568" s="66"/>
      <c r="X568" s="66"/>
      <c r="Y568" s="66"/>
      <c r="Z568" s="64" t="str">
        <f>IF(OR($B568="", $U568="", $V568="", $W568="", $X568="", $Y568=""),"",ROUND(($U568*Lists!$AN$11)+($V568*Lists!$AN$12)+($W568*Lists!$AN$13)+($X568*Lists!$AN$14)+($Y568*Lists!$AN$15),2))</f>
        <v/>
      </c>
      <c r="AA568" s="64" t="str">
        <f>IF(OR($B568="", $N568="", $O568="", $T568="", $Z568=""),"",ROUND(($N568*Lists!$AN$16)-($O568*Lists!$AN$17)-($T568*Lists!$AN$18)+($Z568*Lists!$AN$19),2))</f>
        <v/>
      </c>
      <c r="AB568" s="63" t="str">
        <f t="shared" si="33"/>
        <v/>
      </c>
      <c r="AC568" s="63" t="str">
        <f t="shared" si="34"/>
        <v/>
      </c>
      <c r="AD568" s="63" t="str">
        <f>IF($A568="","",IFERROR(IF(VLOOKUP($A568,'Risk Register'!$B$2:$H$1000,4,FALSE())&gt;=4,"Yes",""),""))</f>
        <v/>
      </c>
      <c r="AE568" s="63" t="str">
        <f t="shared" si="35"/>
        <v/>
      </c>
      <c r="AF568" s="62"/>
      <c r="AG568" s="62"/>
      <c r="AH568" s="62"/>
      <c r="AI568" s="62"/>
      <c r="AJ568" s="62"/>
      <c r="AK568" s="62"/>
      <c r="AL568" s="62"/>
      <c r="AM568" s="62"/>
      <c r="AN568" s="62"/>
      <c r="AO568" s="62"/>
      <c r="AP568" s="62"/>
      <c r="AQ568" s="80"/>
    </row>
    <row r="569" spans="1:43" ht="15.75" customHeight="1" x14ac:dyDescent="0.2">
      <c r="A569" s="63" t="str">
        <f t="shared" si="32"/>
        <v/>
      </c>
      <c r="B569" s="62"/>
      <c r="C569" s="62"/>
      <c r="D569" s="62"/>
      <c r="E569" s="62"/>
      <c r="F569" s="62"/>
      <c r="G569" s="62"/>
      <c r="H569" s="62"/>
      <c r="I569" s="66"/>
      <c r="J569" s="66"/>
      <c r="K569" s="66"/>
      <c r="L569" s="66"/>
      <c r="M569" s="66"/>
      <c r="N569" s="64" t="str">
        <f>IF(OR($B569="", $I569="", $J569="", $K569="", $L569="", $M569=""),"",ROUND(($I569*Lists!$AN$2)+($J569*Lists!$AN$3)+($K569*Lists!$AN$4)+($L569*Lists!$AN$5)+($M569*Lists!$AN$6),2))</f>
        <v/>
      </c>
      <c r="O569" s="64" t="str">
        <f>IF($A569="","",IFERROR(VLOOKUP($A569,'Risk Register'!$B$2:$I$1000,8,FALSE()),""))</f>
        <v/>
      </c>
      <c r="P569" s="66"/>
      <c r="Q569" s="66"/>
      <c r="R569" s="66"/>
      <c r="S569" s="66"/>
      <c r="T569" s="64" t="str">
        <f>IF(OR($B569="", $P569="", $Q569="", $R569="", $S569=""),"",ROUND(($P569*Lists!$AN$7)+($Q569*Lists!$AN$8)+($R569*Lists!$AN$9)+($S569*Lists!$AN$10),2))</f>
        <v/>
      </c>
      <c r="U569" s="66"/>
      <c r="V569" s="66"/>
      <c r="W569" s="66"/>
      <c r="X569" s="66"/>
      <c r="Y569" s="66"/>
      <c r="Z569" s="64" t="str">
        <f>IF(OR($B569="", $U569="", $V569="", $W569="", $X569="", $Y569=""),"",ROUND(($U569*Lists!$AN$11)+($V569*Lists!$AN$12)+($W569*Lists!$AN$13)+($X569*Lists!$AN$14)+($Y569*Lists!$AN$15),2))</f>
        <v/>
      </c>
      <c r="AA569" s="64" t="str">
        <f>IF(OR($B569="", $N569="", $O569="", $T569="", $Z569=""),"",ROUND(($N569*Lists!$AN$16)-($O569*Lists!$AN$17)-($T569*Lists!$AN$18)+($Z569*Lists!$AN$19),2))</f>
        <v/>
      </c>
      <c r="AB569" s="63" t="str">
        <f t="shared" si="33"/>
        <v/>
      </c>
      <c r="AC569" s="63" t="str">
        <f t="shared" si="34"/>
        <v/>
      </c>
      <c r="AD569" s="63" t="str">
        <f>IF($A569="","",IFERROR(IF(VLOOKUP($A569,'Risk Register'!$B$2:$H$1000,4,FALSE())&gt;=4,"Yes",""),""))</f>
        <v/>
      </c>
      <c r="AE569" s="63" t="str">
        <f t="shared" si="35"/>
        <v/>
      </c>
      <c r="AF569" s="62"/>
      <c r="AG569" s="62"/>
      <c r="AH569" s="62"/>
      <c r="AI569" s="62"/>
      <c r="AJ569" s="62"/>
      <c r="AK569" s="62"/>
      <c r="AL569" s="62"/>
      <c r="AM569" s="62"/>
      <c r="AN569" s="62"/>
      <c r="AO569" s="62"/>
      <c r="AP569" s="62"/>
      <c r="AQ569" s="80"/>
    </row>
    <row r="570" spans="1:43" ht="15.75" customHeight="1" x14ac:dyDescent="0.2">
      <c r="A570" s="63" t="str">
        <f t="shared" si="32"/>
        <v/>
      </c>
      <c r="B570" s="62"/>
      <c r="C570" s="62"/>
      <c r="D570" s="62"/>
      <c r="E570" s="62"/>
      <c r="F570" s="62"/>
      <c r="G570" s="62"/>
      <c r="H570" s="62"/>
      <c r="I570" s="66"/>
      <c r="J570" s="66"/>
      <c r="K570" s="66"/>
      <c r="L570" s="66"/>
      <c r="M570" s="66"/>
      <c r="N570" s="64" t="str">
        <f>IF(OR($B570="", $I570="", $J570="", $K570="", $L570="", $M570=""),"",ROUND(($I570*Lists!$AN$2)+($J570*Lists!$AN$3)+($K570*Lists!$AN$4)+($L570*Lists!$AN$5)+($M570*Lists!$AN$6),2))</f>
        <v/>
      </c>
      <c r="O570" s="64" t="str">
        <f>IF($A570="","",IFERROR(VLOOKUP($A570,'Risk Register'!$B$2:$I$1000,8,FALSE()),""))</f>
        <v/>
      </c>
      <c r="P570" s="66"/>
      <c r="Q570" s="66"/>
      <c r="R570" s="66"/>
      <c r="S570" s="66"/>
      <c r="T570" s="64" t="str">
        <f>IF(OR($B570="", $P570="", $Q570="", $R570="", $S570=""),"",ROUND(($P570*Lists!$AN$7)+($Q570*Lists!$AN$8)+($R570*Lists!$AN$9)+($S570*Lists!$AN$10),2))</f>
        <v/>
      </c>
      <c r="U570" s="66"/>
      <c r="V570" s="66"/>
      <c r="W570" s="66"/>
      <c r="X570" s="66"/>
      <c r="Y570" s="66"/>
      <c r="Z570" s="64" t="str">
        <f>IF(OR($B570="", $U570="", $V570="", $W570="", $X570="", $Y570=""),"",ROUND(($U570*Lists!$AN$11)+($V570*Lists!$AN$12)+($W570*Lists!$AN$13)+($X570*Lists!$AN$14)+($Y570*Lists!$AN$15),2))</f>
        <v/>
      </c>
      <c r="AA570" s="64" t="str">
        <f>IF(OR($B570="", $N570="", $O570="", $T570="", $Z570=""),"",ROUND(($N570*Lists!$AN$16)-($O570*Lists!$AN$17)-($T570*Lists!$AN$18)+($Z570*Lists!$AN$19),2))</f>
        <v/>
      </c>
      <c r="AB570" s="63" t="str">
        <f t="shared" si="33"/>
        <v/>
      </c>
      <c r="AC570" s="63" t="str">
        <f t="shared" si="34"/>
        <v/>
      </c>
      <c r="AD570" s="63" t="str">
        <f>IF($A570="","",IFERROR(IF(VLOOKUP($A570,'Risk Register'!$B$2:$H$1000,4,FALSE())&gt;=4,"Yes",""),""))</f>
        <v/>
      </c>
      <c r="AE570" s="63" t="str">
        <f t="shared" si="35"/>
        <v/>
      </c>
      <c r="AF570" s="62"/>
      <c r="AG570" s="62"/>
      <c r="AH570" s="62"/>
      <c r="AI570" s="62"/>
      <c r="AJ570" s="62"/>
      <c r="AK570" s="62"/>
      <c r="AL570" s="62"/>
      <c r="AM570" s="62"/>
      <c r="AN570" s="62"/>
      <c r="AO570" s="62"/>
      <c r="AP570" s="62"/>
      <c r="AQ570" s="80"/>
    </row>
    <row r="571" spans="1:43" ht="15.75" customHeight="1" x14ac:dyDescent="0.2">
      <c r="A571" s="63" t="str">
        <f t="shared" si="32"/>
        <v/>
      </c>
      <c r="B571" s="62"/>
      <c r="C571" s="62"/>
      <c r="D571" s="62"/>
      <c r="E571" s="62"/>
      <c r="F571" s="62"/>
      <c r="G571" s="62"/>
      <c r="H571" s="62"/>
      <c r="I571" s="66"/>
      <c r="J571" s="66"/>
      <c r="K571" s="66"/>
      <c r="L571" s="66"/>
      <c r="M571" s="66"/>
      <c r="N571" s="64" t="str">
        <f>IF(OR($B571="", $I571="", $J571="", $K571="", $L571="", $M571=""),"",ROUND(($I571*Lists!$AN$2)+($J571*Lists!$AN$3)+($K571*Lists!$AN$4)+($L571*Lists!$AN$5)+($M571*Lists!$AN$6),2))</f>
        <v/>
      </c>
      <c r="O571" s="64" t="str">
        <f>IF($A571="","",IFERROR(VLOOKUP($A571,'Risk Register'!$B$2:$I$1000,8,FALSE()),""))</f>
        <v/>
      </c>
      <c r="P571" s="66"/>
      <c r="Q571" s="66"/>
      <c r="R571" s="66"/>
      <c r="S571" s="66"/>
      <c r="T571" s="64" t="str">
        <f>IF(OR($B571="", $P571="", $Q571="", $R571="", $S571=""),"",ROUND(($P571*Lists!$AN$7)+($Q571*Lists!$AN$8)+($R571*Lists!$AN$9)+($S571*Lists!$AN$10),2))</f>
        <v/>
      </c>
      <c r="U571" s="66"/>
      <c r="V571" s="66"/>
      <c r="W571" s="66"/>
      <c r="X571" s="66"/>
      <c r="Y571" s="66"/>
      <c r="Z571" s="64" t="str">
        <f>IF(OR($B571="", $U571="", $V571="", $W571="", $X571="", $Y571=""),"",ROUND(($U571*Lists!$AN$11)+($V571*Lists!$AN$12)+($W571*Lists!$AN$13)+($X571*Lists!$AN$14)+($Y571*Lists!$AN$15),2))</f>
        <v/>
      </c>
      <c r="AA571" s="64" t="str">
        <f>IF(OR($B571="", $N571="", $O571="", $T571="", $Z571=""),"",ROUND(($N571*Lists!$AN$16)-($O571*Lists!$AN$17)-($T571*Lists!$AN$18)+($Z571*Lists!$AN$19),2))</f>
        <v/>
      </c>
      <c r="AB571" s="63" t="str">
        <f t="shared" si="33"/>
        <v/>
      </c>
      <c r="AC571" s="63" t="str">
        <f t="shared" si="34"/>
        <v/>
      </c>
      <c r="AD571" s="63" t="str">
        <f>IF($A571="","",IFERROR(IF(VLOOKUP($A571,'Risk Register'!$B$2:$H$1000,4,FALSE())&gt;=4,"Yes",""),""))</f>
        <v/>
      </c>
      <c r="AE571" s="63" t="str">
        <f t="shared" si="35"/>
        <v/>
      </c>
      <c r="AF571" s="62"/>
      <c r="AG571" s="62"/>
      <c r="AH571" s="62"/>
      <c r="AI571" s="62"/>
      <c r="AJ571" s="62"/>
      <c r="AK571" s="62"/>
      <c r="AL571" s="62"/>
      <c r="AM571" s="62"/>
      <c r="AN571" s="62"/>
      <c r="AO571" s="62"/>
      <c r="AP571" s="62"/>
      <c r="AQ571" s="80"/>
    </row>
    <row r="572" spans="1:43" ht="15.75" customHeight="1" x14ac:dyDescent="0.2">
      <c r="A572" s="63" t="str">
        <f t="shared" si="32"/>
        <v/>
      </c>
      <c r="B572" s="62"/>
      <c r="C572" s="62"/>
      <c r="D572" s="62"/>
      <c r="E572" s="62"/>
      <c r="F572" s="62"/>
      <c r="G572" s="62"/>
      <c r="H572" s="62"/>
      <c r="I572" s="66"/>
      <c r="J572" s="66"/>
      <c r="K572" s="66"/>
      <c r="L572" s="66"/>
      <c r="M572" s="66"/>
      <c r="N572" s="64" t="str">
        <f>IF(OR($B572="", $I572="", $J572="", $K572="", $L572="", $M572=""),"",ROUND(($I572*Lists!$AN$2)+($J572*Lists!$AN$3)+($K572*Lists!$AN$4)+($L572*Lists!$AN$5)+($M572*Lists!$AN$6),2))</f>
        <v/>
      </c>
      <c r="O572" s="64" t="str">
        <f>IF($A572="","",IFERROR(VLOOKUP($A572,'Risk Register'!$B$2:$I$1000,8,FALSE()),""))</f>
        <v/>
      </c>
      <c r="P572" s="66"/>
      <c r="Q572" s="66"/>
      <c r="R572" s="66"/>
      <c r="S572" s="66"/>
      <c r="T572" s="64" t="str">
        <f>IF(OR($B572="", $P572="", $Q572="", $R572="", $S572=""),"",ROUND(($P572*Lists!$AN$7)+($Q572*Lists!$AN$8)+($R572*Lists!$AN$9)+($S572*Lists!$AN$10),2))</f>
        <v/>
      </c>
      <c r="U572" s="66"/>
      <c r="V572" s="66"/>
      <c r="W572" s="66"/>
      <c r="X572" s="66"/>
      <c r="Y572" s="66"/>
      <c r="Z572" s="64" t="str">
        <f>IF(OR($B572="", $U572="", $V572="", $W572="", $X572="", $Y572=""),"",ROUND(($U572*Lists!$AN$11)+($V572*Lists!$AN$12)+($W572*Lists!$AN$13)+($X572*Lists!$AN$14)+($Y572*Lists!$AN$15),2))</f>
        <v/>
      </c>
      <c r="AA572" s="64" t="str">
        <f>IF(OR($B572="", $N572="", $O572="", $T572="", $Z572=""),"",ROUND(($N572*Lists!$AN$16)-($O572*Lists!$AN$17)-($T572*Lists!$AN$18)+($Z572*Lists!$AN$19),2))</f>
        <v/>
      </c>
      <c r="AB572" s="63" t="str">
        <f t="shared" si="33"/>
        <v/>
      </c>
      <c r="AC572" s="63" t="str">
        <f t="shared" si="34"/>
        <v/>
      </c>
      <c r="AD572" s="63" t="str">
        <f>IF($A572="","",IFERROR(IF(VLOOKUP($A572,'Risk Register'!$B$2:$H$1000,4,FALSE())&gt;=4,"Yes",""),""))</f>
        <v/>
      </c>
      <c r="AE572" s="63" t="str">
        <f t="shared" si="35"/>
        <v/>
      </c>
      <c r="AF572" s="62"/>
      <c r="AG572" s="62"/>
      <c r="AH572" s="62"/>
      <c r="AI572" s="62"/>
      <c r="AJ572" s="62"/>
      <c r="AK572" s="62"/>
      <c r="AL572" s="62"/>
      <c r="AM572" s="62"/>
      <c r="AN572" s="62"/>
      <c r="AO572" s="62"/>
      <c r="AP572" s="62"/>
      <c r="AQ572" s="80"/>
    </row>
    <row r="573" spans="1:43" ht="15.75" customHeight="1" x14ac:dyDescent="0.2">
      <c r="A573" s="63" t="str">
        <f t="shared" si="32"/>
        <v/>
      </c>
      <c r="B573" s="62"/>
      <c r="C573" s="62"/>
      <c r="D573" s="62"/>
      <c r="E573" s="62"/>
      <c r="F573" s="62"/>
      <c r="G573" s="62"/>
      <c r="H573" s="62"/>
      <c r="I573" s="66"/>
      <c r="J573" s="66"/>
      <c r="K573" s="66"/>
      <c r="L573" s="66"/>
      <c r="M573" s="66"/>
      <c r="N573" s="64" t="str">
        <f>IF(OR($B573="", $I573="", $J573="", $K573="", $L573="", $M573=""),"",ROUND(($I573*Lists!$AN$2)+($J573*Lists!$AN$3)+($K573*Lists!$AN$4)+($L573*Lists!$AN$5)+($M573*Lists!$AN$6),2))</f>
        <v/>
      </c>
      <c r="O573" s="64" t="str">
        <f>IF($A573="","",IFERROR(VLOOKUP($A573,'Risk Register'!$B$2:$I$1000,8,FALSE()),""))</f>
        <v/>
      </c>
      <c r="P573" s="66"/>
      <c r="Q573" s="66"/>
      <c r="R573" s="66"/>
      <c r="S573" s="66"/>
      <c r="T573" s="64" t="str">
        <f>IF(OR($B573="", $P573="", $Q573="", $R573="", $S573=""),"",ROUND(($P573*Lists!$AN$7)+($Q573*Lists!$AN$8)+($R573*Lists!$AN$9)+($S573*Lists!$AN$10),2))</f>
        <v/>
      </c>
      <c r="U573" s="66"/>
      <c r="V573" s="66"/>
      <c r="W573" s="66"/>
      <c r="X573" s="66"/>
      <c r="Y573" s="66"/>
      <c r="Z573" s="64" t="str">
        <f>IF(OR($B573="", $U573="", $V573="", $W573="", $X573="", $Y573=""),"",ROUND(($U573*Lists!$AN$11)+($V573*Lists!$AN$12)+($W573*Lists!$AN$13)+($X573*Lists!$AN$14)+($Y573*Lists!$AN$15),2))</f>
        <v/>
      </c>
      <c r="AA573" s="64" t="str">
        <f>IF(OR($B573="", $N573="", $O573="", $T573="", $Z573=""),"",ROUND(($N573*Lists!$AN$16)-($O573*Lists!$AN$17)-($T573*Lists!$AN$18)+($Z573*Lists!$AN$19),2))</f>
        <v/>
      </c>
      <c r="AB573" s="63" t="str">
        <f t="shared" si="33"/>
        <v/>
      </c>
      <c r="AC573" s="63" t="str">
        <f t="shared" si="34"/>
        <v/>
      </c>
      <c r="AD573" s="63" t="str">
        <f>IF($A573="","",IFERROR(IF(VLOOKUP($A573,'Risk Register'!$B$2:$H$1000,4,FALSE())&gt;=4,"Yes",""),""))</f>
        <v/>
      </c>
      <c r="AE573" s="63" t="str">
        <f t="shared" si="35"/>
        <v/>
      </c>
      <c r="AF573" s="62"/>
      <c r="AG573" s="62"/>
      <c r="AH573" s="62"/>
      <c r="AI573" s="62"/>
      <c r="AJ573" s="62"/>
      <c r="AK573" s="62"/>
      <c r="AL573" s="62"/>
      <c r="AM573" s="62"/>
      <c r="AN573" s="62"/>
      <c r="AO573" s="62"/>
      <c r="AP573" s="62"/>
      <c r="AQ573" s="80"/>
    </row>
    <row r="574" spans="1:43" ht="15.75" customHeight="1" x14ac:dyDescent="0.2">
      <c r="A574" s="63" t="str">
        <f t="shared" si="32"/>
        <v/>
      </c>
      <c r="B574" s="62"/>
      <c r="C574" s="62"/>
      <c r="D574" s="62"/>
      <c r="E574" s="62"/>
      <c r="F574" s="62"/>
      <c r="G574" s="62"/>
      <c r="H574" s="62"/>
      <c r="I574" s="66"/>
      <c r="J574" s="66"/>
      <c r="K574" s="66"/>
      <c r="L574" s="66"/>
      <c r="M574" s="66"/>
      <c r="N574" s="64" t="str">
        <f>IF(OR($B574="", $I574="", $J574="", $K574="", $L574="", $M574=""),"",ROUND(($I574*Lists!$AN$2)+($J574*Lists!$AN$3)+($K574*Lists!$AN$4)+($L574*Lists!$AN$5)+($M574*Lists!$AN$6),2))</f>
        <v/>
      </c>
      <c r="O574" s="64" t="str">
        <f>IF($A574="","",IFERROR(VLOOKUP($A574,'Risk Register'!$B$2:$I$1000,8,FALSE()),""))</f>
        <v/>
      </c>
      <c r="P574" s="66"/>
      <c r="Q574" s="66"/>
      <c r="R574" s="66"/>
      <c r="S574" s="66"/>
      <c r="T574" s="64" t="str">
        <f>IF(OR($B574="", $P574="", $Q574="", $R574="", $S574=""),"",ROUND(($P574*Lists!$AN$7)+($Q574*Lists!$AN$8)+($R574*Lists!$AN$9)+($S574*Lists!$AN$10),2))</f>
        <v/>
      </c>
      <c r="U574" s="66"/>
      <c r="V574" s="66"/>
      <c r="W574" s="66"/>
      <c r="X574" s="66"/>
      <c r="Y574" s="66"/>
      <c r="Z574" s="64" t="str">
        <f>IF(OR($B574="", $U574="", $V574="", $W574="", $X574="", $Y574=""),"",ROUND(($U574*Lists!$AN$11)+($V574*Lists!$AN$12)+($W574*Lists!$AN$13)+($X574*Lists!$AN$14)+($Y574*Lists!$AN$15),2))</f>
        <v/>
      </c>
      <c r="AA574" s="64" t="str">
        <f>IF(OR($B574="", $N574="", $O574="", $T574="", $Z574=""),"",ROUND(($N574*Lists!$AN$16)-($O574*Lists!$AN$17)-($T574*Lists!$AN$18)+($Z574*Lists!$AN$19),2))</f>
        <v/>
      </c>
      <c r="AB574" s="63" t="str">
        <f t="shared" si="33"/>
        <v/>
      </c>
      <c r="AC574" s="63" t="str">
        <f t="shared" si="34"/>
        <v/>
      </c>
      <c r="AD574" s="63" t="str">
        <f>IF($A574="","",IFERROR(IF(VLOOKUP($A574,'Risk Register'!$B$2:$H$1000,4,FALSE())&gt;=4,"Yes",""),""))</f>
        <v/>
      </c>
      <c r="AE574" s="63" t="str">
        <f t="shared" si="35"/>
        <v/>
      </c>
      <c r="AF574" s="62"/>
      <c r="AG574" s="62"/>
      <c r="AH574" s="62"/>
      <c r="AI574" s="62"/>
      <c r="AJ574" s="62"/>
      <c r="AK574" s="62"/>
      <c r="AL574" s="62"/>
      <c r="AM574" s="62"/>
      <c r="AN574" s="62"/>
      <c r="AO574" s="62"/>
      <c r="AP574" s="62"/>
      <c r="AQ574" s="80"/>
    </row>
    <row r="575" spans="1:43" ht="15.75" customHeight="1" x14ac:dyDescent="0.2">
      <c r="A575" s="63" t="str">
        <f t="shared" si="32"/>
        <v/>
      </c>
      <c r="B575" s="62"/>
      <c r="C575" s="62"/>
      <c r="D575" s="62"/>
      <c r="E575" s="62"/>
      <c r="F575" s="62"/>
      <c r="G575" s="62"/>
      <c r="H575" s="62"/>
      <c r="I575" s="66"/>
      <c r="J575" s="66"/>
      <c r="K575" s="66"/>
      <c r="L575" s="66"/>
      <c r="M575" s="66"/>
      <c r="N575" s="64" t="str">
        <f>IF(OR($B575="", $I575="", $J575="", $K575="", $L575="", $M575=""),"",ROUND(($I575*Lists!$AN$2)+($J575*Lists!$AN$3)+($K575*Lists!$AN$4)+($L575*Lists!$AN$5)+($M575*Lists!$AN$6),2))</f>
        <v/>
      </c>
      <c r="O575" s="64" t="str">
        <f>IF($A575="","",IFERROR(VLOOKUP($A575,'Risk Register'!$B$2:$I$1000,8,FALSE()),""))</f>
        <v/>
      </c>
      <c r="P575" s="66"/>
      <c r="Q575" s="66"/>
      <c r="R575" s="66"/>
      <c r="S575" s="66"/>
      <c r="T575" s="64" t="str">
        <f>IF(OR($B575="", $P575="", $Q575="", $R575="", $S575=""),"",ROUND(($P575*Lists!$AN$7)+($Q575*Lists!$AN$8)+($R575*Lists!$AN$9)+($S575*Lists!$AN$10),2))</f>
        <v/>
      </c>
      <c r="U575" s="66"/>
      <c r="V575" s="66"/>
      <c r="W575" s="66"/>
      <c r="X575" s="66"/>
      <c r="Y575" s="66"/>
      <c r="Z575" s="64" t="str">
        <f>IF(OR($B575="", $U575="", $V575="", $W575="", $X575="", $Y575=""),"",ROUND(($U575*Lists!$AN$11)+($V575*Lists!$AN$12)+($W575*Lists!$AN$13)+($X575*Lists!$AN$14)+($Y575*Lists!$AN$15),2))</f>
        <v/>
      </c>
      <c r="AA575" s="64" t="str">
        <f>IF(OR($B575="", $N575="", $O575="", $T575="", $Z575=""),"",ROUND(($N575*Lists!$AN$16)-($O575*Lists!$AN$17)-($T575*Lists!$AN$18)+($Z575*Lists!$AN$19),2))</f>
        <v/>
      </c>
      <c r="AB575" s="63" t="str">
        <f t="shared" si="33"/>
        <v/>
      </c>
      <c r="AC575" s="63" t="str">
        <f t="shared" si="34"/>
        <v/>
      </c>
      <c r="AD575" s="63" t="str">
        <f>IF($A575="","",IFERROR(IF(VLOOKUP($A575,'Risk Register'!$B$2:$H$1000,4,FALSE())&gt;=4,"Yes",""),""))</f>
        <v/>
      </c>
      <c r="AE575" s="63" t="str">
        <f t="shared" si="35"/>
        <v/>
      </c>
      <c r="AF575" s="62"/>
      <c r="AG575" s="62"/>
      <c r="AH575" s="62"/>
      <c r="AI575" s="62"/>
      <c r="AJ575" s="62"/>
      <c r="AK575" s="62"/>
      <c r="AL575" s="62"/>
      <c r="AM575" s="62"/>
      <c r="AN575" s="62"/>
      <c r="AO575" s="62"/>
      <c r="AP575" s="62"/>
      <c r="AQ575" s="80"/>
    </row>
    <row r="576" spans="1:43" ht="15.75" customHeight="1" x14ac:dyDescent="0.2">
      <c r="A576" s="63" t="str">
        <f t="shared" si="32"/>
        <v/>
      </c>
      <c r="B576" s="62"/>
      <c r="C576" s="62"/>
      <c r="D576" s="62"/>
      <c r="E576" s="62"/>
      <c r="F576" s="62"/>
      <c r="G576" s="62"/>
      <c r="H576" s="62"/>
      <c r="I576" s="66"/>
      <c r="J576" s="66"/>
      <c r="K576" s="66"/>
      <c r="L576" s="66"/>
      <c r="M576" s="66"/>
      <c r="N576" s="64" t="str">
        <f>IF(OR($B576="", $I576="", $J576="", $K576="", $L576="", $M576=""),"",ROUND(($I576*Lists!$AN$2)+($J576*Lists!$AN$3)+($K576*Lists!$AN$4)+($L576*Lists!$AN$5)+($M576*Lists!$AN$6),2))</f>
        <v/>
      </c>
      <c r="O576" s="64" t="str">
        <f>IF($A576="","",IFERROR(VLOOKUP($A576,'Risk Register'!$B$2:$I$1000,8,FALSE()),""))</f>
        <v/>
      </c>
      <c r="P576" s="66"/>
      <c r="Q576" s="66"/>
      <c r="R576" s="66"/>
      <c r="S576" s="66"/>
      <c r="T576" s="64" t="str">
        <f>IF(OR($B576="", $P576="", $Q576="", $R576="", $S576=""),"",ROUND(($P576*Lists!$AN$7)+($Q576*Lists!$AN$8)+($R576*Lists!$AN$9)+($S576*Lists!$AN$10),2))</f>
        <v/>
      </c>
      <c r="U576" s="66"/>
      <c r="V576" s="66"/>
      <c r="W576" s="66"/>
      <c r="X576" s="66"/>
      <c r="Y576" s="66"/>
      <c r="Z576" s="64" t="str">
        <f>IF(OR($B576="", $U576="", $V576="", $W576="", $X576="", $Y576=""),"",ROUND(($U576*Lists!$AN$11)+($V576*Lists!$AN$12)+($W576*Lists!$AN$13)+($X576*Lists!$AN$14)+($Y576*Lists!$AN$15),2))</f>
        <v/>
      </c>
      <c r="AA576" s="64" t="str">
        <f>IF(OR($B576="", $N576="", $O576="", $T576="", $Z576=""),"",ROUND(($N576*Lists!$AN$16)-($O576*Lists!$AN$17)-($T576*Lists!$AN$18)+($Z576*Lists!$AN$19),2))</f>
        <v/>
      </c>
      <c r="AB576" s="63" t="str">
        <f t="shared" si="33"/>
        <v/>
      </c>
      <c r="AC576" s="63" t="str">
        <f t="shared" si="34"/>
        <v/>
      </c>
      <c r="AD576" s="63" t="str">
        <f>IF($A576="","",IFERROR(IF(VLOOKUP($A576,'Risk Register'!$B$2:$H$1000,4,FALSE())&gt;=4,"Yes",""),""))</f>
        <v/>
      </c>
      <c r="AE576" s="63" t="str">
        <f t="shared" si="35"/>
        <v/>
      </c>
      <c r="AF576" s="62"/>
      <c r="AG576" s="62"/>
      <c r="AH576" s="62"/>
      <c r="AI576" s="62"/>
      <c r="AJ576" s="62"/>
      <c r="AK576" s="62"/>
      <c r="AL576" s="62"/>
      <c r="AM576" s="62"/>
      <c r="AN576" s="62"/>
      <c r="AO576" s="62"/>
      <c r="AP576" s="62"/>
      <c r="AQ576" s="80"/>
    </row>
    <row r="577" spans="1:43" ht="15.75" customHeight="1" x14ac:dyDescent="0.2">
      <c r="A577" s="63" t="str">
        <f t="shared" si="32"/>
        <v/>
      </c>
      <c r="B577" s="62"/>
      <c r="C577" s="62"/>
      <c r="D577" s="62"/>
      <c r="E577" s="62"/>
      <c r="F577" s="62"/>
      <c r="G577" s="62"/>
      <c r="H577" s="62"/>
      <c r="I577" s="66"/>
      <c r="J577" s="66"/>
      <c r="K577" s="66"/>
      <c r="L577" s="66"/>
      <c r="M577" s="66"/>
      <c r="N577" s="64" t="str">
        <f>IF(OR($B577="", $I577="", $J577="", $K577="", $L577="", $M577=""),"",ROUND(($I577*Lists!$AN$2)+($J577*Lists!$AN$3)+($K577*Lists!$AN$4)+($L577*Lists!$AN$5)+($M577*Lists!$AN$6),2))</f>
        <v/>
      </c>
      <c r="O577" s="64" t="str">
        <f>IF($A577="","",IFERROR(VLOOKUP($A577,'Risk Register'!$B$2:$I$1000,8,FALSE()),""))</f>
        <v/>
      </c>
      <c r="P577" s="66"/>
      <c r="Q577" s="66"/>
      <c r="R577" s="66"/>
      <c r="S577" s="66"/>
      <c r="T577" s="64" t="str">
        <f>IF(OR($B577="", $P577="", $Q577="", $R577="", $S577=""),"",ROUND(($P577*Lists!$AN$7)+($Q577*Lists!$AN$8)+($R577*Lists!$AN$9)+($S577*Lists!$AN$10),2))</f>
        <v/>
      </c>
      <c r="U577" s="66"/>
      <c r="V577" s="66"/>
      <c r="W577" s="66"/>
      <c r="X577" s="66"/>
      <c r="Y577" s="66"/>
      <c r="Z577" s="64" t="str">
        <f>IF(OR($B577="", $U577="", $V577="", $W577="", $X577="", $Y577=""),"",ROUND(($U577*Lists!$AN$11)+($V577*Lists!$AN$12)+($W577*Lists!$AN$13)+($X577*Lists!$AN$14)+($Y577*Lists!$AN$15),2))</f>
        <v/>
      </c>
      <c r="AA577" s="64" t="str">
        <f>IF(OR($B577="", $N577="", $O577="", $T577="", $Z577=""),"",ROUND(($N577*Lists!$AN$16)-($O577*Lists!$AN$17)-($T577*Lists!$AN$18)+($Z577*Lists!$AN$19),2))</f>
        <v/>
      </c>
      <c r="AB577" s="63" t="str">
        <f t="shared" si="33"/>
        <v/>
      </c>
      <c r="AC577" s="63" t="str">
        <f t="shared" si="34"/>
        <v/>
      </c>
      <c r="AD577" s="63" t="str">
        <f>IF($A577="","",IFERROR(IF(VLOOKUP($A577,'Risk Register'!$B$2:$H$1000,4,FALSE())&gt;=4,"Yes",""),""))</f>
        <v/>
      </c>
      <c r="AE577" s="63" t="str">
        <f t="shared" si="35"/>
        <v/>
      </c>
      <c r="AF577" s="62"/>
      <c r="AG577" s="62"/>
      <c r="AH577" s="62"/>
      <c r="AI577" s="62"/>
      <c r="AJ577" s="62"/>
      <c r="AK577" s="62"/>
      <c r="AL577" s="62"/>
      <c r="AM577" s="62"/>
      <c r="AN577" s="62"/>
      <c r="AO577" s="62"/>
      <c r="AP577" s="62"/>
      <c r="AQ577" s="80"/>
    </row>
    <row r="578" spans="1:43" ht="15.75" customHeight="1" x14ac:dyDescent="0.2">
      <c r="A578" s="63" t="str">
        <f t="shared" si="32"/>
        <v/>
      </c>
      <c r="B578" s="62"/>
      <c r="C578" s="62"/>
      <c r="D578" s="62"/>
      <c r="E578" s="62"/>
      <c r="F578" s="62"/>
      <c r="G578" s="62"/>
      <c r="H578" s="62"/>
      <c r="I578" s="66"/>
      <c r="J578" s="66"/>
      <c r="K578" s="66"/>
      <c r="L578" s="66"/>
      <c r="M578" s="66"/>
      <c r="N578" s="64" t="str">
        <f>IF(OR($B578="", $I578="", $J578="", $K578="", $L578="", $M578=""),"",ROUND(($I578*Lists!$AN$2)+($J578*Lists!$AN$3)+($K578*Lists!$AN$4)+($L578*Lists!$AN$5)+($M578*Lists!$AN$6),2))</f>
        <v/>
      </c>
      <c r="O578" s="64" t="str">
        <f>IF($A578="","",IFERROR(VLOOKUP($A578,'Risk Register'!$B$2:$I$1000,8,FALSE()),""))</f>
        <v/>
      </c>
      <c r="P578" s="66"/>
      <c r="Q578" s="66"/>
      <c r="R578" s="66"/>
      <c r="S578" s="66"/>
      <c r="T578" s="64" t="str">
        <f>IF(OR($B578="", $P578="", $Q578="", $R578="", $S578=""),"",ROUND(($P578*Lists!$AN$7)+($Q578*Lists!$AN$8)+($R578*Lists!$AN$9)+($S578*Lists!$AN$10),2))</f>
        <v/>
      </c>
      <c r="U578" s="66"/>
      <c r="V578" s="66"/>
      <c r="W578" s="66"/>
      <c r="X578" s="66"/>
      <c r="Y578" s="66"/>
      <c r="Z578" s="64" t="str">
        <f>IF(OR($B578="", $U578="", $V578="", $W578="", $X578="", $Y578=""),"",ROUND(($U578*Lists!$AN$11)+($V578*Lists!$AN$12)+($W578*Lists!$AN$13)+($X578*Lists!$AN$14)+($Y578*Lists!$AN$15),2))</f>
        <v/>
      </c>
      <c r="AA578" s="64" t="str">
        <f>IF(OR($B578="", $N578="", $O578="", $T578="", $Z578=""),"",ROUND(($N578*Lists!$AN$16)-($O578*Lists!$AN$17)-($T578*Lists!$AN$18)+($Z578*Lists!$AN$19),2))</f>
        <v/>
      </c>
      <c r="AB578" s="63" t="str">
        <f t="shared" si="33"/>
        <v/>
      </c>
      <c r="AC578" s="63" t="str">
        <f t="shared" si="34"/>
        <v/>
      </c>
      <c r="AD578" s="63" t="str">
        <f>IF($A578="","",IFERROR(IF(VLOOKUP($A578,'Risk Register'!$B$2:$H$1000,4,FALSE())&gt;=4,"Yes",""),""))</f>
        <v/>
      </c>
      <c r="AE578" s="63" t="str">
        <f t="shared" si="35"/>
        <v/>
      </c>
      <c r="AF578" s="62"/>
      <c r="AG578" s="62"/>
      <c r="AH578" s="62"/>
      <c r="AI578" s="62"/>
      <c r="AJ578" s="62"/>
      <c r="AK578" s="62"/>
      <c r="AL578" s="62"/>
      <c r="AM578" s="62"/>
      <c r="AN578" s="62"/>
      <c r="AO578" s="62"/>
      <c r="AP578" s="62"/>
      <c r="AQ578" s="80"/>
    </row>
    <row r="579" spans="1:43" ht="15.75" customHeight="1" x14ac:dyDescent="0.2">
      <c r="A579" s="63" t="str">
        <f t="shared" si="32"/>
        <v/>
      </c>
      <c r="B579" s="62"/>
      <c r="C579" s="62"/>
      <c r="D579" s="62"/>
      <c r="E579" s="62"/>
      <c r="F579" s="62"/>
      <c r="G579" s="62"/>
      <c r="H579" s="62"/>
      <c r="I579" s="66"/>
      <c r="J579" s="66"/>
      <c r="K579" s="66"/>
      <c r="L579" s="66"/>
      <c r="M579" s="66"/>
      <c r="N579" s="64" t="str">
        <f>IF(OR($B579="", $I579="", $J579="", $K579="", $L579="", $M579=""),"",ROUND(($I579*Lists!$AN$2)+($J579*Lists!$AN$3)+($K579*Lists!$AN$4)+($L579*Lists!$AN$5)+($M579*Lists!$AN$6),2))</f>
        <v/>
      </c>
      <c r="O579" s="64" t="str">
        <f>IF($A579="","",IFERROR(VLOOKUP($A579,'Risk Register'!$B$2:$I$1000,8,FALSE()),""))</f>
        <v/>
      </c>
      <c r="P579" s="66"/>
      <c r="Q579" s="66"/>
      <c r="R579" s="66"/>
      <c r="S579" s="66"/>
      <c r="T579" s="64" t="str">
        <f>IF(OR($B579="", $P579="", $Q579="", $R579="", $S579=""),"",ROUND(($P579*Lists!$AN$7)+($Q579*Lists!$AN$8)+($R579*Lists!$AN$9)+($S579*Lists!$AN$10),2))</f>
        <v/>
      </c>
      <c r="U579" s="66"/>
      <c r="V579" s="66"/>
      <c r="W579" s="66"/>
      <c r="X579" s="66"/>
      <c r="Y579" s="66"/>
      <c r="Z579" s="64" t="str">
        <f>IF(OR($B579="", $U579="", $V579="", $W579="", $X579="", $Y579=""),"",ROUND(($U579*Lists!$AN$11)+($V579*Lists!$AN$12)+($W579*Lists!$AN$13)+($X579*Lists!$AN$14)+($Y579*Lists!$AN$15),2))</f>
        <v/>
      </c>
      <c r="AA579" s="64" t="str">
        <f>IF(OR($B579="", $N579="", $O579="", $T579="", $Z579=""),"",ROUND(($N579*Lists!$AN$16)-($O579*Lists!$AN$17)-($T579*Lists!$AN$18)+($Z579*Lists!$AN$19),2))</f>
        <v/>
      </c>
      <c r="AB579" s="63" t="str">
        <f t="shared" si="33"/>
        <v/>
      </c>
      <c r="AC579" s="63" t="str">
        <f t="shared" si="34"/>
        <v/>
      </c>
      <c r="AD579" s="63" t="str">
        <f>IF($A579="","",IFERROR(IF(VLOOKUP($A579,'Risk Register'!$B$2:$H$1000,4,FALSE())&gt;=4,"Yes",""),""))</f>
        <v/>
      </c>
      <c r="AE579" s="63" t="str">
        <f t="shared" si="35"/>
        <v/>
      </c>
      <c r="AF579" s="62"/>
      <c r="AG579" s="62"/>
      <c r="AH579" s="62"/>
      <c r="AI579" s="62"/>
      <c r="AJ579" s="62"/>
      <c r="AK579" s="62"/>
      <c r="AL579" s="62"/>
      <c r="AM579" s="62"/>
      <c r="AN579" s="62"/>
      <c r="AO579" s="62"/>
      <c r="AP579" s="62"/>
      <c r="AQ579" s="80"/>
    </row>
    <row r="580" spans="1:43" ht="15.75" customHeight="1" x14ac:dyDescent="0.2">
      <c r="A580" s="63" t="str">
        <f t="shared" si="32"/>
        <v/>
      </c>
      <c r="B580" s="62"/>
      <c r="C580" s="62"/>
      <c r="D580" s="62"/>
      <c r="E580" s="62"/>
      <c r="F580" s="62"/>
      <c r="G580" s="62"/>
      <c r="H580" s="62"/>
      <c r="I580" s="66"/>
      <c r="J580" s="66"/>
      <c r="K580" s="66"/>
      <c r="L580" s="66"/>
      <c r="M580" s="66"/>
      <c r="N580" s="64" t="str">
        <f>IF(OR($B580="", $I580="", $J580="", $K580="", $L580="", $M580=""),"",ROUND(($I580*Lists!$AN$2)+($J580*Lists!$AN$3)+($K580*Lists!$AN$4)+($L580*Lists!$AN$5)+($M580*Lists!$AN$6),2))</f>
        <v/>
      </c>
      <c r="O580" s="64" t="str">
        <f>IF($A580="","",IFERROR(VLOOKUP($A580,'Risk Register'!$B$2:$I$1000,8,FALSE()),""))</f>
        <v/>
      </c>
      <c r="P580" s="66"/>
      <c r="Q580" s="66"/>
      <c r="R580" s="66"/>
      <c r="S580" s="66"/>
      <c r="T580" s="64" t="str">
        <f>IF(OR($B580="", $P580="", $Q580="", $R580="", $S580=""),"",ROUND(($P580*Lists!$AN$7)+($Q580*Lists!$AN$8)+($R580*Lists!$AN$9)+($S580*Lists!$AN$10),2))</f>
        <v/>
      </c>
      <c r="U580" s="66"/>
      <c r="V580" s="66"/>
      <c r="W580" s="66"/>
      <c r="X580" s="66"/>
      <c r="Y580" s="66"/>
      <c r="Z580" s="64" t="str">
        <f>IF(OR($B580="", $U580="", $V580="", $W580="", $X580="", $Y580=""),"",ROUND(($U580*Lists!$AN$11)+($V580*Lists!$AN$12)+($W580*Lists!$AN$13)+($X580*Lists!$AN$14)+($Y580*Lists!$AN$15),2))</f>
        <v/>
      </c>
      <c r="AA580" s="64" t="str">
        <f>IF(OR($B580="", $N580="", $O580="", $T580="", $Z580=""),"",ROUND(($N580*Lists!$AN$16)-($O580*Lists!$AN$17)-($T580*Lists!$AN$18)+($Z580*Lists!$AN$19),2))</f>
        <v/>
      </c>
      <c r="AB580" s="63" t="str">
        <f t="shared" si="33"/>
        <v/>
      </c>
      <c r="AC580" s="63" t="str">
        <f t="shared" si="34"/>
        <v/>
      </c>
      <c r="AD580" s="63" t="str">
        <f>IF($A580="","",IFERROR(IF(VLOOKUP($A580,'Risk Register'!$B$2:$H$1000,4,FALSE())&gt;=4,"Yes",""),""))</f>
        <v/>
      </c>
      <c r="AE580" s="63" t="str">
        <f t="shared" si="35"/>
        <v/>
      </c>
      <c r="AF580" s="62"/>
      <c r="AG580" s="62"/>
      <c r="AH580" s="62"/>
      <c r="AI580" s="62"/>
      <c r="AJ580" s="62"/>
      <c r="AK580" s="62"/>
      <c r="AL580" s="62"/>
      <c r="AM580" s="62"/>
      <c r="AN580" s="62"/>
      <c r="AO580" s="62"/>
      <c r="AP580" s="62"/>
      <c r="AQ580" s="80"/>
    </row>
    <row r="581" spans="1:43" ht="15.75" customHeight="1" x14ac:dyDescent="0.2">
      <c r="A581" s="63" t="str">
        <f t="shared" si="32"/>
        <v/>
      </c>
      <c r="B581" s="62"/>
      <c r="C581" s="62"/>
      <c r="D581" s="62"/>
      <c r="E581" s="62"/>
      <c r="F581" s="62"/>
      <c r="G581" s="62"/>
      <c r="H581" s="62"/>
      <c r="I581" s="66"/>
      <c r="J581" s="66"/>
      <c r="K581" s="66"/>
      <c r="L581" s="66"/>
      <c r="M581" s="66"/>
      <c r="N581" s="64" t="str">
        <f>IF(OR($B581="", $I581="", $J581="", $K581="", $L581="", $M581=""),"",ROUND(($I581*Lists!$AN$2)+($J581*Lists!$AN$3)+($K581*Lists!$AN$4)+($L581*Lists!$AN$5)+($M581*Lists!$AN$6),2))</f>
        <v/>
      </c>
      <c r="O581" s="64" t="str">
        <f>IF($A581="","",IFERROR(VLOOKUP($A581,'Risk Register'!$B$2:$I$1000,8,FALSE()),""))</f>
        <v/>
      </c>
      <c r="P581" s="66"/>
      <c r="Q581" s="66"/>
      <c r="R581" s="66"/>
      <c r="S581" s="66"/>
      <c r="T581" s="64" t="str">
        <f>IF(OR($B581="", $P581="", $Q581="", $R581="", $S581=""),"",ROUND(($P581*Lists!$AN$7)+($Q581*Lists!$AN$8)+($R581*Lists!$AN$9)+($S581*Lists!$AN$10),2))</f>
        <v/>
      </c>
      <c r="U581" s="66"/>
      <c r="V581" s="66"/>
      <c r="W581" s="66"/>
      <c r="X581" s="66"/>
      <c r="Y581" s="66"/>
      <c r="Z581" s="64" t="str">
        <f>IF(OR($B581="", $U581="", $V581="", $W581="", $X581="", $Y581=""),"",ROUND(($U581*Lists!$AN$11)+($V581*Lists!$AN$12)+($W581*Lists!$AN$13)+($X581*Lists!$AN$14)+($Y581*Lists!$AN$15),2))</f>
        <v/>
      </c>
      <c r="AA581" s="64" t="str">
        <f>IF(OR($B581="", $N581="", $O581="", $T581="", $Z581=""),"",ROUND(($N581*Lists!$AN$16)-($O581*Lists!$AN$17)-($T581*Lists!$AN$18)+($Z581*Lists!$AN$19),2))</f>
        <v/>
      </c>
      <c r="AB581" s="63" t="str">
        <f t="shared" si="33"/>
        <v/>
      </c>
      <c r="AC581" s="63" t="str">
        <f t="shared" si="34"/>
        <v/>
      </c>
      <c r="AD581" s="63" t="str">
        <f>IF($A581="","",IFERROR(IF(VLOOKUP($A581,'Risk Register'!$B$2:$H$1000,4,FALSE())&gt;=4,"Yes",""),""))</f>
        <v/>
      </c>
      <c r="AE581" s="63" t="str">
        <f t="shared" si="35"/>
        <v/>
      </c>
      <c r="AF581" s="62"/>
      <c r="AG581" s="62"/>
      <c r="AH581" s="62"/>
      <c r="AI581" s="62"/>
      <c r="AJ581" s="62"/>
      <c r="AK581" s="62"/>
      <c r="AL581" s="62"/>
      <c r="AM581" s="62"/>
      <c r="AN581" s="62"/>
      <c r="AO581" s="62"/>
      <c r="AP581" s="62"/>
      <c r="AQ581" s="80"/>
    </row>
    <row r="582" spans="1:43" ht="15.75" customHeight="1" x14ac:dyDescent="0.2">
      <c r="A582" s="63" t="str">
        <f t="shared" si="32"/>
        <v/>
      </c>
      <c r="B582" s="62"/>
      <c r="C582" s="62"/>
      <c r="D582" s="62"/>
      <c r="E582" s="62"/>
      <c r="F582" s="62"/>
      <c r="G582" s="62"/>
      <c r="H582" s="62"/>
      <c r="I582" s="66"/>
      <c r="J582" s="66"/>
      <c r="K582" s="66"/>
      <c r="L582" s="66"/>
      <c r="M582" s="66"/>
      <c r="N582" s="64" t="str">
        <f>IF(OR($B582="", $I582="", $J582="", $K582="", $L582="", $M582=""),"",ROUND(($I582*Lists!$AN$2)+($J582*Lists!$AN$3)+($K582*Lists!$AN$4)+($L582*Lists!$AN$5)+($M582*Lists!$AN$6),2))</f>
        <v/>
      </c>
      <c r="O582" s="64" t="str">
        <f>IF($A582="","",IFERROR(VLOOKUP($A582,'Risk Register'!$B$2:$I$1000,8,FALSE()),""))</f>
        <v/>
      </c>
      <c r="P582" s="66"/>
      <c r="Q582" s="66"/>
      <c r="R582" s="66"/>
      <c r="S582" s="66"/>
      <c r="T582" s="64" t="str">
        <f>IF(OR($B582="", $P582="", $Q582="", $R582="", $S582=""),"",ROUND(($P582*Lists!$AN$7)+($Q582*Lists!$AN$8)+($R582*Lists!$AN$9)+($S582*Lists!$AN$10),2))</f>
        <v/>
      </c>
      <c r="U582" s="66"/>
      <c r="V582" s="66"/>
      <c r="W582" s="66"/>
      <c r="X582" s="66"/>
      <c r="Y582" s="66"/>
      <c r="Z582" s="64" t="str">
        <f>IF(OR($B582="", $U582="", $V582="", $W582="", $X582="", $Y582=""),"",ROUND(($U582*Lists!$AN$11)+($V582*Lists!$AN$12)+($W582*Lists!$AN$13)+($X582*Lists!$AN$14)+($Y582*Lists!$AN$15),2))</f>
        <v/>
      </c>
      <c r="AA582" s="64" t="str">
        <f>IF(OR($B582="", $N582="", $O582="", $T582="", $Z582=""),"",ROUND(($N582*Lists!$AN$16)-($O582*Lists!$AN$17)-($T582*Lists!$AN$18)+($Z582*Lists!$AN$19),2))</f>
        <v/>
      </c>
      <c r="AB582" s="63" t="str">
        <f t="shared" si="33"/>
        <v/>
      </c>
      <c r="AC582" s="63" t="str">
        <f t="shared" si="34"/>
        <v/>
      </c>
      <c r="AD582" s="63" t="str">
        <f>IF($A582="","",IFERROR(IF(VLOOKUP($A582,'Risk Register'!$B$2:$H$1000,4,FALSE())&gt;=4,"Yes",""),""))</f>
        <v/>
      </c>
      <c r="AE582" s="63" t="str">
        <f t="shared" si="35"/>
        <v/>
      </c>
      <c r="AF582" s="62"/>
      <c r="AG582" s="62"/>
      <c r="AH582" s="62"/>
      <c r="AI582" s="62"/>
      <c r="AJ582" s="62"/>
      <c r="AK582" s="62"/>
      <c r="AL582" s="62"/>
      <c r="AM582" s="62"/>
      <c r="AN582" s="62"/>
      <c r="AO582" s="62"/>
      <c r="AP582" s="62"/>
      <c r="AQ582" s="80"/>
    </row>
    <row r="583" spans="1:43" ht="15.75" customHeight="1" x14ac:dyDescent="0.2">
      <c r="A583" s="63" t="str">
        <f t="shared" si="32"/>
        <v/>
      </c>
      <c r="B583" s="62"/>
      <c r="C583" s="62"/>
      <c r="D583" s="62"/>
      <c r="E583" s="62"/>
      <c r="F583" s="62"/>
      <c r="G583" s="62"/>
      <c r="H583" s="62"/>
      <c r="I583" s="66"/>
      <c r="J583" s="66"/>
      <c r="K583" s="66"/>
      <c r="L583" s="66"/>
      <c r="M583" s="66"/>
      <c r="N583" s="64" t="str">
        <f>IF(OR($B583="", $I583="", $J583="", $K583="", $L583="", $M583=""),"",ROUND(($I583*Lists!$AN$2)+($J583*Lists!$AN$3)+($K583*Lists!$AN$4)+($L583*Lists!$AN$5)+($M583*Lists!$AN$6),2))</f>
        <v/>
      </c>
      <c r="O583" s="64" t="str">
        <f>IF($A583="","",IFERROR(VLOOKUP($A583,'Risk Register'!$B$2:$I$1000,8,FALSE()),""))</f>
        <v/>
      </c>
      <c r="P583" s="66"/>
      <c r="Q583" s="66"/>
      <c r="R583" s="66"/>
      <c r="S583" s="66"/>
      <c r="T583" s="64" t="str">
        <f>IF(OR($B583="", $P583="", $Q583="", $R583="", $S583=""),"",ROUND(($P583*Lists!$AN$7)+($Q583*Lists!$AN$8)+($R583*Lists!$AN$9)+($S583*Lists!$AN$10),2))</f>
        <v/>
      </c>
      <c r="U583" s="66"/>
      <c r="V583" s="66"/>
      <c r="W583" s="66"/>
      <c r="X583" s="66"/>
      <c r="Y583" s="66"/>
      <c r="Z583" s="64" t="str">
        <f>IF(OR($B583="", $U583="", $V583="", $W583="", $X583="", $Y583=""),"",ROUND(($U583*Lists!$AN$11)+($V583*Lists!$AN$12)+($W583*Lists!$AN$13)+($X583*Lists!$AN$14)+($Y583*Lists!$AN$15),2))</f>
        <v/>
      </c>
      <c r="AA583" s="64" t="str">
        <f>IF(OR($B583="", $N583="", $O583="", $T583="", $Z583=""),"",ROUND(($N583*Lists!$AN$16)-($O583*Lists!$AN$17)-($T583*Lists!$AN$18)+($Z583*Lists!$AN$19),2))</f>
        <v/>
      </c>
      <c r="AB583" s="63" t="str">
        <f t="shared" si="33"/>
        <v/>
      </c>
      <c r="AC583" s="63" t="str">
        <f t="shared" si="34"/>
        <v/>
      </c>
      <c r="AD583" s="63" t="str">
        <f>IF($A583="","",IFERROR(IF(VLOOKUP($A583,'Risk Register'!$B$2:$H$1000,4,FALSE())&gt;=4,"Yes",""),""))</f>
        <v/>
      </c>
      <c r="AE583" s="63" t="str">
        <f t="shared" si="35"/>
        <v/>
      </c>
      <c r="AF583" s="62"/>
      <c r="AG583" s="62"/>
      <c r="AH583" s="62"/>
      <c r="AI583" s="62"/>
      <c r="AJ583" s="62"/>
      <c r="AK583" s="62"/>
      <c r="AL583" s="62"/>
      <c r="AM583" s="62"/>
      <c r="AN583" s="62"/>
      <c r="AO583" s="62"/>
      <c r="AP583" s="62"/>
      <c r="AQ583" s="80"/>
    </row>
    <row r="584" spans="1:43" ht="15.75" customHeight="1" x14ac:dyDescent="0.2">
      <c r="A584" s="63" t="str">
        <f t="shared" si="32"/>
        <v/>
      </c>
      <c r="B584" s="62"/>
      <c r="C584" s="62"/>
      <c r="D584" s="62"/>
      <c r="E584" s="62"/>
      <c r="F584" s="62"/>
      <c r="G584" s="62"/>
      <c r="H584" s="62"/>
      <c r="I584" s="66"/>
      <c r="J584" s="66"/>
      <c r="K584" s="66"/>
      <c r="L584" s="66"/>
      <c r="M584" s="66"/>
      <c r="N584" s="64" t="str">
        <f>IF(OR($B584="", $I584="", $J584="", $K584="", $L584="", $M584=""),"",ROUND(($I584*Lists!$AN$2)+($J584*Lists!$AN$3)+($K584*Lists!$AN$4)+($L584*Lists!$AN$5)+($M584*Lists!$AN$6),2))</f>
        <v/>
      </c>
      <c r="O584" s="64" t="str">
        <f>IF($A584="","",IFERROR(VLOOKUP($A584,'Risk Register'!$B$2:$I$1000,8,FALSE()),""))</f>
        <v/>
      </c>
      <c r="P584" s="66"/>
      <c r="Q584" s="66"/>
      <c r="R584" s="66"/>
      <c r="S584" s="66"/>
      <c r="T584" s="64" t="str">
        <f>IF(OR($B584="", $P584="", $Q584="", $R584="", $S584=""),"",ROUND(($P584*Lists!$AN$7)+($Q584*Lists!$AN$8)+($R584*Lists!$AN$9)+($S584*Lists!$AN$10),2))</f>
        <v/>
      </c>
      <c r="U584" s="66"/>
      <c r="V584" s="66"/>
      <c r="W584" s="66"/>
      <c r="X584" s="66"/>
      <c r="Y584" s="66"/>
      <c r="Z584" s="64" t="str">
        <f>IF(OR($B584="", $U584="", $V584="", $W584="", $X584="", $Y584=""),"",ROUND(($U584*Lists!$AN$11)+($V584*Lists!$AN$12)+($W584*Lists!$AN$13)+($X584*Lists!$AN$14)+($Y584*Lists!$AN$15),2))</f>
        <v/>
      </c>
      <c r="AA584" s="64" t="str">
        <f>IF(OR($B584="", $N584="", $O584="", $T584="", $Z584=""),"",ROUND(($N584*Lists!$AN$16)-($O584*Lists!$AN$17)-($T584*Lists!$AN$18)+($Z584*Lists!$AN$19),2))</f>
        <v/>
      </c>
      <c r="AB584" s="63" t="str">
        <f t="shared" si="33"/>
        <v/>
      </c>
      <c r="AC584" s="63" t="str">
        <f t="shared" si="34"/>
        <v/>
      </c>
      <c r="AD584" s="63" t="str">
        <f>IF($A584="","",IFERROR(IF(VLOOKUP($A584,'Risk Register'!$B$2:$H$1000,4,FALSE())&gt;=4,"Yes",""),""))</f>
        <v/>
      </c>
      <c r="AE584" s="63" t="str">
        <f t="shared" si="35"/>
        <v/>
      </c>
      <c r="AF584" s="62"/>
      <c r="AG584" s="62"/>
      <c r="AH584" s="62"/>
      <c r="AI584" s="62"/>
      <c r="AJ584" s="62"/>
      <c r="AK584" s="62"/>
      <c r="AL584" s="62"/>
      <c r="AM584" s="62"/>
      <c r="AN584" s="62"/>
      <c r="AO584" s="62"/>
      <c r="AP584" s="62"/>
      <c r="AQ584" s="80"/>
    </row>
    <row r="585" spans="1:43" ht="15.75" customHeight="1" x14ac:dyDescent="0.2">
      <c r="A585" s="63" t="str">
        <f t="shared" si="32"/>
        <v/>
      </c>
      <c r="B585" s="62"/>
      <c r="C585" s="62"/>
      <c r="D585" s="62"/>
      <c r="E585" s="62"/>
      <c r="F585" s="62"/>
      <c r="G585" s="62"/>
      <c r="H585" s="62"/>
      <c r="I585" s="66"/>
      <c r="J585" s="66"/>
      <c r="K585" s="66"/>
      <c r="L585" s="66"/>
      <c r="M585" s="66"/>
      <c r="N585" s="64" t="str">
        <f>IF(OR($B585="", $I585="", $J585="", $K585="", $L585="", $M585=""),"",ROUND(($I585*Lists!$AN$2)+($J585*Lists!$AN$3)+($K585*Lists!$AN$4)+($L585*Lists!$AN$5)+($M585*Lists!$AN$6),2))</f>
        <v/>
      </c>
      <c r="O585" s="64" t="str">
        <f>IF($A585="","",IFERROR(VLOOKUP($A585,'Risk Register'!$B$2:$I$1000,8,FALSE()),""))</f>
        <v/>
      </c>
      <c r="P585" s="66"/>
      <c r="Q585" s="66"/>
      <c r="R585" s="66"/>
      <c r="S585" s="66"/>
      <c r="T585" s="64" t="str">
        <f>IF(OR($B585="", $P585="", $Q585="", $R585="", $S585=""),"",ROUND(($P585*Lists!$AN$7)+($Q585*Lists!$AN$8)+($R585*Lists!$AN$9)+($S585*Lists!$AN$10),2))</f>
        <v/>
      </c>
      <c r="U585" s="66"/>
      <c r="V585" s="66"/>
      <c r="W585" s="66"/>
      <c r="X585" s="66"/>
      <c r="Y585" s="66"/>
      <c r="Z585" s="64" t="str">
        <f>IF(OR($B585="", $U585="", $V585="", $W585="", $X585="", $Y585=""),"",ROUND(($U585*Lists!$AN$11)+($V585*Lists!$AN$12)+($W585*Lists!$AN$13)+($X585*Lists!$AN$14)+($Y585*Lists!$AN$15),2))</f>
        <v/>
      </c>
      <c r="AA585" s="64" t="str">
        <f>IF(OR($B585="", $N585="", $O585="", $T585="", $Z585=""),"",ROUND(($N585*Lists!$AN$16)-($O585*Lists!$AN$17)-($T585*Lists!$AN$18)+($Z585*Lists!$AN$19),2))</f>
        <v/>
      </c>
      <c r="AB585" s="63" t="str">
        <f t="shared" si="33"/>
        <v/>
      </c>
      <c r="AC585" s="63" t="str">
        <f t="shared" si="34"/>
        <v/>
      </c>
      <c r="AD585" s="63" t="str">
        <f>IF($A585="","",IFERROR(IF(VLOOKUP($A585,'Risk Register'!$B$2:$H$1000,4,FALSE())&gt;=4,"Yes",""),""))</f>
        <v/>
      </c>
      <c r="AE585" s="63" t="str">
        <f t="shared" si="35"/>
        <v/>
      </c>
      <c r="AF585" s="62"/>
      <c r="AG585" s="62"/>
      <c r="AH585" s="62"/>
      <c r="AI585" s="62"/>
      <c r="AJ585" s="62"/>
      <c r="AK585" s="62"/>
      <c r="AL585" s="62"/>
      <c r="AM585" s="62"/>
      <c r="AN585" s="62"/>
      <c r="AO585" s="62"/>
      <c r="AP585" s="62"/>
      <c r="AQ585" s="80"/>
    </row>
    <row r="586" spans="1:43" ht="15.75" customHeight="1" x14ac:dyDescent="0.2">
      <c r="A586" s="63" t="str">
        <f t="shared" si="32"/>
        <v/>
      </c>
      <c r="B586" s="62"/>
      <c r="C586" s="62"/>
      <c r="D586" s="62"/>
      <c r="E586" s="62"/>
      <c r="F586" s="62"/>
      <c r="G586" s="62"/>
      <c r="H586" s="62"/>
      <c r="I586" s="66"/>
      <c r="J586" s="66"/>
      <c r="K586" s="66"/>
      <c r="L586" s="66"/>
      <c r="M586" s="66"/>
      <c r="N586" s="64" t="str">
        <f>IF(OR($B586="", $I586="", $J586="", $K586="", $L586="", $M586=""),"",ROUND(($I586*Lists!$AN$2)+($J586*Lists!$AN$3)+($K586*Lists!$AN$4)+($L586*Lists!$AN$5)+($M586*Lists!$AN$6),2))</f>
        <v/>
      </c>
      <c r="O586" s="64" t="str">
        <f>IF($A586="","",IFERROR(VLOOKUP($A586,'Risk Register'!$B$2:$I$1000,8,FALSE()),""))</f>
        <v/>
      </c>
      <c r="P586" s="66"/>
      <c r="Q586" s="66"/>
      <c r="R586" s="66"/>
      <c r="S586" s="66"/>
      <c r="T586" s="64" t="str">
        <f>IF(OR($B586="", $P586="", $Q586="", $R586="", $S586=""),"",ROUND(($P586*Lists!$AN$7)+($Q586*Lists!$AN$8)+($R586*Lists!$AN$9)+($S586*Lists!$AN$10),2))</f>
        <v/>
      </c>
      <c r="U586" s="66"/>
      <c r="V586" s="66"/>
      <c r="W586" s="66"/>
      <c r="X586" s="66"/>
      <c r="Y586" s="66"/>
      <c r="Z586" s="64" t="str">
        <f>IF(OR($B586="", $U586="", $V586="", $W586="", $X586="", $Y586=""),"",ROUND(($U586*Lists!$AN$11)+($V586*Lists!$AN$12)+($W586*Lists!$AN$13)+($X586*Lists!$AN$14)+($Y586*Lists!$AN$15),2))</f>
        <v/>
      </c>
      <c r="AA586" s="64" t="str">
        <f>IF(OR($B586="", $N586="", $O586="", $T586="", $Z586=""),"",ROUND(($N586*Lists!$AN$16)-($O586*Lists!$AN$17)-($T586*Lists!$AN$18)+($Z586*Lists!$AN$19),2))</f>
        <v/>
      </c>
      <c r="AB586" s="63" t="str">
        <f t="shared" si="33"/>
        <v/>
      </c>
      <c r="AC586" s="63" t="str">
        <f t="shared" si="34"/>
        <v/>
      </c>
      <c r="AD586" s="63" t="str">
        <f>IF($A586="","",IFERROR(IF(VLOOKUP($A586,'Risk Register'!$B$2:$H$1000,4,FALSE())&gt;=4,"Yes",""),""))</f>
        <v/>
      </c>
      <c r="AE586" s="63" t="str">
        <f t="shared" si="35"/>
        <v/>
      </c>
      <c r="AF586" s="62"/>
      <c r="AG586" s="62"/>
      <c r="AH586" s="62"/>
      <c r="AI586" s="62"/>
      <c r="AJ586" s="62"/>
      <c r="AK586" s="62"/>
      <c r="AL586" s="62"/>
      <c r="AM586" s="62"/>
      <c r="AN586" s="62"/>
      <c r="AO586" s="62"/>
      <c r="AP586" s="62"/>
      <c r="AQ586" s="80"/>
    </row>
    <row r="587" spans="1:43" ht="15.75" customHeight="1" x14ac:dyDescent="0.2">
      <c r="A587" s="63" t="str">
        <f t="shared" si="32"/>
        <v/>
      </c>
      <c r="B587" s="62"/>
      <c r="C587" s="62"/>
      <c r="D587" s="62"/>
      <c r="E587" s="62"/>
      <c r="F587" s="62"/>
      <c r="G587" s="62"/>
      <c r="H587" s="62"/>
      <c r="I587" s="66"/>
      <c r="J587" s="66"/>
      <c r="K587" s="66"/>
      <c r="L587" s="66"/>
      <c r="M587" s="66"/>
      <c r="N587" s="64" t="str">
        <f>IF(OR($B587="", $I587="", $J587="", $K587="", $L587="", $M587=""),"",ROUND(($I587*Lists!$AN$2)+($J587*Lists!$AN$3)+($K587*Lists!$AN$4)+($L587*Lists!$AN$5)+($M587*Lists!$AN$6),2))</f>
        <v/>
      </c>
      <c r="O587" s="64" t="str">
        <f>IF($A587="","",IFERROR(VLOOKUP($A587,'Risk Register'!$B$2:$I$1000,8,FALSE()),""))</f>
        <v/>
      </c>
      <c r="P587" s="66"/>
      <c r="Q587" s="66"/>
      <c r="R587" s="66"/>
      <c r="S587" s="66"/>
      <c r="T587" s="64" t="str">
        <f>IF(OR($B587="", $P587="", $Q587="", $R587="", $S587=""),"",ROUND(($P587*Lists!$AN$7)+($Q587*Lists!$AN$8)+($R587*Lists!$AN$9)+($S587*Lists!$AN$10),2))</f>
        <v/>
      </c>
      <c r="U587" s="66"/>
      <c r="V587" s="66"/>
      <c r="W587" s="66"/>
      <c r="X587" s="66"/>
      <c r="Y587" s="66"/>
      <c r="Z587" s="64" t="str">
        <f>IF(OR($B587="", $U587="", $V587="", $W587="", $X587="", $Y587=""),"",ROUND(($U587*Lists!$AN$11)+($V587*Lists!$AN$12)+($W587*Lists!$AN$13)+($X587*Lists!$AN$14)+($Y587*Lists!$AN$15),2))</f>
        <v/>
      </c>
      <c r="AA587" s="64" t="str">
        <f>IF(OR($B587="", $N587="", $O587="", $T587="", $Z587=""),"",ROUND(($N587*Lists!$AN$16)-($O587*Lists!$AN$17)-($T587*Lists!$AN$18)+($Z587*Lists!$AN$19),2))</f>
        <v/>
      </c>
      <c r="AB587" s="63" t="str">
        <f t="shared" si="33"/>
        <v/>
      </c>
      <c r="AC587" s="63" t="str">
        <f t="shared" si="34"/>
        <v/>
      </c>
      <c r="AD587" s="63" t="str">
        <f>IF($A587="","",IFERROR(IF(VLOOKUP($A587,'Risk Register'!$B$2:$H$1000,4,FALSE())&gt;=4,"Yes",""),""))</f>
        <v/>
      </c>
      <c r="AE587" s="63" t="str">
        <f t="shared" si="35"/>
        <v/>
      </c>
      <c r="AF587" s="62"/>
      <c r="AG587" s="62"/>
      <c r="AH587" s="62"/>
      <c r="AI587" s="62"/>
      <c r="AJ587" s="62"/>
      <c r="AK587" s="62"/>
      <c r="AL587" s="62"/>
      <c r="AM587" s="62"/>
      <c r="AN587" s="62"/>
      <c r="AO587" s="62"/>
      <c r="AP587" s="62"/>
      <c r="AQ587" s="80"/>
    </row>
    <row r="588" spans="1:43" ht="15.75" customHeight="1" x14ac:dyDescent="0.2">
      <c r="A588" s="63" t="str">
        <f t="shared" si="32"/>
        <v/>
      </c>
      <c r="B588" s="62"/>
      <c r="C588" s="62"/>
      <c r="D588" s="62"/>
      <c r="E588" s="62"/>
      <c r="F588" s="62"/>
      <c r="G588" s="62"/>
      <c r="H588" s="62"/>
      <c r="I588" s="66"/>
      <c r="J588" s="66"/>
      <c r="K588" s="66"/>
      <c r="L588" s="66"/>
      <c r="M588" s="66"/>
      <c r="N588" s="64" t="str">
        <f>IF(OR($B588="", $I588="", $J588="", $K588="", $L588="", $M588=""),"",ROUND(($I588*Lists!$AN$2)+($J588*Lists!$AN$3)+($K588*Lists!$AN$4)+($L588*Lists!$AN$5)+($M588*Lists!$AN$6),2))</f>
        <v/>
      </c>
      <c r="O588" s="64" t="str">
        <f>IF($A588="","",IFERROR(VLOOKUP($A588,'Risk Register'!$B$2:$I$1000,8,FALSE()),""))</f>
        <v/>
      </c>
      <c r="P588" s="66"/>
      <c r="Q588" s="66"/>
      <c r="R588" s="66"/>
      <c r="S588" s="66"/>
      <c r="T588" s="64" t="str">
        <f>IF(OR($B588="", $P588="", $Q588="", $R588="", $S588=""),"",ROUND(($P588*Lists!$AN$7)+($Q588*Lists!$AN$8)+($R588*Lists!$AN$9)+($S588*Lists!$AN$10),2))</f>
        <v/>
      </c>
      <c r="U588" s="66"/>
      <c r="V588" s="66"/>
      <c r="W588" s="66"/>
      <c r="X588" s="66"/>
      <c r="Y588" s="66"/>
      <c r="Z588" s="64" t="str">
        <f>IF(OR($B588="", $U588="", $V588="", $W588="", $X588="", $Y588=""),"",ROUND(($U588*Lists!$AN$11)+($V588*Lists!$AN$12)+($W588*Lists!$AN$13)+($X588*Lists!$AN$14)+($Y588*Lists!$AN$15),2))</f>
        <v/>
      </c>
      <c r="AA588" s="64" t="str">
        <f>IF(OR($B588="", $N588="", $O588="", $T588="", $Z588=""),"",ROUND(($N588*Lists!$AN$16)-($O588*Lists!$AN$17)-($T588*Lists!$AN$18)+($Z588*Lists!$AN$19),2))</f>
        <v/>
      </c>
      <c r="AB588" s="63" t="str">
        <f t="shared" si="33"/>
        <v/>
      </c>
      <c r="AC588" s="63" t="str">
        <f t="shared" si="34"/>
        <v/>
      </c>
      <c r="AD588" s="63" t="str">
        <f>IF($A588="","",IFERROR(IF(VLOOKUP($A588,'Risk Register'!$B$2:$H$1000,4,FALSE())&gt;=4,"Yes",""),""))</f>
        <v/>
      </c>
      <c r="AE588" s="63" t="str">
        <f t="shared" si="35"/>
        <v/>
      </c>
      <c r="AF588" s="62"/>
      <c r="AG588" s="62"/>
      <c r="AH588" s="62"/>
      <c r="AI588" s="62"/>
      <c r="AJ588" s="62"/>
      <c r="AK588" s="62"/>
      <c r="AL588" s="62"/>
      <c r="AM588" s="62"/>
      <c r="AN588" s="62"/>
      <c r="AO588" s="62"/>
      <c r="AP588" s="62"/>
      <c r="AQ588" s="80"/>
    </row>
    <row r="589" spans="1:43" ht="15.75" customHeight="1" x14ac:dyDescent="0.2">
      <c r="A589" s="63" t="str">
        <f t="shared" si="32"/>
        <v/>
      </c>
      <c r="B589" s="62"/>
      <c r="C589" s="62"/>
      <c r="D589" s="62"/>
      <c r="E589" s="62"/>
      <c r="F589" s="62"/>
      <c r="G589" s="62"/>
      <c r="H589" s="62"/>
      <c r="I589" s="66"/>
      <c r="J589" s="66"/>
      <c r="K589" s="66"/>
      <c r="L589" s="66"/>
      <c r="M589" s="66"/>
      <c r="N589" s="64" t="str">
        <f>IF(OR($B589="", $I589="", $J589="", $K589="", $L589="", $M589=""),"",ROUND(($I589*Lists!$AN$2)+($J589*Lists!$AN$3)+($K589*Lists!$AN$4)+($L589*Lists!$AN$5)+($M589*Lists!$AN$6),2))</f>
        <v/>
      </c>
      <c r="O589" s="64" t="str">
        <f>IF($A589="","",IFERROR(VLOOKUP($A589,'Risk Register'!$B$2:$I$1000,8,FALSE()),""))</f>
        <v/>
      </c>
      <c r="P589" s="66"/>
      <c r="Q589" s="66"/>
      <c r="R589" s="66"/>
      <c r="S589" s="66"/>
      <c r="T589" s="64" t="str">
        <f>IF(OR($B589="", $P589="", $Q589="", $R589="", $S589=""),"",ROUND(($P589*Lists!$AN$7)+($Q589*Lists!$AN$8)+($R589*Lists!$AN$9)+($S589*Lists!$AN$10),2))</f>
        <v/>
      </c>
      <c r="U589" s="66"/>
      <c r="V589" s="66"/>
      <c r="W589" s="66"/>
      <c r="X589" s="66"/>
      <c r="Y589" s="66"/>
      <c r="Z589" s="64" t="str">
        <f>IF(OR($B589="", $U589="", $V589="", $W589="", $X589="", $Y589=""),"",ROUND(($U589*Lists!$AN$11)+($V589*Lists!$AN$12)+($W589*Lists!$AN$13)+($X589*Lists!$AN$14)+($Y589*Lists!$AN$15),2))</f>
        <v/>
      </c>
      <c r="AA589" s="64" t="str">
        <f>IF(OR($B589="", $N589="", $O589="", $T589="", $Z589=""),"",ROUND(($N589*Lists!$AN$16)-($O589*Lists!$AN$17)-($T589*Lists!$AN$18)+($Z589*Lists!$AN$19),2))</f>
        <v/>
      </c>
      <c r="AB589" s="63" t="str">
        <f t="shared" si="33"/>
        <v/>
      </c>
      <c r="AC589" s="63" t="str">
        <f t="shared" si="34"/>
        <v/>
      </c>
      <c r="AD589" s="63" t="str">
        <f>IF($A589="","",IFERROR(IF(VLOOKUP($A589,'Risk Register'!$B$2:$H$1000,4,FALSE())&gt;=4,"Yes",""),""))</f>
        <v/>
      </c>
      <c r="AE589" s="63" t="str">
        <f t="shared" si="35"/>
        <v/>
      </c>
      <c r="AF589" s="62"/>
      <c r="AG589" s="62"/>
      <c r="AH589" s="62"/>
      <c r="AI589" s="62"/>
      <c r="AJ589" s="62"/>
      <c r="AK589" s="62"/>
      <c r="AL589" s="62"/>
      <c r="AM589" s="62"/>
      <c r="AN589" s="62"/>
      <c r="AO589" s="62"/>
      <c r="AP589" s="62"/>
      <c r="AQ589" s="80"/>
    </row>
    <row r="590" spans="1:43" ht="15.75" customHeight="1" x14ac:dyDescent="0.2">
      <c r="A590" s="63" t="str">
        <f t="shared" si="32"/>
        <v/>
      </c>
      <c r="B590" s="62"/>
      <c r="C590" s="62"/>
      <c r="D590" s="62"/>
      <c r="E590" s="62"/>
      <c r="F590" s="62"/>
      <c r="G590" s="62"/>
      <c r="H590" s="62"/>
      <c r="I590" s="66"/>
      <c r="J590" s="66"/>
      <c r="K590" s="66"/>
      <c r="L590" s="66"/>
      <c r="M590" s="66"/>
      <c r="N590" s="64" t="str">
        <f>IF(OR($B590="", $I590="", $J590="", $K590="", $L590="", $M590=""),"",ROUND(($I590*Lists!$AN$2)+($J590*Lists!$AN$3)+($K590*Lists!$AN$4)+($L590*Lists!$AN$5)+($M590*Lists!$AN$6),2))</f>
        <v/>
      </c>
      <c r="O590" s="64" t="str">
        <f>IF($A590="","",IFERROR(VLOOKUP($A590,'Risk Register'!$B$2:$I$1000,8,FALSE()),""))</f>
        <v/>
      </c>
      <c r="P590" s="66"/>
      <c r="Q590" s="66"/>
      <c r="R590" s="66"/>
      <c r="S590" s="66"/>
      <c r="T590" s="64" t="str">
        <f>IF(OR($B590="", $P590="", $Q590="", $R590="", $S590=""),"",ROUND(($P590*Lists!$AN$7)+($Q590*Lists!$AN$8)+($R590*Lists!$AN$9)+($S590*Lists!$AN$10),2))</f>
        <v/>
      </c>
      <c r="U590" s="66"/>
      <c r="V590" s="66"/>
      <c r="W590" s="66"/>
      <c r="X590" s="66"/>
      <c r="Y590" s="66"/>
      <c r="Z590" s="64" t="str">
        <f>IF(OR($B590="", $U590="", $V590="", $W590="", $X590="", $Y590=""),"",ROUND(($U590*Lists!$AN$11)+($V590*Lists!$AN$12)+($W590*Lists!$AN$13)+($X590*Lists!$AN$14)+($Y590*Lists!$AN$15),2))</f>
        <v/>
      </c>
      <c r="AA590" s="64" t="str">
        <f>IF(OR($B590="", $N590="", $O590="", $T590="", $Z590=""),"",ROUND(($N590*Lists!$AN$16)-($O590*Lists!$AN$17)-($T590*Lists!$AN$18)+($Z590*Lists!$AN$19),2))</f>
        <v/>
      </c>
      <c r="AB590" s="63" t="str">
        <f t="shared" si="33"/>
        <v/>
      </c>
      <c r="AC590" s="63" t="str">
        <f t="shared" si="34"/>
        <v/>
      </c>
      <c r="AD590" s="63" t="str">
        <f>IF($A590="","",IFERROR(IF(VLOOKUP($A590,'Risk Register'!$B$2:$H$1000,4,FALSE())&gt;=4,"Yes",""),""))</f>
        <v/>
      </c>
      <c r="AE590" s="63" t="str">
        <f t="shared" si="35"/>
        <v/>
      </c>
      <c r="AF590" s="62"/>
      <c r="AG590" s="62"/>
      <c r="AH590" s="62"/>
      <c r="AI590" s="62"/>
      <c r="AJ590" s="62"/>
      <c r="AK590" s="62"/>
      <c r="AL590" s="62"/>
      <c r="AM590" s="62"/>
      <c r="AN590" s="62"/>
      <c r="AO590" s="62"/>
      <c r="AP590" s="62"/>
      <c r="AQ590" s="80"/>
    </row>
    <row r="591" spans="1:43" ht="15.75" customHeight="1" x14ac:dyDescent="0.2">
      <c r="A591" s="63" t="str">
        <f t="shared" si="32"/>
        <v/>
      </c>
      <c r="B591" s="62"/>
      <c r="C591" s="62"/>
      <c r="D591" s="62"/>
      <c r="E591" s="62"/>
      <c r="F591" s="62"/>
      <c r="G591" s="62"/>
      <c r="H591" s="62"/>
      <c r="I591" s="66"/>
      <c r="J591" s="66"/>
      <c r="K591" s="66"/>
      <c r="L591" s="66"/>
      <c r="M591" s="66"/>
      <c r="N591" s="64" t="str">
        <f>IF(OR($B591="", $I591="", $J591="", $K591="", $L591="", $M591=""),"",ROUND(($I591*Lists!$AN$2)+($J591*Lists!$AN$3)+($K591*Lists!$AN$4)+($L591*Lists!$AN$5)+($M591*Lists!$AN$6),2))</f>
        <v/>
      </c>
      <c r="O591" s="64" t="str">
        <f>IF($A591="","",IFERROR(VLOOKUP($A591,'Risk Register'!$B$2:$I$1000,8,FALSE()),""))</f>
        <v/>
      </c>
      <c r="P591" s="66"/>
      <c r="Q591" s="66"/>
      <c r="R591" s="66"/>
      <c r="S591" s="66"/>
      <c r="T591" s="64" t="str">
        <f>IF(OR($B591="", $P591="", $Q591="", $R591="", $S591=""),"",ROUND(($P591*Lists!$AN$7)+($Q591*Lists!$AN$8)+($R591*Lists!$AN$9)+($S591*Lists!$AN$10),2))</f>
        <v/>
      </c>
      <c r="U591" s="66"/>
      <c r="V591" s="66"/>
      <c r="W591" s="66"/>
      <c r="X591" s="66"/>
      <c r="Y591" s="66"/>
      <c r="Z591" s="64" t="str">
        <f>IF(OR($B591="", $U591="", $V591="", $W591="", $X591="", $Y591=""),"",ROUND(($U591*Lists!$AN$11)+($V591*Lists!$AN$12)+($W591*Lists!$AN$13)+($X591*Lists!$AN$14)+($Y591*Lists!$AN$15),2))</f>
        <v/>
      </c>
      <c r="AA591" s="64" t="str">
        <f>IF(OR($B591="", $N591="", $O591="", $T591="", $Z591=""),"",ROUND(($N591*Lists!$AN$16)-($O591*Lists!$AN$17)-($T591*Lists!$AN$18)+($Z591*Lists!$AN$19),2))</f>
        <v/>
      </c>
      <c r="AB591" s="63" t="str">
        <f t="shared" si="33"/>
        <v/>
      </c>
      <c r="AC591" s="63" t="str">
        <f t="shared" si="34"/>
        <v/>
      </c>
      <c r="AD591" s="63" t="str">
        <f>IF($A591="","",IFERROR(IF(VLOOKUP($A591,'Risk Register'!$B$2:$H$1000,4,FALSE())&gt;=4,"Yes",""),""))</f>
        <v/>
      </c>
      <c r="AE591" s="63" t="str">
        <f t="shared" si="35"/>
        <v/>
      </c>
      <c r="AF591" s="62"/>
      <c r="AG591" s="62"/>
      <c r="AH591" s="62"/>
      <c r="AI591" s="62"/>
      <c r="AJ591" s="62"/>
      <c r="AK591" s="62"/>
      <c r="AL591" s="62"/>
      <c r="AM591" s="62"/>
      <c r="AN591" s="62"/>
      <c r="AO591" s="62"/>
      <c r="AP591" s="62"/>
      <c r="AQ591" s="80"/>
    </row>
    <row r="592" spans="1:43" ht="15.75" customHeight="1" x14ac:dyDescent="0.2">
      <c r="A592" s="63" t="str">
        <f t="shared" si="32"/>
        <v/>
      </c>
      <c r="B592" s="62"/>
      <c r="C592" s="62"/>
      <c r="D592" s="62"/>
      <c r="E592" s="62"/>
      <c r="F592" s="62"/>
      <c r="G592" s="62"/>
      <c r="H592" s="62"/>
      <c r="I592" s="66"/>
      <c r="J592" s="66"/>
      <c r="K592" s="66"/>
      <c r="L592" s="66"/>
      <c r="M592" s="66"/>
      <c r="N592" s="64" t="str">
        <f>IF(OR($B592="", $I592="", $J592="", $K592="", $L592="", $M592=""),"",ROUND(($I592*Lists!$AN$2)+($J592*Lists!$AN$3)+($K592*Lists!$AN$4)+($L592*Lists!$AN$5)+($M592*Lists!$AN$6),2))</f>
        <v/>
      </c>
      <c r="O592" s="64" t="str">
        <f>IF($A592="","",IFERROR(VLOOKUP($A592,'Risk Register'!$B$2:$I$1000,8,FALSE()),""))</f>
        <v/>
      </c>
      <c r="P592" s="66"/>
      <c r="Q592" s="66"/>
      <c r="R592" s="66"/>
      <c r="S592" s="66"/>
      <c r="T592" s="64" t="str">
        <f>IF(OR($B592="", $P592="", $Q592="", $R592="", $S592=""),"",ROUND(($P592*Lists!$AN$7)+($Q592*Lists!$AN$8)+($R592*Lists!$AN$9)+($S592*Lists!$AN$10),2))</f>
        <v/>
      </c>
      <c r="U592" s="66"/>
      <c r="V592" s="66"/>
      <c r="W592" s="66"/>
      <c r="X592" s="66"/>
      <c r="Y592" s="66"/>
      <c r="Z592" s="64" t="str">
        <f>IF(OR($B592="", $U592="", $V592="", $W592="", $X592="", $Y592=""),"",ROUND(($U592*Lists!$AN$11)+($V592*Lists!$AN$12)+($W592*Lists!$AN$13)+($X592*Lists!$AN$14)+($Y592*Lists!$AN$15),2))</f>
        <v/>
      </c>
      <c r="AA592" s="64" t="str">
        <f>IF(OR($B592="", $N592="", $O592="", $T592="", $Z592=""),"",ROUND(($N592*Lists!$AN$16)-($O592*Lists!$AN$17)-($T592*Lists!$AN$18)+($Z592*Lists!$AN$19),2))</f>
        <v/>
      </c>
      <c r="AB592" s="63" t="str">
        <f t="shared" si="33"/>
        <v/>
      </c>
      <c r="AC592" s="63" t="str">
        <f t="shared" si="34"/>
        <v/>
      </c>
      <c r="AD592" s="63" t="str">
        <f>IF($A592="","",IFERROR(IF(VLOOKUP($A592,'Risk Register'!$B$2:$H$1000,4,FALSE())&gt;=4,"Yes",""),""))</f>
        <v/>
      </c>
      <c r="AE592" s="63" t="str">
        <f t="shared" si="35"/>
        <v/>
      </c>
      <c r="AF592" s="62"/>
      <c r="AG592" s="62"/>
      <c r="AH592" s="62"/>
      <c r="AI592" s="62"/>
      <c r="AJ592" s="62"/>
      <c r="AK592" s="62"/>
      <c r="AL592" s="62"/>
      <c r="AM592" s="62"/>
      <c r="AN592" s="62"/>
      <c r="AO592" s="62"/>
      <c r="AP592" s="62"/>
      <c r="AQ592" s="80"/>
    </row>
    <row r="593" spans="1:43" ht="15.75" customHeight="1" x14ac:dyDescent="0.2">
      <c r="A593" s="63" t="str">
        <f t="shared" si="32"/>
        <v/>
      </c>
      <c r="B593" s="62"/>
      <c r="C593" s="62"/>
      <c r="D593" s="62"/>
      <c r="E593" s="62"/>
      <c r="F593" s="62"/>
      <c r="G593" s="62"/>
      <c r="H593" s="62"/>
      <c r="I593" s="66"/>
      <c r="J593" s="66"/>
      <c r="K593" s="66"/>
      <c r="L593" s="66"/>
      <c r="M593" s="66"/>
      <c r="N593" s="64" t="str">
        <f>IF(OR($B593="", $I593="", $J593="", $K593="", $L593="", $M593=""),"",ROUND(($I593*Lists!$AN$2)+($J593*Lists!$AN$3)+($K593*Lists!$AN$4)+($L593*Lists!$AN$5)+($M593*Lists!$AN$6),2))</f>
        <v/>
      </c>
      <c r="O593" s="64" t="str">
        <f>IF($A593="","",IFERROR(VLOOKUP($A593,'Risk Register'!$B$2:$I$1000,8,FALSE()),""))</f>
        <v/>
      </c>
      <c r="P593" s="66"/>
      <c r="Q593" s="66"/>
      <c r="R593" s="66"/>
      <c r="S593" s="66"/>
      <c r="T593" s="64" t="str">
        <f>IF(OR($B593="", $P593="", $Q593="", $R593="", $S593=""),"",ROUND(($P593*Lists!$AN$7)+($Q593*Lists!$AN$8)+($R593*Lists!$AN$9)+($S593*Lists!$AN$10),2))</f>
        <v/>
      </c>
      <c r="U593" s="66"/>
      <c r="V593" s="66"/>
      <c r="W593" s="66"/>
      <c r="X593" s="66"/>
      <c r="Y593" s="66"/>
      <c r="Z593" s="64" t="str">
        <f>IF(OR($B593="", $U593="", $V593="", $W593="", $X593="", $Y593=""),"",ROUND(($U593*Lists!$AN$11)+($V593*Lists!$AN$12)+($W593*Lists!$AN$13)+($X593*Lists!$AN$14)+($Y593*Lists!$AN$15),2))</f>
        <v/>
      </c>
      <c r="AA593" s="64" t="str">
        <f>IF(OR($B593="", $N593="", $O593="", $T593="", $Z593=""),"",ROUND(($N593*Lists!$AN$16)-($O593*Lists!$AN$17)-($T593*Lists!$AN$18)+($Z593*Lists!$AN$19),2))</f>
        <v/>
      </c>
      <c r="AB593" s="63" t="str">
        <f t="shared" si="33"/>
        <v/>
      </c>
      <c r="AC593" s="63" t="str">
        <f t="shared" si="34"/>
        <v/>
      </c>
      <c r="AD593" s="63" t="str">
        <f>IF($A593="","",IFERROR(IF(VLOOKUP($A593,'Risk Register'!$B$2:$H$1000,4,FALSE())&gt;=4,"Yes",""),""))</f>
        <v/>
      </c>
      <c r="AE593" s="63" t="str">
        <f t="shared" si="35"/>
        <v/>
      </c>
      <c r="AF593" s="62"/>
      <c r="AG593" s="62"/>
      <c r="AH593" s="62"/>
      <c r="AI593" s="62"/>
      <c r="AJ593" s="62"/>
      <c r="AK593" s="62"/>
      <c r="AL593" s="62"/>
      <c r="AM593" s="62"/>
      <c r="AN593" s="62"/>
      <c r="AO593" s="62"/>
      <c r="AP593" s="62"/>
      <c r="AQ593" s="80"/>
    </row>
    <row r="594" spans="1:43" ht="15.75" customHeight="1" x14ac:dyDescent="0.2">
      <c r="A594" s="63" t="str">
        <f t="shared" si="32"/>
        <v/>
      </c>
      <c r="B594" s="62"/>
      <c r="C594" s="62"/>
      <c r="D594" s="62"/>
      <c r="E594" s="62"/>
      <c r="F594" s="62"/>
      <c r="G594" s="62"/>
      <c r="H594" s="62"/>
      <c r="I594" s="66"/>
      <c r="J594" s="66"/>
      <c r="K594" s="66"/>
      <c r="L594" s="66"/>
      <c r="M594" s="66"/>
      <c r="N594" s="64" t="str">
        <f>IF(OR($B594="", $I594="", $J594="", $K594="", $L594="", $M594=""),"",ROUND(($I594*Lists!$AN$2)+($J594*Lists!$AN$3)+($K594*Lists!$AN$4)+($L594*Lists!$AN$5)+($M594*Lists!$AN$6),2))</f>
        <v/>
      </c>
      <c r="O594" s="64" t="str">
        <f>IF($A594="","",IFERROR(VLOOKUP($A594,'Risk Register'!$B$2:$I$1000,8,FALSE()),""))</f>
        <v/>
      </c>
      <c r="P594" s="66"/>
      <c r="Q594" s="66"/>
      <c r="R594" s="66"/>
      <c r="S594" s="66"/>
      <c r="T594" s="64" t="str">
        <f>IF(OR($B594="", $P594="", $Q594="", $R594="", $S594=""),"",ROUND(($P594*Lists!$AN$7)+($Q594*Lists!$AN$8)+($R594*Lists!$AN$9)+($S594*Lists!$AN$10),2))</f>
        <v/>
      </c>
      <c r="U594" s="66"/>
      <c r="V594" s="66"/>
      <c r="W594" s="66"/>
      <c r="X594" s="66"/>
      <c r="Y594" s="66"/>
      <c r="Z594" s="64" t="str">
        <f>IF(OR($B594="", $U594="", $V594="", $W594="", $X594="", $Y594=""),"",ROUND(($U594*Lists!$AN$11)+($V594*Lists!$AN$12)+($W594*Lists!$AN$13)+($X594*Lists!$AN$14)+($Y594*Lists!$AN$15),2))</f>
        <v/>
      </c>
      <c r="AA594" s="64" t="str">
        <f>IF(OR($B594="", $N594="", $O594="", $T594="", $Z594=""),"",ROUND(($N594*Lists!$AN$16)-($O594*Lists!$AN$17)-($T594*Lists!$AN$18)+($Z594*Lists!$AN$19),2))</f>
        <v/>
      </c>
      <c r="AB594" s="63" t="str">
        <f t="shared" si="33"/>
        <v/>
      </c>
      <c r="AC594" s="63" t="str">
        <f t="shared" si="34"/>
        <v/>
      </c>
      <c r="AD594" s="63" t="str">
        <f>IF($A594="","",IFERROR(IF(VLOOKUP($A594,'Risk Register'!$B$2:$H$1000,4,FALSE())&gt;=4,"Yes",""),""))</f>
        <v/>
      </c>
      <c r="AE594" s="63" t="str">
        <f t="shared" si="35"/>
        <v/>
      </c>
      <c r="AF594" s="62"/>
      <c r="AG594" s="62"/>
      <c r="AH594" s="62"/>
      <c r="AI594" s="62"/>
      <c r="AJ594" s="62"/>
      <c r="AK594" s="62"/>
      <c r="AL594" s="62"/>
      <c r="AM594" s="62"/>
      <c r="AN594" s="62"/>
      <c r="AO594" s="62"/>
      <c r="AP594" s="62"/>
      <c r="AQ594" s="80"/>
    </row>
    <row r="595" spans="1:43" ht="15.75" customHeight="1" x14ac:dyDescent="0.2">
      <c r="A595" s="63" t="str">
        <f t="shared" si="32"/>
        <v/>
      </c>
      <c r="B595" s="62"/>
      <c r="C595" s="62"/>
      <c r="D595" s="62"/>
      <c r="E595" s="62"/>
      <c r="F595" s="62"/>
      <c r="G595" s="62"/>
      <c r="H595" s="62"/>
      <c r="I595" s="66"/>
      <c r="J595" s="66"/>
      <c r="K595" s="66"/>
      <c r="L595" s="66"/>
      <c r="M595" s="66"/>
      <c r="N595" s="64" t="str">
        <f>IF(OR($B595="", $I595="", $J595="", $K595="", $L595="", $M595=""),"",ROUND(($I595*Lists!$AN$2)+($J595*Lists!$AN$3)+($K595*Lists!$AN$4)+($L595*Lists!$AN$5)+($M595*Lists!$AN$6),2))</f>
        <v/>
      </c>
      <c r="O595" s="64" t="str">
        <f>IF($A595="","",IFERROR(VLOOKUP($A595,'Risk Register'!$B$2:$I$1000,8,FALSE()),""))</f>
        <v/>
      </c>
      <c r="P595" s="66"/>
      <c r="Q595" s="66"/>
      <c r="R595" s="66"/>
      <c r="S595" s="66"/>
      <c r="T595" s="64" t="str">
        <f>IF(OR($B595="", $P595="", $Q595="", $R595="", $S595=""),"",ROUND(($P595*Lists!$AN$7)+($Q595*Lists!$AN$8)+($R595*Lists!$AN$9)+($S595*Lists!$AN$10),2))</f>
        <v/>
      </c>
      <c r="U595" s="66"/>
      <c r="V595" s="66"/>
      <c r="W595" s="66"/>
      <c r="X595" s="66"/>
      <c r="Y595" s="66"/>
      <c r="Z595" s="64" t="str">
        <f>IF(OR($B595="", $U595="", $V595="", $W595="", $X595="", $Y595=""),"",ROUND(($U595*Lists!$AN$11)+($V595*Lists!$AN$12)+($W595*Lists!$AN$13)+($X595*Lists!$AN$14)+($Y595*Lists!$AN$15),2))</f>
        <v/>
      </c>
      <c r="AA595" s="64" t="str">
        <f>IF(OR($B595="", $N595="", $O595="", $T595="", $Z595=""),"",ROUND(($N595*Lists!$AN$16)-($O595*Lists!$AN$17)-($T595*Lists!$AN$18)+($Z595*Lists!$AN$19),2))</f>
        <v/>
      </c>
      <c r="AB595" s="63" t="str">
        <f t="shared" si="33"/>
        <v/>
      </c>
      <c r="AC595" s="63" t="str">
        <f t="shared" si="34"/>
        <v/>
      </c>
      <c r="AD595" s="63" t="str">
        <f>IF($A595="","",IFERROR(IF(VLOOKUP($A595,'Risk Register'!$B$2:$H$1000,4,FALSE())&gt;=4,"Yes",""),""))</f>
        <v/>
      </c>
      <c r="AE595" s="63" t="str">
        <f t="shared" si="35"/>
        <v/>
      </c>
      <c r="AF595" s="62"/>
      <c r="AG595" s="62"/>
      <c r="AH595" s="62"/>
      <c r="AI595" s="62"/>
      <c r="AJ595" s="62"/>
      <c r="AK595" s="62"/>
      <c r="AL595" s="62"/>
      <c r="AM595" s="62"/>
      <c r="AN595" s="62"/>
      <c r="AO595" s="62"/>
      <c r="AP595" s="62"/>
      <c r="AQ595" s="80"/>
    </row>
    <row r="596" spans="1:43" ht="15.75" customHeight="1" x14ac:dyDescent="0.2">
      <c r="A596" s="63" t="str">
        <f t="shared" si="32"/>
        <v/>
      </c>
      <c r="B596" s="62"/>
      <c r="C596" s="62"/>
      <c r="D596" s="62"/>
      <c r="E596" s="62"/>
      <c r="F596" s="62"/>
      <c r="G596" s="62"/>
      <c r="H596" s="62"/>
      <c r="I596" s="66"/>
      <c r="J596" s="66"/>
      <c r="K596" s="66"/>
      <c r="L596" s="66"/>
      <c r="M596" s="66"/>
      <c r="N596" s="64" t="str">
        <f>IF(OR($B596="", $I596="", $J596="", $K596="", $L596="", $M596=""),"",ROUND(($I596*Lists!$AN$2)+($J596*Lists!$AN$3)+($K596*Lists!$AN$4)+($L596*Lists!$AN$5)+($M596*Lists!$AN$6),2))</f>
        <v/>
      </c>
      <c r="O596" s="64" t="str">
        <f>IF($A596="","",IFERROR(VLOOKUP($A596,'Risk Register'!$B$2:$I$1000,8,FALSE()),""))</f>
        <v/>
      </c>
      <c r="P596" s="66"/>
      <c r="Q596" s="66"/>
      <c r="R596" s="66"/>
      <c r="S596" s="66"/>
      <c r="T596" s="64" t="str">
        <f>IF(OR($B596="", $P596="", $Q596="", $R596="", $S596=""),"",ROUND(($P596*Lists!$AN$7)+($Q596*Lists!$AN$8)+($R596*Lists!$AN$9)+($S596*Lists!$AN$10),2))</f>
        <v/>
      </c>
      <c r="U596" s="66"/>
      <c r="V596" s="66"/>
      <c r="W596" s="66"/>
      <c r="X596" s="66"/>
      <c r="Y596" s="66"/>
      <c r="Z596" s="64" t="str">
        <f>IF(OR($B596="", $U596="", $V596="", $W596="", $X596="", $Y596=""),"",ROUND(($U596*Lists!$AN$11)+($V596*Lists!$AN$12)+($W596*Lists!$AN$13)+($X596*Lists!$AN$14)+($Y596*Lists!$AN$15),2))</f>
        <v/>
      </c>
      <c r="AA596" s="64" t="str">
        <f>IF(OR($B596="", $N596="", $O596="", $T596="", $Z596=""),"",ROUND(($N596*Lists!$AN$16)-($O596*Lists!$AN$17)-($T596*Lists!$AN$18)+($Z596*Lists!$AN$19),2))</f>
        <v/>
      </c>
      <c r="AB596" s="63" t="str">
        <f t="shared" si="33"/>
        <v/>
      </c>
      <c r="AC596" s="63" t="str">
        <f t="shared" si="34"/>
        <v/>
      </c>
      <c r="AD596" s="63" t="str">
        <f>IF($A596="","",IFERROR(IF(VLOOKUP($A596,'Risk Register'!$B$2:$H$1000,4,FALSE())&gt;=4,"Yes",""),""))</f>
        <v/>
      </c>
      <c r="AE596" s="63" t="str">
        <f t="shared" si="35"/>
        <v/>
      </c>
      <c r="AF596" s="62"/>
      <c r="AG596" s="62"/>
      <c r="AH596" s="62"/>
      <c r="AI596" s="62"/>
      <c r="AJ596" s="62"/>
      <c r="AK596" s="62"/>
      <c r="AL596" s="62"/>
      <c r="AM596" s="62"/>
      <c r="AN596" s="62"/>
      <c r="AO596" s="62"/>
      <c r="AP596" s="62"/>
      <c r="AQ596" s="80"/>
    </row>
    <row r="597" spans="1:43" ht="15.75" customHeight="1" x14ac:dyDescent="0.2">
      <c r="A597" s="63" t="str">
        <f t="shared" si="32"/>
        <v/>
      </c>
      <c r="B597" s="62"/>
      <c r="C597" s="62"/>
      <c r="D597" s="62"/>
      <c r="E597" s="62"/>
      <c r="F597" s="62"/>
      <c r="G597" s="62"/>
      <c r="H597" s="62"/>
      <c r="I597" s="66"/>
      <c r="J597" s="66"/>
      <c r="K597" s="66"/>
      <c r="L597" s="66"/>
      <c r="M597" s="66"/>
      <c r="N597" s="64" t="str">
        <f>IF(OR($B597="", $I597="", $J597="", $K597="", $L597="", $M597=""),"",ROUND(($I597*Lists!$AN$2)+($J597*Lists!$AN$3)+($K597*Lists!$AN$4)+($L597*Lists!$AN$5)+($M597*Lists!$AN$6),2))</f>
        <v/>
      </c>
      <c r="O597" s="64" t="str">
        <f>IF($A597="","",IFERROR(VLOOKUP($A597,'Risk Register'!$B$2:$I$1000,8,FALSE()),""))</f>
        <v/>
      </c>
      <c r="P597" s="66"/>
      <c r="Q597" s="66"/>
      <c r="R597" s="66"/>
      <c r="S597" s="66"/>
      <c r="T597" s="64" t="str">
        <f>IF(OR($B597="", $P597="", $Q597="", $R597="", $S597=""),"",ROUND(($P597*Lists!$AN$7)+($Q597*Lists!$AN$8)+($R597*Lists!$AN$9)+($S597*Lists!$AN$10),2))</f>
        <v/>
      </c>
      <c r="U597" s="66"/>
      <c r="V597" s="66"/>
      <c r="W597" s="66"/>
      <c r="X597" s="66"/>
      <c r="Y597" s="66"/>
      <c r="Z597" s="64" t="str">
        <f>IF(OR($B597="", $U597="", $V597="", $W597="", $X597="", $Y597=""),"",ROUND(($U597*Lists!$AN$11)+($V597*Lists!$AN$12)+($W597*Lists!$AN$13)+($X597*Lists!$AN$14)+($Y597*Lists!$AN$15),2))</f>
        <v/>
      </c>
      <c r="AA597" s="64" t="str">
        <f>IF(OR($B597="", $N597="", $O597="", $T597="", $Z597=""),"",ROUND(($N597*Lists!$AN$16)-($O597*Lists!$AN$17)-($T597*Lists!$AN$18)+($Z597*Lists!$AN$19),2))</f>
        <v/>
      </c>
      <c r="AB597" s="63" t="str">
        <f t="shared" si="33"/>
        <v/>
      </c>
      <c r="AC597" s="63" t="str">
        <f t="shared" si="34"/>
        <v/>
      </c>
      <c r="AD597" s="63" t="str">
        <f>IF($A597="","",IFERROR(IF(VLOOKUP($A597,'Risk Register'!$B$2:$H$1000,4,FALSE())&gt;=4,"Yes",""),""))</f>
        <v/>
      </c>
      <c r="AE597" s="63" t="str">
        <f t="shared" si="35"/>
        <v/>
      </c>
      <c r="AF597" s="62"/>
      <c r="AG597" s="62"/>
      <c r="AH597" s="62"/>
      <c r="AI597" s="62"/>
      <c r="AJ597" s="62"/>
      <c r="AK597" s="62"/>
      <c r="AL597" s="62"/>
      <c r="AM597" s="62"/>
      <c r="AN597" s="62"/>
      <c r="AO597" s="62"/>
      <c r="AP597" s="62"/>
      <c r="AQ597" s="80"/>
    </row>
    <row r="598" spans="1:43" ht="15.75" customHeight="1" x14ac:dyDescent="0.2">
      <c r="A598" s="63" t="str">
        <f t="shared" si="32"/>
        <v/>
      </c>
      <c r="B598" s="62"/>
      <c r="C598" s="62"/>
      <c r="D598" s="62"/>
      <c r="E598" s="62"/>
      <c r="F598" s="62"/>
      <c r="G598" s="62"/>
      <c r="H598" s="62"/>
      <c r="I598" s="66"/>
      <c r="J598" s="66"/>
      <c r="K598" s="66"/>
      <c r="L598" s="66"/>
      <c r="M598" s="66"/>
      <c r="N598" s="64" t="str">
        <f>IF(OR($B598="", $I598="", $J598="", $K598="", $L598="", $M598=""),"",ROUND(($I598*Lists!$AN$2)+($J598*Lists!$AN$3)+($K598*Lists!$AN$4)+($L598*Lists!$AN$5)+($M598*Lists!$AN$6),2))</f>
        <v/>
      </c>
      <c r="O598" s="64" t="str">
        <f>IF($A598="","",IFERROR(VLOOKUP($A598,'Risk Register'!$B$2:$I$1000,8,FALSE()),""))</f>
        <v/>
      </c>
      <c r="P598" s="66"/>
      <c r="Q598" s="66"/>
      <c r="R598" s="66"/>
      <c r="S598" s="66"/>
      <c r="T598" s="64" t="str">
        <f>IF(OR($B598="", $P598="", $Q598="", $R598="", $S598=""),"",ROUND(($P598*Lists!$AN$7)+($Q598*Lists!$AN$8)+($R598*Lists!$AN$9)+($S598*Lists!$AN$10),2))</f>
        <v/>
      </c>
      <c r="U598" s="66"/>
      <c r="V598" s="66"/>
      <c r="W598" s="66"/>
      <c r="X598" s="66"/>
      <c r="Y598" s="66"/>
      <c r="Z598" s="64" t="str">
        <f>IF(OR($B598="", $U598="", $V598="", $W598="", $X598="", $Y598=""),"",ROUND(($U598*Lists!$AN$11)+($V598*Lists!$AN$12)+($W598*Lists!$AN$13)+($X598*Lists!$AN$14)+($Y598*Lists!$AN$15),2))</f>
        <v/>
      </c>
      <c r="AA598" s="64" t="str">
        <f>IF(OR($B598="", $N598="", $O598="", $T598="", $Z598=""),"",ROUND(($N598*Lists!$AN$16)-($O598*Lists!$AN$17)-($T598*Lists!$AN$18)+($Z598*Lists!$AN$19),2))</f>
        <v/>
      </c>
      <c r="AB598" s="63" t="str">
        <f t="shared" si="33"/>
        <v/>
      </c>
      <c r="AC598" s="63" t="str">
        <f t="shared" si="34"/>
        <v/>
      </c>
      <c r="AD598" s="63" t="str">
        <f>IF($A598="","",IFERROR(IF(VLOOKUP($A598,'Risk Register'!$B$2:$H$1000,4,FALSE())&gt;=4,"Yes",""),""))</f>
        <v/>
      </c>
      <c r="AE598" s="63" t="str">
        <f t="shared" si="35"/>
        <v/>
      </c>
      <c r="AF598" s="62"/>
      <c r="AG598" s="62"/>
      <c r="AH598" s="62"/>
      <c r="AI598" s="62"/>
      <c r="AJ598" s="62"/>
      <c r="AK598" s="62"/>
      <c r="AL598" s="62"/>
      <c r="AM598" s="62"/>
      <c r="AN598" s="62"/>
      <c r="AO598" s="62"/>
      <c r="AP598" s="62"/>
      <c r="AQ598" s="80"/>
    </row>
    <row r="599" spans="1:43" ht="15.75" customHeight="1" x14ac:dyDescent="0.2">
      <c r="A599" s="63" t="str">
        <f t="shared" ref="A599:A662" si="36">IF($B599="","", "APM-" &amp; RIGHT("0000"&amp;ROW()-1,4))</f>
        <v/>
      </c>
      <c r="B599" s="62"/>
      <c r="C599" s="62"/>
      <c r="D599" s="62"/>
      <c r="E599" s="62"/>
      <c r="F599" s="62"/>
      <c r="G599" s="62"/>
      <c r="H599" s="62"/>
      <c r="I599" s="66"/>
      <c r="J599" s="66"/>
      <c r="K599" s="66"/>
      <c r="L599" s="66"/>
      <c r="M599" s="66"/>
      <c r="N599" s="64" t="str">
        <f>IF(OR($B599="", $I599="", $J599="", $K599="", $L599="", $M599=""),"",ROUND(($I599*Lists!$AN$2)+($J599*Lists!$AN$3)+($K599*Lists!$AN$4)+($L599*Lists!$AN$5)+($M599*Lists!$AN$6),2))</f>
        <v/>
      </c>
      <c r="O599" s="64" t="str">
        <f>IF($A599="","",IFERROR(VLOOKUP($A599,'Risk Register'!$B$2:$I$1000,8,FALSE()),""))</f>
        <v/>
      </c>
      <c r="P599" s="66"/>
      <c r="Q599" s="66"/>
      <c r="R599" s="66"/>
      <c r="S599" s="66"/>
      <c r="T599" s="64" t="str">
        <f>IF(OR($B599="", $P599="", $Q599="", $R599="", $S599=""),"",ROUND(($P599*Lists!$AN$7)+($Q599*Lists!$AN$8)+($R599*Lists!$AN$9)+($S599*Lists!$AN$10),2))</f>
        <v/>
      </c>
      <c r="U599" s="66"/>
      <c r="V599" s="66"/>
      <c r="W599" s="66"/>
      <c r="X599" s="66"/>
      <c r="Y599" s="66"/>
      <c r="Z599" s="64" t="str">
        <f>IF(OR($B599="", $U599="", $V599="", $W599="", $X599="", $Y599=""),"",ROUND(($U599*Lists!$AN$11)+($V599*Lists!$AN$12)+($W599*Lists!$AN$13)+($X599*Lists!$AN$14)+($Y599*Lists!$AN$15),2))</f>
        <v/>
      </c>
      <c r="AA599" s="64" t="str">
        <f>IF(OR($B599="", $N599="", $O599="", $T599="", $Z599=""),"",ROUND(($N599*Lists!$AN$16)-($O599*Lists!$AN$17)-($T599*Lists!$AN$18)+($Z599*Lists!$AN$19),2))</f>
        <v/>
      </c>
      <c r="AB599" s="63" t="str">
        <f t="shared" ref="AB599:AB662" si="37">IF($AA599="","",IF($AA599&gt;=3.5,"INVEST",IF($AA599&gt;=2.5,"TOLERATE",IF($AA599&gt;=1.5,"MIGRATE / MODERNIZE","RETIRE"))))</f>
        <v/>
      </c>
      <c r="AC599" s="63" t="str">
        <f t="shared" ref="AC599:AC662" si="38">IF($B599="","",IF($J599&gt;=4,"Yes",""))</f>
        <v/>
      </c>
      <c r="AD599" s="63" t="str">
        <f>IF($A599="","",IFERROR(IF(VLOOKUP($A599,'Risk Register'!$B$2:$H$1000,4,FALSE())&gt;=4,"Yes",""),""))</f>
        <v/>
      </c>
      <c r="AE599" s="63" t="str">
        <f t="shared" ref="AE599:AE662" si="39">IF(OR($N599="", $O599=""),"",IF($N599&gt;=3.5,IF($O599&gt;=3.5,"High Value / High Risk","High Value / Low Risk"),IF($O599&gt;=3.5,"Low Value / High Risk","Low Value / Low Risk")))</f>
        <v/>
      </c>
      <c r="AF599" s="62"/>
      <c r="AG599" s="62"/>
      <c r="AH599" s="62"/>
      <c r="AI599" s="62"/>
      <c r="AJ599" s="62"/>
      <c r="AK599" s="62"/>
      <c r="AL599" s="62"/>
      <c r="AM599" s="62"/>
      <c r="AN599" s="62"/>
      <c r="AO599" s="62"/>
      <c r="AP599" s="62"/>
      <c r="AQ599" s="80"/>
    </row>
    <row r="600" spans="1:43" ht="15.75" customHeight="1" x14ac:dyDescent="0.2">
      <c r="A600" s="63" t="str">
        <f t="shared" si="36"/>
        <v/>
      </c>
      <c r="B600" s="62"/>
      <c r="C600" s="62"/>
      <c r="D600" s="62"/>
      <c r="E600" s="62"/>
      <c r="F600" s="62"/>
      <c r="G600" s="62"/>
      <c r="H600" s="62"/>
      <c r="I600" s="66"/>
      <c r="J600" s="66"/>
      <c r="K600" s="66"/>
      <c r="L600" s="66"/>
      <c r="M600" s="66"/>
      <c r="N600" s="64" t="str">
        <f>IF(OR($B600="", $I600="", $J600="", $K600="", $L600="", $M600=""),"",ROUND(($I600*Lists!$AN$2)+($J600*Lists!$AN$3)+($K600*Lists!$AN$4)+($L600*Lists!$AN$5)+($M600*Lists!$AN$6),2))</f>
        <v/>
      </c>
      <c r="O600" s="64" t="str">
        <f>IF($A600="","",IFERROR(VLOOKUP($A600,'Risk Register'!$B$2:$I$1000,8,FALSE()),""))</f>
        <v/>
      </c>
      <c r="P600" s="66"/>
      <c r="Q600" s="66"/>
      <c r="R600" s="66"/>
      <c r="S600" s="66"/>
      <c r="T600" s="64" t="str">
        <f>IF(OR($B600="", $P600="", $Q600="", $R600="", $S600=""),"",ROUND(($P600*Lists!$AN$7)+($Q600*Lists!$AN$8)+($R600*Lists!$AN$9)+($S600*Lists!$AN$10),2))</f>
        <v/>
      </c>
      <c r="U600" s="66"/>
      <c r="V600" s="66"/>
      <c r="W600" s="66"/>
      <c r="X600" s="66"/>
      <c r="Y600" s="66"/>
      <c r="Z600" s="64" t="str">
        <f>IF(OR($B600="", $U600="", $V600="", $W600="", $X600="", $Y600=""),"",ROUND(($U600*Lists!$AN$11)+($V600*Lists!$AN$12)+($W600*Lists!$AN$13)+($X600*Lists!$AN$14)+($Y600*Lists!$AN$15),2))</f>
        <v/>
      </c>
      <c r="AA600" s="64" t="str">
        <f>IF(OR($B600="", $N600="", $O600="", $T600="", $Z600=""),"",ROUND(($N600*Lists!$AN$16)-($O600*Lists!$AN$17)-($T600*Lists!$AN$18)+($Z600*Lists!$AN$19),2))</f>
        <v/>
      </c>
      <c r="AB600" s="63" t="str">
        <f t="shared" si="37"/>
        <v/>
      </c>
      <c r="AC600" s="63" t="str">
        <f t="shared" si="38"/>
        <v/>
      </c>
      <c r="AD600" s="63" t="str">
        <f>IF($A600="","",IFERROR(IF(VLOOKUP($A600,'Risk Register'!$B$2:$H$1000,4,FALSE())&gt;=4,"Yes",""),""))</f>
        <v/>
      </c>
      <c r="AE600" s="63" t="str">
        <f t="shared" si="39"/>
        <v/>
      </c>
      <c r="AF600" s="62"/>
      <c r="AG600" s="62"/>
      <c r="AH600" s="62"/>
      <c r="AI600" s="62"/>
      <c r="AJ600" s="62"/>
      <c r="AK600" s="62"/>
      <c r="AL600" s="62"/>
      <c r="AM600" s="62"/>
      <c r="AN600" s="62"/>
      <c r="AO600" s="62"/>
      <c r="AP600" s="62"/>
      <c r="AQ600" s="80"/>
    </row>
    <row r="601" spans="1:43" ht="15.75" customHeight="1" x14ac:dyDescent="0.2">
      <c r="A601" s="63" t="str">
        <f t="shared" si="36"/>
        <v/>
      </c>
      <c r="B601" s="62"/>
      <c r="C601" s="62"/>
      <c r="D601" s="62"/>
      <c r="E601" s="62"/>
      <c r="F601" s="62"/>
      <c r="G601" s="62"/>
      <c r="H601" s="62"/>
      <c r="I601" s="66"/>
      <c r="J601" s="66"/>
      <c r="K601" s="66"/>
      <c r="L601" s="66"/>
      <c r="M601" s="66"/>
      <c r="N601" s="64" t="str">
        <f>IF(OR($B601="", $I601="", $J601="", $K601="", $L601="", $M601=""),"",ROUND(($I601*Lists!$AN$2)+($J601*Lists!$AN$3)+($K601*Lists!$AN$4)+($L601*Lists!$AN$5)+($M601*Lists!$AN$6),2))</f>
        <v/>
      </c>
      <c r="O601" s="64" t="str">
        <f>IF($A601="","",IFERROR(VLOOKUP($A601,'Risk Register'!$B$2:$I$1000,8,FALSE()),""))</f>
        <v/>
      </c>
      <c r="P601" s="66"/>
      <c r="Q601" s="66"/>
      <c r="R601" s="66"/>
      <c r="S601" s="66"/>
      <c r="T601" s="64" t="str">
        <f>IF(OR($B601="", $P601="", $Q601="", $R601="", $S601=""),"",ROUND(($P601*Lists!$AN$7)+($Q601*Lists!$AN$8)+($R601*Lists!$AN$9)+($S601*Lists!$AN$10),2))</f>
        <v/>
      </c>
      <c r="U601" s="66"/>
      <c r="V601" s="66"/>
      <c r="W601" s="66"/>
      <c r="X601" s="66"/>
      <c r="Y601" s="66"/>
      <c r="Z601" s="64" t="str">
        <f>IF(OR($B601="", $U601="", $V601="", $W601="", $X601="", $Y601=""),"",ROUND(($U601*Lists!$AN$11)+($V601*Lists!$AN$12)+($W601*Lists!$AN$13)+($X601*Lists!$AN$14)+($Y601*Lists!$AN$15),2))</f>
        <v/>
      </c>
      <c r="AA601" s="64" t="str">
        <f>IF(OR($B601="", $N601="", $O601="", $T601="", $Z601=""),"",ROUND(($N601*Lists!$AN$16)-($O601*Lists!$AN$17)-($T601*Lists!$AN$18)+($Z601*Lists!$AN$19),2))</f>
        <v/>
      </c>
      <c r="AB601" s="63" t="str">
        <f t="shared" si="37"/>
        <v/>
      </c>
      <c r="AC601" s="63" t="str">
        <f t="shared" si="38"/>
        <v/>
      </c>
      <c r="AD601" s="63" t="str">
        <f>IF($A601="","",IFERROR(IF(VLOOKUP($A601,'Risk Register'!$B$2:$H$1000,4,FALSE())&gt;=4,"Yes",""),""))</f>
        <v/>
      </c>
      <c r="AE601" s="63" t="str">
        <f t="shared" si="39"/>
        <v/>
      </c>
      <c r="AF601" s="62"/>
      <c r="AG601" s="62"/>
      <c r="AH601" s="62"/>
      <c r="AI601" s="62"/>
      <c r="AJ601" s="62"/>
      <c r="AK601" s="62"/>
      <c r="AL601" s="62"/>
      <c r="AM601" s="62"/>
      <c r="AN601" s="62"/>
      <c r="AO601" s="62"/>
      <c r="AP601" s="62"/>
      <c r="AQ601" s="80"/>
    </row>
    <row r="602" spans="1:43" ht="15.75" customHeight="1" x14ac:dyDescent="0.2">
      <c r="A602" s="63" t="str">
        <f t="shared" si="36"/>
        <v/>
      </c>
      <c r="B602" s="62"/>
      <c r="C602" s="62"/>
      <c r="D602" s="62"/>
      <c r="E602" s="62"/>
      <c r="F602" s="62"/>
      <c r="G602" s="62"/>
      <c r="H602" s="62"/>
      <c r="I602" s="66"/>
      <c r="J602" s="66"/>
      <c r="K602" s="66"/>
      <c r="L602" s="66"/>
      <c r="M602" s="66"/>
      <c r="N602" s="64" t="str">
        <f>IF(OR($B602="", $I602="", $J602="", $K602="", $L602="", $M602=""),"",ROUND(($I602*Lists!$AN$2)+($J602*Lists!$AN$3)+($K602*Lists!$AN$4)+($L602*Lists!$AN$5)+($M602*Lists!$AN$6),2))</f>
        <v/>
      </c>
      <c r="O602" s="64" t="str">
        <f>IF($A602="","",IFERROR(VLOOKUP($A602,'Risk Register'!$B$2:$I$1000,8,FALSE()),""))</f>
        <v/>
      </c>
      <c r="P602" s="66"/>
      <c r="Q602" s="66"/>
      <c r="R602" s="66"/>
      <c r="S602" s="66"/>
      <c r="T602" s="64" t="str">
        <f>IF(OR($B602="", $P602="", $Q602="", $R602="", $S602=""),"",ROUND(($P602*Lists!$AN$7)+($Q602*Lists!$AN$8)+($R602*Lists!$AN$9)+($S602*Lists!$AN$10),2))</f>
        <v/>
      </c>
      <c r="U602" s="66"/>
      <c r="V602" s="66"/>
      <c r="W602" s="66"/>
      <c r="X602" s="66"/>
      <c r="Y602" s="66"/>
      <c r="Z602" s="64" t="str">
        <f>IF(OR($B602="", $U602="", $V602="", $W602="", $X602="", $Y602=""),"",ROUND(($U602*Lists!$AN$11)+($V602*Lists!$AN$12)+($W602*Lists!$AN$13)+($X602*Lists!$AN$14)+($Y602*Lists!$AN$15),2))</f>
        <v/>
      </c>
      <c r="AA602" s="64" t="str">
        <f>IF(OR($B602="", $N602="", $O602="", $T602="", $Z602=""),"",ROUND(($N602*Lists!$AN$16)-($O602*Lists!$AN$17)-($T602*Lists!$AN$18)+($Z602*Lists!$AN$19),2))</f>
        <v/>
      </c>
      <c r="AB602" s="63" t="str">
        <f t="shared" si="37"/>
        <v/>
      </c>
      <c r="AC602" s="63" t="str">
        <f t="shared" si="38"/>
        <v/>
      </c>
      <c r="AD602" s="63" t="str">
        <f>IF($A602="","",IFERROR(IF(VLOOKUP($A602,'Risk Register'!$B$2:$H$1000,4,FALSE())&gt;=4,"Yes",""),""))</f>
        <v/>
      </c>
      <c r="AE602" s="63" t="str">
        <f t="shared" si="39"/>
        <v/>
      </c>
      <c r="AF602" s="62"/>
      <c r="AG602" s="62"/>
      <c r="AH602" s="62"/>
      <c r="AI602" s="62"/>
      <c r="AJ602" s="62"/>
      <c r="AK602" s="62"/>
      <c r="AL602" s="62"/>
      <c r="AM602" s="62"/>
      <c r="AN602" s="62"/>
      <c r="AO602" s="62"/>
      <c r="AP602" s="62"/>
      <c r="AQ602" s="80"/>
    </row>
    <row r="603" spans="1:43" ht="15.75" customHeight="1" x14ac:dyDescent="0.2">
      <c r="A603" s="63" t="str">
        <f t="shared" si="36"/>
        <v/>
      </c>
      <c r="B603" s="62"/>
      <c r="C603" s="62"/>
      <c r="D603" s="62"/>
      <c r="E603" s="62"/>
      <c r="F603" s="62"/>
      <c r="G603" s="62"/>
      <c r="H603" s="62"/>
      <c r="I603" s="66"/>
      <c r="J603" s="66"/>
      <c r="K603" s="66"/>
      <c r="L603" s="66"/>
      <c r="M603" s="66"/>
      <c r="N603" s="64" t="str">
        <f>IF(OR($B603="", $I603="", $J603="", $K603="", $L603="", $M603=""),"",ROUND(($I603*Lists!$AN$2)+($J603*Lists!$AN$3)+($K603*Lists!$AN$4)+($L603*Lists!$AN$5)+($M603*Lists!$AN$6),2))</f>
        <v/>
      </c>
      <c r="O603" s="64" t="str">
        <f>IF($A603="","",IFERROR(VLOOKUP($A603,'Risk Register'!$B$2:$I$1000,8,FALSE()),""))</f>
        <v/>
      </c>
      <c r="P603" s="66"/>
      <c r="Q603" s="66"/>
      <c r="R603" s="66"/>
      <c r="S603" s="66"/>
      <c r="T603" s="64" t="str">
        <f>IF(OR($B603="", $P603="", $Q603="", $R603="", $S603=""),"",ROUND(($P603*Lists!$AN$7)+($Q603*Lists!$AN$8)+($R603*Lists!$AN$9)+($S603*Lists!$AN$10),2))</f>
        <v/>
      </c>
      <c r="U603" s="66"/>
      <c r="V603" s="66"/>
      <c r="W603" s="66"/>
      <c r="X603" s="66"/>
      <c r="Y603" s="66"/>
      <c r="Z603" s="64" t="str">
        <f>IF(OR($B603="", $U603="", $V603="", $W603="", $X603="", $Y603=""),"",ROUND(($U603*Lists!$AN$11)+($V603*Lists!$AN$12)+($W603*Lists!$AN$13)+($X603*Lists!$AN$14)+($Y603*Lists!$AN$15),2))</f>
        <v/>
      </c>
      <c r="AA603" s="64" t="str">
        <f>IF(OR($B603="", $N603="", $O603="", $T603="", $Z603=""),"",ROUND(($N603*Lists!$AN$16)-($O603*Lists!$AN$17)-($T603*Lists!$AN$18)+($Z603*Lists!$AN$19),2))</f>
        <v/>
      </c>
      <c r="AB603" s="63" t="str">
        <f t="shared" si="37"/>
        <v/>
      </c>
      <c r="AC603" s="63" t="str">
        <f t="shared" si="38"/>
        <v/>
      </c>
      <c r="AD603" s="63" t="str">
        <f>IF($A603="","",IFERROR(IF(VLOOKUP($A603,'Risk Register'!$B$2:$H$1000,4,FALSE())&gt;=4,"Yes",""),""))</f>
        <v/>
      </c>
      <c r="AE603" s="63" t="str">
        <f t="shared" si="39"/>
        <v/>
      </c>
      <c r="AF603" s="62"/>
      <c r="AG603" s="62"/>
      <c r="AH603" s="62"/>
      <c r="AI603" s="62"/>
      <c r="AJ603" s="62"/>
      <c r="AK603" s="62"/>
      <c r="AL603" s="62"/>
      <c r="AM603" s="62"/>
      <c r="AN603" s="62"/>
      <c r="AO603" s="62"/>
      <c r="AP603" s="62"/>
      <c r="AQ603" s="80"/>
    </row>
    <row r="604" spans="1:43" ht="15.75" customHeight="1" x14ac:dyDescent="0.2">
      <c r="A604" s="63" t="str">
        <f t="shared" si="36"/>
        <v/>
      </c>
      <c r="B604" s="62"/>
      <c r="C604" s="62"/>
      <c r="D604" s="62"/>
      <c r="E604" s="62"/>
      <c r="F604" s="62"/>
      <c r="G604" s="62"/>
      <c r="H604" s="62"/>
      <c r="I604" s="66"/>
      <c r="J604" s="66"/>
      <c r="K604" s="66"/>
      <c r="L604" s="66"/>
      <c r="M604" s="66"/>
      <c r="N604" s="64" t="str">
        <f>IF(OR($B604="", $I604="", $J604="", $K604="", $L604="", $M604=""),"",ROUND(($I604*Lists!$AN$2)+($J604*Lists!$AN$3)+($K604*Lists!$AN$4)+($L604*Lists!$AN$5)+($M604*Lists!$AN$6),2))</f>
        <v/>
      </c>
      <c r="O604" s="64" t="str">
        <f>IF($A604="","",IFERROR(VLOOKUP($A604,'Risk Register'!$B$2:$I$1000,8,FALSE()),""))</f>
        <v/>
      </c>
      <c r="P604" s="66"/>
      <c r="Q604" s="66"/>
      <c r="R604" s="66"/>
      <c r="S604" s="66"/>
      <c r="T604" s="64" t="str">
        <f>IF(OR($B604="", $P604="", $Q604="", $R604="", $S604=""),"",ROUND(($P604*Lists!$AN$7)+($Q604*Lists!$AN$8)+($R604*Lists!$AN$9)+($S604*Lists!$AN$10),2))</f>
        <v/>
      </c>
      <c r="U604" s="66"/>
      <c r="V604" s="66"/>
      <c r="W604" s="66"/>
      <c r="X604" s="66"/>
      <c r="Y604" s="66"/>
      <c r="Z604" s="64" t="str">
        <f>IF(OR($B604="", $U604="", $V604="", $W604="", $X604="", $Y604=""),"",ROUND(($U604*Lists!$AN$11)+($V604*Lists!$AN$12)+($W604*Lists!$AN$13)+($X604*Lists!$AN$14)+($Y604*Lists!$AN$15),2))</f>
        <v/>
      </c>
      <c r="AA604" s="64" t="str">
        <f>IF(OR($B604="", $N604="", $O604="", $T604="", $Z604=""),"",ROUND(($N604*Lists!$AN$16)-($O604*Lists!$AN$17)-($T604*Lists!$AN$18)+($Z604*Lists!$AN$19),2))</f>
        <v/>
      </c>
      <c r="AB604" s="63" t="str">
        <f t="shared" si="37"/>
        <v/>
      </c>
      <c r="AC604" s="63" t="str">
        <f t="shared" si="38"/>
        <v/>
      </c>
      <c r="AD604" s="63" t="str">
        <f>IF($A604="","",IFERROR(IF(VLOOKUP($A604,'Risk Register'!$B$2:$H$1000,4,FALSE())&gt;=4,"Yes",""),""))</f>
        <v/>
      </c>
      <c r="AE604" s="63" t="str">
        <f t="shared" si="39"/>
        <v/>
      </c>
      <c r="AF604" s="62"/>
      <c r="AG604" s="62"/>
      <c r="AH604" s="62"/>
      <c r="AI604" s="62"/>
      <c r="AJ604" s="62"/>
      <c r="AK604" s="62"/>
      <c r="AL604" s="62"/>
      <c r="AM604" s="62"/>
      <c r="AN604" s="62"/>
      <c r="AO604" s="62"/>
      <c r="AP604" s="62"/>
      <c r="AQ604" s="80"/>
    </row>
    <row r="605" spans="1:43" ht="15.75" customHeight="1" x14ac:dyDescent="0.2">
      <c r="A605" s="63" t="str">
        <f t="shared" si="36"/>
        <v/>
      </c>
      <c r="B605" s="62"/>
      <c r="C605" s="62"/>
      <c r="D605" s="62"/>
      <c r="E605" s="62"/>
      <c r="F605" s="62"/>
      <c r="G605" s="62"/>
      <c r="H605" s="62"/>
      <c r="I605" s="66"/>
      <c r="J605" s="66"/>
      <c r="K605" s="66"/>
      <c r="L605" s="66"/>
      <c r="M605" s="66"/>
      <c r="N605" s="64" t="str">
        <f>IF(OR($B605="", $I605="", $J605="", $K605="", $L605="", $M605=""),"",ROUND(($I605*Lists!$AN$2)+($J605*Lists!$AN$3)+($K605*Lists!$AN$4)+($L605*Lists!$AN$5)+($M605*Lists!$AN$6),2))</f>
        <v/>
      </c>
      <c r="O605" s="64" t="str">
        <f>IF($A605="","",IFERROR(VLOOKUP($A605,'Risk Register'!$B$2:$I$1000,8,FALSE()),""))</f>
        <v/>
      </c>
      <c r="P605" s="66"/>
      <c r="Q605" s="66"/>
      <c r="R605" s="66"/>
      <c r="S605" s="66"/>
      <c r="T605" s="64" t="str">
        <f>IF(OR($B605="", $P605="", $Q605="", $R605="", $S605=""),"",ROUND(($P605*Lists!$AN$7)+($Q605*Lists!$AN$8)+($R605*Lists!$AN$9)+($S605*Lists!$AN$10),2))</f>
        <v/>
      </c>
      <c r="U605" s="66"/>
      <c r="V605" s="66"/>
      <c r="W605" s="66"/>
      <c r="X605" s="66"/>
      <c r="Y605" s="66"/>
      <c r="Z605" s="64" t="str">
        <f>IF(OR($B605="", $U605="", $V605="", $W605="", $X605="", $Y605=""),"",ROUND(($U605*Lists!$AN$11)+($V605*Lists!$AN$12)+($W605*Lists!$AN$13)+($X605*Lists!$AN$14)+($Y605*Lists!$AN$15),2))</f>
        <v/>
      </c>
      <c r="AA605" s="64" t="str">
        <f>IF(OR($B605="", $N605="", $O605="", $T605="", $Z605=""),"",ROUND(($N605*Lists!$AN$16)-($O605*Lists!$AN$17)-($T605*Lists!$AN$18)+($Z605*Lists!$AN$19),2))</f>
        <v/>
      </c>
      <c r="AB605" s="63" t="str">
        <f t="shared" si="37"/>
        <v/>
      </c>
      <c r="AC605" s="63" t="str">
        <f t="shared" si="38"/>
        <v/>
      </c>
      <c r="AD605" s="63" t="str">
        <f>IF($A605="","",IFERROR(IF(VLOOKUP($A605,'Risk Register'!$B$2:$H$1000,4,FALSE())&gt;=4,"Yes",""),""))</f>
        <v/>
      </c>
      <c r="AE605" s="63" t="str">
        <f t="shared" si="39"/>
        <v/>
      </c>
      <c r="AF605" s="62"/>
      <c r="AG605" s="62"/>
      <c r="AH605" s="62"/>
      <c r="AI605" s="62"/>
      <c r="AJ605" s="62"/>
      <c r="AK605" s="62"/>
      <c r="AL605" s="62"/>
      <c r="AM605" s="62"/>
      <c r="AN605" s="62"/>
      <c r="AO605" s="62"/>
      <c r="AP605" s="62"/>
      <c r="AQ605" s="80"/>
    </row>
    <row r="606" spans="1:43" ht="15.75" customHeight="1" x14ac:dyDescent="0.2">
      <c r="A606" s="63" t="str">
        <f t="shared" si="36"/>
        <v/>
      </c>
      <c r="B606" s="62"/>
      <c r="C606" s="62"/>
      <c r="D606" s="62"/>
      <c r="E606" s="62"/>
      <c r="F606" s="62"/>
      <c r="G606" s="62"/>
      <c r="H606" s="62"/>
      <c r="I606" s="66"/>
      <c r="J606" s="66"/>
      <c r="K606" s="66"/>
      <c r="L606" s="66"/>
      <c r="M606" s="66"/>
      <c r="N606" s="64" t="str">
        <f>IF(OR($B606="", $I606="", $J606="", $K606="", $L606="", $M606=""),"",ROUND(($I606*Lists!$AN$2)+($J606*Lists!$AN$3)+($K606*Lists!$AN$4)+($L606*Lists!$AN$5)+($M606*Lists!$AN$6),2))</f>
        <v/>
      </c>
      <c r="O606" s="64" t="str">
        <f>IF($A606="","",IFERROR(VLOOKUP($A606,'Risk Register'!$B$2:$I$1000,8,FALSE()),""))</f>
        <v/>
      </c>
      <c r="P606" s="66"/>
      <c r="Q606" s="66"/>
      <c r="R606" s="66"/>
      <c r="S606" s="66"/>
      <c r="T606" s="64" t="str">
        <f>IF(OR($B606="", $P606="", $Q606="", $R606="", $S606=""),"",ROUND(($P606*Lists!$AN$7)+($Q606*Lists!$AN$8)+($R606*Lists!$AN$9)+($S606*Lists!$AN$10),2))</f>
        <v/>
      </c>
      <c r="U606" s="66"/>
      <c r="V606" s="66"/>
      <c r="W606" s="66"/>
      <c r="X606" s="66"/>
      <c r="Y606" s="66"/>
      <c r="Z606" s="64" t="str">
        <f>IF(OR($B606="", $U606="", $V606="", $W606="", $X606="", $Y606=""),"",ROUND(($U606*Lists!$AN$11)+($V606*Lists!$AN$12)+($W606*Lists!$AN$13)+($X606*Lists!$AN$14)+($Y606*Lists!$AN$15),2))</f>
        <v/>
      </c>
      <c r="AA606" s="64" t="str">
        <f>IF(OR($B606="", $N606="", $O606="", $T606="", $Z606=""),"",ROUND(($N606*Lists!$AN$16)-($O606*Lists!$AN$17)-($T606*Lists!$AN$18)+($Z606*Lists!$AN$19),2))</f>
        <v/>
      </c>
      <c r="AB606" s="63" t="str">
        <f t="shared" si="37"/>
        <v/>
      </c>
      <c r="AC606" s="63" t="str">
        <f t="shared" si="38"/>
        <v/>
      </c>
      <c r="AD606" s="63" t="str">
        <f>IF($A606="","",IFERROR(IF(VLOOKUP($A606,'Risk Register'!$B$2:$H$1000,4,FALSE())&gt;=4,"Yes",""),""))</f>
        <v/>
      </c>
      <c r="AE606" s="63" t="str">
        <f t="shared" si="39"/>
        <v/>
      </c>
      <c r="AF606" s="62"/>
      <c r="AG606" s="62"/>
      <c r="AH606" s="62"/>
      <c r="AI606" s="62"/>
      <c r="AJ606" s="62"/>
      <c r="AK606" s="62"/>
      <c r="AL606" s="62"/>
      <c r="AM606" s="62"/>
      <c r="AN606" s="62"/>
      <c r="AO606" s="62"/>
      <c r="AP606" s="62"/>
      <c r="AQ606" s="80"/>
    </row>
    <row r="607" spans="1:43" ht="15.75" customHeight="1" x14ac:dyDescent="0.2">
      <c r="A607" s="63" t="str">
        <f t="shared" si="36"/>
        <v/>
      </c>
      <c r="B607" s="62"/>
      <c r="C607" s="62"/>
      <c r="D607" s="62"/>
      <c r="E607" s="62"/>
      <c r="F607" s="62"/>
      <c r="G607" s="62"/>
      <c r="H607" s="62"/>
      <c r="I607" s="66"/>
      <c r="J607" s="66"/>
      <c r="K607" s="66"/>
      <c r="L607" s="66"/>
      <c r="M607" s="66"/>
      <c r="N607" s="64" t="str">
        <f>IF(OR($B607="", $I607="", $J607="", $K607="", $L607="", $M607=""),"",ROUND(($I607*Lists!$AN$2)+($J607*Lists!$AN$3)+($K607*Lists!$AN$4)+($L607*Lists!$AN$5)+($M607*Lists!$AN$6),2))</f>
        <v/>
      </c>
      <c r="O607" s="64" t="str">
        <f>IF($A607="","",IFERROR(VLOOKUP($A607,'Risk Register'!$B$2:$I$1000,8,FALSE()),""))</f>
        <v/>
      </c>
      <c r="P607" s="66"/>
      <c r="Q607" s="66"/>
      <c r="R607" s="66"/>
      <c r="S607" s="66"/>
      <c r="T607" s="64" t="str">
        <f>IF(OR($B607="", $P607="", $Q607="", $R607="", $S607=""),"",ROUND(($P607*Lists!$AN$7)+($Q607*Lists!$AN$8)+($R607*Lists!$AN$9)+($S607*Lists!$AN$10),2))</f>
        <v/>
      </c>
      <c r="U607" s="66"/>
      <c r="V607" s="66"/>
      <c r="W607" s="66"/>
      <c r="X607" s="66"/>
      <c r="Y607" s="66"/>
      <c r="Z607" s="64" t="str">
        <f>IF(OR($B607="", $U607="", $V607="", $W607="", $X607="", $Y607=""),"",ROUND(($U607*Lists!$AN$11)+($V607*Lists!$AN$12)+($W607*Lists!$AN$13)+($X607*Lists!$AN$14)+($Y607*Lists!$AN$15),2))</f>
        <v/>
      </c>
      <c r="AA607" s="64" t="str">
        <f>IF(OR($B607="", $N607="", $O607="", $T607="", $Z607=""),"",ROUND(($N607*Lists!$AN$16)-($O607*Lists!$AN$17)-($T607*Lists!$AN$18)+($Z607*Lists!$AN$19),2))</f>
        <v/>
      </c>
      <c r="AB607" s="63" t="str">
        <f t="shared" si="37"/>
        <v/>
      </c>
      <c r="AC607" s="63" t="str">
        <f t="shared" si="38"/>
        <v/>
      </c>
      <c r="AD607" s="63" t="str">
        <f>IF($A607="","",IFERROR(IF(VLOOKUP($A607,'Risk Register'!$B$2:$H$1000,4,FALSE())&gt;=4,"Yes",""),""))</f>
        <v/>
      </c>
      <c r="AE607" s="63" t="str">
        <f t="shared" si="39"/>
        <v/>
      </c>
      <c r="AF607" s="62"/>
      <c r="AG607" s="62"/>
      <c r="AH607" s="62"/>
      <c r="AI607" s="62"/>
      <c r="AJ607" s="62"/>
      <c r="AK607" s="62"/>
      <c r="AL607" s="62"/>
      <c r="AM607" s="62"/>
      <c r="AN607" s="62"/>
      <c r="AO607" s="62"/>
      <c r="AP607" s="62"/>
      <c r="AQ607" s="80"/>
    </row>
    <row r="608" spans="1:43" ht="15.75" customHeight="1" x14ac:dyDescent="0.2">
      <c r="A608" s="63" t="str">
        <f t="shared" si="36"/>
        <v/>
      </c>
      <c r="B608" s="62"/>
      <c r="C608" s="62"/>
      <c r="D608" s="62"/>
      <c r="E608" s="62"/>
      <c r="F608" s="62"/>
      <c r="G608" s="62"/>
      <c r="H608" s="62"/>
      <c r="I608" s="66"/>
      <c r="J608" s="66"/>
      <c r="K608" s="66"/>
      <c r="L608" s="66"/>
      <c r="M608" s="66"/>
      <c r="N608" s="64" t="str">
        <f>IF(OR($B608="", $I608="", $J608="", $K608="", $L608="", $M608=""),"",ROUND(($I608*Lists!$AN$2)+($J608*Lists!$AN$3)+($K608*Lists!$AN$4)+($L608*Lists!$AN$5)+($M608*Lists!$AN$6),2))</f>
        <v/>
      </c>
      <c r="O608" s="64" t="str">
        <f>IF($A608="","",IFERROR(VLOOKUP($A608,'Risk Register'!$B$2:$I$1000,8,FALSE()),""))</f>
        <v/>
      </c>
      <c r="P608" s="66"/>
      <c r="Q608" s="66"/>
      <c r="R608" s="66"/>
      <c r="S608" s="66"/>
      <c r="T608" s="64" t="str">
        <f>IF(OR($B608="", $P608="", $Q608="", $R608="", $S608=""),"",ROUND(($P608*Lists!$AN$7)+($Q608*Lists!$AN$8)+($R608*Lists!$AN$9)+($S608*Lists!$AN$10),2))</f>
        <v/>
      </c>
      <c r="U608" s="66"/>
      <c r="V608" s="66"/>
      <c r="W608" s="66"/>
      <c r="X608" s="66"/>
      <c r="Y608" s="66"/>
      <c r="Z608" s="64" t="str">
        <f>IF(OR($B608="", $U608="", $V608="", $W608="", $X608="", $Y608=""),"",ROUND(($U608*Lists!$AN$11)+($V608*Lists!$AN$12)+($W608*Lists!$AN$13)+($X608*Lists!$AN$14)+($Y608*Lists!$AN$15),2))</f>
        <v/>
      </c>
      <c r="AA608" s="64" t="str">
        <f>IF(OR($B608="", $N608="", $O608="", $T608="", $Z608=""),"",ROUND(($N608*Lists!$AN$16)-($O608*Lists!$AN$17)-($T608*Lists!$AN$18)+($Z608*Lists!$AN$19),2))</f>
        <v/>
      </c>
      <c r="AB608" s="63" t="str">
        <f t="shared" si="37"/>
        <v/>
      </c>
      <c r="AC608" s="63" t="str">
        <f t="shared" si="38"/>
        <v/>
      </c>
      <c r="AD608" s="63" t="str">
        <f>IF($A608="","",IFERROR(IF(VLOOKUP($A608,'Risk Register'!$B$2:$H$1000,4,FALSE())&gt;=4,"Yes",""),""))</f>
        <v/>
      </c>
      <c r="AE608" s="63" t="str">
        <f t="shared" si="39"/>
        <v/>
      </c>
      <c r="AF608" s="62"/>
      <c r="AG608" s="62"/>
      <c r="AH608" s="62"/>
      <c r="AI608" s="62"/>
      <c r="AJ608" s="62"/>
      <c r="AK608" s="62"/>
      <c r="AL608" s="62"/>
      <c r="AM608" s="62"/>
      <c r="AN608" s="62"/>
      <c r="AO608" s="62"/>
      <c r="AP608" s="62"/>
      <c r="AQ608" s="80"/>
    </row>
    <row r="609" spans="1:43" ht="15.75" customHeight="1" x14ac:dyDescent="0.2">
      <c r="A609" s="63" t="str">
        <f t="shared" si="36"/>
        <v/>
      </c>
      <c r="B609" s="62"/>
      <c r="C609" s="62"/>
      <c r="D609" s="62"/>
      <c r="E609" s="62"/>
      <c r="F609" s="62"/>
      <c r="G609" s="62"/>
      <c r="H609" s="62"/>
      <c r="I609" s="66"/>
      <c r="J609" s="66"/>
      <c r="K609" s="66"/>
      <c r="L609" s="66"/>
      <c r="M609" s="66"/>
      <c r="N609" s="64" t="str">
        <f>IF(OR($B609="", $I609="", $J609="", $K609="", $L609="", $M609=""),"",ROUND(($I609*Lists!$AN$2)+($J609*Lists!$AN$3)+($K609*Lists!$AN$4)+($L609*Lists!$AN$5)+($M609*Lists!$AN$6),2))</f>
        <v/>
      </c>
      <c r="O609" s="64" t="str">
        <f>IF($A609="","",IFERROR(VLOOKUP($A609,'Risk Register'!$B$2:$I$1000,8,FALSE()),""))</f>
        <v/>
      </c>
      <c r="P609" s="66"/>
      <c r="Q609" s="66"/>
      <c r="R609" s="66"/>
      <c r="S609" s="66"/>
      <c r="T609" s="64" t="str">
        <f>IF(OR($B609="", $P609="", $Q609="", $R609="", $S609=""),"",ROUND(($P609*Lists!$AN$7)+($Q609*Lists!$AN$8)+($R609*Lists!$AN$9)+($S609*Lists!$AN$10),2))</f>
        <v/>
      </c>
      <c r="U609" s="66"/>
      <c r="V609" s="66"/>
      <c r="W609" s="66"/>
      <c r="X609" s="66"/>
      <c r="Y609" s="66"/>
      <c r="Z609" s="64" t="str">
        <f>IF(OR($B609="", $U609="", $V609="", $W609="", $X609="", $Y609=""),"",ROUND(($U609*Lists!$AN$11)+($V609*Lists!$AN$12)+($W609*Lists!$AN$13)+($X609*Lists!$AN$14)+($Y609*Lists!$AN$15),2))</f>
        <v/>
      </c>
      <c r="AA609" s="64" t="str">
        <f>IF(OR($B609="", $N609="", $O609="", $T609="", $Z609=""),"",ROUND(($N609*Lists!$AN$16)-($O609*Lists!$AN$17)-($T609*Lists!$AN$18)+($Z609*Lists!$AN$19),2))</f>
        <v/>
      </c>
      <c r="AB609" s="63" t="str">
        <f t="shared" si="37"/>
        <v/>
      </c>
      <c r="AC609" s="63" t="str">
        <f t="shared" si="38"/>
        <v/>
      </c>
      <c r="AD609" s="63" t="str">
        <f>IF($A609="","",IFERROR(IF(VLOOKUP($A609,'Risk Register'!$B$2:$H$1000,4,FALSE())&gt;=4,"Yes",""),""))</f>
        <v/>
      </c>
      <c r="AE609" s="63" t="str">
        <f t="shared" si="39"/>
        <v/>
      </c>
      <c r="AF609" s="62"/>
      <c r="AG609" s="62"/>
      <c r="AH609" s="62"/>
      <c r="AI609" s="62"/>
      <c r="AJ609" s="62"/>
      <c r="AK609" s="62"/>
      <c r="AL609" s="62"/>
      <c r="AM609" s="62"/>
      <c r="AN609" s="62"/>
      <c r="AO609" s="62"/>
      <c r="AP609" s="62"/>
      <c r="AQ609" s="80"/>
    </row>
    <row r="610" spans="1:43" ht="15.75" customHeight="1" x14ac:dyDescent="0.2">
      <c r="A610" s="63" t="str">
        <f t="shared" si="36"/>
        <v/>
      </c>
      <c r="B610" s="62"/>
      <c r="C610" s="62"/>
      <c r="D610" s="62"/>
      <c r="E610" s="62"/>
      <c r="F610" s="62"/>
      <c r="G610" s="62"/>
      <c r="H610" s="62"/>
      <c r="I610" s="66"/>
      <c r="J610" s="66"/>
      <c r="K610" s="66"/>
      <c r="L610" s="66"/>
      <c r="M610" s="66"/>
      <c r="N610" s="64" t="str">
        <f>IF(OR($B610="", $I610="", $J610="", $K610="", $L610="", $M610=""),"",ROUND(($I610*Lists!$AN$2)+($J610*Lists!$AN$3)+($K610*Lists!$AN$4)+($L610*Lists!$AN$5)+($M610*Lists!$AN$6),2))</f>
        <v/>
      </c>
      <c r="O610" s="64" t="str">
        <f>IF($A610="","",IFERROR(VLOOKUP($A610,'Risk Register'!$B$2:$I$1000,8,FALSE()),""))</f>
        <v/>
      </c>
      <c r="P610" s="66"/>
      <c r="Q610" s="66"/>
      <c r="R610" s="66"/>
      <c r="S610" s="66"/>
      <c r="T610" s="64" t="str">
        <f>IF(OR($B610="", $P610="", $Q610="", $R610="", $S610=""),"",ROUND(($P610*Lists!$AN$7)+($Q610*Lists!$AN$8)+($R610*Lists!$AN$9)+($S610*Lists!$AN$10),2))</f>
        <v/>
      </c>
      <c r="U610" s="66"/>
      <c r="V610" s="66"/>
      <c r="W610" s="66"/>
      <c r="X610" s="66"/>
      <c r="Y610" s="66"/>
      <c r="Z610" s="64" t="str">
        <f>IF(OR($B610="", $U610="", $V610="", $W610="", $X610="", $Y610=""),"",ROUND(($U610*Lists!$AN$11)+($V610*Lists!$AN$12)+($W610*Lists!$AN$13)+($X610*Lists!$AN$14)+($Y610*Lists!$AN$15),2))</f>
        <v/>
      </c>
      <c r="AA610" s="64" t="str">
        <f>IF(OR($B610="", $N610="", $O610="", $T610="", $Z610=""),"",ROUND(($N610*Lists!$AN$16)-($O610*Lists!$AN$17)-($T610*Lists!$AN$18)+($Z610*Lists!$AN$19),2))</f>
        <v/>
      </c>
      <c r="AB610" s="63" t="str">
        <f t="shared" si="37"/>
        <v/>
      </c>
      <c r="AC610" s="63" t="str">
        <f t="shared" si="38"/>
        <v/>
      </c>
      <c r="AD610" s="63" t="str">
        <f>IF($A610="","",IFERROR(IF(VLOOKUP($A610,'Risk Register'!$B$2:$H$1000,4,FALSE())&gt;=4,"Yes",""),""))</f>
        <v/>
      </c>
      <c r="AE610" s="63" t="str">
        <f t="shared" si="39"/>
        <v/>
      </c>
      <c r="AF610" s="62"/>
      <c r="AG610" s="62"/>
      <c r="AH610" s="62"/>
      <c r="AI610" s="62"/>
      <c r="AJ610" s="62"/>
      <c r="AK610" s="62"/>
      <c r="AL610" s="62"/>
      <c r="AM610" s="62"/>
      <c r="AN610" s="62"/>
      <c r="AO610" s="62"/>
      <c r="AP610" s="62"/>
      <c r="AQ610" s="80"/>
    </row>
    <row r="611" spans="1:43" ht="15.75" customHeight="1" x14ac:dyDescent="0.2">
      <c r="A611" s="63" t="str">
        <f t="shared" si="36"/>
        <v/>
      </c>
      <c r="B611" s="62"/>
      <c r="C611" s="62"/>
      <c r="D611" s="62"/>
      <c r="E611" s="62"/>
      <c r="F611" s="62"/>
      <c r="G611" s="62"/>
      <c r="H611" s="62"/>
      <c r="I611" s="66"/>
      <c r="J611" s="66"/>
      <c r="K611" s="66"/>
      <c r="L611" s="66"/>
      <c r="M611" s="66"/>
      <c r="N611" s="64" t="str">
        <f>IF(OR($B611="", $I611="", $J611="", $K611="", $L611="", $M611=""),"",ROUND(($I611*Lists!$AN$2)+($J611*Lists!$AN$3)+($K611*Lists!$AN$4)+($L611*Lists!$AN$5)+($M611*Lists!$AN$6),2))</f>
        <v/>
      </c>
      <c r="O611" s="64" t="str">
        <f>IF($A611="","",IFERROR(VLOOKUP($A611,'Risk Register'!$B$2:$I$1000,8,FALSE()),""))</f>
        <v/>
      </c>
      <c r="P611" s="66"/>
      <c r="Q611" s="66"/>
      <c r="R611" s="66"/>
      <c r="S611" s="66"/>
      <c r="T611" s="64" t="str">
        <f>IF(OR($B611="", $P611="", $Q611="", $R611="", $S611=""),"",ROUND(($P611*Lists!$AN$7)+($Q611*Lists!$AN$8)+($R611*Lists!$AN$9)+($S611*Lists!$AN$10),2))</f>
        <v/>
      </c>
      <c r="U611" s="66"/>
      <c r="V611" s="66"/>
      <c r="W611" s="66"/>
      <c r="X611" s="66"/>
      <c r="Y611" s="66"/>
      <c r="Z611" s="64" t="str">
        <f>IF(OR($B611="", $U611="", $V611="", $W611="", $X611="", $Y611=""),"",ROUND(($U611*Lists!$AN$11)+($V611*Lists!$AN$12)+($W611*Lists!$AN$13)+($X611*Lists!$AN$14)+($Y611*Lists!$AN$15),2))</f>
        <v/>
      </c>
      <c r="AA611" s="64" t="str">
        <f>IF(OR($B611="", $N611="", $O611="", $T611="", $Z611=""),"",ROUND(($N611*Lists!$AN$16)-($O611*Lists!$AN$17)-($T611*Lists!$AN$18)+($Z611*Lists!$AN$19),2))</f>
        <v/>
      </c>
      <c r="AB611" s="63" t="str">
        <f t="shared" si="37"/>
        <v/>
      </c>
      <c r="AC611" s="63" t="str">
        <f t="shared" si="38"/>
        <v/>
      </c>
      <c r="AD611" s="63" t="str">
        <f>IF($A611="","",IFERROR(IF(VLOOKUP($A611,'Risk Register'!$B$2:$H$1000,4,FALSE())&gt;=4,"Yes",""),""))</f>
        <v/>
      </c>
      <c r="AE611" s="63" t="str">
        <f t="shared" si="39"/>
        <v/>
      </c>
      <c r="AF611" s="62"/>
      <c r="AG611" s="62"/>
      <c r="AH611" s="62"/>
      <c r="AI611" s="62"/>
      <c r="AJ611" s="62"/>
      <c r="AK611" s="62"/>
      <c r="AL611" s="62"/>
      <c r="AM611" s="62"/>
      <c r="AN611" s="62"/>
      <c r="AO611" s="62"/>
      <c r="AP611" s="62"/>
      <c r="AQ611" s="80"/>
    </row>
    <row r="612" spans="1:43" ht="15.75" customHeight="1" x14ac:dyDescent="0.2">
      <c r="A612" s="63" t="str">
        <f t="shared" si="36"/>
        <v/>
      </c>
      <c r="B612" s="62"/>
      <c r="C612" s="62"/>
      <c r="D612" s="62"/>
      <c r="E612" s="62"/>
      <c r="F612" s="62"/>
      <c r="G612" s="62"/>
      <c r="H612" s="62"/>
      <c r="I612" s="66"/>
      <c r="J612" s="66"/>
      <c r="K612" s="66"/>
      <c r="L612" s="66"/>
      <c r="M612" s="66"/>
      <c r="N612" s="64" t="str">
        <f>IF(OR($B612="", $I612="", $J612="", $K612="", $L612="", $M612=""),"",ROUND(($I612*Lists!$AN$2)+($J612*Lists!$AN$3)+($K612*Lists!$AN$4)+($L612*Lists!$AN$5)+($M612*Lists!$AN$6),2))</f>
        <v/>
      </c>
      <c r="O612" s="64" t="str">
        <f>IF($A612="","",IFERROR(VLOOKUP($A612,'Risk Register'!$B$2:$I$1000,8,FALSE()),""))</f>
        <v/>
      </c>
      <c r="P612" s="66"/>
      <c r="Q612" s="66"/>
      <c r="R612" s="66"/>
      <c r="S612" s="66"/>
      <c r="T612" s="64" t="str">
        <f>IF(OR($B612="", $P612="", $Q612="", $R612="", $S612=""),"",ROUND(($P612*Lists!$AN$7)+($Q612*Lists!$AN$8)+($R612*Lists!$AN$9)+($S612*Lists!$AN$10),2))</f>
        <v/>
      </c>
      <c r="U612" s="66"/>
      <c r="V612" s="66"/>
      <c r="W612" s="66"/>
      <c r="X612" s="66"/>
      <c r="Y612" s="66"/>
      <c r="Z612" s="64" t="str">
        <f>IF(OR($B612="", $U612="", $V612="", $W612="", $X612="", $Y612=""),"",ROUND(($U612*Lists!$AN$11)+($V612*Lists!$AN$12)+($W612*Lists!$AN$13)+($X612*Lists!$AN$14)+($Y612*Lists!$AN$15),2))</f>
        <v/>
      </c>
      <c r="AA612" s="64" t="str">
        <f>IF(OR($B612="", $N612="", $O612="", $T612="", $Z612=""),"",ROUND(($N612*Lists!$AN$16)-($O612*Lists!$AN$17)-($T612*Lists!$AN$18)+($Z612*Lists!$AN$19),2))</f>
        <v/>
      </c>
      <c r="AB612" s="63" t="str">
        <f t="shared" si="37"/>
        <v/>
      </c>
      <c r="AC612" s="63" t="str">
        <f t="shared" si="38"/>
        <v/>
      </c>
      <c r="AD612" s="63" t="str">
        <f>IF($A612="","",IFERROR(IF(VLOOKUP($A612,'Risk Register'!$B$2:$H$1000,4,FALSE())&gt;=4,"Yes",""),""))</f>
        <v/>
      </c>
      <c r="AE612" s="63" t="str">
        <f t="shared" si="39"/>
        <v/>
      </c>
      <c r="AF612" s="62"/>
      <c r="AG612" s="62"/>
      <c r="AH612" s="62"/>
      <c r="AI612" s="62"/>
      <c r="AJ612" s="62"/>
      <c r="AK612" s="62"/>
      <c r="AL612" s="62"/>
      <c r="AM612" s="62"/>
      <c r="AN612" s="62"/>
      <c r="AO612" s="62"/>
      <c r="AP612" s="62"/>
      <c r="AQ612" s="80"/>
    </row>
    <row r="613" spans="1:43" ht="15.75" customHeight="1" x14ac:dyDescent="0.2">
      <c r="A613" s="63" t="str">
        <f t="shared" si="36"/>
        <v/>
      </c>
      <c r="B613" s="62"/>
      <c r="C613" s="62"/>
      <c r="D613" s="62"/>
      <c r="E613" s="62"/>
      <c r="F613" s="62"/>
      <c r="G613" s="62"/>
      <c r="H613" s="62"/>
      <c r="I613" s="66"/>
      <c r="J613" s="66"/>
      <c r="K613" s="66"/>
      <c r="L613" s="66"/>
      <c r="M613" s="66"/>
      <c r="N613" s="64" t="str">
        <f>IF(OR($B613="", $I613="", $J613="", $K613="", $L613="", $M613=""),"",ROUND(($I613*Lists!$AN$2)+($J613*Lists!$AN$3)+($K613*Lists!$AN$4)+($L613*Lists!$AN$5)+($M613*Lists!$AN$6),2))</f>
        <v/>
      </c>
      <c r="O613" s="64" t="str">
        <f>IF($A613="","",IFERROR(VLOOKUP($A613,'Risk Register'!$B$2:$I$1000,8,FALSE()),""))</f>
        <v/>
      </c>
      <c r="P613" s="66"/>
      <c r="Q613" s="66"/>
      <c r="R613" s="66"/>
      <c r="S613" s="66"/>
      <c r="T613" s="64" t="str">
        <f>IF(OR($B613="", $P613="", $Q613="", $R613="", $S613=""),"",ROUND(($P613*Lists!$AN$7)+($Q613*Lists!$AN$8)+($R613*Lists!$AN$9)+($S613*Lists!$AN$10),2))</f>
        <v/>
      </c>
      <c r="U613" s="66"/>
      <c r="V613" s="66"/>
      <c r="W613" s="66"/>
      <c r="X613" s="66"/>
      <c r="Y613" s="66"/>
      <c r="Z613" s="64" t="str">
        <f>IF(OR($B613="", $U613="", $V613="", $W613="", $X613="", $Y613=""),"",ROUND(($U613*Lists!$AN$11)+($V613*Lists!$AN$12)+($W613*Lists!$AN$13)+($X613*Lists!$AN$14)+($Y613*Lists!$AN$15),2))</f>
        <v/>
      </c>
      <c r="AA613" s="64" t="str">
        <f>IF(OR($B613="", $N613="", $O613="", $T613="", $Z613=""),"",ROUND(($N613*Lists!$AN$16)-($O613*Lists!$AN$17)-($T613*Lists!$AN$18)+($Z613*Lists!$AN$19),2))</f>
        <v/>
      </c>
      <c r="AB613" s="63" t="str">
        <f t="shared" si="37"/>
        <v/>
      </c>
      <c r="AC613" s="63" t="str">
        <f t="shared" si="38"/>
        <v/>
      </c>
      <c r="AD613" s="63" t="str">
        <f>IF($A613="","",IFERROR(IF(VLOOKUP($A613,'Risk Register'!$B$2:$H$1000,4,FALSE())&gt;=4,"Yes",""),""))</f>
        <v/>
      </c>
      <c r="AE613" s="63" t="str">
        <f t="shared" si="39"/>
        <v/>
      </c>
      <c r="AF613" s="62"/>
      <c r="AG613" s="62"/>
      <c r="AH613" s="62"/>
      <c r="AI613" s="62"/>
      <c r="AJ613" s="62"/>
      <c r="AK613" s="62"/>
      <c r="AL613" s="62"/>
      <c r="AM613" s="62"/>
      <c r="AN613" s="62"/>
      <c r="AO613" s="62"/>
      <c r="AP613" s="62"/>
      <c r="AQ613" s="80"/>
    </row>
    <row r="614" spans="1:43" ht="15.75" customHeight="1" x14ac:dyDescent="0.2">
      <c r="A614" s="63" t="str">
        <f t="shared" si="36"/>
        <v/>
      </c>
      <c r="B614" s="62"/>
      <c r="C614" s="62"/>
      <c r="D614" s="62"/>
      <c r="E614" s="62"/>
      <c r="F614" s="62"/>
      <c r="G614" s="62"/>
      <c r="H614" s="62"/>
      <c r="I614" s="66"/>
      <c r="J614" s="66"/>
      <c r="K614" s="66"/>
      <c r="L614" s="66"/>
      <c r="M614" s="66"/>
      <c r="N614" s="64" t="str">
        <f>IF(OR($B614="", $I614="", $J614="", $K614="", $L614="", $M614=""),"",ROUND(($I614*Lists!$AN$2)+($J614*Lists!$AN$3)+($K614*Lists!$AN$4)+($L614*Lists!$AN$5)+($M614*Lists!$AN$6),2))</f>
        <v/>
      </c>
      <c r="O614" s="64" t="str">
        <f>IF($A614="","",IFERROR(VLOOKUP($A614,'Risk Register'!$B$2:$I$1000,8,FALSE()),""))</f>
        <v/>
      </c>
      <c r="P614" s="66"/>
      <c r="Q614" s="66"/>
      <c r="R614" s="66"/>
      <c r="S614" s="66"/>
      <c r="T614" s="64" t="str">
        <f>IF(OR($B614="", $P614="", $Q614="", $R614="", $S614=""),"",ROUND(($P614*Lists!$AN$7)+($Q614*Lists!$AN$8)+($R614*Lists!$AN$9)+($S614*Lists!$AN$10),2))</f>
        <v/>
      </c>
      <c r="U614" s="66"/>
      <c r="V614" s="66"/>
      <c r="W614" s="66"/>
      <c r="X614" s="66"/>
      <c r="Y614" s="66"/>
      <c r="Z614" s="64" t="str">
        <f>IF(OR($B614="", $U614="", $V614="", $W614="", $X614="", $Y614=""),"",ROUND(($U614*Lists!$AN$11)+($V614*Lists!$AN$12)+($W614*Lists!$AN$13)+($X614*Lists!$AN$14)+($Y614*Lists!$AN$15),2))</f>
        <v/>
      </c>
      <c r="AA614" s="64" t="str">
        <f>IF(OR($B614="", $N614="", $O614="", $T614="", $Z614=""),"",ROUND(($N614*Lists!$AN$16)-($O614*Lists!$AN$17)-($T614*Lists!$AN$18)+($Z614*Lists!$AN$19),2))</f>
        <v/>
      </c>
      <c r="AB614" s="63" t="str">
        <f t="shared" si="37"/>
        <v/>
      </c>
      <c r="AC614" s="63" t="str">
        <f t="shared" si="38"/>
        <v/>
      </c>
      <c r="AD614" s="63" t="str">
        <f>IF($A614="","",IFERROR(IF(VLOOKUP($A614,'Risk Register'!$B$2:$H$1000,4,FALSE())&gt;=4,"Yes",""),""))</f>
        <v/>
      </c>
      <c r="AE614" s="63" t="str">
        <f t="shared" si="39"/>
        <v/>
      </c>
      <c r="AF614" s="62"/>
      <c r="AG614" s="62"/>
      <c r="AH614" s="62"/>
      <c r="AI614" s="62"/>
      <c r="AJ614" s="62"/>
      <c r="AK614" s="62"/>
      <c r="AL614" s="62"/>
      <c r="AM614" s="62"/>
      <c r="AN614" s="62"/>
      <c r="AO614" s="62"/>
      <c r="AP614" s="62"/>
      <c r="AQ614" s="80"/>
    </row>
    <row r="615" spans="1:43" ht="15.75" customHeight="1" x14ac:dyDescent="0.2">
      <c r="A615" s="63" t="str">
        <f t="shared" si="36"/>
        <v/>
      </c>
      <c r="B615" s="62"/>
      <c r="C615" s="62"/>
      <c r="D615" s="62"/>
      <c r="E615" s="62"/>
      <c r="F615" s="62"/>
      <c r="G615" s="62"/>
      <c r="H615" s="62"/>
      <c r="I615" s="66"/>
      <c r="J615" s="66"/>
      <c r="K615" s="66"/>
      <c r="L615" s="66"/>
      <c r="M615" s="66"/>
      <c r="N615" s="64" t="str">
        <f>IF(OR($B615="", $I615="", $J615="", $K615="", $L615="", $M615=""),"",ROUND(($I615*Lists!$AN$2)+($J615*Lists!$AN$3)+($K615*Lists!$AN$4)+($L615*Lists!$AN$5)+($M615*Lists!$AN$6),2))</f>
        <v/>
      </c>
      <c r="O615" s="64" t="str">
        <f>IF($A615="","",IFERROR(VLOOKUP($A615,'Risk Register'!$B$2:$I$1000,8,FALSE()),""))</f>
        <v/>
      </c>
      <c r="P615" s="66"/>
      <c r="Q615" s="66"/>
      <c r="R615" s="66"/>
      <c r="S615" s="66"/>
      <c r="T615" s="64" t="str">
        <f>IF(OR($B615="", $P615="", $Q615="", $R615="", $S615=""),"",ROUND(($P615*Lists!$AN$7)+($Q615*Lists!$AN$8)+($R615*Lists!$AN$9)+($S615*Lists!$AN$10),2))</f>
        <v/>
      </c>
      <c r="U615" s="66"/>
      <c r="V615" s="66"/>
      <c r="W615" s="66"/>
      <c r="X615" s="66"/>
      <c r="Y615" s="66"/>
      <c r="Z615" s="64" t="str">
        <f>IF(OR($B615="", $U615="", $V615="", $W615="", $X615="", $Y615=""),"",ROUND(($U615*Lists!$AN$11)+($V615*Lists!$AN$12)+($W615*Lists!$AN$13)+($X615*Lists!$AN$14)+($Y615*Lists!$AN$15),2))</f>
        <v/>
      </c>
      <c r="AA615" s="64" t="str">
        <f>IF(OR($B615="", $N615="", $O615="", $T615="", $Z615=""),"",ROUND(($N615*Lists!$AN$16)-($O615*Lists!$AN$17)-($T615*Lists!$AN$18)+($Z615*Lists!$AN$19),2))</f>
        <v/>
      </c>
      <c r="AB615" s="63" t="str">
        <f t="shared" si="37"/>
        <v/>
      </c>
      <c r="AC615" s="63" t="str">
        <f t="shared" si="38"/>
        <v/>
      </c>
      <c r="AD615" s="63" t="str">
        <f>IF($A615="","",IFERROR(IF(VLOOKUP($A615,'Risk Register'!$B$2:$H$1000,4,FALSE())&gt;=4,"Yes",""),""))</f>
        <v/>
      </c>
      <c r="AE615" s="63" t="str">
        <f t="shared" si="39"/>
        <v/>
      </c>
      <c r="AF615" s="62"/>
      <c r="AG615" s="62"/>
      <c r="AH615" s="62"/>
      <c r="AI615" s="62"/>
      <c r="AJ615" s="62"/>
      <c r="AK615" s="62"/>
      <c r="AL615" s="62"/>
      <c r="AM615" s="62"/>
      <c r="AN615" s="62"/>
      <c r="AO615" s="62"/>
      <c r="AP615" s="62"/>
      <c r="AQ615" s="80"/>
    </row>
    <row r="616" spans="1:43" ht="15.75" customHeight="1" x14ac:dyDescent="0.2">
      <c r="A616" s="63" t="str">
        <f t="shared" si="36"/>
        <v/>
      </c>
      <c r="B616" s="62"/>
      <c r="C616" s="62"/>
      <c r="D616" s="62"/>
      <c r="E616" s="62"/>
      <c r="F616" s="62"/>
      <c r="G616" s="62"/>
      <c r="H616" s="62"/>
      <c r="I616" s="66"/>
      <c r="J616" s="66"/>
      <c r="K616" s="66"/>
      <c r="L616" s="66"/>
      <c r="M616" s="66"/>
      <c r="N616" s="64" t="str">
        <f>IF(OR($B616="", $I616="", $J616="", $K616="", $L616="", $M616=""),"",ROUND(($I616*Lists!$AN$2)+($J616*Lists!$AN$3)+($K616*Lists!$AN$4)+($L616*Lists!$AN$5)+($M616*Lists!$AN$6),2))</f>
        <v/>
      </c>
      <c r="O616" s="64" t="str">
        <f>IF($A616="","",IFERROR(VLOOKUP($A616,'Risk Register'!$B$2:$I$1000,8,FALSE()),""))</f>
        <v/>
      </c>
      <c r="P616" s="66"/>
      <c r="Q616" s="66"/>
      <c r="R616" s="66"/>
      <c r="S616" s="66"/>
      <c r="T616" s="64" t="str">
        <f>IF(OR($B616="", $P616="", $Q616="", $R616="", $S616=""),"",ROUND(($P616*Lists!$AN$7)+($Q616*Lists!$AN$8)+($R616*Lists!$AN$9)+($S616*Lists!$AN$10),2))</f>
        <v/>
      </c>
      <c r="U616" s="66"/>
      <c r="V616" s="66"/>
      <c r="W616" s="66"/>
      <c r="X616" s="66"/>
      <c r="Y616" s="66"/>
      <c r="Z616" s="64" t="str">
        <f>IF(OR($B616="", $U616="", $V616="", $W616="", $X616="", $Y616=""),"",ROUND(($U616*Lists!$AN$11)+($V616*Lists!$AN$12)+($W616*Lists!$AN$13)+($X616*Lists!$AN$14)+($Y616*Lists!$AN$15),2))</f>
        <v/>
      </c>
      <c r="AA616" s="64" t="str">
        <f>IF(OR($B616="", $N616="", $O616="", $T616="", $Z616=""),"",ROUND(($N616*Lists!$AN$16)-($O616*Lists!$AN$17)-($T616*Lists!$AN$18)+($Z616*Lists!$AN$19),2))</f>
        <v/>
      </c>
      <c r="AB616" s="63" t="str">
        <f t="shared" si="37"/>
        <v/>
      </c>
      <c r="AC616" s="63" t="str">
        <f t="shared" si="38"/>
        <v/>
      </c>
      <c r="AD616" s="63" t="str">
        <f>IF($A616="","",IFERROR(IF(VLOOKUP($A616,'Risk Register'!$B$2:$H$1000,4,FALSE())&gt;=4,"Yes",""),""))</f>
        <v/>
      </c>
      <c r="AE616" s="63" t="str">
        <f t="shared" si="39"/>
        <v/>
      </c>
      <c r="AF616" s="62"/>
      <c r="AG616" s="62"/>
      <c r="AH616" s="62"/>
      <c r="AI616" s="62"/>
      <c r="AJ616" s="62"/>
      <c r="AK616" s="62"/>
      <c r="AL616" s="62"/>
      <c r="AM616" s="62"/>
      <c r="AN616" s="62"/>
      <c r="AO616" s="62"/>
      <c r="AP616" s="62"/>
      <c r="AQ616" s="80"/>
    </row>
    <row r="617" spans="1:43" ht="15.75" customHeight="1" x14ac:dyDescent="0.2">
      <c r="A617" s="63" t="str">
        <f t="shared" si="36"/>
        <v/>
      </c>
      <c r="B617" s="62"/>
      <c r="C617" s="62"/>
      <c r="D617" s="62"/>
      <c r="E617" s="62"/>
      <c r="F617" s="62"/>
      <c r="G617" s="62"/>
      <c r="H617" s="62"/>
      <c r="I617" s="66"/>
      <c r="J617" s="66"/>
      <c r="K617" s="66"/>
      <c r="L617" s="66"/>
      <c r="M617" s="66"/>
      <c r="N617" s="64" t="str">
        <f>IF(OR($B617="", $I617="", $J617="", $K617="", $L617="", $M617=""),"",ROUND(($I617*Lists!$AN$2)+($J617*Lists!$AN$3)+($K617*Lists!$AN$4)+($L617*Lists!$AN$5)+($M617*Lists!$AN$6),2))</f>
        <v/>
      </c>
      <c r="O617" s="64" t="str">
        <f>IF($A617="","",IFERROR(VLOOKUP($A617,'Risk Register'!$B$2:$I$1000,8,FALSE()),""))</f>
        <v/>
      </c>
      <c r="P617" s="66"/>
      <c r="Q617" s="66"/>
      <c r="R617" s="66"/>
      <c r="S617" s="66"/>
      <c r="T617" s="64" t="str">
        <f>IF(OR($B617="", $P617="", $Q617="", $R617="", $S617=""),"",ROUND(($P617*Lists!$AN$7)+($Q617*Lists!$AN$8)+($R617*Lists!$AN$9)+($S617*Lists!$AN$10),2))</f>
        <v/>
      </c>
      <c r="U617" s="66"/>
      <c r="V617" s="66"/>
      <c r="W617" s="66"/>
      <c r="X617" s="66"/>
      <c r="Y617" s="66"/>
      <c r="Z617" s="64" t="str">
        <f>IF(OR($B617="", $U617="", $V617="", $W617="", $X617="", $Y617=""),"",ROUND(($U617*Lists!$AN$11)+($V617*Lists!$AN$12)+($W617*Lists!$AN$13)+($X617*Lists!$AN$14)+($Y617*Lists!$AN$15),2))</f>
        <v/>
      </c>
      <c r="AA617" s="64" t="str">
        <f>IF(OR($B617="", $N617="", $O617="", $T617="", $Z617=""),"",ROUND(($N617*Lists!$AN$16)-($O617*Lists!$AN$17)-($T617*Lists!$AN$18)+($Z617*Lists!$AN$19),2))</f>
        <v/>
      </c>
      <c r="AB617" s="63" t="str">
        <f t="shared" si="37"/>
        <v/>
      </c>
      <c r="AC617" s="63" t="str">
        <f t="shared" si="38"/>
        <v/>
      </c>
      <c r="AD617" s="63" t="str">
        <f>IF($A617="","",IFERROR(IF(VLOOKUP($A617,'Risk Register'!$B$2:$H$1000,4,FALSE())&gt;=4,"Yes",""),""))</f>
        <v/>
      </c>
      <c r="AE617" s="63" t="str">
        <f t="shared" si="39"/>
        <v/>
      </c>
      <c r="AF617" s="62"/>
      <c r="AG617" s="62"/>
      <c r="AH617" s="62"/>
      <c r="AI617" s="62"/>
      <c r="AJ617" s="62"/>
      <c r="AK617" s="62"/>
      <c r="AL617" s="62"/>
      <c r="AM617" s="62"/>
      <c r="AN617" s="62"/>
      <c r="AO617" s="62"/>
      <c r="AP617" s="62"/>
      <c r="AQ617" s="80"/>
    </row>
    <row r="618" spans="1:43" ht="15.75" customHeight="1" x14ac:dyDescent="0.2">
      <c r="A618" s="63" t="str">
        <f t="shared" si="36"/>
        <v/>
      </c>
      <c r="B618" s="62"/>
      <c r="C618" s="62"/>
      <c r="D618" s="62"/>
      <c r="E618" s="62"/>
      <c r="F618" s="62"/>
      <c r="G618" s="62"/>
      <c r="H618" s="62"/>
      <c r="I618" s="66"/>
      <c r="J618" s="66"/>
      <c r="K618" s="66"/>
      <c r="L618" s="66"/>
      <c r="M618" s="66"/>
      <c r="N618" s="64" t="str">
        <f>IF(OR($B618="", $I618="", $J618="", $K618="", $L618="", $M618=""),"",ROUND(($I618*Lists!$AN$2)+($J618*Lists!$AN$3)+($K618*Lists!$AN$4)+($L618*Lists!$AN$5)+($M618*Lists!$AN$6),2))</f>
        <v/>
      </c>
      <c r="O618" s="64" t="str">
        <f>IF($A618="","",IFERROR(VLOOKUP($A618,'Risk Register'!$B$2:$I$1000,8,FALSE()),""))</f>
        <v/>
      </c>
      <c r="P618" s="66"/>
      <c r="Q618" s="66"/>
      <c r="R618" s="66"/>
      <c r="S618" s="66"/>
      <c r="T618" s="64" t="str">
        <f>IF(OR($B618="", $P618="", $Q618="", $R618="", $S618=""),"",ROUND(($P618*Lists!$AN$7)+($Q618*Lists!$AN$8)+($R618*Lists!$AN$9)+($S618*Lists!$AN$10),2))</f>
        <v/>
      </c>
      <c r="U618" s="66"/>
      <c r="V618" s="66"/>
      <c r="W618" s="66"/>
      <c r="X618" s="66"/>
      <c r="Y618" s="66"/>
      <c r="Z618" s="64" t="str">
        <f>IF(OR($B618="", $U618="", $V618="", $W618="", $X618="", $Y618=""),"",ROUND(($U618*Lists!$AN$11)+($V618*Lists!$AN$12)+($W618*Lists!$AN$13)+($X618*Lists!$AN$14)+($Y618*Lists!$AN$15),2))</f>
        <v/>
      </c>
      <c r="AA618" s="64" t="str">
        <f>IF(OR($B618="", $N618="", $O618="", $T618="", $Z618=""),"",ROUND(($N618*Lists!$AN$16)-($O618*Lists!$AN$17)-($T618*Lists!$AN$18)+($Z618*Lists!$AN$19),2))</f>
        <v/>
      </c>
      <c r="AB618" s="63" t="str">
        <f t="shared" si="37"/>
        <v/>
      </c>
      <c r="AC618" s="63" t="str">
        <f t="shared" si="38"/>
        <v/>
      </c>
      <c r="AD618" s="63" t="str">
        <f>IF($A618="","",IFERROR(IF(VLOOKUP($A618,'Risk Register'!$B$2:$H$1000,4,FALSE())&gt;=4,"Yes",""),""))</f>
        <v/>
      </c>
      <c r="AE618" s="63" t="str">
        <f t="shared" si="39"/>
        <v/>
      </c>
      <c r="AF618" s="62"/>
      <c r="AG618" s="62"/>
      <c r="AH618" s="62"/>
      <c r="AI618" s="62"/>
      <c r="AJ618" s="62"/>
      <c r="AK618" s="62"/>
      <c r="AL618" s="62"/>
      <c r="AM618" s="62"/>
      <c r="AN618" s="62"/>
      <c r="AO618" s="62"/>
      <c r="AP618" s="62"/>
      <c r="AQ618" s="80"/>
    </row>
    <row r="619" spans="1:43" ht="15.75" customHeight="1" x14ac:dyDescent="0.2">
      <c r="A619" s="63" t="str">
        <f t="shared" si="36"/>
        <v/>
      </c>
      <c r="B619" s="62"/>
      <c r="C619" s="62"/>
      <c r="D619" s="62"/>
      <c r="E619" s="62"/>
      <c r="F619" s="62"/>
      <c r="G619" s="62"/>
      <c r="H619" s="62"/>
      <c r="I619" s="66"/>
      <c r="J619" s="66"/>
      <c r="K619" s="66"/>
      <c r="L619" s="66"/>
      <c r="M619" s="66"/>
      <c r="N619" s="64" t="str">
        <f>IF(OR($B619="", $I619="", $J619="", $K619="", $L619="", $M619=""),"",ROUND(($I619*Lists!$AN$2)+($J619*Lists!$AN$3)+($K619*Lists!$AN$4)+($L619*Lists!$AN$5)+($M619*Lists!$AN$6),2))</f>
        <v/>
      </c>
      <c r="O619" s="64" t="str">
        <f>IF($A619="","",IFERROR(VLOOKUP($A619,'Risk Register'!$B$2:$I$1000,8,FALSE()),""))</f>
        <v/>
      </c>
      <c r="P619" s="66"/>
      <c r="Q619" s="66"/>
      <c r="R619" s="66"/>
      <c r="S619" s="66"/>
      <c r="T619" s="64" t="str">
        <f>IF(OR($B619="", $P619="", $Q619="", $R619="", $S619=""),"",ROUND(($P619*Lists!$AN$7)+($Q619*Lists!$AN$8)+($R619*Lists!$AN$9)+($S619*Lists!$AN$10),2))</f>
        <v/>
      </c>
      <c r="U619" s="66"/>
      <c r="V619" s="66"/>
      <c r="W619" s="66"/>
      <c r="X619" s="66"/>
      <c r="Y619" s="66"/>
      <c r="Z619" s="64" t="str">
        <f>IF(OR($B619="", $U619="", $V619="", $W619="", $X619="", $Y619=""),"",ROUND(($U619*Lists!$AN$11)+($V619*Lists!$AN$12)+($W619*Lists!$AN$13)+($X619*Lists!$AN$14)+($Y619*Lists!$AN$15),2))</f>
        <v/>
      </c>
      <c r="AA619" s="64" t="str">
        <f>IF(OR($B619="", $N619="", $O619="", $T619="", $Z619=""),"",ROUND(($N619*Lists!$AN$16)-($O619*Lists!$AN$17)-($T619*Lists!$AN$18)+($Z619*Lists!$AN$19),2))</f>
        <v/>
      </c>
      <c r="AB619" s="63" t="str">
        <f t="shared" si="37"/>
        <v/>
      </c>
      <c r="AC619" s="63" t="str">
        <f t="shared" si="38"/>
        <v/>
      </c>
      <c r="AD619" s="63" t="str">
        <f>IF($A619="","",IFERROR(IF(VLOOKUP($A619,'Risk Register'!$B$2:$H$1000,4,FALSE())&gt;=4,"Yes",""),""))</f>
        <v/>
      </c>
      <c r="AE619" s="63" t="str">
        <f t="shared" si="39"/>
        <v/>
      </c>
      <c r="AF619" s="62"/>
      <c r="AG619" s="62"/>
      <c r="AH619" s="62"/>
      <c r="AI619" s="62"/>
      <c r="AJ619" s="62"/>
      <c r="AK619" s="62"/>
      <c r="AL619" s="62"/>
      <c r="AM619" s="62"/>
      <c r="AN619" s="62"/>
      <c r="AO619" s="62"/>
      <c r="AP619" s="62"/>
      <c r="AQ619" s="80"/>
    </row>
    <row r="620" spans="1:43" ht="15.75" customHeight="1" x14ac:dyDescent="0.2">
      <c r="A620" s="63" t="str">
        <f t="shared" si="36"/>
        <v/>
      </c>
      <c r="B620" s="62"/>
      <c r="C620" s="62"/>
      <c r="D620" s="62"/>
      <c r="E620" s="62"/>
      <c r="F620" s="62"/>
      <c r="G620" s="62"/>
      <c r="H620" s="62"/>
      <c r="I620" s="66"/>
      <c r="J620" s="66"/>
      <c r="K620" s="66"/>
      <c r="L620" s="66"/>
      <c r="M620" s="66"/>
      <c r="N620" s="64" t="str">
        <f>IF(OR($B620="", $I620="", $J620="", $K620="", $L620="", $M620=""),"",ROUND(($I620*Lists!$AN$2)+($J620*Lists!$AN$3)+($K620*Lists!$AN$4)+($L620*Lists!$AN$5)+($M620*Lists!$AN$6),2))</f>
        <v/>
      </c>
      <c r="O620" s="64" t="str">
        <f>IF($A620="","",IFERROR(VLOOKUP($A620,'Risk Register'!$B$2:$I$1000,8,FALSE()),""))</f>
        <v/>
      </c>
      <c r="P620" s="66"/>
      <c r="Q620" s="66"/>
      <c r="R620" s="66"/>
      <c r="S620" s="66"/>
      <c r="T620" s="64" t="str">
        <f>IF(OR($B620="", $P620="", $Q620="", $R620="", $S620=""),"",ROUND(($P620*Lists!$AN$7)+($Q620*Lists!$AN$8)+($R620*Lists!$AN$9)+($S620*Lists!$AN$10),2))</f>
        <v/>
      </c>
      <c r="U620" s="66"/>
      <c r="V620" s="66"/>
      <c r="W620" s="66"/>
      <c r="X620" s="66"/>
      <c r="Y620" s="66"/>
      <c r="Z620" s="64" t="str">
        <f>IF(OR($B620="", $U620="", $V620="", $W620="", $X620="", $Y620=""),"",ROUND(($U620*Lists!$AN$11)+($V620*Lists!$AN$12)+($W620*Lists!$AN$13)+($X620*Lists!$AN$14)+($Y620*Lists!$AN$15),2))</f>
        <v/>
      </c>
      <c r="AA620" s="64" t="str">
        <f>IF(OR($B620="", $N620="", $O620="", $T620="", $Z620=""),"",ROUND(($N620*Lists!$AN$16)-($O620*Lists!$AN$17)-($T620*Lists!$AN$18)+($Z620*Lists!$AN$19),2))</f>
        <v/>
      </c>
      <c r="AB620" s="63" t="str">
        <f t="shared" si="37"/>
        <v/>
      </c>
      <c r="AC620" s="63" t="str">
        <f t="shared" si="38"/>
        <v/>
      </c>
      <c r="AD620" s="63" t="str">
        <f>IF($A620="","",IFERROR(IF(VLOOKUP($A620,'Risk Register'!$B$2:$H$1000,4,FALSE())&gt;=4,"Yes",""),""))</f>
        <v/>
      </c>
      <c r="AE620" s="63" t="str">
        <f t="shared" si="39"/>
        <v/>
      </c>
      <c r="AF620" s="62"/>
      <c r="AG620" s="62"/>
      <c r="AH620" s="62"/>
      <c r="AI620" s="62"/>
      <c r="AJ620" s="62"/>
      <c r="AK620" s="62"/>
      <c r="AL620" s="62"/>
      <c r="AM620" s="62"/>
      <c r="AN620" s="62"/>
      <c r="AO620" s="62"/>
      <c r="AP620" s="62"/>
      <c r="AQ620" s="80"/>
    </row>
    <row r="621" spans="1:43" ht="15.75" customHeight="1" x14ac:dyDescent="0.2">
      <c r="A621" s="63" t="str">
        <f t="shared" si="36"/>
        <v/>
      </c>
      <c r="B621" s="62"/>
      <c r="C621" s="62"/>
      <c r="D621" s="62"/>
      <c r="E621" s="62"/>
      <c r="F621" s="62"/>
      <c r="G621" s="62"/>
      <c r="H621" s="62"/>
      <c r="I621" s="66"/>
      <c r="J621" s="66"/>
      <c r="K621" s="66"/>
      <c r="L621" s="66"/>
      <c r="M621" s="66"/>
      <c r="N621" s="64" t="str">
        <f>IF(OR($B621="", $I621="", $J621="", $K621="", $L621="", $M621=""),"",ROUND(($I621*Lists!$AN$2)+($J621*Lists!$AN$3)+($K621*Lists!$AN$4)+($L621*Lists!$AN$5)+($M621*Lists!$AN$6),2))</f>
        <v/>
      </c>
      <c r="O621" s="64" t="str">
        <f>IF($A621="","",IFERROR(VLOOKUP($A621,'Risk Register'!$B$2:$I$1000,8,FALSE()),""))</f>
        <v/>
      </c>
      <c r="P621" s="66"/>
      <c r="Q621" s="66"/>
      <c r="R621" s="66"/>
      <c r="S621" s="66"/>
      <c r="T621" s="64" t="str">
        <f>IF(OR($B621="", $P621="", $Q621="", $R621="", $S621=""),"",ROUND(($P621*Lists!$AN$7)+($Q621*Lists!$AN$8)+($R621*Lists!$AN$9)+($S621*Lists!$AN$10),2))</f>
        <v/>
      </c>
      <c r="U621" s="66"/>
      <c r="V621" s="66"/>
      <c r="W621" s="66"/>
      <c r="X621" s="66"/>
      <c r="Y621" s="66"/>
      <c r="Z621" s="64" t="str">
        <f>IF(OR($B621="", $U621="", $V621="", $W621="", $X621="", $Y621=""),"",ROUND(($U621*Lists!$AN$11)+($V621*Lists!$AN$12)+($W621*Lists!$AN$13)+($X621*Lists!$AN$14)+($Y621*Lists!$AN$15),2))</f>
        <v/>
      </c>
      <c r="AA621" s="64" t="str">
        <f>IF(OR($B621="", $N621="", $O621="", $T621="", $Z621=""),"",ROUND(($N621*Lists!$AN$16)-($O621*Lists!$AN$17)-($T621*Lists!$AN$18)+($Z621*Lists!$AN$19),2))</f>
        <v/>
      </c>
      <c r="AB621" s="63" t="str">
        <f t="shared" si="37"/>
        <v/>
      </c>
      <c r="AC621" s="63" t="str">
        <f t="shared" si="38"/>
        <v/>
      </c>
      <c r="AD621" s="63" t="str">
        <f>IF($A621="","",IFERROR(IF(VLOOKUP($A621,'Risk Register'!$B$2:$H$1000,4,FALSE())&gt;=4,"Yes",""),""))</f>
        <v/>
      </c>
      <c r="AE621" s="63" t="str">
        <f t="shared" si="39"/>
        <v/>
      </c>
      <c r="AF621" s="62"/>
      <c r="AG621" s="62"/>
      <c r="AH621" s="62"/>
      <c r="AI621" s="62"/>
      <c r="AJ621" s="62"/>
      <c r="AK621" s="62"/>
      <c r="AL621" s="62"/>
      <c r="AM621" s="62"/>
      <c r="AN621" s="62"/>
      <c r="AO621" s="62"/>
      <c r="AP621" s="62"/>
      <c r="AQ621" s="80"/>
    </row>
    <row r="622" spans="1:43" ht="15.75" customHeight="1" x14ac:dyDescent="0.2">
      <c r="A622" s="63" t="str">
        <f t="shared" si="36"/>
        <v/>
      </c>
      <c r="B622" s="62"/>
      <c r="C622" s="62"/>
      <c r="D622" s="62"/>
      <c r="E622" s="62"/>
      <c r="F622" s="62"/>
      <c r="G622" s="62"/>
      <c r="H622" s="62"/>
      <c r="I622" s="66"/>
      <c r="J622" s="66"/>
      <c r="K622" s="66"/>
      <c r="L622" s="66"/>
      <c r="M622" s="66"/>
      <c r="N622" s="64" t="str">
        <f>IF(OR($B622="", $I622="", $J622="", $K622="", $L622="", $M622=""),"",ROUND(($I622*Lists!$AN$2)+($J622*Lists!$AN$3)+($K622*Lists!$AN$4)+($L622*Lists!$AN$5)+($M622*Lists!$AN$6),2))</f>
        <v/>
      </c>
      <c r="O622" s="64" t="str">
        <f>IF($A622="","",IFERROR(VLOOKUP($A622,'Risk Register'!$B$2:$I$1000,8,FALSE()),""))</f>
        <v/>
      </c>
      <c r="P622" s="66"/>
      <c r="Q622" s="66"/>
      <c r="R622" s="66"/>
      <c r="S622" s="66"/>
      <c r="T622" s="64" t="str">
        <f>IF(OR($B622="", $P622="", $Q622="", $R622="", $S622=""),"",ROUND(($P622*Lists!$AN$7)+($Q622*Lists!$AN$8)+($R622*Lists!$AN$9)+($S622*Lists!$AN$10),2))</f>
        <v/>
      </c>
      <c r="U622" s="66"/>
      <c r="V622" s="66"/>
      <c r="W622" s="66"/>
      <c r="X622" s="66"/>
      <c r="Y622" s="66"/>
      <c r="Z622" s="64" t="str">
        <f>IF(OR($B622="", $U622="", $V622="", $W622="", $X622="", $Y622=""),"",ROUND(($U622*Lists!$AN$11)+($V622*Lists!$AN$12)+($W622*Lists!$AN$13)+($X622*Lists!$AN$14)+($Y622*Lists!$AN$15),2))</f>
        <v/>
      </c>
      <c r="AA622" s="64" t="str">
        <f>IF(OR($B622="", $N622="", $O622="", $T622="", $Z622=""),"",ROUND(($N622*Lists!$AN$16)-($O622*Lists!$AN$17)-($T622*Lists!$AN$18)+($Z622*Lists!$AN$19),2))</f>
        <v/>
      </c>
      <c r="AB622" s="63" t="str">
        <f t="shared" si="37"/>
        <v/>
      </c>
      <c r="AC622" s="63" t="str">
        <f t="shared" si="38"/>
        <v/>
      </c>
      <c r="AD622" s="63" t="str">
        <f>IF($A622="","",IFERROR(IF(VLOOKUP($A622,'Risk Register'!$B$2:$H$1000,4,FALSE())&gt;=4,"Yes",""),""))</f>
        <v/>
      </c>
      <c r="AE622" s="63" t="str">
        <f t="shared" si="39"/>
        <v/>
      </c>
      <c r="AF622" s="62"/>
      <c r="AG622" s="62"/>
      <c r="AH622" s="62"/>
      <c r="AI622" s="62"/>
      <c r="AJ622" s="62"/>
      <c r="AK622" s="62"/>
      <c r="AL622" s="62"/>
      <c r="AM622" s="62"/>
      <c r="AN622" s="62"/>
      <c r="AO622" s="62"/>
      <c r="AP622" s="62"/>
      <c r="AQ622" s="80"/>
    </row>
    <row r="623" spans="1:43" ht="15.75" customHeight="1" x14ac:dyDescent="0.2">
      <c r="A623" s="63" t="str">
        <f t="shared" si="36"/>
        <v/>
      </c>
      <c r="B623" s="62"/>
      <c r="C623" s="62"/>
      <c r="D623" s="62"/>
      <c r="E623" s="62"/>
      <c r="F623" s="62"/>
      <c r="G623" s="62"/>
      <c r="H623" s="62"/>
      <c r="I623" s="66"/>
      <c r="J623" s="66"/>
      <c r="K623" s="66"/>
      <c r="L623" s="66"/>
      <c r="M623" s="66"/>
      <c r="N623" s="64" t="str">
        <f>IF(OR($B623="", $I623="", $J623="", $K623="", $L623="", $M623=""),"",ROUND(($I623*Lists!$AN$2)+($J623*Lists!$AN$3)+($K623*Lists!$AN$4)+($L623*Lists!$AN$5)+($M623*Lists!$AN$6),2))</f>
        <v/>
      </c>
      <c r="O623" s="64" t="str">
        <f>IF($A623="","",IFERROR(VLOOKUP($A623,'Risk Register'!$B$2:$I$1000,8,FALSE()),""))</f>
        <v/>
      </c>
      <c r="P623" s="66"/>
      <c r="Q623" s="66"/>
      <c r="R623" s="66"/>
      <c r="S623" s="66"/>
      <c r="T623" s="64" t="str">
        <f>IF(OR($B623="", $P623="", $Q623="", $R623="", $S623=""),"",ROUND(($P623*Lists!$AN$7)+($Q623*Lists!$AN$8)+($R623*Lists!$AN$9)+($S623*Lists!$AN$10),2))</f>
        <v/>
      </c>
      <c r="U623" s="66"/>
      <c r="V623" s="66"/>
      <c r="W623" s="66"/>
      <c r="X623" s="66"/>
      <c r="Y623" s="66"/>
      <c r="Z623" s="64" t="str">
        <f>IF(OR($B623="", $U623="", $V623="", $W623="", $X623="", $Y623=""),"",ROUND(($U623*Lists!$AN$11)+($V623*Lists!$AN$12)+($W623*Lists!$AN$13)+($X623*Lists!$AN$14)+($Y623*Lists!$AN$15),2))</f>
        <v/>
      </c>
      <c r="AA623" s="64" t="str">
        <f>IF(OR($B623="", $N623="", $O623="", $T623="", $Z623=""),"",ROUND(($N623*Lists!$AN$16)-($O623*Lists!$AN$17)-($T623*Lists!$AN$18)+($Z623*Lists!$AN$19),2))</f>
        <v/>
      </c>
      <c r="AB623" s="63" t="str">
        <f t="shared" si="37"/>
        <v/>
      </c>
      <c r="AC623" s="63" t="str">
        <f t="shared" si="38"/>
        <v/>
      </c>
      <c r="AD623" s="63" t="str">
        <f>IF($A623="","",IFERROR(IF(VLOOKUP($A623,'Risk Register'!$B$2:$H$1000,4,FALSE())&gt;=4,"Yes",""),""))</f>
        <v/>
      </c>
      <c r="AE623" s="63" t="str">
        <f t="shared" si="39"/>
        <v/>
      </c>
      <c r="AF623" s="62"/>
      <c r="AG623" s="62"/>
      <c r="AH623" s="62"/>
      <c r="AI623" s="62"/>
      <c r="AJ623" s="62"/>
      <c r="AK623" s="62"/>
      <c r="AL623" s="62"/>
      <c r="AM623" s="62"/>
      <c r="AN623" s="62"/>
      <c r="AO623" s="62"/>
      <c r="AP623" s="62"/>
      <c r="AQ623" s="80"/>
    </row>
    <row r="624" spans="1:43" ht="15.75" customHeight="1" x14ac:dyDescent="0.2">
      <c r="A624" s="63" t="str">
        <f t="shared" si="36"/>
        <v/>
      </c>
      <c r="B624" s="62"/>
      <c r="C624" s="62"/>
      <c r="D624" s="62"/>
      <c r="E624" s="62"/>
      <c r="F624" s="62"/>
      <c r="G624" s="62"/>
      <c r="H624" s="62"/>
      <c r="I624" s="66"/>
      <c r="J624" s="66"/>
      <c r="K624" s="66"/>
      <c r="L624" s="66"/>
      <c r="M624" s="66"/>
      <c r="N624" s="64" t="str">
        <f>IF(OR($B624="", $I624="", $J624="", $K624="", $L624="", $M624=""),"",ROUND(($I624*Lists!$AN$2)+($J624*Lists!$AN$3)+($K624*Lists!$AN$4)+($L624*Lists!$AN$5)+($M624*Lists!$AN$6),2))</f>
        <v/>
      </c>
      <c r="O624" s="64" t="str">
        <f>IF($A624="","",IFERROR(VLOOKUP($A624,'Risk Register'!$B$2:$I$1000,8,FALSE()),""))</f>
        <v/>
      </c>
      <c r="P624" s="66"/>
      <c r="Q624" s="66"/>
      <c r="R624" s="66"/>
      <c r="S624" s="66"/>
      <c r="T624" s="64" t="str">
        <f>IF(OR($B624="", $P624="", $Q624="", $R624="", $S624=""),"",ROUND(($P624*Lists!$AN$7)+($Q624*Lists!$AN$8)+($R624*Lists!$AN$9)+($S624*Lists!$AN$10),2))</f>
        <v/>
      </c>
      <c r="U624" s="66"/>
      <c r="V624" s="66"/>
      <c r="W624" s="66"/>
      <c r="X624" s="66"/>
      <c r="Y624" s="66"/>
      <c r="Z624" s="64" t="str">
        <f>IF(OR($B624="", $U624="", $V624="", $W624="", $X624="", $Y624=""),"",ROUND(($U624*Lists!$AN$11)+($V624*Lists!$AN$12)+($W624*Lists!$AN$13)+($X624*Lists!$AN$14)+($Y624*Lists!$AN$15),2))</f>
        <v/>
      </c>
      <c r="AA624" s="64" t="str">
        <f>IF(OR($B624="", $N624="", $O624="", $T624="", $Z624=""),"",ROUND(($N624*Lists!$AN$16)-($O624*Lists!$AN$17)-($T624*Lists!$AN$18)+($Z624*Lists!$AN$19),2))</f>
        <v/>
      </c>
      <c r="AB624" s="63" t="str">
        <f t="shared" si="37"/>
        <v/>
      </c>
      <c r="AC624" s="63" t="str">
        <f t="shared" si="38"/>
        <v/>
      </c>
      <c r="AD624" s="63" t="str">
        <f>IF($A624="","",IFERROR(IF(VLOOKUP($A624,'Risk Register'!$B$2:$H$1000,4,FALSE())&gt;=4,"Yes",""),""))</f>
        <v/>
      </c>
      <c r="AE624" s="63" t="str">
        <f t="shared" si="39"/>
        <v/>
      </c>
      <c r="AF624" s="62"/>
      <c r="AG624" s="62"/>
      <c r="AH624" s="62"/>
      <c r="AI624" s="62"/>
      <c r="AJ624" s="62"/>
      <c r="AK624" s="62"/>
      <c r="AL624" s="62"/>
      <c r="AM624" s="62"/>
      <c r="AN624" s="62"/>
      <c r="AO624" s="62"/>
      <c r="AP624" s="62"/>
      <c r="AQ624" s="80"/>
    </row>
    <row r="625" spans="1:43" ht="15.75" customHeight="1" x14ac:dyDescent="0.2">
      <c r="A625" s="63" t="str">
        <f t="shared" si="36"/>
        <v/>
      </c>
      <c r="B625" s="62"/>
      <c r="C625" s="62"/>
      <c r="D625" s="62"/>
      <c r="E625" s="62"/>
      <c r="F625" s="62"/>
      <c r="G625" s="62"/>
      <c r="H625" s="62"/>
      <c r="I625" s="66"/>
      <c r="J625" s="66"/>
      <c r="K625" s="66"/>
      <c r="L625" s="66"/>
      <c r="M625" s="66"/>
      <c r="N625" s="64" t="str">
        <f>IF(OR($B625="", $I625="", $J625="", $K625="", $L625="", $M625=""),"",ROUND(($I625*Lists!$AN$2)+($J625*Lists!$AN$3)+($K625*Lists!$AN$4)+($L625*Lists!$AN$5)+($M625*Lists!$AN$6),2))</f>
        <v/>
      </c>
      <c r="O625" s="64" t="str">
        <f>IF($A625="","",IFERROR(VLOOKUP($A625,'Risk Register'!$B$2:$I$1000,8,FALSE()),""))</f>
        <v/>
      </c>
      <c r="P625" s="66"/>
      <c r="Q625" s="66"/>
      <c r="R625" s="66"/>
      <c r="S625" s="66"/>
      <c r="T625" s="64" t="str">
        <f>IF(OR($B625="", $P625="", $Q625="", $R625="", $S625=""),"",ROUND(($P625*Lists!$AN$7)+($Q625*Lists!$AN$8)+($R625*Lists!$AN$9)+($S625*Lists!$AN$10),2))</f>
        <v/>
      </c>
      <c r="U625" s="66"/>
      <c r="V625" s="66"/>
      <c r="W625" s="66"/>
      <c r="X625" s="66"/>
      <c r="Y625" s="66"/>
      <c r="Z625" s="64" t="str">
        <f>IF(OR($B625="", $U625="", $V625="", $W625="", $X625="", $Y625=""),"",ROUND(($U625*Lists!$AN$11)+($V625*Lists!$AN$12)+($W625*Lists!$AN$13)+($X625*Lists!$AN$14)+($Y625*Lists!$AN$15),2))</f>
        <v/>
      </c>
      <c r="AA625" s="64" t="str">
        <f>IF(OR($B625="", $N625="", $O625="", $T625="", $Z625=""),"",ROUND(($N625*Lists!$AN$16)-($O625*Lists!$AN$17)-($T625*Lists!$AN$18)+($Z625*Lists!$AN$19),2))</f>
        <v/>
      </c>
      <c r="AB625" s="63" t="str">
        <f t="shared" si="37"/>
        <v/>
      </c>
      <c r="AC625" s="63" t="str">
        <f t="shared" si="38"/>
        <v/>
      </c>
      <c r="AD625" s="63" t="str">
        <f>IF($A625="","",IFERROR(IF(VLOOKUP($A625,'Risk Register'!$B$2:$H$1000,4,FALSE())&gt;=4,"Yes",""),""))</f>
        <v/>
      </c>
      <c r="AE625" s="63" t="str">
        <f t="shared" si="39"/>
        <v/>
      </c>
      <c r="AF625" s="62"/>
      <c r="AG625" s="62"/>
      <c r="AH625" s="62"/>
      <c r="AI625" s="62"/>
      <c r="AJ625" s="62"/>
      <c r="AK625" s="62"/>
      <c r="AL625" s="62"/>
      <c r="AM625" s="62"/>
      <c r="AN625" s="62"/>
      <c r="AO625" s="62"/>
      <c r="AP625" s="62"/>
      <c r="AQ625" s="80"/>
    </row>
    <row r="626" spans="1:43" ht="15.75" customHeight="1" x14ac:dyDescent="0.2">
      <c r="A626" s="63" t="str">
        <f t="shared" si="36"/>
        <v/>
      </c>
      <c r="B626" s="62"/>
      <c r="C626" s="62"/>
      <c r="D626" s="62"/>
      <c r="E626" s="62"/>
      <c r="F626" s="62"/>
      <c r="G626" s="62"/>
      <c r="H626" s="62"/>
      <c r="I626" s="66"/>
      <c r="J626" s="66"/>
      <c r="K626" s="66"/>
      <c r="L626" s="66"/>
      <c r="M626" s="66"/>
      <c r="N626" s="64" t="str">
        <f>IF(OR($B626="", $I626="", $J626="", $K626="", $L626="", $M626=""),"",ROUND(($I626*Lists!$AN$2)+($J626*Lists!$AN$3)+($K626*Lists!$AN$4)+($L626*Lists!$AN$5)+($M626*Lists!$AN$6),2))</f>
        <v/>
      </c>
      <c r="O626" s="64" t="str">
        <f>IF($A626="","",IFERROR(VLOOKUP($A626,'Risk Register'!$B$2:$I$1000,8,FALSE()),""))</f>
        <v/>
      </c>
      <c r="P626" s="66"/>
      <c r="Q626" s="66"/>
      <c r="R626" s="66"/>
      <c r="S626" s="66"/>
      <c r="T626" s="64" t="str">
        <f>IF(OR($B626="", $P626="", $Q626="", $R626="", $S626=""),"",ROUND(($P626*Lists!$AN$7)+($Q626*Lists!$AN$8)+($R626*Lists!$AN$9)+($S626*Lists!$AN$10),2))</f>
        <v/>
      </c>
      <c r="U626" s="66"/>
      <c r="V626" s="66"/>
      <c r="W626" s="66"/>
      <c r="X626" s="66"/>
      <c r="Y626" s="66"/>
      <c r="Z626" s="64" t="str">
        <f>IF(OR($B626="", $U626="", $V626="", $W626="", $X626="", $Y626=""),"",ROUND(($U626*Lists!$AN$11)+($V626*Lists!$AN$12)+($W626*Lists!$AN$13)+($X626*Lists!$AN$14)+($Y626*Lists!$AN$15),2))</f>
        <v/>
      </c>
      <c r="AA626" s="64" t="str">
        <f>IF(OR($B626="", $N626="", $O626="", $T626="", $Z626=""),"",ROUND(($N626*Lists!$AN$16)-($O626*Lists!$AN$17)-($T626*Lists!$AN$18)+($Z626*Lists!$AN$19),2))</f>
        <v/>
      </c>
      <c r="AB626" s="63" t="str">
        <f t="shared" si="37"/>
        <v/>
      </c>
      <c r="AC626" s="63" t="str">
        <f t="shared" si="38"/>
        <v/>
      </c>
      <c r="AD626" s="63" t="str">
        <f>IF($A626="","",IFERROR(IF(VLOOKUP($A626,'Risk Register'!$B$2:$H$1000,4,FALSE())&gt;=4,"Yes",""),""))</f>
        <v/>
      </c>
      <c r="AE626" s="63" t="str">
        <f t="shared" si="39"/>
        <v/>
      </c>
      <c r="AF626" s="62"/>
      <c r="AG626" s="62"/>
      <c r="AH626" s="62"/>
      <c r="AI626" s="62"/>
      <c r="AJ626" s="62"/>
      <c r="AK626" s="62"/>
      <c r="AL626" s="62"/>
      <c r="AM626" s="62"/>
      <c r="AN626" s="62"/>
      <c r="AO626" s="62"/>
      <c r="AP626" s="62"/>
      <c r="AQ626" s="80"/>
    </row>
    <row r="627" spans="1:43" ht="15.75" customHeight="1" x14ac:dyDescent="0.2">
      <c r="A627" s="63" t="str">
        <f t="shared" si="36"/>
        <v/>
      </c>
      <c r="B627" s="62"/>
      <c r="C627" s="62"/>
      <c r="D627" s="62"/>
      <c r="E627" s="62"/>
      <c r="F627" s="62"/>
      <c r="G627" s="62"/>
      <c r="H627" s="62"/>
      <c r="I627" s="66"/>
      <c r="J627" s="66"/>
      <c r="K627" s="66"/>
      <c r="L627" s="66"/>
      <c r="M627" s="66"/>
      <c r="N627" s="64" t="str">
        <f>IF(OR($B627="", $I627="", $J627="", $K627="", $L627="", $M627=""),"",ROUND(($I627*Lists!$AN$2)+($J627*Lists!$AN$3)+($K627*Lists!$AN$4)+($L627*Lists!$AN$5)+($M627*Lists!$AN$6),2))</f>
        <v/>
      </c>
      <c r="O627" s="64" t="str">
        <f>IF($A627="","",IFERROR(VLOOKUP($A627,'Risk Register'!$B$2:$I$1000,8,FALSE()),""))</f>
        <v/>
      </c>
      <c r="P627" s="66"/>
      <c r="Q627" s="66"/>
      <c r="R627" s="66"/>
      <c r="S627" s="66"/>
      <c r="T627" s="64" t="str">
        <f>IF(OR($B627="", $P627="", $Q627="", $R627="", $S627=""),"",ROUND(($P627*Lists!$AN$7)+($Q627*Lists!$AN$8)+($R627*Lists!$AN$9)+($S627*Lists!$AN$10),2))</f>
        <v/>
      </c>
      <c r="U627" s="66"/>
      <c r="V627" s="66"/>
      <c r="W627" s="66"/>
      <c r="X627" s="66"/>
      <c r="Y627" s="66"/>
      <c r="Z627" s="64" t="str">
        <f>IF(OR($B627="", $U627="", $V627="", $W627="", $X627="", $Y627=""),"",ROUND(($U627*Lists!$AN$11)+($V627*Lists!$AN$12)+($W627*Lists!$AN$13)+($X627*Lists!$AN$14)+($Y627*Lists!$AN$15),2))</f>
        <v/>
      </c>
      <c r="AA627" s="64" t="str">
        <f>IF(OR($B627="", $N627="", $O627="", $T627="", $Z627=""),"",ROUND(($N627*Lists!$AN$16)-($O627*Lists!$AN$17)-($T627*Lists!$AN$18)+($Z627*Lists!$AN$19),2))</f>
        <v/>
      </c>
      <c r="AB627" s="63" t="str">
        <f t="shared" si="37"/>
        <v/>
      </c>
      <c r="AC627" s="63" t="str">
        <f t="shared" si="38"/>
        <v/>
      </c>
      <c r="AD627" s="63" t="str">
        <f>IF($A627="","",IFERROR(IF(VLOOKUP($A627,'Risk Register'!$B$2:$H$1000,4,FALSE())&gt;=4,"Yes",""),""))</f>
        <v/>
      </c>
      <c r="AE627" s="63" t="str">
        <f t="shared" si="39"/>
        <v/>
      </c>
      <c r="AF627" s="62"/>
      <c r="AG627" s="62"/>
      <c r="AH627" s="62"/>
      <c r="AI627" s="62"/>
      <c r="AJ627" s="62"/>
      <c r="AK627" s="62"/>
      <c r="AL627" s="62"/>
      <c r="AM627" s="62"/>
      <c r="AN627" s="62"/>
      <c r="AO627" s="62"/>
      <c r="AP627" s="62"/>
      <c r="AQ627" s="80"/>
    </row>
    <row r="628" spans="1:43" ht="15.75" customHeight="1" x14ac:dyDescent="0.2">
      <c r="A628" s="63" t="str">
        <f t="shared" si="36"/>
        <v/>
      </c>
      <c r="B628" s="62"/>
      <c r="C628" s="62"/>
      <c r="D628" s="62"/>
      <c r="E628" s="62"/>
      <c r="F628" s="62"/>
      <c r="G628" s="62"/>
      <c r="H628" s="62"/>
      <c r="I628" s="66"/>
      <c r="J628" s="66"/>
      <c r="K628" s="66"/>
      <c r="L628" s="66"/>
      <c r="M628" s="66"/>
      <c r="N628" s="64" t="str">
        <f>IF(OR($B628="", $I628="", $J628="", $K628="", $L628="", $M628=""),"",ROUND(($I628*Lists!$AN$2)+($J628*Lists!$AN$3)+($K628*Lists!$AN$4)+($L628*Lists!$AN$5)+($M628*Lists!$AN$6),2))</f>
        <v/>
      </c>
      <c r="O628" s="64" t="str">
        <f>IF($A628="","",IFERROR(VLOOKUP($A628,'Risk Register'!$B$2:$I$1000,8,FALSE()),""))</f>
        <v/>
      </c>
      <c r="P628" s="66"/>
      <c r="Q628" s="66"/>
      <c r="R628" s="66"/>
      <c r="S628" s="66"/>
      <c r="T628" s="64" t="str">
        <f>IF(OR($B628="", $P628="", $Q628="", $R628="", $S628=""),"",ROUND(($P628*Lists!$AN$7)+($Q628*Lists!$AN$8)+($R628*Lists!$AN$9)+($S628*Lists!$AN$10),2))</f>
        <v/>
      </c>
      <c r="U628" s="66"/>
      <c r="V628" s="66"/>
      <c r="W628" s="66"/>
      <c r="X628" s="66"/>
      <c r="Y628" s="66"/>
      <c r="Z628" s="64" t="str">
        <f>IF(OR($B628="", $U628="", $V628="", $W628="", $X628="", $Y628=""),"",ROUND(($U628*Lists!$AN$11)+($V628*Lists!$AN$12)+($W628*Lists!$AN$13)+($X628*Lists!$AN$14)+($Y628*Lists!$AN$15),2))</f>
        <v/>
      </c>
      <c r="AA628" s="64" t="str">
        <f>IF(OR($B628="", $N628="", $O628="", $T628="", $Z628=""),"",ROUND(($N628*Lists!$AN$16)-($O628*Lists!$AN$17)-($T628*Lists!$AN$18)+($Z628*Lists!$AN$19),2))</f>
        <v/>
      </c>
      <c r="AB628" s="63" t="str">
        <f t="shared" si="37"/>
        <v/>
      </c>
      <c r="AC628" s="63" t="str">
        <f t="shared" si="38"/>
        <v/>
      </c>
      <c r="AD628" s="63" t="str">
        <f>IF($A628="","",IFERROR(IF(VLOOKUP($A628,'Risk Register'!$B$2:$H$1000,4,FALSE())&gt;=4,"Yes",""),""))</f>
        <v/>
      </c>
      <c r="AE628" s="63" t="str">
        <f t="shared" si="39"/>
        <v/>
      </c>
      <c r="AF628" s="62"/>
      <c r="AG628" s="62"/>
      <c r="AH628" s="62"/>
      <c r="AI628" s="62"/>
      <c r="AJ628" s="62"/>
      <c r="AK628" s="62"/>
      <c r="AL628" s="62"/>
      <c r="AM628" s="62"/>
      <c r="AN628" s="62"/>
      <c r="AO628" s="62"/>
      <c r="AP628" s="62"/>
      <c r="AQ628" s="80"/>
    </row>
    <row r="629" spans="1:43" ht="15.75" customHeight="1" x14ac:dyDescent="0.2">
      <c r="A629" s="63" t="str">
        <f t="shared" si="36"/>
        <v/>
      </c>
      <c r="B629" s="62"/>
      <c r="C629" s="62"/>
      <c r="D629" s="62"/>
      <c r="E629" s="62"/>
      <c r="F629" s="62"/>
      <c r="G629" s="62"/>
      <c r="H629" s="62"/>
      <c r="I629" s="66"/>
      <c r="J629" s="66"/>
      <c r="K629" s="66"/>
      <c r="L629" s="66"/>
      <c r="M629" s="66"/>
      <c r="N629" s="64" t="str">
        <f>IF(OR($B629="", $I629="", $J629="", $K629="", $L629="", $M629=""),"",ROUND(($I629*Lists!$AN$2)+($J629*Lists!$AN$3)+($K629*Lists!$AN$4)+($L629*Lists!$AN$5)+($M629*Lists!$AN$6),2))</f>
        <v/>
      </c>
      <c r="O629" s="64" t="str">
        <f>IF($A629="","",IFERROR(VLOOKUP($A629,'Risk Register'!$B$2:$I$1000,8,FALSE()),""))</f>
        <v/>
      </c>
      <c r="P629" s="66"/>
      <c r="Q629" s="66"/>
      <c r="R629" s="66"/>
      <c r="S629" s="66"/>
      <c r="T629" s="64" t="str">
        <f>IF(OR($B629="", $P629="", $Q629="", $R629="", $S629=""),"",ROUND(($P629*Lists!$AN$7)+($Q629*Lists!$AN$8)+($R629*Lists!$AN$9)+($S629*Lists!$AN$10),2))</f>
        <v/>
      </c>
      <c r="U629" s="66"/>
      <c r="V629" s="66"/>
      <c r="W629" s="66"/>
      <c r="X629" s="66"/>
      <c r="Y629" s="66"/>
      <c r="Z629" s="64" t="str">
        <f>IF(OR($B629="", $U629="", $V629="", $W629="", $X629="", $Y629=""),"",ROUND(($U629*Lists!$AN$11)+($V629*Lists!$AN$12)+($W629*Lists!$AN$13)+($X629*Lists!$AN$14)+($Y629*Lists!$AN$15),2))</f>
        <v/>
      </c>
      <c r="AA629" s="64" t="str">
        <f>IF(OR($B629="", $N629="", $O629="", $T629="", $Z629=""),"",ROUND(($N629*Lists!$AN$16)-($O629*Lists!$AN$17)-($T629*Lists!$AN$18)+($Z629*Lists!$AN$19),2))</f>
        <v/>
      </c>
      <c r="AB629" s="63" t="str">
        <f t="shared" si="37"/>
        <v/>
      </c>
      <c r="AC629" s="63" t="str">
        <f t="shared" si="38"/>
        <v/>
      </c>
      <c r="AD629" s="63" t="str">
        <f>IF($A629="","",IFERROR(IF(VLOOKUP($A629,'Risk Register'!$B$2:$H$1000,4,FALSE())&gt;=4,"Yes",""),""))</f>
        <v/>
      </c>
      <c r="AE629" s="63" t="str">
        <f t="shared" si="39"/>
        <v/>
      </c>
      <c r="AF629" s="62"/>
      <c r="AG629" s="62"/>
      <c r="AH629" s="62"/>
      <c r="AI629" s="62"/>
      <c r="AJ629" s="62"/>
      <c r="AK629" s="62"/>
      <c r="AL629" s="62"/>
      <c r="AM629" s="62"/>
      <c r="AN629" s="62"/>
      <c r="AO629" s="62"/>
      <c r="AP629" s="62"/>
      <c r="AQ629" s="80"/>
    </row>
    <row r="630" spans="1:43" ht="15.75" customHeight="1" x14ac:dyDescent="0.2">
      <c r="A630" s="63" t="str">
        <f t="shared" si="36"/>
        <v/>
      </c>
      <c r="B630" s="62"/>
      <c r="C630" s="62"/>
      <c r="D630" s="62"/>
      <c r="E630" s="62"/>
      <c r="F630" s="62"/>
      <c r="G630" s="62"/>
      <c r="H630" s="62"/>
      <c r="I630" s="66"/>
      <c r="J630" s="66"/>
      <c r="K630" s="66"/>
      <c r="L630" s="66"/>
      <c r="M630" s="66"/>
      <c r="N630" s="64" t="str">
        <f>IF(OR($B630="", $I630="", $J630="", $K630="", $L630="", $M630=""),"",ROUND(($I630*Lists!$AN$2)+($J630*Lists!$AN$3)+($K630*Lists!$AN$4)+($L630*Lists!$AN$5)+($M630*Lists!$AN$6),2))</f>
        <v/>
      </c>
      <c r="O630" s="64" t="str">
        <f>IF($A630="","",IFERROR(VLOOKUP($A630,'Risk Register'!$B$2:$I$1000,8,FALSE()),""))</f>
        <v/>
      </c>
      <c r="P630" s="66"/>
      <c r="Q630" s="66"/>
      <c r="R630" s="66"/>
      <c r="S630" s="66"/>
      <c r="T630" s="64" t="str">
        <f>IF(OR($B630="", $P630="", $Q630="", $R630="", $S630=""),"",ROUND(($P630*Lists!$AN$7)+($Q630*Lists!$AN$8)+($R630*Lists!$AN$9)+($S630*Lists!$AN$10),2))</f>
        <v/>
      </c>
      <c r="U630" s="66"/>
      <c r="V630" s="66"/>
      <c r="W630" s="66"/>
      <c r="X630" s="66"/>
      <c r="Y630" s="66"/>
      <c r="Z630" s="64" t="str">
        <f>IF(OR($B630="", $U630="", $V630="", $W630="", $X630="", $Y630=""),"",ROUND(($U630*Lists!$AN$11)+($V630*Lists!$AN$12)+($W630*Lists!$AN$13)+($X630*Lists!$AN$14)+($Y630*Lists!$AN$15),2))</f>
        <v/>
      </c>
      <c r="AA630" s="64" t="str">
        <f>IF(OR($B630="", $N630="", $O630="", $T630="", $Z630=""),"",ROUND(($N630*Lists!$AN$16)-($O630*Lists!$AN$17)-($T630*Lists!$AN$18)+($Z630*Lists!$AN$19),2))</f>
        <v/>
      </c>
      <c r="AB630" s="63" t="str">
        <f t="shared" si="37"/>
        <v/>
      </c>
      <c r="AC630" s="63" t="str">
        <f t="shared" si="38"/>
        <v/>
      </c>
      <c r="AD630" s="63" t="str">
        <f>IF($A630="","",IFERROR(IF(VLOOKUP($A630,'Risk Register'!$B$2:$H$1000,4,FALSE())&gt;=4,"Yes",""),""))</f>
        <v/>
      </c>
      <c r="AE630" s="63" t="str">
        <f t="shared" si="39"/>
        <v/>
      </c>
      <c r="AF630" s="62"/>
      <c r="AG630" s="62"/>
      <c r="AH630" s="62"/>
      <c r="AI630" s="62"/>
      <c r="AJ630" s="62"/>
      <c r="AK630" s="62"/>
      <c r="AL630" s="62"/>
      <c r="AM630" s="62"/>
      <c r="AN630" s="62"/>
      <c r="AO630" s="62"/>
      <c r="AP630" s="62"/>
      <c r="AQ630" s="80"/>
    </row>
    <row r="631" spans="1:43" ht="15.75" customHeight="1" x14ac:dyDescent="0.2">
      <c r="A631" s="63" t="str">
        <f t="shared" si="36"/>
        <v/>
      </c>
      <c r="B631" s="62"/>
      <c r="C631" s="62"/>
      <c r="D631" s="62"/>
      <c r="E631" s="62"/>
      <c r="F631" s="62"/>
      <c r="G631" s="62"/>
      <c r="H631" s="62"/>
      <c r="I631" s="66"/>
      <c r="J631" s="66"/>
      <c r="K631" s="66"/>
      <c r="L631" s="66"/>
      <c r="M631" s="66"/>
      <c r="N631" s="64" t="str">
        <f>IF(OR($B631="", $I631="", $J631="", $K631="", $L631="", $M631=""),"",ROUND(($I631*Lists!$AN$2)+($J631*Lists!$AN$3)+($K631*Lists!$AN$4)+($L631*Lists!$AN$5)+($M631*Lists!$AN$6),2))</f>
        <v/>
      </c>
      <c r="O631" s="64" t="str">
        <f>IF($A631="","",IFERROR(VLOOKUP($A631,'Risk Register'!$B$2:$I$1000,8,FALSE()),""))</f>
        <v/>
      </c>
      <c r="P631" s="66"/>
      <c r="Q631" s="66"/>
      <c r="R631" s="66"/>
      <c r="S631" s="66"/>
      <c r="T631" s="64" t="str">
        <f>IF(OR($B631="", $P631="", $Q631="", $R631="", $S631=""),"",ROUND(($P631*Lists!$AN$7)+($Q631*Lists!$AN$8)+($R631*Lists!$AN$9)+($S631*Lists!$AN$10),2))</f>
        <v/>
      </c>
      <c r="U631" s="66"/>
      <c r="V631" s="66"/>
      <c r="W631" s="66"/>
      <c r="X631" s="66"/>
      <c r="Y631" s="66"/>
      <c r="Z631" s="64" t="str">
        <f>IF(OR($B631="", $U631="", $V631="", $W631="", $X631="", $Y631=""),"",ROUND(($U631*Lists!$AN$11)+($V631*Lists!$AN$12)+($W631*Lists!$AN$13)+($X631*Lists!$AN$14)+($Y631*Lists!$AN$15),2))</f>
        <v/>
      </c>
      <c r="AA631" s="64" t="str">
        <f>IF(OR($B631="", $N631="", $O631="", $T631="", $Z631=""),"",ROUND(($N631*Lists!$AN$16)-($O631*Lists!$AN$17)-($T631*Lists!$AN$18)+($Z631*Lists!$AN$19),2))</f>
        <v/>
      </c>
      <c r="AB631" s="63" t="str">
        <f t="shared" si="37"/>
        <v/>
      </c>
      <c r="AC631" s="63" t="str">
        <f t="shared" si="38"/>
        <v/>
      </c>
      <c r="AD631" s="63" t="str">
        <f>IF($A631="","",IFERROR(IF(VLOOKUP($A631,'Risk Register'!$B$2:$H$1000,4,FALSE())&gt;=4,"Yes",""),""))</f>
        <v/>
      </c>
      <c r="AE631" s="63" t="str">
        <f t="shared" si="39"/>
        <v/>
      </c>
      <c r="AF631" s="62"/>
      <c r="AG631" s="62"/>
      <c r="AH631" s="62"/>
      <c r="AI631" s="62"/>
      <c r="AJ631" s="62"/>
      <c r="AK631" s="62"/>
      <c r="AL631" s="62"/>
      <c r="AM631" s="62"/>
      <c r="AN631" s="62"/>
      <c r="AO631" s="62"/>
      <c r="AP631" s="62"/>
      <c r="AQ631" s="80"/>
    </row>
    <row r="632" spans="1:43" ht="15.75" customHeight="1" x14ac:dyDescent="0.2">
      <c r="A632" s="63" t="str">
        <f t="shared" si="36"/>
        <v/>
      </c>
      <c r="B632" s="62"/>
      <c r="C632" s="62"/>
      <c r="D632" s="62"/>
      <c r="E632" s="62"/>
      <c r="F632" s="62"/>
      <c r="G632" s="62"/>
      <c r="H632" s="62"/>
      <c r="I632" s="66"/>
      <c r="J632" s="66"/>
      <c r="K632" s="66"/>
      <c r="L632" s="66"/>
      <c r="M632" s="66"/>
      <c r="N632" s="64" t="str">
        <f>IF(OR($B632="", $I632="", $J632="", $K632="", $L632="", $M632=""),"",ROUND(($I632*Lists!$AN$2)+($J632*Lists!$AN$3)+($K632*Lists!$AN$4)+($L632*Lists!$AN$5)+($M632*Lists!$AN$6),2))</f>
        <v/>
      </c>
      <c r="O632" s="64" t="str">
        <f>IF($A632="","",IFERROR(VLOOKUP($A632,'Risk Register'!$B$2:$I$1000,8,FALSE()),""))</f>
        <v/>
      </c>
      <c r="P632" s="66"/>
      <c r="Q632" s="66"/>
      <c r="R632" s="66"/>
      <c r="S632" s="66"/>
      <c r="T632" s="64" t="str">
        <f>IF(OR($B632="", $P632="", $Q632="", $R632="", $S632=""),"",ROUND(($P632*Lists!$AN$7)+($Q632*Lists!$AN$8)+($R632*Lists!$AN$9)+($S632*Lists!$AN$10),2))</f>
        <v/>
      </c>
      <c r="U632" s="66"/>
      <c r="V632" s="66"/>
      <c r="W632" s="66"/>
      <c r="X632" s="66"/>
      <c r="Y632" s="66"/>
      <c r="Z632" s="64" t="str">
        <f>IF(OR($B632="", $U632="", $V632="", $W632="", $X632="", $Y632=""),"",ROUND(($U632*Lists!$AN$11)+($V632*Lists!$AN$12)+($W632*Lists!$AN$13)+($X632*Lists!$AN$14)+($Y632*Lists!$AN$15),2))</f>
        <v/>
      </c>
      <c r="AA632" s="64" t="str">
        <f>IF(OR($B632="", $N632="", $O632="", $T632="", $Z632=""),"",ROUND(($N632*Lists!$AN$16)-($O632*Lists!$AN$17)-($T632*Lists!$AN$18)+($Z632*Lists!$AN$19),2))</f>
        <v/>
      </c>
      <c r="AB632" s="63" t="str">
        <f t="shared" si="37"/>
        <v/>
      </c>
      <c r="AC632" s="63" t="str">
        <f t="shared" si="38"/>
        <v/>
      </c>
      <c r="AD632" s="63" t="str">
        <f>IF($A632="","",IFERROR(IF(VLOOKUP($A632,'Risk Register'!$B$2:$H$1000,4,FALSE())&gt;=4,"Yes",""),""))</f>
        <v/>
      </c>
      <c r="AE632" s="63" t="str">
        <f t="shared" si="39"/>
        <v/>
      </c>
      <c r="AF632" s="62"/>
      <c r="AG632" s="62"/>
      <c r="AH632" s="62"/>
      <c r="AI632" s="62"/>
      <c r="AJ632" s="62"/>
      <c r="AK632" s="62"/>
      <c r="AL632" s="62"/>
      <c r="AM632" s="62"/>
      <c r="AN632" s="62"/>
      <c r="AO632" s="62"/>
      <c r="AP632" s="62"/>
      <c r="AQ632" s="80"/>
    </row>
    <row r="633" spans="1:43" ht="15.75" customHeight="1" x14ac:dyDescent="0.2">
      <c r="A633" s="63" t="str">
        <f t="shared" si="36"/>
        <v/>
      </c>
      <c r="B633" s="62"/>
      <c r="C633" s="62"/>
      <c r="D633" s="62"/>
      <c r="E633" s="62"/>
      <c r="F633" s="62"/>
      <c r="G633" s="62"/>
      <c r="H633" s="62"/>
      <c r="I633" s="66"/>
      <c r="J633" s="66"/>
      <c r="K633" s="66"/>
      <c r="L633" s="66"/>
      <c r="M633" s="66"/>
      <c r="N633" s="64" t="str">
        <f>IF(OR($B633="", $I633="", $J633="", $K633="", $L633="", $M633=""),"",ROUND(($I633*Lists!$AN$2)+($J633*Lists!$AN$3)+($K633*Lists!$AN$4)+($L633*Lists!$AN$5)+($M633*Lists!$AN$6),2))</f>
        <v/>
      </c>
      <c r="O633" s="64" t="str">
        <f>IF($A633="","",IFERROR(VLOOKUP($A633,'Risk Register'!$B$2:$I$1000,8,FALSE()),""))</f>
        <v/>
      </c>
      <c r="P633" s="66"/>
      <c r="Q633" s="66"/>
      <c r="R633" s="66"/>
      <c r="S633" s="66"/>
      <c r="T633" s="64" t="str">
        <f>IF(OR($B633="", $P633="", $Q633="", $R633="", $S633=""),"",ROUND(($P633*Lists!$AN$7)+($Q633*Lists!$AN$8)+($R633*Lists!$AN$9)+($S633*Lists!$AN$10),2))</f>
        <v/>
      </c>
      <c r="U633" s="66"/>
      <c r="V633" s="66"/>
      <c r="W633" s="66"/>
      <c r="X633" s="66"/>
      <c r="Y633" s="66"/>
      <c r="Z633" s="64" t="str">
        <f>IF(OR($B633="", $U633="", $V633="", $W633="", $X633="", $Y633=""),"",ROUND(($U633*Lists!$AN$11)+($V633*Lists!$AN$12)+($W633*Lists!$AN$13)+($X633*Lists!$AN$14)+($Y633*Lists!$AN$15),2))</f>
        <v/>
      </c>
      <c r="AA633" s="64" t="str">
        <f>IF(OR($B633="", $N633="", $O633="", $T633="", $Z633=""),"",ROUND(($N633*Lists!$AN$16)-($O633*Lists!$AN$17)-($T633*Lists!$AN$18)+($Z633*Lists!$AN$19),2))</f>
        <v/>
      </c>
      <c r="AB633" s="63" t="str">
        <f t="shared" si="37"/>
        <v/>
      </c>
      <c r="AC633" s="63" t="str">
        <f t="shared" si="38"/>
        <v/>
      </c>
      <c r="AD633" s="63" t="str">
        <f>IF($A633="","",IFERROR(IF(VLOOKUP($A633,'Risk Register'!$B$2:$H$1000,4,FALSE())&gt;=4,"Yes",""),""))</f>
        <v/>
      </c>
      <c r="AE633" s="63" t="str">
        <f t="shared" si="39"/>
        <v/>
      </c>
      <c r="AF633" s="62"/>
      <c r="AG633" s="62"/>
      <c r="AH633" s="62"/>
      <c r="AI633" s="62"/>
      <c r="AJ633" s="62"/>
      <c r="AK633" s="62"/>
      <c r="AL633" s="62"/>
      <c r="AM633" s="62"/>
      <c r="AN633" s="62"/>
      <c r="AO633" s="62"/>
      <c r="AP633" s="62"/>
      <c r="AQ633" s="80"/>
    </row>
    <row r="634" spans="1:43" ht="15.75" customHeight="1" x14ac:dyDescent="0.2">
      <c r="A634" s="63" t="str">
        <f t="shared" si="36"/>
        <v/>
      </c>
      <c r="B634" s="62"/>
      <c r="C634" s="62"/>
      <c r="D634" s="62"/>
      <c r="E634" s="62"/>
      <c r="F634" s="62"/>
      <c r="G634" s="62"/>
      <c r="H634" s="62"/>
      <c r="I634" s="66"/>
      <c r="J634" s="66"/>
      <c r="K634" s="66"/>
      <c r="L634" s="66"/>
      <c r="M634" s="66"/>
      <c r="N634" s="64" t="str">
        <f>IF(OR($B634="", $I634="", $J634="", $K634="", $L634="", $M634=""),"",ROUND(($I634*Lists!$AN$2)+($J634*Lists!$AN$3)+($K634*Lists!$AN$4)+($L634*Lists!$AN$5)+($M634*Lists!$AN$6),2))</f>
        <v/>
      </c>
      <c r="O634" s="64" t="str">
        <f>IF($A634="","",IFERROR(VLOOKUP($A634,'Risk Register'!$B$2:$I$1000,8,FALSE()),""))</f>
        <v/>
      </c>
      <c r="P634" s="66"/>
      <c r="Q634" s="66"/>
      <c r="R634" s="66"/>
      <c r="S634" s="66"/>
      <c r="T634" s="64" t="str">
        <f>IF(OR($B634="", $P634="", $Q634="", $R634="", $S634=""),"",ROUND(($P634*Lists!$AN$7)+($Q634*Lists!$AN$8)+($R634*Lists!$AN$9)+($S634*Lists!$AN$10),2))</f>
        <v/>
      </c>
      <c r="U634" s="66"/>
      <c r="V634" s="66"/>
      <c r="W634" s="66"/>
      <c r="X634" s="66"/>
      <c r="Y634" s="66"/>
      <c r="Z634" s="64" t="str">
        <f>IF(OR($B634="", $U634="", $V634="", $W634="", $X634="", $Y634=""),"",ROUND(($U634*Lists!$AN$11)+($V634*Lists!$AN$12)+($W634*Lists!$AN$13)+($X634*Lists!$AN$14)+($Y634*Lists!$AN$15),2))</f>
        <v/>
      </c>
      <c r="AA634" s="64" t="str">
        <f>IF(OR($B634="", $N634="", $O634="", $T634="", $Z634=""),"",ROUND(($N634*Lists!$AN$16)-($O634*Lists!$AN$17)-($T634*Lists!$AN$18)+($Z634*Lists!$AN$19),2))</f>
        <v/>
      </c>
      <c r="AB634" s="63" t="str">
        <f t="shared" si="37"/>
        <v/>
      </c>
      <c r="AC634" s="63" t="str">
        <f t="shared" si="38"/>
        <v/>
      </c>
      <c r="AD634" s="63" t="str">
        <f>IF($A634="","",IFERROR(IF(VLOOKUP($A634,'Risk Register'!$B$2:$H$1000,4,FALSE())&gt;=4,"Yes",""),""))</f>
        <v/>
      </c>
      <c r="AE634" s="63" t="str">
        <f t="shared" si="39"/>
        <v/>
      </c>
      <c r="AF634" s="62"/>
      <c r="AG634" s="62"/>
      <c r="AH634" s="62"/>
      <c r="AI634" s="62"/>
      <c r="AJ634" s="62"/>
      <c r="AK634" s="62"/>
      <c r="AL634" s="62"/>
      <c r="AM634" s="62"/>
      <c r="AN634" s="62"/>
      <c r="AO634" s="62"/>
      <c r="AP634" s="62"/>
      <c r="AQ634" s="80"/>
    </row>
    <row r="635" spans="1:43" ht="15.75" customHeight="1" x14ac:dyDescent="0.2">
      <c r="A635" s="63" t="str">
        <f t="shared" si="36"/>
        <v/>
      </c>
      <c r="B635" s="62"/>
      <c r="C635" s="62"/>
      <c r="D635" s="62"/>
      <c r="E635" s="62"/>
      <c r="F635" s="62"/>
      <c r="G635" s="62"/>
      <c r="H635" s="62"/>
      <c r="I635" s="66"/>
      <c r="J635" s="66"/>
      <c r="K635" s="66"/>
      <c r="L635" s="66"/>
      <c r="M635" s="66"/>
      <c r="N635" s="64" t="str">
        <f>IF(OR($B635="", $I635="", $J635="", $K635="", $L635="", $M635=""),"",ROUND(($I635*Lists!$AN$2)+($J635*Lists!$AN$3)+($K635*Lists!$AN$4)+($L635*Lists!$AN$5)+($M635*Lists!$AN$6),2))</f>
        <v/>
      </c>
      <c r="O635" s="64" t="str">
        <f>IF($A635="","",IFERROR(VLOOKUP($A635,'Risk Register'!$B$2:$I$1000,8,FALSE()),""))</f>
        <v/>
      </c>
      <c r="P635" s="66"/>
      <c r="Q635" s="66"/>
      <c r="R635" s="66"/>
      <c r="S635" s="66"/>
      <c r="T635" s="64" t="str">
        <f>IF(OR($B635="", $P635="", $Q635="", $R635="", $S635=""),"",ROUND(($P635*Lists!$AN$7)+($Q635*Lists!$AN$8)+($R635*Lists!$AN$9)+($S635*Lists!$AN$10),2))</f>
        <v/>
      </c>
      <c r="U635" s="66"/>
      <c r="V635" s="66"/>
      <c r="W635" s="66"/>
      <c r="X635" s="66"/>
      <c r="Y635" s="66"/>
      <c r="Z635" s="64" t="str">
        <f>IF(OR($B635="", $U635="", $V635="", $W635="", $X635="", $Y635=""),"",ROUND(($U635*Lists!$AN$11)+($V635*Lists!$AN$12)+($W635*Lists!$AN$13)+($X635*Lists!$AN$14)+($Y635*Lists!$AN$15),2))</f>
        <v/>
      </c>
      <c r="AA635" s="64" t="str">
        <f>IF(OR($B635="", $N635="", $O635="", $T635="", $Z635=""),"",ROUND(($N635*Lists!$AN$16)-($O635*Lists!$AN$17)-($T635*Lists!$AN$18)+($Z635*Lists!$AN$19),2))</f>
        <v/>
      </c>
      <c r="AB635" s="63" t="str">
        <f t="shared" si="37"/>
        <v/>
      </c>
      <c r="AC635" s="63" t="str">
        <f t="shared" si="38"/>
        <v/>
      </c>
      <c r="AD635" s="63" t="str">
        <f>IF($A635="","",IFERROR(IF(VLOOKUP($A635,'Risk Register'!$B$2:$H$1000,4,FALSE())&gt;=4,"Yes",""),""))</f>
        <v/>
      </c>
      <c r="AE635" s="63" t="str">
        <f t="shared" si="39"/>
        <v/>
      </c>
      <c r="AF635" s="62"/>
      <c r="AG635" s="62"/>
      <c r="AH635" s="62"/>
      <c r="AI635" s="62"/>
      <c r="AJ635" s="62"/>
      <c r="AK635" s="62"/>
      <c r="AL635" s="62"/>
      <c r="AM635" s="62"/>
      <c r="AN635" s="62"/>
      <c r="AO635" s="62"/>
      <c r="AP635" s="62"/>
      <c r="AQ635" s="80"/>
    </row>
    <row r="636" spans="1:43" ht="15.75" customHeight="1" x14ac:dyDescent="0.2">
      <c r="A636" s="63" t="str">
        <f t="shared" si="36"/>
        <v/>
      </c>
      <c r="B636" s="62"/>
      <c r="C636" s="62"/>
      <c r="D636" s="62"/>
      <c r="E636" s="62"/>
      <c r="F636" s="62"/>
      <c r="G636" s="62"/>
      <c r="H636" s="62"/>
      <c r="I636" s="66"/>
      <c r="J636" s="66"/>
      <c r="K636" s="66"/>
      <c r="L636" s="66"/>
      <c r="M636" s="66"/>
      <c r="N636" s="64" t="str">
        <f>IF(OR($B636="", $I636="", $J636="", $K636="", $L636="", $M636=""),"",ROUND(($I636*Lists!$AN$2)+($J636*Lists!$AN$3)+($K636*Lists!$AN$4)+($L636*Lists!$AN$5)+($M636*Lists!$AN$6),2))</f>
        <v/>
      </c>
      <c r="O636" s="64" t="str">
        <f>IF($A636="","",IFERROR(VLOOKUP($A636,'Risk Register'!$B$2:$I$1000,8,FALSE()),""))</f>
        <v/>
      </c>
      <c r="P636" s="66"/>
      <c r="Q636" s="66"/>
      <c r="R636" s="66"/>
      <c r="S636" s="66"/>
      <c r="T636" s="64" t="str">
        <f>IF(OR($B636="", $P636="", $Q636="", $R636="", $S636=""),"",ROUND(($P636*Lists!$AN$7)+($Q636*Lists!$AN$8)+($R636*Lists!$AN$9)+($S636*Lists!$AN$10),2))</f>
        <v/>
      </c>
      <c r="U636" s="66"/>
      <c r="V636" s="66"/>
      <c r="W636" s="66"/>
      <c r="X636" s="66"/>
      <c r="Y636" s="66"/>
      <c r="Z636" s="64" t="str">
        <f>IF(OR($B636="", $U636="", $V636="", $W636="", $X636="", $Y636=""),"",ROUND(($U636*Lists!$AN$11)+($V636*Lists!$AN$12)+($W636*Lists!$AN$13)+($X636*Lists!$AN$14)+($Y636*Lists!$AN$15),2))</f>
        <v/>
      </c>
      <c r="AA636" s="64" t="str">
        <f>IF(OR($B636="", $N636="", $O636="", $T636="", $Z636=""),"",ROUND(($N636*Lists!$AN$16)-($O636*Lists!$AN$17)-($T636*Lists!$AN$18)+($Z636*Lists!$AN$19),2))</f>
        <v/>
      </c>
      <c r="AB636" s="63" t="str">
        <f t="shared" si="37"/>
        <v/>
      </c>
      <c r="AC636" s="63" t="str">
        <f t="shared" si="38"/>
        <v/>
      </c>
      <c r="AD636" s="63" t="str">
        <f>IF($A636="","",IFERROR(IF(VLOOKUP($A636,'Risk Register'!$B$2:$H$1000,4,FALSE())&gt;=4,"Yes",""),""))</f>
        <v/>
      </c>
      <c r="AE636" s="63" t="str">
        <f t="shared" si="39"/>
        <v/>
      </c>
      <c r="AF636" s="62"/>
      <c r="AG636" s="62"/>
      <c r="AH636" s="62"/>
      <c r="AI636" s="62"/>
      <c r="AJ636" s="62"/>
      <c r="AK636" s="62"/>
      <c r="AL636" s="62"/>
      <c r="AM636" s="62"/>
      <c r="AN636" s="62"/>
      <c r="AO636" s="62"/>
      <c r="AP636" s="62"/>
      <c r="AQ636" s="80"/>
    </row>
    <row r="637" spans="1:43" ht="15.75" customHeight="1" x14ac:dyDescent="0.2">
      <c r="A637" s="63" t="str">
        <f t="shared" si="36"/>
        <v/>
      </c>
      <c r="B637" s="62"/>
      <c r="C637" s="62"/>
      <c r="D637" s="62"/>
      <c r="E637" s="62"/>
      <c r="F637" s="62"/>
      <c r="G637" s="62"/>
      <c r="H637" s="62"/>
      <c r="I637" s="66"/>
      <c r="J637" s="66"/>
      <c r="K637" s="66"/>
      <c r="L637" s="66"/>
      <c r="M637" s="66"/>
      <c r="N637" s="64" t="str">
        <f>IF(OR($B637="", $I637="", $J637="", $K637="", $L637="", $M637=""),"",ROUND(($I637*Lists!$AN$2)+($J637*Lists!$AN$3)+($K637*Lists!$AN$4)+($L637*Lists!$AN$5)+($M637*Lists!$AN$6),2))</f>
        <v/>
      </c>
      <c r="O637" s="64" t="str">
        <f>IF($A637="","",IFERROR(VLOOKUP($A637,'Risk Register'!$B$2:$I$1000,8,FALSE()),""))</f>
        <v/>
      </c>
      <c r="P637" s="66"/>
      <c r="Q637" s="66"/>
      <c r="R637" s="66"/>
      <c r="S637" s="66"/>
      <c r="T637" s="64" t="str">
        <f>IF(OR($B637="", $P637="", $Q637="", $R637="", $S637=""),"",ROUND(($P637*Lists!$AN$7)+($Q637*Lists!$AN$8)+($R637*Lists!$AN$9)+($S637*Lists!$AN$10),2))</f>
        <v/>
      </c>
      <c r="U637" s="66"/>
      <c r="V637" s="66"/>
      <c r="W637" s="66"/>
      <c r="X637" s="66"/>
      <c r="Y637" s="66"/>
      <c r="Z637" s="64" t="str">
        <f>IF(OR($B637="", $U637="", $V637="", $W637="", $X637="", $Y637=""),"",ROUND(($U637*Lists!$AN$11)+($V637*Lists!$AN$12)+($W637*Lists!$AN$13)+($X637*Lists!$AN$14)+($Y637*Lists!$AN$15),2))</f>
        <v/>
      </c>
      <c r="AA637" s="64" t="str">
        <f>IF(OR($B637="", $N637="", $O637="", $T637="", $Z637=""),"",ROUND(($N637*Lists!$AN$16)-($O637*Lists!$AN$17)-($T637*Lists!$AN$18)+($Z637*Lists!$AN$19),2))</f>
        <v/>
      </c>
      <c r="AB637" s="63" t="str">
        <f t="shared" si="37"/>
        <v/>
      </c>
      <c r="AC637" s="63" t="str">
        <f t="shared" si="38"/>
        <v/>
      </c>
      <c r="AD637" s="63" t="str">
        <f>IF($A637="","",IFERROR(IF(VLOOKUP($A637,'Risk Register'!$B$2:$H$1000,4,FALSE())&gt;=4,"Yes",""),""))</f>
        <v/>
      </c>
      <c r="AE637" s="63" t="str">
        <f t="shared" si="39"/>
        <v/>
      </c>
      <c r="AF637" s="62"/>
      <c r="AG637" s="62"/>
      <c r="AH637" s="62"/>
      <c r="AI637" s="62"/>
      <c r="AJ637" s="62"/>
      <c r="AK637" s="62"/>
      <c r="AL637" s="62"/>
      <c r="AM637" s="62"/>
      <c r="AN637" s="62"/>
      <c r="AO637" s="62"/>
      <c r="AP637" s="62"/>
      <c r="AQ637" s="80"/>
    </row>
    <row r="638" spans="1:43" ht="15.75" customHeight="1" x14ac:dyDescent="0.2">
      <c r="A638" s="63" t="str">
        <f t="shared" si="36"/>
        <v/>
      </c>
      <c r="B638" s="62"/>
      <c r="C638" s="62"/>
      <c r="D638" s="62"/>
      <c r="E638" s="62"/>
      <c r="F638" s="62"/>
      <c r="G638" s="62"/>
      <c r="H638" s="62"/>
      <c r="I638" s="66"/>
      <c r="J638" s="66"/>
      <c r="K638" s="66"/>
      <c r="L638" s="66"/>
      <c r="M638" s="66"/>
      <c r="N638" s="64" t="str">
        <f>IF(OR($B638="", $I638="", $J638="", $K638="", $L638="", $M638=""),"",ROUND(($I638*Lists!$AN$2)+($J638*Lists!$AN$3)+($K638*Lists!$AN$4)+($L638*Lists!$AN$5)+($M638*Lists!$AN$6),2))</f>
        <v/>
      </c>
      <c r="O638" s="64" t="str">
        <f>IF($A638="","",IFERROR(VLOOKUP($A638,'Risk Register'!$B$2:$I$1000,8,FALSE()),""))</f>
        <v/>
      </c>
      <c r="P638" s="66"/>
      <c r="Q638" s="66"/>
      <c r="R638" s="66"/>
      <c r="S638" s="66"/>
      <c r="T638" s="64" t="str">
        <f>IF(OR($B638="", $P638="", $Q638="", $R638="", $S638=""),"",ROUND(($P638*Lists!$AN$7)+($Q638*Lists!$AN$8)+($R638*Lists!$AN$9)+($S638*Lists!$AN$10),2))</f>
        <v/>
      </c>
      <c r="U638" s="66"/>
      <c r="V638" s="66"/>
      <c r="W638" s="66"/>
      <c r="X638" s="66"/>
      <c r="Y638" s="66"/>
      <c r="Z638" s="64" t="str">
        <f>IF(OR($B638="", $U638="", $V638="", $W638="", $X638="", $Y638=""),"",ROUND(($U638*Lists!$AN$11)+($V638*Lists!$AN$12)+($W638*Lists!$AN$13)+($X638*Lists!$AN$14)+($Y638*Lists!$AN$15),2))</f>
        <v/>
      </c>
      <c r="AA638" s="64" t="str">
        <f>IF(OR($B638="", $N638="", $O638="", $T638="", $Z638=""),"",ROUND(($N638*Lists!$AN$16)-($O638*Lists!$AN$17)-($T638*Lists!$AN$18)+($Z638*Lists!$AN$19),2))</f>
        <v/>
      </c>
      <c r="AB638" s="63" t="str">
        <f t="shared" si="37"/>
        <v/>
      </c>
      <c r="AC638" s="63" t="str">
        <f t="shared" si="38"/>
        <v/>
      </c>
      <c r="AD638" s="63" t="str">
        <f>IF($A638="","",IFERROR(IF(VLOOKUP($A638,'Risk Register'!$B$2:$H$1000,4,FALSE())&gt;=4,"Yes",""),""))</f>
        <v/>
      </c>
      <c r="AE638" s="63" t="str">
        <f t="shared" si="39"/>
        <v/>
      </c>
      <c r="AF638" s="62"/>
      <c r="AG638" s="62"/>
      <c r="AH638" s="62"/>
      <c r="AI638" s="62"/>
      <c r="AJ638" s="62"/>
      <c r="AK638" s="62"/>
      <c r="AL638" s="62"/>
      <c r="AM638" s="62"/>
      <c r="AN638" s="62"/>
      <c r="AO638" s="62"/>
      <c r="AP638" s="62"/>
      <c r="AQ638" s="80"/>
    </row>
    <row r="639" spans="1:43" ht="15.75" customHeight="1" x14ac:dyDescent="0.2">
      <c r="A639" s="63" t="str">
        <f t="shared" si="36"/>
        <v/>
      </c>
      <c r="B639" s="62"/>
      <c r="C639" s="62"/>
      <c r="D639" s="62"/>
      <c r="E639" s="62"/>
      <c r="F639" s="62"/>
      <c r="G639" s="62"/>
      <c r="H639" s="62"/>
      <c r="I639" s="66"/>
      <c r="J639" s="66"/>
      <c r="K639" s="66"/>
      <c r="L639" s="66"/>
      <c r="M639" s="66"/>
      <c r="N639" s="64" t="str">
        <f>IF(OR($B639="", $I639="", $J639="", $K639="", $L639="", $M639=""),"",ROUND(($I639*Lists!$AN$2)+($J639*Lists!$AN$3)+($K639*Lists!$AN$4)+($L639*Lists!$AN$5)+($M639*Lists!$AN$6),2))</f>
        <v/>
      </c>
      <c r="O639" s="64" t="str">
        <f>IF($A639="","",IFERROR(VLOOKUP($A639,'Risk Register'!$B$2:$I$1000,8,FALSE()),""))</f>
        <v/>
      </c>
      <c r="P639" s="66"/>
      <c r="Q639" s="66"/>
      <c r="R639" s="66"/>
      <c r="S639" s="66"/>
      <c r="T639" s="64" t="str">
        <f>IF(OR($B639="", $P639="", $Q639="", $R639="", $S639=""),"",ROUND(($P639*Lists!$AN$7)+($Q639*Lists!$AN$8)+($R639*Lists!$AN$9)+($S639*Lists!$AN$10),2))</f>
        <v/>
      </c>
      <c r="U639" s="66"/>
      <c r="V639" s="66"/>
      <c r="W639" s="66"/>
      <c r="X639" s="66"/>
      <c r="Y639" s="66"/>
      <c r="Z639" s="64" t="str">
        <f>IF(OR($B639="", $U639="", $V639="", $W639="", $X639="", $Y639=""),"",ROUND(($U639*Lists!$AN$11)+($V639*Lists!$AN$12)+($W639*Lists!$AN$13)+($X639*Lists!$AN$14)+($Y639*Lists!$AN$15),2))</f>
        <v/>
      </c>
      <c r="AA639" s="64" t="str">
        <f>IF(OR($B639="", $N639="", $O639="", $T639="", $Z639=""),"",ROUND(($N639*Lists!$AN$16)-($O639*Lists!$AN$17)-($T639*Lists!$AN$18)+($Z639*Lists!$AN$19),2))</f>
        <v/>
      </c>
      <c r="AB639" s="63" t="str">
        <f t="shared" si="37"/>
        <v/>
      </c>
      <c r="AC639" s="63" t="str">
        <f t="shared" si="38"/>
        <v/>
      </c>
      <c r="AD639" s="63" t="str">
        <f>IF($A639="","",IFERROR(IF(VLOOKUP($A639,'Risk Register'!$B$2:$H$1000,4,FALSE())&gt;=4,"Yes",""),""))</f>
        <v/>
      </c>
      <c r="AE639" s="63" t="str">
        <f t="shared" si="39"/>
        <v/>
      </c>
      <c r="AF639" s="62"/>
      <c r="AG639" s="62"/>
      <c r="AH639" s="62"/>
      <c r="AI639" s="62"/>
      <c r="AJ639" s="62"/>
      <c r="AK639" s="62"/>
      <c r="AL639" s="62"/>
      <c r="AM639" s="62"/>
      <c r="AN639" s="62"/>
      <c r="AO639" s="62"/>
      <c r="AP639" s="62"/>
      <c r="AQ639" s="80"/>
    </row>
    <row r="640" spans="1:43" ht="15.75" customHeight="1" x14ac:dyDescent="0.2">
      <c r="A640" s="63" t="str">
        <f t="shared" si="36"/>
        <v/>
      </c>
      <c r="B640" s="62"/>
      <c r="C640" s="62"/>
      <c r="D640" s="62"/>
      <c r="E640" s="62"/>
      <c r="F640" s="62"/>
      <c r="G640" s="62"/>
      <c r="H640" s="62"/>
      <c r="I640" s="66"/>
      <c r="J640" s="66"/>
      <c r="K640" s="66"/>
      <c r="L640" s="66"/>
      <c r="M640" s="66"/>
      <c r="N640" s="64" t="str">
        <f>IF(OR($B640="", $I640="", $J640="", $K640="", $L640="", $M640=""),"",ROUND(($I640*Lists!$AN$2)+($J640*Lists!$AN$3)+($K640*Lists!$AN$4)+($L640*Lists!$AN$5)+($M640*Lists!$AN$6),2))</f>
        <v/>
      </c>
      <c r="O640" s="64" t="str">
        <f>IF($A640="","",IFERROR(VLOOKUP($A640,'Risk Register'!$B$2:$I$1000,8,FALSE()),""))</f>
        <v/>
      </c>
      <c r="P640" s="66"/>
      <c r="Q640" s="66"/>
      <c r="R640" s="66"/>
      <c r="S640" s="66"/>
      <c r="T640" s="64" t="str">
        <f>IF(OR($B640="", $P640="", $Q640="", $R640="", $S640=""),"",ROUND(($P640*Lists!$AN$7)+($Q640*Lists!$AN$8)+($R640*Lists!$AN$9)+($S640*Lists!$AN$10),2))</f>
        <v/>
      </c>
      <c r="U640" s="66"/>
      <c r="V640" s="66"/>
      <c r="W640" s="66"/>
      <c r="X640" s="66"/>
      <c r="Y640" s="66"/>
      <c r="Z640" s="64" t="str">
        <f>IF(OR($B640="", $U640="", $V640="", $W640="", $X640="", $Y640=""),"",ROUND(($U640*Lists!$AN$11)+($V640*Lists!$AN$12)+($W640*Lists!$AN$13)+($X640*Lists!$AN$14)+($Y640*Lists!$AN$15),2))</f>
        <v/>
      </c>
      <c r="AA640" s="64" t="str">
        <f>IF(OR($B640="", $N640="", $O640="", $T640="", $Z640=""),"",ROUND(($N640*Lists!$AN$16)-($O640*Lists!$AN$17)-($T640*Lists!$AN$18)+($Z640*Lists!$AN$19),2))</f>
        <v/>
      </c>
      <c r="AB640" s="63" t="str">
        <f t="shared" si="37"/>
        <v/>
      </c>
      <c r="AC640" s="63" t="str">
        <f t="shared" si="38"/>
        <v/>
      </c>
      <c r="AD640" s="63" t="str">
        <f>IF($A640="","",IFERROR(IF(VLOOKUP($A640,'Risk Register'!$B$2:$H$1000,4,FALSE())&gt;=4,"Yes",""),""))</f>
        <v/>
      </c>
      <c r="AE640" s="63" t="str">
        <f t="shared" si="39"/>
        <v/>
      </c>
      <c r="AF640" s="62"/>
      <c r="AG640" s="62"/>
      <c r="AH640" s="62"/>
      <c r="AI640" s="62"/>
      <c r="AJ640" s="62"/>
      <c r="AK640" s="62"/>
      <c r="AL640" s="62"/>
      <c r="AM640" s="62"/>
      <c r="AN640" s="62"/>
      <c r="AO640" s="62"/>
      <c r="AP640" s="62"/>
      <c r="AQ640" s="80"/>
    </row>
    <row r="641" spans="1:43" ht="15.75" customHeight="1" x14ac:dyDescent="0.2">
      <c r="A641" s="63" t="str">
        <f t="shared" si="36"/>
        <v/>
      </c>
      <c r="B641" s="62"/>
      <c r="C641" s="62"/>
      <c r="D641" s="62"/>
      <c r="E641" s="62"/>
      <c r="F641" s="62"/>
      <c r="G641" s="62"/>
      <c r="H641" s="62"/>
      <c r="I641" s="66"/>
      <c r="J641" s="66"/>
      <c r="K641" s="66"/>
      <c r="L641" s="66"/>
      <c r="M641" s="66"/>
      <c r="N641" s="64" t="str">
        <f>IF(OR($B641="", $I641="", $J641="", $K641="", $L641="", $M641=""),"",ROUND(($I641*Lists!$AN$2)+($J641*Lists!$AN$3)+($K641*Lists!$AN$4)+($L641*Lists!$AN$5)+($M641*Lists!$AN$6),2))</f>
        <v/>
      </c>
      <c r="O641" s="64" t="str">
        <f>IF($A641="","",IFERROR(VLOOKUP($A641,'Risk Register'!$B$2:$I$1000,8,FALSE()),""))</f>
        <v/>
      </c>
      <c r="P641" s="66"/>
      <c r="Q641" s="66"/>
      <c r="R641" s="66"/>
      <c r="S641" s="66"/>
      <c r="T641" s="64" t="str">
        <f>IF(OR($B641="", $P641="", $Q641="", $R641="", $S641=""),"",ROUND(($P641*Lists!$AN$7)+($Q641*Lists!$AN$8)+($R641*Lists!$AN$9)+($S641*Lists!$AN$10),2))</f>
        <v/>
      </c>
      <c r="U641" s="66"/>
      <c r="V641" s="66"/>
      <c r="W641" s="66"/>
      <c r="X641" s="66"/>
      <c r="Y641" s="66"/>
      <c r="Z641" s="64" t="str">
        <f>IF(OR($B641="", $U641="", $V641="", $W641="", $X641="", $Y641=""),"",ROUND(($U641*Lists!$AN$11)+($V641*Lists!$AN$12)+($W641*Lists!$AN$13)+($X641*Lists!$AN$14)+($Y641*Lists!$AN$15),2))</f>
        <v/>
      </c>
      <c r="AA641" s="64" t="str">
        <f>IF(OR($B641="", $N641="", $O641="", $T641="", $Z641=""),"",ROUND(($N641*Lists!$AN$16)-($O641*Lists!$AN$17)-($T641*Lists!$AN$18)+($Z641*Lists!$AN$19),2))</f>
        <v/>
      </c>
      <c r="AB641" s="63" t="str">
        <f t="shared" si="37"/>
        <v/>
      </c>
      <c r="AC641" s="63" t="str">
        <f t="shared" si="38"/>
        <v/>
      </c>
      <c r="AD641" s="63" t="str">
        <f>IF($A641="","",IFERROR(IF(VLOOKUP($A641,'Risk Register'!$B$2:$H$1000,4,FALSE())&gt;=4,"Yes",""),""))</f>
        <v/>
      </c>
      <c r="AE641" s="63" t="str">
        <f t="shared" si="39"/>
        <v/>
      </c>
      <c r="AF641" s="62"/>
      <c r="AG641" s="62"/>
      <c r="AH641" s="62"/>
      <c r="AI641" s="62"/>
      <c r="AJ641" s="62"/>
      <c r="AK641" s="62"/>
      <c r="AL641" s="62"/>
      <c r="AM641" s="62"/>
      <c r="AN641" s="62"/>
      <c r="AO641" s="62"/>
      <c r="AP641" s="62"/>
      <c r="AQ641" s="80"/>
    </row>
    <row r="642" spans="1:43" ht="15.75" customHeight="1" x14ac:dyDescent="0.2">
      <c r="A642" s="63" t="str">
        <f t="shared" si="36"/>
        <v/>
      </c>
      <c r="B642" s="62"/>
      <c r="C642" s="62"/>
      <c r="D642" s="62"/>
      <c r="E642" s="62"/>
      <c r="F642" s="62"/>
      <c r="G642" s="62"/>
      <c r="H642" s="62"/>
      <c r="I642" s="66"/>
      <c r="J642" s="66"/>
      <c r="K642" s="66"/>
      <c r="L642" s="66"/>
      <c r="M642" s="66"/>
      <c r="N642" s="64" t="str">
        <f>IF(OR($B642="", $I642="", $J642="", $K642="", $L642="", $M642=""),"",ROUND(($I642*Lists!$AN$2)+($J642*Lists!$AN$3)+($K642*Lists!$AN$4)+($L642*Lists!$AN$5)+($M642*Lists!$AN$6),2))</f>
        <v/>
      </c>
      <c r="O642" s="64" t="str">
        <f>IF($A642="","",IFERROR(VLOOKUP($A642,'Risk Register'!$B$2:$I$1000,8,FALSE()),""))</f>
        <v/>
      </c>
      <c r="P642" s="66"/>
      <c r="Q642" s="66"/>
      <c r="R642" s="66"/>
      <c r="S642" s="66"/>
      <c r="T642" s="64" t="str">
        <f>IF(OR($B642="", $P642="", $Q642="", $R642="", $S642=""),"",ROUND(($P642*Lists!$AN$7)+($Q642*Lists!$AN$8)+($R642*Lists!$AN$9)+($S642*Lists!$AN$10),2))</f>
        <v/>
      </c>
      <c r="U642" s="66"/>
      <c r="V642" s="66"/>
      <c r="W642" s="66"/>
      <c r="X642" s="66"/>
      <c r="Y642" s="66"/>
      <c r="Z642" s="64" t="str">
        <f>IF(OR($B642="", $U642="", $V642="", $W642="", $X642="", $Y642=""),"",ROUND(($U642*Lists!$AN$11)+($V642*Lists!$AN$12)+($W642*Lists!$AN$13)+($X642*Lists!$AN$14)+($Y642*Lists!$AN$15),2))</f>
        <v/>
      </c>
      <c r="AA642" s="64" t="str">
        <f>IF(OR($B642="", $N642="", $O642="", $T642="", $Z642=""),"",ROUND(($N642*Lists!$AN$16)-($O642*Lists!$AN$17)-($T642*Lists!$AN$18)+($Z642*Lists!$AN$19),2))</f>
        <v/>
      </c>
      <c r="AB642" s="63" t="str">
        <f t="shared" si="37"/>
        <v/>
      </c>
      <c r="AC642" s="63" t="str">
        <f t="shared" si="38"/>
        <v/>
      </c>
      <c r="AD642" s="63" t="str">
        <f>IF($A642="","",IFERROR(IF(VLOOKUP($A642,'Risk Register'!$B$2:$H$1000,4,FALSE())&gt;=4,"Yes",""),""))</f>
        <v/>
      </c>
      <c r="AE642" s="63" t="str">
        <f t="shared" si="39"/>
        <v/>
      </c>
      <c r="AF642" s="62"/>
      <c r="AG642" s="62"/>
      <c r="AH642" s="62"/>
      <c r="AI642" s="62"/>
      <c r="AJ642" s="62"/>
      <c r="AK642" s="62"/>
      <c r="AL642" s="62"/>
      <c r="AM642" s="62"/>
      <c r="AN642" s="62"/>
      <c r="AO642" s="62"/>
      <c r="AP642" s="62"/>
      <c r="AQ642" s="80"/>
    </row>
    <row r="643" spans="1:43" ht="15.75" customHeight="1" x14ac:dyDescent="0.2">
      <c r="A643" s="63" t="str">
        <f t="shared" si="36"/>
        <v/>
      </c>
      <c r="B643" s="62"/>
      <c r="C643" s="62"/>
      <c r="D643" s="62"/>
      <c r="E643" s="62"/>
      <c r="F643" s="62"/>
      <c r="G643" s="62"/>
      <c r="H643" s="62"/>
      <c r="I643" s="66"/>
      <c r="J643" s="66"/>
      <c r="K643" s="66"/>
      <c r="L643" s="66"/>
      <c r="M643" s="66"/>
      <c r="N643" s="64" t="str">
        <f>IF(OR($B643="", $I643="", $J643="", $K643="", $L643="", $M643=""),"",ROUND(($I643*Lists!$AN$2)+($J643*Lists!$AN$3)+($K643*Lists!$AN$4)+($L643*Lists!$AN$5)+($M643*Lists!$AN$6),2))</f>
        <v/>
      </c>
      <c r="O643" s="64" t="str">
        <f>IF($A643="","",IFERROR(VLOOKUP($A643,'Risk Register'!$B$2:$I$1000,8,FALSE()),""))</f>
        <v/>
      </c>
      <c r="P643" s="66"/>
      <c r="Q643" s="66"/>
      <c r="R643" s="66"/>
      <c r="S643" s="66"/>
      <c r="T643" s="64" t="str">
        <f>IF(OR($B643="", $P643="", $Q643="", $R643="", $S643=""),"",ROUND(($P643*Lists!$AN$7)+($Q643*Lists!$AN$8)+($R643*Lists!$AN$9)+($S643*Lists!$AN$10),2))</f>
        <v/>
      </c>
      <c r="U643" s="66"/>
      <c r="V643" s="66"/>
      <c r="W643" s="66"/>
      <c r="X643" s="66"/>
      <c r="Y643" s="66"/>
      <c r="Z643" s="64" t="str">
        <f>IF(OR($B643="", $U643="", $V643="", $W643="", $X643="", $Y643=""),"",ROUND(($U643*Lists!$AN$11)+($V643*Lists!$AN$12)+($W643*Lists!$AN$13)+($X643*Lists!$AN$14)+($Y643*Lists!$AN$15),2))</f>
        <v/>
      </c>
      <c r="AA643" s="64" t="str">
        <f>IF(OR($B643="", $N643="", $O643="", $T643="", $Z643=""),"",ROUND(($N643*Lists!$AN$16)-($O643*Lists!$AN$17)-($T643*Lists!$AN$18)+($Z643*Lists!$AN$19),2))</f>
        <v/>
      </c>
      <c r="AB643" s="63" t="str">
        <f t="shared" si="37"/>
        <v/>
      </c>
      <c r="AC643" s="63" t="str">
        <f t="shared" si="38"/>
        <v/>
      </c>
      <c r="AD643" s="63" t="str">
        <f>IF($A643="","",IFERROR(IF(VLOOKUP($A643,'Risk Register'!$B$2:$H$1000,4,FALSE())&gt;=4,"Yes",""),""))</f>
        <v/>
      </c>
      <c r="AE643" s="63" t="str">
        <f t="shared" si="39"/>
        <v/>
      </c>
      <c r="AF643" s="62"/>
      <c r="AG643" s="62"/>
      <c r="AH643" s="62"/>
      <c r="AI643" s="62"/>
      <c r="AJ643" s="62"/>
      <c r="AK643" s="62"/>
      <c r="AL643" s="62"/>
      <c r="AM643" s="62"/>
      <c r="AN643" s="62"/>
      <c r="AO643" s="62"/>
      <c r="AP643" s="62"/>
      <c r="AQ643" s="80"/>
    </row>
    <row r="644" spans="1:43" ht="15.75" customHeight="1" x14ac:dyDescent="0.2">
      <c r="A644" s="63" t="str">
        <f t="shared" si="36"/>
        <v/>
      </c>
      <c r="B644" s="62"/>
      <c r="C644" s="62"/>
      <c r="D644" s="62"/>
      <c r="E644" s="62"/>
      <c r="F644" s="62"/>
      <c r="G644" s="62"/>
      <c r="H644" s="62"/>
      <c r="I644" s="66"/>
      <c r="J644" s="66"/>
      <c r="K644" s="66"/>
      <c r="L644" s="66"/>
      <c r="M644" s="66"/>
      <c r="N644" s="64" t="str">
        <f>IF(OR($B644="", $I644="", $J644="", $K644="", $L644="", $M644=""),"",ROUND(($I644*Lists!$AN$2)+($J644*Lists!$AN$3)+($K644*Lists!$AN$4)+($L644*Lists!$AN$5)+($M644*Lists!$AN$6),2))</f>
        <v/>
      </c>
      <c r="O644" s="64" t="str">
        <f>IF($A644="","",IFERROR(VLOOKUP($A644,'Risk Register'!$B$2:$I$1000,8,FALSE()),""))</f>
        <v/>
      </c>
      <c r="P644" s="66"/>
      <c r="Q644" s="66"/>
      <c r="R644" s="66"/>
      <c r="S644" s="66"/>
      <c r="T644" s="64" t="str">
        <f>IF(OR($B644="", $P644="", $Q644="", $R644="", $S644=""),"",ROUND(($P644*Lists!$AN$7)+($Q644*Lists!$AN$8)+($R644*Lists!$AN$9)+($S644*Lists!$AN$10),2))</f>
        <v/>
      </c>
      <c r="U644" s="66"/>
      <c r="V644" s="66"/>
      <c r="W644" s="66"/>
      <c r="X644" s="66"/>
      <c r="Y644" s="66"/>
      <c r="Z644" s="64" t="str">
        <f>IF(OR($B644="", $U644="", $V644="", $W644="", $X644="", $Y644=""),"",ROUND(($U644*Lists!$AN$11)+($V644*Lists!$AN$12)+($W644*Lists!$AN$13)+($X644*Lists!$AN$14)+($Y644*Lists!$AN$15),2))</f>
        <v/>
      </c>
      <c r="AA644" s="64" t="str">
        <f>IF(OR($B644="", $N644="", $O644="", $T644="", $Z644=""),"",ROUND(($N644*Lists!$AN$16)-($O644*Lists!$AN$17)-($T644*Lists!$AN$18)+($Z644*Lists!$AN$19),2))</f>
        <v/>
      </c>
      <c r="AB644" s="63" t="str">
        <f t="shared" si="37"/>
        <v/>
      </c>
      <c r="AC644" s="63" t="str">
        <f t="shared" si="38"/>
        <v/>
      </c>
      <c r="AD644" s="63" t="str">
        <f>IF($A644="","",IFERROR(IF(VLOOKUP($A644,'Risk Register'!$B$2:$H$1000,4,FALSE())&gt;=4,"Yes",""),""))</f>
        <v/>
      </c>
      <c r="AE644" s="63" t="str">
        <f t="shared" si="39"/>
        <v/>
      </c>
      <c r="AF644" s="62"/>
      <c r="AG644" s="62"/>
      <c r="AH644" s="62"/>
      <c r="AI644" s="62"/>
      <c r="AJ644" s="62"/>
      <c r="AK644" s="62"/>
      <c r="AL644" s="62"/>
      <c r="AM644" s="62"/>
      <c r="AN644" s="62"/>
      <c r="AO644" s="62"/>
      <c r="AP644" s="62"/>
      <c r="AQ644" s="80"/>
    </row>
    <row r="645" spans="1:43" ht="15.75" customHeight="1" x14ac:dyDescent="0.2">
      <c r="A645" s="63" t="str">
        <f t="shared" si="36"/>
        <v/>
      </c>
      <c r="B645" s="62"/>
      <c r="C645" s="62"/>
      <c r="D645" s="62"/>
      <c r="E645" s="62"/>
      <c r="F645" s="62"/>
      <c r="G645" s="62"/>
      <c r="H645" s="62"/>
      <c r="I645" s="66"/>
      <c r="J645" s="66"/>
      <c r="K645" s="66"/>
      <c r="L645" s="66"/>
      <c r="M645" s="66"/>
      <c r="N645" s="64" t="str">
        <f>IF(OR($B645="", $I645="", $J645="", $K645="", $L645="", $M645=""),"",ROUND(($I645*Lists!$AN$2)+($J645*Lists!$AN$3)+($K645*Lists!$AN$4)+($L645*Lists!$AN$5)+($M645*Lists!$AN$6),2))</f>
        <v/>
      </c>
      <c r="O645" s="64" t="str">
        <f>IF($A645="","",IFERROR(VLOOKUP($A645,'Risk Register'!$B$2:$I$1000,8,FALSE()),""))</f>
        <v/>
      </c>
      <c r="P645" s="66"/>
      <c r="Q645" s="66"/>
      <c r="R645" s="66"/>
      <c r="S645" s="66"/>
      <c r="T645" s="64" t="str">
        <f>IF(OR($B645="", $P645="", $Q645="", $R645="", $S645=""),"",ROUND(($P645*Lists!$AN$7)+($Q645*Lists!$AN$8)+($R645*Lists!$AN$9)+($S645*Lists!$AN$10),2))</f>
        <v/>
      </c>
      <c r="U645" s="66"/>
      <c r="V645" s="66"/>
      <c r="W645" s="66"/>
      <c r="X645" s="66"/>
      <c r="Y645" s="66"/>
      <c r="Z645" s="64" t="str">
        <f>IF(OR($B645="", $U645="", $V645="", $W645="", $X645="", $Y645=""),"",ROUND(($U645*Lists!$AN$11)+($V645*Lists!$AN$12)+($W645*Lists!$AN$13)+($X645*Lists!$AN$14)+($Y645*Lists!$AN$15),2))</f>
        <v/>
      </c>
      <c r="AA645" s="64" t="str">
        <f>IF(OR($B645="", $N645="", $O645="", $T645="", $Z645=""),"",ROUND(($N645*Lists!$AN$16)-($O645*Lists!$AN$17)-($T645*Lists!$AN$18)+($Z645*Lists!$AN$19),2))</f>
        <v/>
      </c>
      <c r="AB645" s="63" t="str">
        <f t="shared" si="37"/>
        <v/>
      </c>
      <c r="AC645" s="63" t="str">
        <f t="shared" si="38"/>
        <v/>
      </c>
      <c r="AD645" s="63" t="str">
        <f>IF($A645="","",IFERROR(IF(VLOOKUP($A645,'Risk Register'!$B$2:$H$1000,4,FALSE())&gt;=4,"Yes",""),""))</f>
        <v/>
      </c>
      <c r="AE645" s="63" t="str">
        <f t="shared" si="39"/>
        <v/>
      </c>
      <c r="AF645" s="62"/>
      <c r="AG645" s="62"/>
      <c r="AH645" s="62"/>
      <c r="AI645" s="62"/>
      <c r="AJ645" s="62"/>
      <c r="AK645" s="62"/>
      <c r="AL645" s="62"/>
      <c r="AM645" s="62"/>
      <c r="AN645" s="62"/>
      <c r="AO645" s="62"/>
      <c r="AP645" s="62"/>
      <c r="AQ645" s="80"/>
    </row>
    <row r="646" spans="1:43" ht="15.75" customHeight="1" x14ac:dyDescent="0.2">
      <c r="A646" s="63" t="str">
        <f t="shared" si="36"/>
        <v/>
      </c>
      <c r="B646" s="62"/>
      <c r="C646" s="62"/>
      <c r="D646" s="62"/>
      <c r="E646" s="62"/>
      <c r="F646" s="62"/>
      <c r="G646" s="62"/>
      <c r="H646" s="62"/>
      <c r="I646" s="66"/>
      <c r="J646" s="66"/>
      <c r="K646" s="66"/>
      <c r="L646" s="66"/>
      <c r="M646" s="66"/>
      <c r="N646" s="64" t="str">
        <f>IF(OR($B646="", $I646="", $J646="", $K646="", $L646="", $M646=""),"",ROUND(($I646*Lists!$AN$2)+($J646*Lists!$AN$3)+($K646*Lists!$AN$4)+($L646*Lists!$AN$5)+($M646*Lists!$AN$6),2))</f>
        <v/>
      </c>
      <c r="O646" s="64" t="str">
        <f>IF($A646="","",IFERROR(VLOOKUP($A646,'Risk Register'!$B$2:$I$1000,8,FALSE()),""))</f>
        <v/>
      </c>
      <c r="P646" s="66"/>
      <c r="Q646" s="66"/>
      <c r="R646" s="66"/>
      <c r="S646" s="66"/>
      <c r="T646" s="64" t="str">
        <f>IF(OR($B646="", $P646="", $Q646="", $R646="", $S646=""),"",ROUND(($P646*Lists!$AN$7)+($Q646*Lists!$AN$8)+($R646*Lists!$AN$9)+($S646*Lists!$AN$10),2))</f>
        <v/>
      </c>
      <c r="U646" s="66"/>
      <c r="V646" s="66"/>
      <c r="W646" s="66"/>
      <c r="X646" s="66"/>
      <c r="Y646" s="66"/>
      <c r="Z646" s="64" t="str">
        <f>IF(OR($B646="", $U646="", $V646="", $W646="", $X646="", $Y646=""),"",ROUND(($U646*Lists!$AN$11)+($V646*Lists!$AN$12)+($W646*Lists!$AN$13)+($X646*Lists!$AN$14)+($Y646*Lists!$AN$15),2))</f>
        <v/>
      </c>
      <c r="AA646" s="64" t="str">
        <f>IF(OR($B646="", $N646="", $O646="", $T646="", $Z646=""),"",ROUND(($N646*Lists!$AN$16)-($O646*Lists!$AN$17)-($T646*Lists!$AN$18)+($Z646*Lists!$AN$19),2))</f>
        <v/>
      </c>
      <c r="AB646" s="63" t="str">
        <f t="shared" si="37"/>
        <v/>
      </c>
      <c r="AC646" s="63" t="str">
        <f t="shared" si="38"/>
        <v/>
      </c>
      <c r="AD646" s="63" t="str">
        <f>IF($A646="","",IFERROR(IF(VLOOKUP($A646,'Risk Register'!$B$2:$H$1000,4,FALSE())&gt;=4,"Yes",""),""))</f>
        <v/>
      </c>
      <c r="AE646" s="63" t="str">
        <f t="shared" si="39"/>
        <v/>
      </c>
      <c r="AF646" s="62"/>
      <c r="AG646" s="62"/>
      <c r="AH646" s="62"/>
      <c r="AI646" s="62"/>
      <c r="AJ646" s="62"/>
      <c r="AK646" s="62"/>
      <c r="AL646" s="62"/>
      <c r="AM646" s="62"/>
      <c r="AN646" s="62"/>
      <c r="AO646" s="62"/>
      <c r="AP646" s="62"/>
      <c r="AQ646" s="80"/>
    </row>
    <row r="647" spans="1:43" ht="15.75" customHeight="1" x14ac:dyDescent="0.2">
      <c r="A647" s="63" t="str">
        <f t="shared" si="36"/>
        <v/>
      </c>
      <c r="B647" s="62"/>
      <c r="C647" s="62"/>
      <c r="D647" s="62"/>
      <c r="E647" s="62"/>
      <c r="F647" s="62"/>
      <c r="G647" s="62"/>
      <c r="H647" s="62"/>
      <c r="I647" s="66"/>
      <c r="J647" s="66"/>
      <c r="K647" s="66"/>
      <c r="L647" s="66"/>
      <c r="M647" s="66"/>
      <c r="N647" s="64" t="str">
        <f>IF(OR($B647="", $I647="", $J647="", $K647="", $L647="", $M647=""),"",ROUND(($I647*Lists!$AN$2)+($J647*Lists!$AN$3)+($K647*Lists!$AN$4)+($L647*Lists!$AN$5)+($M647*Lists!$AN$6),2))</f>
        <v/>
      </c>
      <c r="O647" s="64" t="str">
        <f>IF($A647="","",IFERROR(VLOOKUP($A647,'Risk Register'!$B$2:$I$1000,8,FALSE()),""))</f>
        <v/>
      </c>
      <c r="P647" s="66"/>
      <c r="Q647" s="66"/>
      <c r="R647" s="66"/>
      <c r="S647" s="66"/>
      <c r="T647" s="64" t="str">
        <f>IF(OR($B647="", $P647="", $Q647="", $R647="", $S647=""),"",ROUND(($P647*Lists!$AN$7)+($Q647*Lists!$AN$8)+($R647*Lists!$AN$9)+($S647*Lists!$AN$10),2))</f>
        <v/>
      </c>
      <c r="U647" s="66"/>
      <c r="V647" s="66"/>
      <c r="W647" s="66"/>
      <c r="X647" s="66"/>
      <c r="Y647" s="66"/>
      <c r="Z647" s="64" t="str">
        <f>IF(OR($B647="", $U647="", $V647="", $W647="", $X647="", $Y647=""),"",ROUND(($U647*Lists!$AN$11)+($V647*Lists!$AN$12)+($W647*Lists!$AN$13)+($X647*Lists!$AN$14)+($Y647*Lists!$AN$15),2))</f>
        <v/>
      </c>
      <c r="AA647" s="64" t="str">
        <f>IF(OR($B647="", $N647="", $O647="", $T647="", $Z647=""),"",ROUND(($N647*Lists!$AN$16)-($O647*Lists!$AN$17)-($T647*Lists!$AN$18)+($Z647*Lists!$AN$19),2))</f>
        <v/>
      </c>
      <c r="AB647" s="63" t="str">
        <f t="shared" si="37"/>
        <v/>
      </c>
      <c r="AC647" s="63" t="str">
        <f t="shared" si="38"/>
        <v/>
      </c>
      <c r="AD647" s="63" t="str">
        <f>IF($A647="","",IFERROR(IF(VLOOKUP($A647,'Risk Register'!$B$2:$H$1000,4,FALSE())&gt;=4,"Yes",""),""))</f>
        <v/>
      </c>
      <c r="AE647" s="63" t="str">
        <f t="shared" si="39"/>
        <v/>
      </c>
      <c r="AF647" s="62"/>
      <c r="AG647" s="62"/>
      <c r="AH647" s="62"/>
      <c r="AI647" s="62"/>
      <c r="AJ647" s="62"/>
      <c r="AK647" s="62"/>
      <c r="AL647" s="62"/>
      <c r="AM647" s="62"/>
      <c r="AN647" s="62"/>
      <c r="AO647" s="62"/>
      <c r="AP647" s="62"/>
      <c r="AQ647" s="80"/>
    </row>
    <row r="648" spans="1:43" ht="15.75" customHeight="1" x14ac:dyDescent="0.2">
      <c r="A648" s="63" t="str">
        <f t="shared" si="36"/>
        <v/>
      </c>
      <c r="B648" s="62"/>
      <c r="C648" s="62"/>
      <c r="D648" s="62"/>
      <c r="E648" s="62"/>
      <c r="F648" s="62"/>
      <c r="G648" s="62"/>
      <c r="H648" s="62"/>
      <c r="I648" s="66"/>
      <c r="J648" s="66"/>
      <c r="K648" s="66"/>
      <c r="L648" s="66"/>
      <c r="M648" s="66"/>
      <c r="N648" s="64" t="str">
        <f>IF(OR($B648="", $I648="", $J648="", $K648="", $L648="", $M648=""),"",ROUND(($I648*Lists!$AN$2)+($J648*Lists!$AN$3)+($K648*Lists!$AN$4)+($L648*Lists!$AN$5)+($M648*Lists!$AN$6),2))</f>
        <v/>
      </c>
      <c r="O648" s="64" t="str">
        <f>IF($A648="","",IFERROR(VLOOKUP($A648,'Risk Register'!$B$2:$I$1000,8,FALSE()),""))</f>
        <v/>
      </c>
      <c r="P648" s="66"/>
      <c r="Q648" s="66"/>
      <c r="R648" s="66"/>
      <c r="S648" s="66"/>
      <c r="T648" s="64" t="str">
        <f>IF(OR($B648="", $P648="", $Q648="", $R648="", $S648=""),"",ROUND(($P648*Lists!$AN$7)+($Q648*Lists!$AN$8)+($R648*Lists!$AN$9)+($S648*Lists!$AN$10),2))</f>
        <v/>
      </c>
      <c r="U648" s="66"/>
      <c r="V648" s="66"/>
      <c r="W648" s="66"/>
      <c r="X648" s="66"/>
      <c r="Y648" s="66"/>
      <c r="Z648" s="64" t="str">
        <f>IF(OR($B648="", $U648="", $V648="", $W648="", $X648="", $Y648=""),"",ROUND(($U648*Lists!$AN$11)+($V648*Lists!$AN$12)+($W648*Lists!$AN$13)+($X648*Lists!$AN$14)+($Y648*Lists!$AN$15),2))</f>
        <v/>
      </c>
      <c r="AA648" s="64" t="str">
        <f>IF(OR($B648="", $N648="", $O648="", $T648="", $Z648=""),"",ROUND(($N648*Lists!$AN$16)-($O648*Lists!$AN$17)-($T648*Lists!$AN$18)+($Z648*Lists!$AN$19),2))</f>
        <v/>
      </c>
      <c r="AB648" s="63" t="str">
        <f t="shared" si="37"/>
        <v/>
      </c>
      <c r="AC648" s="63" t="str">
        <f t="shared" si="38"/>
        <v/>
      </c>
      <c r="AD648" s="63" t="str">
        <f>IF($A648="","",IFERROR(IF(VLOOKUP($A648,'Risk Register'!$B$2:$H$1000,4,FALSE())&gt;=4,"Yes",""),""))</f>
        <v/>
      </c>
      <c r="AE648" s="63" t="str">
        <f t="shared" si="39"/>
        <v/>
      </c>
      <c r="AF648" s="62"/>
      <c r="AG648" s="62"/>
      <c r="AH648" s="62"/>
      <c r="AI648" s="62"/>
      <c r="AJ648" s="62"/>
      <c r="AK648" s="62"/>
      <c r="AL648" s="62"/>
      <c r="AM648" s="62"/>
      <c r="AN648" s="62"/>
      <c r="AO648" s="62"/>
      <c r="AP648" s="62"/>
      <c r="AQ648" s="80"/>
    </row>
    <row r="649" spans="1:43" ht="15.75" customHeight="1" x14ac:dyDescent="0.2">
      <c r="A649" s="63" t="str">
        <f t="shared" si="36"/>
        <v/>
      </c>
      <c r="B649" s="62"/>
      <c r="C649" s="62"/>
      <c r="D649" s="62"/>
      <c r="E649" s="62"/>
      <c r="F649" s="62"/>
      <c r="G649" s="62"/>
      <c r="H649" s="62"/>
      <c r="I649" s="66"/>
      <c r="J649" s="66"/>
      <c r="K649" s="66"/>
      <c r="L649" s="66"/>
      <c r="M649" s="66"/>
      <c r="N649" s="64" t="str">
        <f>IF(OR($B649="", $I649="", $J649="", $K649="", $L649="", $M649=""),"",ROUND(($I649*Lists!$AN$2)+($J649*Lists!$AN$3)+($K649*Lists!$AN$4)+($L649*Lists!$AN$5)+($M649*Lists!$AN$6),2))</f>
        <v/>
      </c>
      <c r="O649" s="64" t="str">
        <f>IF($A649="","",IFERROR(VLOOKUP($A649,'Risk Register'!$B$2:$I$1000,8,FALSE()),""))</f>
        <v/>
      </c>
      <c r="P649" s="66"/>
      <c r="Q649" s="66"/>
      <c r="R649" s="66"/>
      <c r="S649" s="66"/>
      <c r="T649" s="64" t="str">
        <f>IF(OR($B649="", $P649="", $Q649="", $R649="", $S649=""),"",ROUND(($P649*Lists!$AN$7)+($Q649*Lists!$AN$8)+($R649*Lists!$AN$9)+($S649*Lists!$AN$10),2))</f>
        <v/>
      </c>
      <c r="U649" s="66"/>
      <c r="V649" s="66"/>
      <c r="W649" s="66"/>
      <c r="X649" s="66"/>
      <c r="Y649" s="66"/>
      <c r="Z649" s="64" t="str">
        <f>IF(OR($B649="", $U649="", $V649="", $W649="", $X649="", $Y649=""),"",ROUND(($U649*Lists!$AN$11)+($V649*Lists!$AN$12)+($W649*Lists!$AN$13)+($X649*Lists!$AN$14)+($Y649*Lists!$AN$15),2))</f>
        <v/>
      </c>
      <c r="AA649" s="64" t="str">
        <f>IF(OR($B649="", $N649="", $O649="", $T649="", $Z649=""),"",ROUND(($N649*Lists!$AN$16)-($O649*Lists!$AN$17)-($T649*Lists!$AN$18)+($Z649*Lists!$AN$19),2))</f>
        <v/>
      </c>
      <c r="AB649" s="63" t="str">
        <f t="shared" si="37"/>
        <v/>
      </c>
      <c r="AC649" s="63" t="str">
        <f t="shared" si="38"/>
        <v/>
      </c>
      <c r="AD649" s="63" t="str">
        <f>IF($A649="","",IFERROR(IF(VLOOKUP($A649,'Risk Register'!$B$2:$H$1000,4,FALSE())&gt;=4,"Yes",""),""))</f>
        <v/>
      </c>
      <c r="AE649" s="63" t="str">
        <f t="shared" si="39"/>
        <v/>
      </c>
      <c r="AF649" s="62"/>
      <c r="AG649" s="62"/>
      <c r="AH649" s="62"/>
      <c r="AI649" s="62"/>
      <c r="AJ649" s="62"/>
      <c r="AK649" s="62"/>
      <c r="AL649" s="62"/>
      <c r="AM649" s="62"/>
      <c r="AN649" s="62"/>
      <c r="AO649" s="62"/>
      <c r="AP649" s="62"/>
      <c r="AQ649" s="80"/>
    </row>
    <row r="650" spans="1:43" ht="15.75" customHeight="1" x14ac:dyDescent="0.2">
      <c r="A650" s="63" t="str">
        <f t="shared" si="36"/>
        <v/>
      </c>
      <c r="B650" s="62"/>
      <c r="C650" s="62"/>
      <c r="D650" s="62"/>
      <c r="E650" s="62"/>
      <c r="F650" s="62"/>
      <c r="G650" s="62"/>
      <c r="H650" s="62"/>
      <c r="I650" s="66"/>
      <c r="J650" s="66"/>
      <c r="K650" s="66"/>
      <c r="L650" s="66"/>
      <c r="M650" s="66"/>
      <c r="N650" s="64" t="str">
        <f>IF(OR($B650="", $I650="", $J650="", $K650="", $L650="", $M650=""),"",ROUND(($I650*Lists!$AN$2)+($J650*Lists!$AN$3)+($K650*Lists!$AN$4)+($L650*Lists!$AN$5)+($M650*Lists!$AN$6),2))</f>
        <v/>
      </c>
      <c r="O650" s="64" t="str">
        <f>IF($A650="","",IFERROR(VLOOKUP($A650,'Risk Register'!$B$2:$I$1000,8,FALSE()),""))</f>
        <v/>
      </c>
      <c r="P650" s="66"/>
      <c r="Q650" s="66"/>
      <c r="R650" s="66"/>
      <c r="S650" s="66"/>
      <c r="T650" s="64" t="str">
        <f>IF(OR($B650="", $P650="", $Q650="", $R650="", $S650=""),"",ROUND(($P650*Lists!$AN$7)+($Q650*Lists!$AN$8)+($R650*Lists!$AN$9)+($S650*Lists!$AN$10),2))</f>
        <v/>
      </c>
      <c r="U650" s="66"/>
      <c r="V650" s="66"/>
      <c r="W650" s="66"/>
      <c r="X650" s="66"/>
      <c r="Y650" s="66"/>
      <c r="Z650" s="64" t="str">
        <f>IF(OR($B650="", $U650="", $V650="", $W650="", $X650="", $Y650=""),"",ROUND(($U650*Lists!$AN$11)+($V650*Lists!$AN$12)+($W650*Lists!$AN$13)+($X650*Lists!$AN$14)+($Y650*Lists!$AN$15),2))</f>
        <v/>
      </c>
      <c r="AA650" s="64" t="str">
        <f>IF(OR($B650="", $N650="", $O650="", $T650="", $Z650=""),"",ROUND(($N650*Lists!$AN$16)-($O650*Lists!$AN$17)-($T650*Lists!$AN$18)+($Z650*Lists!$AN$19),2))</f>
        <v/>
      </c>
      <c r="AB650" s="63" t="str">
        <f t="shared" si="37"/>
        <v/>
      </c>
      <c r="AC650" s="63" t="str">
        <f t="shared" si="38"/>
        <v/>
      </c>
      <c r="AD650" s="63" t="str">
        <f>IF($A650="","",IFERROR(IF(VLOOKUP($A650,'Risk Register'!$B$2:$H$1000,4,FALSE())&gt;=4,"Yes",""),""))</f>
        <v/>
      </c>
      <c r="AE650" s="63" t="str">
        <f t="shared" si="39"/>
        <v/>
      </c>
      <c r="AF650" s="62"/>
      <c r="AG650" s="62"/>
      <c r="AH650" s="62"/>
      <c r="AI650" s="62"/>
      <c r="AJ650" s="62"/>
      <c r="AK650" s="62"/>
      <c r="AL650" s="62"/>
      <c r="AM650" s="62"/>
      <c r="AN650" s="62"/>
      <c r="AO650" s="62"/>
      <c r="AP650" s="62"/>
      <c r="AQ650" s="80"/>
    </row>
    <row r="651" spans="1:43" ht="15.75" customHeight="1" x14ac:dyDescent="0.2">
      <c r="A651" s="63" t="str">
        <f t="shared" si="36"/>
        <v/>
      </c>
      <c r="B651" s="62"/>
      <c r="C651" s="62"/>
      <c r="D651" s="62"/>
      <c r="E651" s="62"/>
      <c r="F651" s="62"/>
      <c r="G651" s="62"/>
      <c r="H651" s="62"/>
      <c r="I651" s="66"/>
      <c r="J651" s="66"/>
      <c r="K651" s="66"/>
      <c r="L651" s="66"/>
      <c r="M651" s="66"/>
      <c r="N651" s="64" t="str">
        <f>IF(OR($B651="", $I651="", $J651="", $K651="", $L651="", $M651=""),"",ROUND(($I651*Lists!$AN$2)+($J651*Lists!$AN$3)+($K651*Lists!$AN$4)+($L651*Lists!$AN$5)+($M651*Lists!$AN$6),2))</f>
        <v/>
      </c>
      <c r="O651" s="64" t="str">
        <f>IF($A651="","",IFERROR(VLOOKUP($A651,'Risk Register'!$B$2:$I$1000,8,FALSE()),""))</f>
        <v/>
      </c>
      <c r="P651" s="66"/>
      <c r="Q651" s="66"/>
      <c r="R651" s="66"/>
      <c r="S651" s="66"/>
      <c r="T651" s="64" t="str">
        <f>IF(OR($B651="", $P651="", $Q651="", $R651="", $S651=""),"",ROUND(($P651*Lists!$AN$7)+($Q651*Lists!$AN$8)+($R651*Lists!$AN$9)+($S651*Lists!$AN$10),2))</f>
        <v/>
      </c>
      <c r="U651" s="66"/>
      <c r="V651" s="66"/>
      <c r="W651" s="66"/>
      <c r="X651" s="66"/>
      <c r="Y651" s="66"/>
      <c r="Z651" s="64" t="str">
        <f>IF(OR($B651="", $U651="", $V651="", $W651="", $X651="", $Y651=""),"",ROUND(($U651*Lists!$AN$11)+($V651*Lists!$AN$12)+($W651*Lists!$AN$13)+($X651*Lists!$AN$14)+($Y651*Lists!$AN$15),2))</f>
        <v/>
      </c>
      <c r="AA651" s="64" t="str">
        <f>IF(OR($B651="", $N651="", $O651="", $T651="", $Z651=""),"",ROUND(($N651*Lists!$AN$16)-($O651*Lists!$AN$17)-($T651*Lists!$AN$18)+($Z651*Lists!$AN$19),2))</f>
        <v/>
      </c>
      <c r="AB651" s="63" t="str">
        <f t="shared" si="37"/>
        <v/>
      </c>
      <c r="AC651" s="63" t="str">
        <f t="shared" si="38"/>
        <v/>
      </c>
      <c r="AD651" s="63" t="str">
        <f>IF($A651="","",IFERROR(IF(VLOOKUP($A651,'Risk Register'!$B$2:$H$1000,4,FALSE())&gt;=4,"Yes",""),""))</f>
        <v/>
      </c>
      <c r="AE651" s="63" t="str">
        <f t="shared" si="39"/>
        <v/>
      </c>
      <c r="AF651" s="62"/>
      <c r="AG651" s="62"/>
      <c r="AH651" s="62"/>
      <c r="AI651" s="62"/>
      <c r="AJ651" s="62"/>
      <c r="AK651" s="62"/>
      <c r="AL651" s="62"/>
      <c r="AM651" s="62"/>
      <c r="AN651" s="62"/>
      <c r="AO651" s="62"/>
      <c r="AP651" s="62"/>
      <c r="AQ651" s="80"/>
    </row>
    <row r="652" spans="1:43" ht="15.75" customHeight="1" x14ac:dyDescent="0.2">
      <c r="A652" s="63" t="str">
        <f t="shared" si="36"/>
        <v/>
      </c>
      <c r="B652" s="62"/>
      <c r="C652" s="62"/>
      <c r="D652" s="62"/>
      <c r="E652" s="62"/>
      <c r="F652" s="62"/>
      <c r="G652" s="62"/>
      <c r="H652" s="62"/>
      <c r="I652" s="66"/>
      <c r="J652" s="66"/>
      <c r="K652" s="66"/>
      <c r="L652" s="66"/>
      <c r="M652" s="66"/>
      <c r="N652" s="64" t="str">
        <f>IF(OR($B652="", $I652="", $J652="", $K652="", $L652="", $M652=""),"",ROUND(($I652*Lists!$AN$2)+($J652*Lists!$AN$3)+($K652*Lists!$AN$4)+($L652*Lists!$AN$5)+($M652*Lists!$AN$6),2))</f>
        <v/>
      </c>
      <c r="O652" s="64" t="str">
        <f>IF($A652="","",IFERROR(VLOOKUP($A652,'Risk Register'!$B$2:$I$1000,8,FALSE()),""))</f>
        <v/>
      </c>
      <c r="P652" s="66"/>
      <c r="Q652" s="66"/>
      <c r="R652" s="66"/>
      <c r="S652" s="66"/>
      <c r="T652" s="64" t="str">
        <f>IF(OR($B652="", $P652="", $Q652="", $R652="", $S652=""),"",ROUND(($P652*Lists!$AN$7)+($Q652*Lists!$AN$8)+($R652*Lists!$AN$9)+($S652*Lists!$AN$10),2))</f>
        <v/>
      </c>
      <c r="U652" s="66"/>
      <c r="V652" s="66"/>
      <c r="W652" s="66"/>
      <c r="X652" s="66"/>
      <c r="Y652" s="66"/>
      <c r="Z652" s="64" t="str">
        <f>IF(OR($B652="", $U652="", $V652="", $W652="", $X652="", $Y652=""),"",ROUND(($U652*Lists!$AN$11)+($V652*Lists!$AN$12)+($W652*Lists!$AN$13)+($X652*Lists!$AN$14)+($Y652*Lists!$AN$15),2))</f>
        <v/>
      </c>
      <c r="AA652" s="64" t="str">
        <f>IF(OR($B652="", $N652="", $O652="", $T652="", $Z652=""),"",ROUND(($N652*Lists!$AN$16)-($O652*Lists!$AN$17)-($T652*Lists!$AN$18)+($Z652*Lists!$AN$19),2))</f>
        <v/>
      </c>
      <c r="AB652" s="63" t="str">
        <f t="shared" si="37"/>
        <v/>
      </c>
      <c r="AC652" s="63" t="str">
        <f t="shared" si="38"/>
        <v/>
      </c>
      <c r="AD652" s="63" t="str">
        <f>IF($A652="","",IFERROR(IF(VLOOKUP($A652,'Risk Register'!$B$2:$H$1000,4,FALSE())&gt;=4,"Yes",""),""))</f>
        <v/>
      </c>
      <c r="AE652" s="63" t="str">
        <f t="shared" si="39"/>
        <v/>
      </c>
      <c r="AF652" s="62"/>
      <c r="AG652" s="62"/>
      <c r="AH652" s="62"/>
      <c r="AI652" s="62"/>
      <c r="AJ652" s="62"/>
      <c r="AK652" s="62"/>
      <c r="AL652" s="62"/>
      <c r="AM652" s="62"/>
      <c r="AN652" s="62"/>
      <c r="AO652" s="62"/>
      <c r="AP652" s="62"/>
      <c r="AQ652" s="80"/>
    </row>
    <row r="653" spans="1:43" ht="15.75" customHeight="1" x14ac:dyDescent="0.2">
      <c r="A653" s="63" t="str">
        <f t="shared" si="36"/>
        <v/>
      </c>
      <c r="B653" s="62"/>
      <c r="C653" s="62"/>
      <c r="D653" s="62"/>
      <c r="E653" s="62"/>
      <c r="F653" s="62"/>
      <c r="G653" s="62"/>
      <c r="H653" s="62"/>
      <c r="I653" s="66"/>
      <c r="J653" s="66"/>
      <c r="K653" s="66"/>
      <c r="L653" s="66"/>
      <c r="M653" s="66"/>
      <c r="N653" s="64" t="str">
        <f>IF(OR($B653="", $I653="", $J653="", $K653="", $L653="", $M653=""),"",ROUND(($I653*Lists!$AN$2)+($J653*Lists!$AN$3)+($K653*Lists!$AN$4)+($L653*Lists!$AN$5)+($M653*Lists!$AN$6),2))</f>
        <v/>
      </c>
      <c r="O653" s="64" t="str">
        <f>IF($A653="","",IFERROR(VLOOKUP($A653,'Risk Register'!$B$2:$I$1000,8,FALSE()),""))</f>
        <v/>
      </c>
      <c r="P653" s="66"/>
      <c r="Q653" s="66"/>
      <c r="R653" s="66"/>
      <c r="S653" s="66"/>
      <c r="T653" s="64" t="str">
        <f>IF(OR($B653="", $P653="", $Q653="", $R653="", $S653=""),"",ROUND(($P653*Lists!$AN$7)+($Q653*Lists!$AN$8)+($R653*Lists!$AN$9)+($S653*Lists!$AN$10),2))</f>
        <v/>
      </c>
      <c r="U653" s="66"/>
      <c r="V653" s="66"/>
      <c r="W653" s="66"/>
      <c r="X653" s="66"/>
      <c r="Y653" s="66"/>
      <c r="Z653" s="64" t="str">
        <f>IF(OR($B653="", $U653="", $V653="", $W653="", $X653="", $Y653=""),"",ROUND(($U653*Lists!$AN$11)+($V653*Lists!$AN$12)+($W653*Lists!$AN$13)+($X653*Lists!$AN$14)+($Y653*Lists!$AN$15),2))</f>
        <v/>
      </c>
      <c r="AA653" s="64" t="str">
        <f>IF(OR($B653="", $N653="", $O653="", $T653="", $Z653=""),"",ROUND(($N653*Lists!$AN$16)-($O653*Lists!$AN$17)-($T653*Lists!$AN$18)+($Z653*Lists!$AN$19),2))</f>
        <v/>
      </c>
      <c r="AB653" s="63" t="str">
        <f t="shared" si="37"/>
        <v/>
      </c>
      <c r="AC653" s="63" t="str">
        <f t="shared" si="38"/>
        <v/>
      </c>
      <c r="AD653" s="63" t="str">
        <f>IF($A653="","",IFERROR(IF(VLOOKUP($A653,'Risk Register'!$B$2:$H$1000,4,FALSE())&gt;=4,"Yes",""),""))</f>
        <v/>
      </c>
      <c r="AE653" s="63" t="str">
        <f t="shared" si="39"/>
        <v/>
      </c>
      <c r="AF653" s="62"/>
      <c r="AG653" s="62"/>
      <c r="AH653" s="62"/>
      <c r="AI653" s="62"/>
      <c r="AJ653" s="62"/>
      <c r="AK653" s="62"/>
      <c r="AL653" s="62"/>
      <c r="AM653" s="62"/>
      <c r="AN653" s="62"/>
      <c r="AO653" s="62"/>
      <c r="AP653" s="62"/>
      <c r="AQ653" s="80"/>
    </row>
    <row r="654" spans="1:43" ht="15.75" customHeight="1" x14ac:dyDescent="0.2">
      <c r="A654" s="63" t="str">
        <f t="shared" si="36"/>
        <v/>
      </c>
      <c r="B654" s="62"/>
      <c r="C654" s="62"/>
      <c r="D654" s="62"/>
      <c r="E654" s="62"/>
      <c r="F654" s="62"/>
      <c r="G654" s="62"/>
      <c r="H654" s="62"/>
      <c r="I654" s="66"/>
      <c r="J654" s="66"/>
      <c r="K654" s="66"/>
      <c r="L654" s="66"/>
      <c r="M654" s="66"/>
      <c r="N654" s="64" t="str">
        <f>IF(OR($B654="", $I654="", $J654="", $K654="", $L654="", $M654=""),"",ROUND(($I654*Lists!$AN$2)+($J654*Lists!$AN$3)+($K654*Lists!$AN$4)+($L654*Lists!$AN$5)+($M654*Lists!$AN$6),2))</f>
        <v/>
      </c>
      <c r="O654" s="64" t="str">
        <f>IF($A654="","",IFERROR(VLOOKUP($A654,'Risk Register'!$B$2:$I$1000,8,FALSE()),""))</f>
        <v/>
      </c>
      <c r="P654" s="66"/>
      <c r="Q654" s="66"/>
      <c r="R654" s="66"/>
      <c r="S654" s="66"/>
      <c r="T654" s="64" t="str">
        <f>IF(OR($B654="", $P654="", $Q654="", $R654="", $S654=""),"",ROUND(($P654*Lists!$AN$7)+($Q654*Lists!$AN$8)+($R654*Lists!$AN$9)+($S654*Lists!$AN$10),2))</f>
        <v/>
      </c>
      <c r="U654" s="66"/>
      <c r="V654" s="66"/>
      <c r="W654" s="66"/>
      <c r="X654" s="66"/>
      <c r="Y654" s="66"/>
      <c r="Z654" s="64" t="str">
        <f>IF(OR($B654="", $U654="", $V654="", $W654="", $X654="", $Y654=""),"",ROUND(($U654*Lists!$AN$11)+($V654*Lists!$AN$12)+($W654*Lists!$AN$13)+($X654*Lists!$AN$14)+($Y654*Lists!$AN$15),2))</f>
        <v/>
      </c>
      <c r="AA654" s="64" t="str">
        <f>IF(OR($B654="", $N654="", $O654="", $T654="", $Z654=""),"",ROUND(($N654*Lists!$AN$16)-($O654*Lists!$AN$17)-($T654*Lists!$AN$18)+($Z654*Lists!$AN$19),2))</f>
        <v/>
      </c>
      <c r="AB654" s="63" t="str">
        <f t="shared" si="37"/>
        <v/>
      </c>
      <c r="AC654" s="63" t="str">
        <f t="shared" si="38"/>
        <v/>
      </c>
      <c r="AD654" s="63" t="str">
        <f>IF($A654="","",IFERROR(IF(VLOOKUP($A654,'Risk Register'!$B$2:$H$1000,4,FALSE())&gt;=4,"Yes",""),""))</f>
        <v/>
      </c>
      <c r="AE654" s="63" t="str">
        <f t="shared" si="39"/>
        <v/>
      </c>
      <c r="AF654" s="62"/>
      <c r="AG654" s="62"/>
      <c r="AH654" s="62"/>
      <c r="AI654" s="62"/>
      <c r="AJ654" s="62"/>
      <c r="AK654" s="62"/>
      <c r="AL654" s="62"/>
      <c r="AM654" s="62"/>
      <c r="AN654" s="62"/>
      <c r="AO654" s="62"/>
      <c r="AP654" s="62"/>
      <c r="AQ654" s="80"/>
    </row>
    <row r="655" spans="1:43" ht="15.75" customHeight="1" x14ac:dyDescent="0.2">
      <c r="A655" s="63" t="str">
        <f t="shared" si="36"/>
        <v/>
      </c>
      <c r="B655" s="62"/>
      <c r="C655" s="62"/>
      <c r="D655" s="62"/>
      <c r="E655" s="62"/>
      <c r="F655" s="62"/>
      <c r="G655" s="62"/>
      <c r="H655" s="62"/>
      <c r="I655" s="66"/>
      <c r="J655" s="66"/>
      <c r="K655" s="66"/>
      <c r="L655" s="66"/>
      <c r="M655" s="66"/>
      <c r="N655" s="64" t="str">
        <f>IF(OR($B655="", $I655="", $J655="", $K655="", $L655="", $M655=""),"",ROUND(($I655*Lists!$AN$2)+($J655*Lists!$AN$3)+($K655*Lists!$AN$4)+($L655*Lists!$AN$5)+($M655*Lists!$AN$6),2))</f>
        <v/>
      </c>
      <c r="O655" s="64" t="str">
        <f>IF($A655="","",IFERROR(VLOOKUP($A655,'Risk Register'!$B$2:$I$1000,8,FALSE()),""))</f>
        <v/>
      </c>
      <c r="P655" s="66"/>
      <c r="Q655" s="66"/>
      <c r="R655" s="66"/>
      <c r="S655" s="66"/>
      <c r="T655" s="64" t="str">
        <f>IF(OR($B655="", $P655="", $Q655="", $R655="", $S655=""),"",ROUND(($P655*Lists!$AN$7)+($Q655*Lists!$AN$8)+($R655*Lists!$AN$9)+($S655*Lists!$AN$10),2))</f>
        <v/>
      </c>
      <c r="U655" s="66"/>
      <c r="V655" s="66"/>
      <c r="W655" s="66"/>
      <c r="X655" s="66"/>
      <c r="Y655" s="66"/>
      <c r="Z655" s="64" t="str">
        <f>IF(OR($B655="", $U655="", $V655="", $W655="", $X655="", $Y655=""),"",ROUND(($U655*Lists!$AN$11)+($V655*Lists!$AN$12)+($W655*Lists!$AN$13)+($X655*Lists!$AN$14)+($Y655*Lists!$AN$15),2))</f>
        <v/>
      </c>
      <c r="AA655" s="64" t="str">
        <f>IF(OR($B655="", $N655="", $O655="", $T655="", $Z655=""),"",ROUND(($N655*Lists!$AN$16)-($O655*Lists!$AN$17)-($T655*Lists!$AN$18)+($Z655*Lists!$AN$19),2))</f>
        <v/>
      </c>
      <c r="AB655" s="63" t="str">
        <f t="shared" si="37"/>
        <v/>
      </c>
      <c r="AC655" s="63" t="str">
        <f t="shared" si="38"/>
        <v/>
      </c>
      <c r="AD655" s="63" t="str">
        <f>IF($A655="","",IFERROR(IF(VLOOKUP($A655,'Risk Register'!$B$2:$H$1000,4,FALSE())&gt;=4,"Yes",""),""))</f>
        <v/>
      </c>
      <c r="AE655" s="63" t="str">
        <f t="shared" si="39"/>
        <v/>
      </c>
      <c r="AF655" s="62"/>
      <c r="AG655" s="62"/>
      <c r="AH655" s="62"/>
      <c r="AI655" s="62"/>
      <c r="AJ655" s="62"/>
      <c r="AK655" s="62"/>
      <c r="AL655" s="62"/>
      <c r="AM655" s="62"/>
      <c r="AN655" s="62"/>
      <c r="AO655" s="62"/>
      <c r="AP655" s="62"/>
      <c r="AQ655" s="80"/>
    </row>
    <row r="656" spans="1:43" ht="15.75" customHeight="1" x14ac:dyDescent="0.2">
      <c r="A656" s="63" t="str">
        <f t="shared" si="36"/>
        <v/>
      </c>
      <c r="B656" s="62"/>
      <c r="C656" s="62"/>
      <c r="D656" s="62"/>
      <c r="E656" s="62"/>
      <c r="F656" s="62"/>
      <c r="G656" s="62"/>
      <c r="H656" s="62"/>
      <c r="I656" s="66"/>
      <c r="J656" s="66"/>
      <c r="K656" s="66"/>
      <c r="L656" s="66"/>
      <c r="M656" s="66"/>
      <c r="N656" s="64" t="str">
        <f>IF(OR($B656="", $I656="", $J656="", $K656="", $L656="", $M656=""),"",ROUND(($I656*Lists!$AN$2)+($J656*Lists!$AN$3)+($K656*Lists!$AN$4)+($L656*Lists!$AN$5)+($M656*Lists!$AN$6),2))</f>
        <v/>
      </c>
      <c r="O656" s="64" t="str">
        <f>IF($A656="","",IFERROR(VLOOKUP($A656,'Risk Register'!$B$2:$I$1000,8,FALSE()),""))</f>
        <v/>
      </c>
      <c r="P656" s="66"/>
      <c r="Q656" s="66"/>
      <c r="R656" s="66"/>
      <c r="S656" s="66"/>
      <c r="T656" s="64" t="str">
        <f>IF(OR($B656="", $P656="", $Q656="", $R656="", $S656=""),"",ROUND(($P656*Lists!$AN$7)+($Q656*Lists!$AN$8)+($R656*Lists!$AN$9)+($S656*Lists!$AN$10),2))</f>
        <v/>
      </c>
      <c r="U656" s="66"/>
      <c r="V656" s="66"/>
      <c r="W656" s="66"/>
      <c r="X656" s="66"/>
      <c r="Y656" s="66"/>
      <c r="Z656" s="64" t="str">
        <f>IF(OR($B656="", $U656="", $V656="", $W656="", $X656="", $Y656=""),"",ROUND(($U656*Lists!$AN$11)+($V656*Lists!$AN$12)+($W656*Lists!$AN$13)+($X656*Lists!$AN$14)+($Y656*Lists!$AN$15),2))</f>
        <v/>
      </c>
      <c r="AA656" s="64" t="str">
        <f>IF(OR($B656="", $N656="", $O656="", $T656="", $Z656=""),"",ROUND(($N656*Lists!$AN$16)-($O656*Lists!$AN$17)-($T656*Lists!$AN$18)+($Z656*Lists!$AN$19),2))</f>
        <v/>
      </c>
      <c r="AB656" s="63" t="str">
        <f t="shared" si="37"/>
        <v/>
      </c>
      <c r="AC656" s="63" t="str">
        <f t="shared" si="38"/>
        <v/>
      </c>
      <c r="AD656" s="63" t="str">
        <f>IF($A656="","",IFERROR(IF(VLOOKUP($A656,'Risk Register'!$B$2:$H$1000,4,FALSE())&gt;=4,"Yes",""),""))</f>
        <v/>
      </c>
      <c r="AE656" s="63" t="str">
        <f t="shared" si="39"/>
        <v/>
      </c>
      <c r="AF656" s="62"/>
      <c r="AG656" s="62"/>
      <c r="AH656" s="62"/>
      <c r="AI656" s="62"/>
      <c r="AJ656" s="62"/>
      <c r="AK656" s="62"/>
      <c r="AL656" s="62"/>
      <c r="AM656" s="62"/>
      <c r="AN656" s="62"/>
      <c r="AO656" s="62"/>
      <c r="AP656" s="62"/>
      <c r="AQ656" s="80"/>
    </row>
    <row r="657" spans="1:43" ht="15.75" customHeight="1" x14ac:dyDescent="0.2">
      <c r="A657" s="63" t="str">
        <f t="shared" si="36"/>
        <v/>
      </c>
      <c r="B657" s="62"/>
      <c r="C657" s="62"/>
      <c r="D657" s="62"/>
      <c r="E657" s="62"/>
      <c r="F657" s="62"/>
      <c r="G657" s="62"/>
      <c r="H657" s="62"/>
      <c r="I657" s="66"/>
      <c r="J657" s="66"/>
      <c r="K657" s="66"/>
      <c r="L657" s="66"/>
      <c r="M657" s="66"/>
      <c r="N657" s="64" t="str">
        <f>IF(OR($B657="", $I657="", $J657="", $K657="", $L657="", $M657=""),"",ROUND(($I657*Lists!$AN$2)+($J657*Lists!$AN$3)+($K657*Lists!$AN$4)+($L657*Lists!$AN$5)+($M657*Lists!$AN$6),2))</f>
        <v/>
      </c>
      <c r="O657" s="64" t="str">
        <f>IF($A657="","",IFERROR(VLOOKUP($A657,'Risk Register'!$B$2:$I$1000,8,FALSE()),""))</f>
        <v/>
      </c>
      <c r="P657" s="66"/>
      <c r="Q657" s="66"/>
      <c r="R657" s="66"/>
      <c r="S657" s="66"/>
      <c r="T657" s="64" t="str">
        <f>IF(OR($B657="", $P657="", $Q657="", $R657="", $S657=""),"",ROUND(($P657*Lists!$AN$7)+($Q657*Lists!$AN$8)+($R657*Lists!$AN$9)+($S657*Lists!$AN$10),2))</f>
        <v/>
      </c>
      <c r="U657" s="66"/>
      <c r="V657" s="66"/>
      <c r="W657" s="66"/>
      <c r="X657" s="66"/>
      <c r="Y657" s="66"/>
      <c r="Z657" s="64" t="str">
        <f>IF(OR($B657="", $U657="", $V657="", $W657="", $X657="", $Y657=""),"",ROUND(($U657*Lists!$AN$11)+($V657*Lists!$AN$12)+($W657*Lists!$AN$13)+($X657*Lists!$AN$14)+($Y657*Lists!$AN$15),2))</f>
        <v/>
      </c>
      <c r="AA657" s="64" t="str">
        <f>IF(OR($B657="", $N657="", $O657="", $T657="", $Z657=""),"",ROUND(($N657*Lists!$AN$16)-($O657*Lists!$AN$17)-($T657*Lists!$AN$18)+($Z657*Lists!$AN$19),2))</f>
        <v/>
      </c>
      <c r="AB657" s="63" t="str">
        <f t="shared" si="37"/>
        <v/>
      </c>
      <c r="AC657" s="63" t="str">
        <f t="shared" si="38"/>
        <v/>
      </c>
      <c r="AD657" s="63" t="str">
        <f>IF($A657="","",IFERROR(IF(VLOOKUP($A657,'Risk Register'!$B$2:$H$1000,4,FALSE())&gt;=4,"Yes",""),""))</f>
        <v/>
      </c>
      <c r="AE657" s="63" t="str">
        <f t="shared" si="39"/>
        <v/>
      </c>
      <c r="AF657" s="62"/>
      <c r="AG657" s="62"/>
      <c r="AH657" s="62"/>
      <c r="AI657" s="62"/>
      <c r="AJ657" s="62"/>
      <c r="AK657" s="62"/>
      <c r="AL657" s="62"/>
      <c r="AM657" s="62"/>
      <c r="AN657" s="62"/>
      <c r="AO657" s="62"/>
      <c r="AP657" s="62"/>
      <c r="AQ657" s="80"/>
    </row>
    <row r="658" spans="1:43" ht="15.75" customHeight="1" x14ac:dyDescent="0.2">
      <c r="A658" s="63" t="str">
        <f t="shared" si="36"/>
        <v/>
      </c>
      <c r="B658" s="62"/>
      <c r="C658" s="62"/>
      <c r="D658" s="62"/>
      <c r="E658" s="62"/>
      <c r="F658" s="62"/>
      <c r="G658" s="62"/>
      <c r="H658" s="62"/>
      <c r="I658" s="66"/>
      <c r="J658" s="66"/>
      <c r="K658" s="66"/>
      <c r="L658" s="66"/>
      <c r="M658" s="66"/>
      <c r="N658" s="64" t="str">
        <f>IF(OR($B658="", $I658="", $J658="", $K658="", $L658="", $M658=""),"",ROUND(($I658*Lists!$AN$2)+($J658*Lists!$AN$3)+($K658*Lists!$AN$4)+($L658*Lists!$AN$5)+($M658*Lists!$AN$6),2))</f>
        <v/>
      </c>
      <c r="O658" s="64" t="str">
        <f>IF($A658="","",IFERROR(VLOOKUP($A658,'Risk Register'!$B$2:$I$1000,8,FALSE()),""))</f>
        <v/>
      </c>
      <c r="P658" s="66"/>
      <c r="Q658" s="66"/>
      <c r="R658" s="66"/>
      <c r="S658" s="66"/>
      <c r="T658" s="64" t="str">
        <f>IF(OR($B658="", $P658="", $Q658="", $R658="", $S658=""),"",ROUND(($P658*Lists!$AN$7)+($Q658*Lists!$AN$8)+($R658*Lists!$AN$9)+($S658*Lists!$AN$10),2))</f>
        <v/>
      </c>
      <c r="U658" s="66"/>
      <c r="V658" s="66"/>
      <c r="W658" s="66"/>
      <c r="X658" s="66"/>
      <c r="Y658" s="66"/>
      <c r="Z658" s="64" t="str">
        <f>IF(OR($B658="", $U658="", $V658="", $W658="", $X658="", $Y658=""),"",ROUND(($U658*Lists!$AN$11)+($V658*Lists!$AN$12)+($W658*Lists!$AN$13)+($X658*Lists!$AN$14)+($Y658*Lists!$AN$15),2))</f>
        <v/>
      </c>
      <c r="AA658" s="64" t="str">
        <f>IF(OR($B658="", $N658="", $O658="", $T658="", $Z658=""),"",ROUND(($N658*Lists!$AN$16)-($O658*Lists!$AN$17)-($T658*Lists!$AN$18)+($Z658*Lists!$AN$19),2))</f>
        <v/>
      </c>
      <c r="AB658" s="63" t="str">
        <f t="shared" si="37"/>
        <v/>
      </c>
      <c r="AC658" s="63" t="str">
        <f t="shared" si="38"/>
        <v/>
      </c>
      <c r="AD658" s="63" t="str">
        <f>IF($A658="","",IFERROR(IF(VLOOKUP($A658,'Risk Register'!$B$2:$H$1000,4,FALSE())&gt;=4,"Yes",""),""))</f>
        <v/>
      </c>
      <c r="AE658" s="63" t="str">
        <f t="shared" si="39"/>
        <v/>
      </c>
      <c r="AF658" s="62"/>
      <c r="AG658" s="62"/>
      <c r="AH658" s="62"/>
      <c r="AI658" s="62"/>
      <c r="AJ658" s="62"/>
      <c r="AK658" s="62"/>
      <c r="AL658" s="62"/>
      <c r="AM658" s="62"/>
      <c r="AN658" s="62"/>
      <c r="AO658" s="62"/>
      <c r="AP658" s="62"/>
      <c r="AQ658" s="80"/>
    </row>
    <row r="659" spans="1:43" ht="15.75" customHeight="1" x14ac:dyDescent="0.2">
      <c r="A659" s="63" t="str">
        <f t="shared" si="36"/>
        <v/>
      </c>
      <c r="B659" s="62"/>
      <c r="C659" s="62"/>
      <c r="D659" s="62"/>
      <c r="E659" s="62"/>
      <c r="F659" s="62"/>
      <c r="G659" s="62"/>
      <c r="H659" s="62"/>
      <c r="I659" s="66"/>
      <c r="J659" s="66"/>
      <c r="K659" s="66"/>
      <c r="L659" s="66"/>
      <c r="M659" s="66"/>
      <c r="N659" s="64" t="str">
        <f>IF(OR($B659="", $I659="", $J659="", $K659="", $L659="", $M659=""),"",ROUND(($I659*Lists!$AN$2)+($J659*Lists!$AN$3)+($K659*Lists!$AN$4)+($L659*Lists!$AN$5)+($M659*Lists!$AN$6),2))</f>
        <v/>
      </c>
      <c r="O659" s="64" t="str">
        <f>IF($A659="","",IFERROR(VLOOKUP($A659,'Risk Register'!$B$2:$I$1000,8,FALSE()),""))</f>
        <v/>
      </c>
      <c r="P659" s="66"/>
      <c r="Q659" s="66"/>
      <c r="R659" s="66"/>
      <c r="S659" s="66"/>
      <c r="T659" s="64" t="str">
        <f>IF(OR($B659="", $P659="", $Q659="", $R659="", $S659=""),"",ROUND(($P659*Lists!$AN$7)+($Q659*Lists!$AN$8)+($R659*Lists!$AN$9)+($S659*Lists!$AN$10),2))</f>
        <v/>
      </c>
      <c r="U659" s="66"/>
      <c r="V659" s="66"/>
      <c r="W659" s="66"/>
      <c r="X659" s="66"/>
      <c r="Y659" s="66"/>
      <c r="Z659" s="64" t="str">
        <f>IF(OR($B659="", $U659="", $V659="", $W659="", $X659="", $Y659=""),"",ROUND(($U659*Lists!$AN$11)+($V659*Lists!$AN$12)+($W659*Lists!$AN$13)+($X659*Lists!$AN$14)+($Y659*Lists!$AN$15),2))</f>
        <v/>
      </c>
      <c r="AA659" s="64" t="str">
        <f>IF(OR($B659="", $N659="", $O659="", $T659="", $Z659=""),"",ROUND(($N659*Lists!$AN$16)-($O659*Lists!$AN$17)-($T659*Lists!$AN$18)+($Z659*Lists!$AN$19),2))</f>
        <v/>
      </c>
      <c r="AB659" s="63" t="str">
        <f t="shared" si="37"/>
        <v/>
      </c>
      <c r="AC659" s="63" t="str">
        <f t="shared" si="38"/>
        <v/>
      </c>
      <c r="AD659" s="63" t="str">
        <f>IF($A659="","",IFERROR(IF(VLOOKUP($A659,'Risk Register'!$B$2:$H$1000,4,FALSE())&gt;=4,"Yes",""),""))</f>
        <v/>
      </c>
      <c r="AE659" s="63" t="str">
        <f t="shared" si="39"/>
        <v/>
      </c>
      <c r="AF659" s="62"/>
      <c r="AG659" s="62"/>
      <c r="AH659" s="62"/>
      <c r="AI659" s="62"/>
      <c r="AJ659" s="62"/>
      <c r="AK659" s="62"/>
      <c r="AL659" s="62"/>
      <c r="AM659" s="62"/>
      <c r="AN659" s="62"/>
      <c r="AO659" s="62"/>
      <c r="AP659" s="62"/>
      <c r="AQ659" s="80"/>
    </row>
    <row r="660" spans="1:43" ht="15.75" customHeight="1" x14ac:dyDescent="0.2">
      <c r="A660" s="63" t="str">
        <f t="shared" si="36"/>
        <v/>
      </c>
      <c r="B660" s="62"/>
      <c r="C660" s="62"/>
      <c r="D660" s="62"/>
      <c r="E660" s="62"/>
      <c r="F660" s="62"/>
      <c r="G660" s="62"/>
      <c r="H660" s="62"/>
      <c r="I660" s="66"/>
      <c r="J660" s="66"/>
      <c r="K660" s="66"/>
      <c r="L660" s="66"/>
      <c r="M660" s="66"/>
      <c r="N660" s="64" t="str">
        <f>IF(OR($B660="", $I660="", $J660="", $K660="", $L660="", $M660=""),"",ROUND(($I660*Lists!$AN$2)+($J660*Lists!$AN$3)+($K660*Lists!$AN$4)+($L660*Lists!$AN$5)+($M660*Lists!$AN$6),2))</f>
        <v/>
      </c>
      <c r="O660" s="64" t="str">
        <f>IF($A660="","",IFERROR(VLOOKUP($A660,'Risk Register'!$B$2:$I$1000,8,FALSE()),""))</f>
        <v/>
      </c>
      <c r="P660" s="66"/>
      <c r="Q660" s="66"/>
      <c r="R660" s="66"/>
      <c r="S660" s="66"/>
      <c r="T660" s="64" t="str">
        <f>IF(OR($B660="", $P660="", $Q660="", $R660="", $S660=""),"",ROUND(($P660*Lists!$AN$7)+($Q660*Lists!$AN$8)+($R660*Lists!$AN$9)+($S660*Lists!$AN$10),2))</f>
        <v/>
      </c>
      <c r="U660" s="66"/>
      <c r="V660" s="66"/>
      <c r="W660" s="66"/>
      <c r="X660" s="66"/>
      <c r="Y660" s="66"/>
      <c r="Z660" s="64" t="str">
        <f>IF(OR($B660="", $U660="", $V660="", $W660="", $X660="", $Y660=""),"",ROUND(($U660*Lists!$AN$11)+($V660*Lists!$AN$12)+($W660*Lists!$AN$13)+($X660*Lists!$AN$14)+($Y660*Lists!$AN$15),2))</f>
        <v/>
      </c>
      <c r="AA660" s="64" t="str">
        <f>IF(OR($B660="", $N660="", $O660="", $T660="", $Z660=""),"",ROUND(($N660*Lists!$AN$16)-($O660*Lists!$AN$17)-($T660*Lists!$AN$18)+($Z660*Lists!$AN$19),2))</f>
        <v/>
      </c>
      <c r="AB660" s="63" t="str">
        <f t="shared" si="37"/>
        <v/>
      </c>
      <c r="AC660" s="63" t="str">
        <f t="shared" si="38"/>
        <v/>
      </c>
      <c r="AD660" s="63" t="str">
        <f>IF($A660="","",IFERROR(IF(VLOOKUP($A660,'Risk Register'!$B$2:$H$1000,4,FALSE())&gt;=4,"Yes",""),""))</f>
        <v/>
      </c>
      <c r="AE660" s="63" t="str">
        <f t="shared" si="39"/>
        <v/>
      </c>
      <c r="AF660" s="62"/>
      <c r="AG660" s="62"/>
      <c r="AH660" s="62"/>
      <c r="AI660" s="62"/>
      <c r="AJ660" s="62"/>
      <c r="AK660" s="62"/>
      <c r="AL660" s="62"/>
      <c r="AM660" s="62"/>
      <c r="AN660" s="62"/>
      <c r="AO660" s="62"/>
      <c r="AP660" s="62"/>
      <c r="AQ660" s="80"/>
    </row>
    <row r="661" spans="1:43" ht="15.75" customHeight="1" x14ac:dyDescent="0.2">
      <c r="A661" s="63" t="str">
        <f t="shared" si="36"/>
        <v/>
      </c>
      <c r="B661" s="62"/>
      <c r="C661" s="62"/>
      <c r="D661" s="62"/>
      <c r="E661" s="62"/>
      <c r="F661" s="62"/>
      <c r="G661" s="62"/>
      <c r="H661" s="62"/>
      <c r="I661" s="66"/>
      <c r="J661" s="66"/>
      <c r="K661" s="66"/>
      <c r="L661" s="66"/>
      <c r="M661" s="66"/>
      <c r="N661" s="64" t="str">
        <f>IF(OR($B661="", $I661="", $J661="", $K661="", $L661="", $M661=""),"",ROUND(($I661*Lists!$AN$2)+($J661*Lists!$AN$3)+($K661*Lists!$AN$4)+($L661*Lists!$AN$5)+($M661*Lists!$AN$6),2))</f>
        <v/>
      </c>
      <c r="O661" s="64" t="str">
        <f>IF($A661="","",IFERROR(VLOOKUP($A661,'Risk Register'!$B$2:$I$1000,8,FALSE()),""))</f>
        <v/>
      </c>
      <c r="P661" s="66"/>
      <c r="Q661" s="66"/>
      <c r="R661" s="66"/>
      <c r="S661" s="66"/>
      <c r="T661" s="64" t="str">
        <f>IF(OR($B661="", $P661="", $Q661="", $R661="", $S661=""),"",ROUND(($P661*Lists!$AN$7)+($Q661*Lists!$AN$8)+($R661*Lists!$AN$9)+($S661*Lists!$AN$10),2))</f>
        <v/>
      </c>
      <c r="U661" s="66"/>
      <c r="V661" s="66"/>
      <c r="W661" s="66"/>
      <c r="X661" s="66"/>
      <c r="Y661" s="66"/>
      <c r="Z661" s="64" t="str">
        <f>IF(OR($B661="", $U661="", $V661="", $W661="", $X661="", $Y661=""),"",ROUND(($U661*Lists!$AN$11)+($V661*Lists!$AN$12)+($W661*Lists!$AN$13)+($X661*Lists!$AN$14)+($Y661*Lists!$AN$15),2))</f>
        <v/>
      </c>
      <c r="AA661" s="64" t="str">
        <f>IF(OR($B661="", $N661="", $O661="", $T661="", $Z661=""),"",ROUND(($N661*Lists!$AN$16)-($O661*Lists!$AN$17)-($T661*Lists!$AN$18)+($Z661*Lists!$AN$19),2))</f>
        <v/>
      </c>
      <c r="AB661" s="63" t="str">
        <f t="shared" si="37"/>
        <v/>
      </c>
      <c r="AC661" s="63" t="str">
        <f t="shared" si="38"/>
        <v/>
      </c>
      <c r="AD661" s="63" t="str">
        <f>IF($A661="","",IFERROR(IF(VLOOKUP($A661,'Risk Register'!$B$2:$H$1000,4,FALSE())&gt;=4,"Yes",""),""))</f>
        <v/>
      </c>
      <c r="AE661" s="63" t="str">
        <f t="shared" si="39"/>
        <v/>
      </c>
      <c r="AF661" s="62"/>
      <c r="AG661" s="62"/>
      <c r="AH661" s="62"/>
      <c r="AI661" s="62"/>
      <c r="AJ661" s="62"/>
      <c r="AK661" s="62"/>
      <c r="AL661" s="62"/>
      <c r="AM661" s="62"/>
      <c r="AN661" s="62"/>
      <c r="AO661" s="62"/>
      <c r="AP661" s="62"/>
      <c r="AQ661" s="80"/>
    </row>
    <row r="662" spans="1:43" ht="15.75" customHeight="1" x14ac:dyDescent="0.2">
      <c r="A662" s="63" t="str">
        <f t="shared" si="36"/>
        <v/>
      </c>
      <c r="B662" s="62"/>
      <c r="C662" s="62"/>
      <c r="D662" s="62"/>
      <c r="E662" s="62"/>
      <c r="F662" s="62"/>
      <c r="G662" s="62"/>
      <c r="H662" s="62"/>
      <c r="I662" s="66"/>
      <c r="J662" s="66"/>
      <c r="K662" s="66"/>
      <c r="L662" s="66"/>
      <c r="M662" s="66"/>
      <c r="N662" s="64" t="str">
        <f>IF(OR($B662="", $I662="", $J662="", $K662="", $L662="", $M662=""),"",ROUND(($I662*Lists!$AN$2)+($J662*Lists!$AN$3)+($K662*Lists!$AN$4)+($L662*Lists!$AN$5)+($M662*Lists!$AN$6),2))</f>
        <v/>
      </c>
      <c r="O662" s="64" t="str">
        <f>IF($A662="","",IFERROR(VLOOKUP($A662,'Risk Register'!$B$2:$I$1000,8,FALSE()),""))</f>
        <v/>
      </c>
      <c r="P662" s="66"/>
      <c r="Q662" s="66"/>
      <c r="R662" s="66"/>
      <c r="S662" s="66"/>
      <c r="T662" s="64" t="str">
        <f>IF(OR($B662="", $P662="", $Q662="", $R662="", $S662=""),"",ROUND(($P662*Lists!$AN$7)+($Q662*Lists!$AN$8)+($R662*Lists!$AN$9)+($S662*Lists!$AN$10),2))</f>
        <v/>
      </c>
      <c r="U662" s="66"/>
      <c r="V662" s="66"/>
      <c r="W662" s="66"/>
      <c r="X662" s="66"/>
      <c r="Y662" s="66"/>
      <c r="Z662" s="64" t="str">
        <f>IF(OR($B662="", $U662="", $V662="", $W662="", $X662="", $Y662=""),"",ROUND(($U662*Lists!$AN$11)+($V662*Lists!$AN$12)+($W662*Lists!$AN$13)+($X662*Lists!$AN$14)+($Y662*Lists!$AN$15),2))</f>
        <v/>
      </c>
      <c r="AA662" s="64" t="str">
        <f>IF(OR($B662="", $N662="", $O662="", $T662="", $Z662=""),"",ROUND(($N662*Lists!$AN$16)-($O662*Lists!$AN$17)-($T662*Lists!$AN$18)+($Z662*Lists!$AN$19),2))</f>
        <v/>
      </c>
      <c r="AB662" s="63" t="str">
        <f t="shared" si="37"/>
        <v/>
      </c>
      <c r="AC662" s="63" t="str">
        <f t="shared" si="38"/>
        <v/>
      </c>
      <c r="AD662" s="63" t="str">
        <f>IF($A662="","",IFERROR(IF(VLOOKUP($A662,'Risk Register'!$B$2:$H$1000,4,FALSE())&gt;=4,"Yes",""),""))</f>
        <v/>
      </c>
      <c r="AE662" s="63" t="str">
        <f t="shared" si="39"/>
        <v/>
      </c>
      <c r="AF662" s="62"/>
      <c r="AG662" s="62"/>
      <c r="AH662" s="62"/>
      <c r="AI662" s="62"/>
      <c r="AJ662" s="62"/>
      <c r="AK662" s="62"/>
      <c r="AL662" s="62"/>
      <c r="AM662" s="62"/>
      <c r="AN662" s="62"/>
      <c r="AO662" s="62"/>
      <c r="AP662" s="62"/>
      <c r="AQ662" s="80"/>
    </row>
    <row r="663" spans="1:43" ht="15.75" customHeight="1" x14ac:dyDescent="0.2">
      <c r="A663" s="63" t="str">
        <f t="shared" ref="A663:A726" si="40">IF($B663="","", "APM-" &amp; RIGHT("0000"&amp;ROW()-1,4))</f>
        <v/>
      </c>
      <c r="B663" s="62"/>
      <c r="C663" s="62"/>
      <c r="D663" s="62"/>
      <c r="E663" s="62"/>
      <c r="F663" s="62"/>
      <c r="G663" s="62"/>
      <c r="H663" s="62"/>
      <c r="I663" s="66"/>
      <c r="J663" s="66"/>
      <c r="K663" s="66"/>
      <c r="L663" s="66"/>
      <c r="M663" s="66"/>
      <c r="N663" s="64" t="str">
        <f>IF(OR($B663="", $I663="", $J663="", $K663="", $L663="", $M663=""),"",ROUND(($I663*Lists!$AN$2)+($J663*Lists!$AN$3)+($K663*Lists!$AN$4)+($L663*Lists!$AN$5)+($M663*Lists!$AN$6),2))</f>
        <v/>
      </c>
      <c r="O663" s="64" t="str">
        <f>IF($A663="","",IFERROR(VLOOKUP($A663,'Risk Register'!$B$2:$I$1000,8,FALSE()),""))</f>
        <v/>
      </c>
      <c r="P663" s="66"/>
      <c r="Q663" s="66"/>
      <c r="R663" s="66"/>
      <c r="S663" s="66"/>
      <c r="T663" s="64" t="str">
        <f>IF(OR($B663="", $P663="", $Q663="", $R663="", $S663=""),"",ROUND(($P663*Lists!$AN$7)+($Q663*Lists!$AN$8)+($R663*Lists!$AN$9)+($S663*Lists!$AN$10),2))</f>
        <v/>
      </c>
      <c r="U663" s="66"/>
      <c r="V663" s="66"/>
      <c r="W663" s="66"/>
      <c r="X663" s="66"/>
      <c r="Y663" s="66"/>
      <c r="Z663" s="64" t="str">
        <f>IF(OR($B663="", $U663="", $V663="", $W663="", $X663="", $Y663=""),"",ROUND(($U663*Lists!$AN$11)+($V663*Lists!$AN$12)+($W663*Lists!$AN$13)+($X663*Lists!$AN$14)+($Y663*Lists!$AN$15),2))</f>
        <v/>
      </c>
      <c r="AA663" s="64" t="str">
        <f>IF(OR($B663="", $N663="", $O663="", $T663="", $Z663=""),"",ROUND(($N663*Lists!$AN$16)-($O663*Lists!$AN$17)-($T663*Lists!$AN$18)+($Z663*Lists!$AN$19),2))</f>
        <v/>
      </c>
      <c r="AB663" s="63" t="str">
        <f t="shared" ref="AB663:AB726" si="41">IF($AA663="","",IF($AA663&gt;=3.5,"INVEST",IF($AA663&gt;=2.5,"TOLERATE",IF($AA663&gt;=1.5,"MIGRATE / MODERNIZE","RETIRE"))))</f>
        <v/>
      </c>
      <c r="AC663" s="63" t="str">
        <f t="shared" ref="AC663:AC726" si="42">IF($B663="","",IF($J663&gt;=4,"Yes",""))</f>
        <v/>
      </c>
      <c r="AD663" s="63" t="str">
        <f>IF($A663="","",IFERROR(IF(VLOOKUP($A663,'Risk Register'!$B$2:$H$1000,4,FALSE())&gt;=4,"Yes",""),""))</f>
        <v/>
      </c>
      <c r="AE663" s="63" t="str">
        <f t="shared" ref="AE663:AE726" si="43">IF(OR($N663="", $O663=""),"",IF($N663&gt;=3.5,IF($O663&gt;=3.5,"High Value / High Risk","High Value / Low Risk"),IF($O663&gt;=3.5,"Low Value / High Risk","Low Value / Low Risk")))</f>
        <v/>
      </c>
      <c r="AF663" s="62"/>
      <c r="AG663" s="62"/>
      <c r="AH663" s="62"/>
      <c r="AI663" s="62"/>
      <c r="AJ663" s="62"/>
      <c r="AK663" s="62"/>
      <c r="AL663" s="62"/>
      <c r="AM663" s="62"/>
      <c r="AN663" s="62"/>
      <c r="AO663" s="62"/>
      <c r="AP663" s="62"/>
      <c r="AQ663" s="80"/>
    </row>
    <row r="664" spans="1:43" ht="15.75" customHeight="1" x14ac:dyDescent="0.2">
      <c r="A664" s="63" t="str">
        <f t="shared" si="40"/>
        <v/>
      </c>
      <c r="B664" s="62"/>
      <c r="C664" s="62"/>
      <c r="D664" s="62"/>
      <c r="E664" s="62"/>
      <c r="F664" s="62"/>
      <c r="G664" s="62"/>
      <c r="H664" s="62"/>
      <c r="I664" s="66"/>
      <c r="J664" s="66"/>
      <c r="K664" s="66"/>
      <c r="L664" s="66"/>
      <c r="M664" s="66"/>
      <c r="N664" s="64" t="str">
        <f>IF(OR($B664="", $I664="", $J664="", $K664="", $L664="", $M664=""),"",ROUND(($I664*Lists!$AN$2)+($J664*Lists!$AN$3)+($K664*Lists!$AN$4)+($L664*Lists!$AN$5)+($M664*Lists!$AN$6),2))</f>
        <v/>
      </c>
      <c r="O664" s="64" t="str">
        <f>IF($A664="","",IFERROR(VLOOKUP($A664,'Risk Register'!$B$2:$I$1000,8,FALSE()),""))</f>
        <v/>
      </c>
      <c r="P664" s="66"/>
      <c r="Q664" s="66"/>
      <c r="R664" s="66"/>
      <c r="S664" s="66"/>
      <c r="T664" s="64" t="str">
        <f>IF(OR($B664="", $P664="", $Q664="", $R664="", $S664=""),"",ROUND(($P664*Lists!$AN$7)+($Q664*Lists!$AN$8)+($R664*Lists!$AN$9)+($S664*Lists!$AN$10),2))</f>
        <v/>
      </c>
      <c r="U664" s="66"/>
      <c r="V664" s="66"/>
      <c r="W664" s="66"/>
      <c r="X664" s="66"/>
      <c r="Y664" s="66"/>
      <c r="Z664" s="64" t="str">
        <f>IF(OR($B664="", $U664="", $V664="", $W664="", $X664="", $Y664=""),"",ROUND(($U664*Lists!$AN$11)+($V664*Lists!$AN$12)+($W664*Lists!$AN$13)+($X664*Lists!$AN$14)+($Y664*Lists!$AN$15),2))</f>
        <v/>
      </c>
      <c r="AA664" s="64" t="str">
        <f>IF(OR($B664="", $N664="", $O664="", $T664="", $Z664=""),"",ROUND(($N664*Lists!$AN$16)-($O664*Lists!$AN$17)-($T664*Lists!$AN$18)+($Z664*Lists!$AN$19),2))</f>
        <v/>
      </c>
      <c r="AB664" s="63" t="str">
        <f t="shared" si="41"/>
        <v/>
      </c>
      <c r="AC664" s="63" t="str">
        <f t="shared" si="42"/>
        <v/>
      </c>
      <c r="AD664" s="63" t="str">
        <f>IF($A664="","",IFERROR(IF(VLOOKUP($A664,'Risk Register'!$B$2:$H$1000,4,FALSE())&gt;=4,"Yes",""),""))</f>
        <v/>
      </c>
      <c r="AE664" s="63" t="str">
        <f t="shared" si="43"/>
        <v/>
      </c>
      <c r="AF664" s="62"/>
      <c r="AG664" s="62"/>
      <c r="AH664" s="62"/>
      <c r="AI664" s="62"/>
      <c r="AJ664" s="62"/>
      <c r="AK664" s="62"/>
      <c r="AL664" s="62"/>
      <c r="AM664" s="62"/>
      <c r="AN664" s="62"/>
      <c r="AO664" s="62"/>
      <c r="AP664" s="62"/>
      <c r="AQ664" s="80"/>
    </row>
    <row r="665" spans="1:43" ht="15.75" customHeight="1" x14ac:dyDescent="0.2">
      <c r="A665" s="63" t="str">
        <f t="shared" si="40"/>
        <v/>
      </c>
      <c r="B665" s="62"/>
      <c r="C665" s="62"/>
      <c r="D665" s="62"/>
      <c r="E665" s="62"/>
      <c r="F665" s="62"/>
      <c r="G665" s="62"/>
      <c r="H665" s="62"/>
      <c r="I665" s="66"/>
      <c r="J665" s="66"/>
      <c r="K665" s="66"/>
      <c r="L665" s="66"/>
      <c r="M665" s="66"/>
      <c r="N665" s="64" t="str">
        <f>IF(OR($B665="", $I665="", $J665="", $K665="", $L665="", $M665=""),"",ROUND(($I665*Lists!$AN$2)+($J665*Lists!$AN$3)+($K665*Lists!$AN$4)+($L665*Lists!$AN$5)+($M665*Lists!$AN$6),2))</f>
        <v/>
      </c>
      <c r="O665" s="64" t="str">
        <f>IF($A665="","",IFERROR(VLOOKUP($A665,'Risk Register'!$B$2:$I$1000,8,FALSE()),""))</f>
        <v/>
      </c>
      <c r="P665" s="66"/>
      <c r="Q665" s="66"/>
      <c r="R665" s="66"/>
      <c r="S665" s="66"/>
      <c r="T665" s="64" t="str">
        <f>IF(OR($B665="", $P665="", $Q665="", $R665="", $S665=""),"",ROUND(($P665*Lists!$AN$7)+($Q665*Lists!$AN$8)+($R665*Lists!$AN$9)+($S665*Lists!$AN$10),2))</f>
        <v/>
      </c>
      <c r="U665" s="66"/>
      <c r="V665" s="66"/>
      <c r="W665" s="66"/>
      <c r="X665" s="66"/>
      <c r="Y665" s="66"/>
      <c r="Z665" s="64" t="str">
        <f>IF(OR($B665="", $U665="", $V665="", $W665="", $X665="", $Y665=""),"",ROUND(($U665*Lists!$AN$11)+($V665*Lists!$AN$12)+($W665*Lists!$AN$13)+($X665*Lists!$AN$14)+($Y665*Lists!$AN$15),2))</f>
        <v/>
      </c>
      <c r="AA665" s="64" t="str">
        <f>IF(OR($B665="", $N665="", $O665="", $T665="", $Z665=""),"",ROUND(($N665*Lists!$AN$16)-($O665*Lists!$AN$17)-($T665*Lists!$AN$18)+($Z665*Lists!$AN$19),2))</f>
        <v/>
      </c>
      <c r="AB665" s="63" t="str">
        <f t="shared" si="41"/>
        <v/>
      </c>
      <c r="AC665" s="63" t="str">
        <f t="shared" si="42"/>
        <v/>
      </c>
      <c r="AD665" s="63" t="str">
        <f>IF($A665="","",IFERROR(IF(VLOOKUP($A665,'Risk Register'!$B$2:$H$1000,4,FALSE())&gt;=4,"Yes",""),""))</f>
        <v/>
      </c>
      <c r="AE665" s="63" t="str">
        <f t="shared" si="43"/>
        <v/>
      </c>
      <c r="AF665" s="62"/>
      <c r="AG665" s="62"/>
      <c r="AH665" s="62"/>
      <c r="AI665" s="62"/>
      <c r="AJ665" s="62"/>
      <c r="AK665" s="62"/>
      <c r="AL665" s="62"/>
      <c r="AM665" s="62"/>
      <c r="AN665" s="62"/>
      <c r="AO665" s="62"/>
      <c r="AP665" s="62"/>
      <c r="AQ665" s="80"/>
    </row>
    <row r="666" spans="1:43" ht="15.75" customHeight="1" x14ac:dyDescent="0.2">
      <c r="A666" s="63" t="str">
        <f t="shared" si="40"/>
        <v/>
      </c>
      <c r="B666" s="62"/>
      <c r="C666" s="62"/>
      <c r="D666" s="62"/>
      <c r="E666" s="62"/>
      <c r="F666" s="62"/>
      <c r="G666" s="62"/>
      <c r="H666" s="62"/>
      <c r="I666" s="66"/>
      <c r="J666" s="66"/>
      <c r="K666" s="66"/>
      <c r="L666" s="66"/>
      <c r="M666" s="66"/>
      <c r="N666" s="64" t="str">
        <f>IF(OR($B666="", $I666="", $J666="", $K666="", $L666="", $M666=""),"",ROUND(($I666*Lists!$AN$2)+($J666*Lists!$AN$3)+($K666*Lists!$AN$4)+($L666*Lists!$AN$5)+($M666*Lists!$AN$6),2))</f>
        <v/>
      </c>
      <c r="O666" s="64" t="str">
        <f>IF($A666="","",IFERROR(VLOOKUP($A666,'Risk Register'!$B$2:$I$1000,8,FALSE()),""))</f>
        <v/>
      </c>
      <c r="P666" s="66"/>
      <c r="Q666" s="66"/>
      <c r="R666" s="66"/>
      <c r="S666" s="66"/>
      <c r="T666" s="64" t="str">
        <f>IF(OR($B666="", $P666="", $Q666="", $R666="", $S666=""),"",ROUND(($P666*Lists!$AN$7)+($Q666*Lists!$AN$8)+($R666*Lists!$AN$9)+($S666*Lists!$AN$10),2))</f>
        <v/>
      </c>
      <c r="U666" s="66"/>
      <c r="V666" s="66"/>
      <c r="W666" s="66"/>
      <c r="X666" s="66"/>
      <c r="Y666" s="66"/>
      <c r="Z666" s="64" t="str">
        <f>IF(OR($B666="", $U666="", $V666="", $W666="", $X666="", $Y666=""),"",ROUND(($U666*Lists!$AN$11)+($V666*Lists!$AN$12)+($W666*Lists!$AN$13)+($X666*Lists!$AN$14)+($Y666*Lists!$AN$15),2))</f>
        <v/>
      </c>
      <c r="AA666" s="64" t="str">
        <f>IF(OR($B666="", $N666="", $O666="", $T666="", $Z666=""),"",ROUND(($N666*Lists!$AN$16)-($O666*Lists!$AN$17)-($T666*Lists!$AN$18)+($Z666*Lists!$AN$19),2))</f>
        <v/>
      </c>
      <c r="AB666" s="63" t="str">
        <f t="shared" si="41"/>
        <v/>
      </c>
      <c r="AC666" s="63" t="str">
        <f t="shared" si="42"/>
        <v/>
      </c>
      <c r="AD666" s="63" t="str">
        <f>IF($A666="","",IFERROR(IF(VLOOKUP($A666,'Risk Register'!$B$2:$H$1000,4,FALSE())&gt;=4,"Yes",""),""))</f>
        <v/>
      </c>
      <c r="AE666" s="63" t="str">
        <f t="shared" si="43"/>
        <v/>
      </c>
      <c r="AF666" s="62"/>
      <c r="AG666" s="62"/>
      <c r="AH666" s="62"/>
      <c r="AI666" s="62"/>
      <c r="AJ666" s="62"/>
      <c r="AK666" s="62"/>
      <c r="AL666" s="62"/>
      <c r="AM666" s="62"/>
      <c r="AN666" s="62"/>
      <c r="AO666" s="62"/>
      <c r="AP666" s="62"/>
      <c r="AQ666" s="80"/>
    </row>
    <row r="667" spans="1:43" ht="15.75" customHeight="1" x14ac:dyDescent="0.2">
      <c r="A667" s="63" t="str">
        <f t="shared" si="40"/>
        <v/>
      </c>
      <c r="B667" s="62"/>
      <c r="C667" s="62"/>
      <c r="D667" s="62"/>
      <c r="E667" s="62"/>
      <c r="F667" s="62"/>
      <c r="G667" s="62"/>
      <c r="H667" s="62"/>
      <c r="I667" s="66"/>
      <c r="J667" s="66"/>
      <c r="K667" s="66"/>
      <c r="L667" s="66"/>
      <c r="M667" s="66"/>
      <c r="N667" s="64" t="str">
        <f>IF(OR($B667="", $I667="", $J667="", $K667="", $L667="", $M667=""),"",ROUND(($I667*Lists!$AN$2)+($J667*Lists!$AN$3)+($K667*Lists!$AN$4)+($L667*Lists!$AN$5)+($M667*Lists!$AN$6),2))</f>
        <v/>
      </c>
      <c r="O667" s="64" t="str">
        <f>IF($A667="","",IFERROR(VLOOKUP($A667,'Risk Register'!$B$2:$I$1000,8,FALSE()),""))</f>
        <v/>
      </c>
      <c r="P667" s="66"/>
      <c r="Q667" s="66"/>
      <c r="R667" s="66"/>
      <c r="S667" s="66"/>
      <c r="T667" s="64" t="str">
        <f>IF(OR($B667="", $P667="", $Q667="", $R667="", $S667=""),"",ROUND(($P667*Lists!$AN$7)+($Q667*Lists!$AN$8)+($R667*Lists!$AN$9)+($S667*Lists!$AN$10),2))</f>
        <v/>
      </c>
      <c r="U667" s="66"/>
      <c r="V667" s="66"/>
      <c r="W667" s="66"/>
      <c r="X667" s="66"/>
      <c r="Y667" s="66"/>
      <c r="Z667" s="64" t="str">
        <f>IF(OR($B667="", $U667="", $V667="", $W667="", $X667="", $Y667=""),"",ROUND(($U667*Lists!$AN$11)+($V667*Lists!$AN$12)+($W667*Lists!$AN$13)+($X667*Lists!$AN$14)+($Y667*Lists!$AN$15),2))</f>
        <v/>
      </c>
      <c r="AA667" s="64" t="str">
        <f>IF(OR($B667="", $N667="", $O667="", $T667="", $Z667=""),"",ROUND(($N667*Lists!$AN$16)-($O667*Lists!$AN$17)-($T667*Lists!$AN$18)+($Z667*Lists!$AN$19),2))</f>
        <v/>
      </c>
      <c r="AB667" s="63" t="str">
        <f t="shared" si="41"/>
        <v/>
      </c>
      <c r="AC667" s="63" t="str">
        <f t="shared" si="42"/>
        <v/>
      </c>
      <c r="AD667" s="63" t="str">
        <f>IF($A667="","",IFERROR(IF(VLOOKUP($A667,'Risk Register'!$B$2:$H$1000,4,FALSE())&gt;=4,"Yes",""),""))</f>
        <v/>
      </c>
      <c r="AE667" s="63" t="str">
        <f t="shared" si="43"/>
        <v/>
      </c>
      <c r="AF667" s="62"/>
      <c r="AG667" s="62"/>
      <c r="AH667" s="62"/>
      <c r="AI667" s="62"/>
      <c r="AJ667" s="62"/>
      <c r="AK667" s="62"/>
      <c r="AL667" s="62"/>
      <c r="AM667" s="62"/>
      <c r="AN667" s="62"/>
      <c r="AO667" s="62"/>
      <c r="AP667" s="62"/>
      <c r="AQ667" s="80"/>
    </row>
    <row r="668" spans="1:43" ht="15.75" customHeight="1" x14ac:dyDescent="0.2">
      <c r="A668" s="63" t="str">
        <f t="shared" si="40"/>
        <v/>
      </c>
      <c r="B668" s="62"/>
      <c r="C668" s="62"/>
      <c r="D668" s="62"/>
      <c r="E668" s="62"/>
      <c r="F668" s="62"/>
      <c r="G668" s="62"/>
      <c r="H668" s="62"/>
      <c r="I668" s="66"/>
      <c r="J668" s="66"/>
      <c r="K668" s="66"/>
      <c r="L668" s="66"/>
      <c r="M668" s="66"/>
      <c r="N668" s="64" t="str">
        <f>IF(OR($B668="", $I668="", $J668="", $K668="", $L668="", $M668=""),"",ROUND(($I668*Lists!$AN$2)+($J668*Lists!$AN$3)+($K668*Lists!$AN$4)+($L668*Lists!$AN$5)+($M668*Lists!$AN$6),2))</f>
        <v/>
      </c>
      <c r="O668" s="64" t="str">
        <f>IF($A668="","",IFERROR(VLOOKUP($A668,'Risk Register'!$B$2:$I$1000,8,FALSE()),""))</f>
        <v/>
      </c>
      <c r="P668" s="66"/>
      <c r="Q668" s="66"/>
      <c r="R668" s="66"/>
      <c r="S668" s="66"/>
      <c r="T668" s="64" t="str">
        <f>IF(OR($B668="", $P668="", $Q668="", $R668="", $S668=""),"",ROUND(($P668*Lists!$AN$7)+($Q668*Lists!$AN$8)+($R668*Lists!$AN$9)+($S668*Lists!$AN$10),2))</f>
        <v/>
      </c>
      <c r="U668" s="66"/>
      <c r="V668" s="66"/>
      <c r="W668" s="66"/>
      <c r="X668" s="66"/>
      <c r="Y668" s="66"/>
      <c r="Z668" s="64" t="str">
        <f>IF(OR($B668="", $U668="", $V668="", $W668="", $X668="", $Y668=""),"",ROUND(($U668*Lists!$AN$11)+($V668*Lists!$AN$12)+($W668*Lists!$AN$13)+($X668*Lists!$AN$14)+($Y668*Lists!$AN$15),2))</f>
        <v/>
      </c>
      <c r="AA668" s="64" t="str">
        <f>IF(OR($B668="", $N668="", $O668="", $T668="", $Z668=""),"",ROUND(($N668*Lists!$AN$16)-($O668*Lists!$AN$17)-($T668*Lists!$AN$18)+($Z668*Lists!$AN$19),2))</f>
        <v/>
      </c>
      <c r="AB668" s="63" t="str">
        <f t="shared" si="41"/>
        <v/>
      </c>
      <c r="AC668" s="63" t="str">
        <f t="shared" si="42"/>
        <v/>
      </c>
      <c r="AD668" s="63" t="str">
        <f>IF($A668="","",IFERROR(IF(VLOOKUP($A668,'Risk Register'!$B$2:$H$1000,4,FALSE())&gt;=4,"Yes",""),""))</f>
        <v/>
      </c>
      <c r="AE668" s="63" t="str">
        <f t="shared" si="43"/>
        <v/>
      </c>
      <c r="AF668" s="62"/>
      <c r="AG668" s="62"/>
      <c r="AH668" s="62"/>
      <c r="AI668" s="62"/>
      <c r="AJ668" s="62"/>
      <c r="AK668" s="62"/>
      <c r="AL668" s="62"/>
      <c r="AM668" s="62"/>
      <c r="AN668" s="62"/>
      <c r="AO668" s="62"/>
      <c r="AP668" s="62"/>
      <c r="AQ668" s="80"/>
    </row>
    <row r="669" spans="1:43" ht="15.75" customHeight="1" x14ac:dyDescent="0.2">
      <c r="A669" s="63" t="str">
        <f t="shared" si="40"/>
        <v/>
      </c>
      <c r="B669" s="62"/>
      <c r="C669" s="62"/>
      <c r="D669" s="62"/>
      <c r="E669" s="62"/>
      <c r="F669" s="62"/>
      <c r="G669" s="62"/>
      <c r="H669" s="62"/>
      <c r="I669" s="66"/>
      <c r="J669" s="66"/>
      <c r="K669" s="66"/>
      <c r="L669" s="66"/>
      <c r="M669" s="66"/>
      <c r="N669" s="64" t="str">
        <f>IF(OR($B669="", $I669="", $J669="", $K669="", $L669="", $M669=""),"",ROUND(($I669*Lists!$AN$2)+($J669*Lists!$AN$3)+($K669*Lists!$AN$4)+($L669*Lists!$AN$5)+($M669*Lists!$AN$6),2))</f>
        <v/>
      </c>
      <c r="O669" s="64" t="str">
        <f>IF($A669="","",IFERROR(VLOOKUP($A669,'Risk Register'!$B$2:$I$1000,8,FALSE()),""))</f>
        <v/>
      </c>
      <c r="P669" s="66"/>
      <c r="Q669" s="66"/>
      <c r="R669" s="66"/>
      <c r="S669" s="66"/>
      <c r="T669" s="64" t="str">
        <f>IF(OR($B669="", $P669="", $Q669="", $R669="", $S669=""),"",ROUND(($P669*Lists!$AN$7)+($Q669*Lists!$AN$8)+($R669*Lists!$AN$9)+($S669*Lists!$AN$10),2))</f>
        <v/>
      </c>
      <c r="U669" s="66"/>
      <c r="V669" s="66"/>
      <c r="W669" s="66"/>
      <c r="X669" s="66"/>
      <c r="Y669" s="66"/>
      <c r="Z669" s="64" t="str">
        <f>IF(OR($B669="", $U669="", $V669="", $W669="", $X669="", $Y669=""),"",ROUND(($U669*Lists!$AN$11)+($V669*Lists!$AN$12)+($W669*Lists!$AN$13)+($X669*Lists!$AN$14)+($Y669*Lists!$AN$15),2))</f>
        <v/>
      </c>
      <c r="AA669" s="64" t="str">
        <f>IF(OR($B669="", $N669="", $O669="", $T669="", $Z669=""),"",ROUND(($N669*Lists!$AN$16)-($O669*Lists!$AN$17)-($T669*Lists!$AN$18)+($Z669*Lists!$AN$19),2))</f>
        <v/>
      </c>
      <c r="AB669" s="63" t="str">
        <f t="shared" si="41"/>
        <v/>
      </c>
      <c r="AC669" s="63" t="str">
        <f t="shared" si="42"/>
        <v/>
      </c>
      <c r="AD669" s="63" t="str">
        <f>IF($A669="","",IFERROR(IF(VLOOKUP($A669,'Risk Register'!$B$2:$H$1000,4,FALSE())&gt;=4,"Yes",""),""))</f>
        <v/>
      </c>
      <c r="AE669" s="63" t="str">
        <f t="shared" si="43"/>
        <v/>
      </c>
      <c r="AF669" s="62"/>
      <c r="AG669" s="62"/>
      <c r="AH669" s="62"/>
      <c r="AI669" s="62"/>
      <c r="AJ669" s="62"/>
      <c r="AK669" s="62"/>
      <c r="AL669" s="62"/>
      <c r="AM669" s="62"/>
      <c r="AN669" s="62"/>
      <c r="AO669" s="62"/>
      <c r="AP669" s="62"/>
      <c r="AQ669" s="80"/>
    </row>
    <row r="670" spans="1:43" ht="15.75" customHeight="1" x14ac:dyDescent="0.2">
      <c r="A670" s="63" t="str">
        <f t="shared" si="40"/>
        <v/>
      </c>
      <c r="B670" s="62"/>
      <c r="C670" s="62"/>
      <c r="D670" s="62"/>
      <c r="E670" s="62"/>
      <c r="F670" s="62"/>
      <c r="G670" s="62"/>
      <c r="H670" s="62"/>
      <c r="I670" s="66"/>
      <c r="J670" s="66"/>
      <c r="K670" s="66"/>
      <c r="L670" s="66"/>
      <c r="M670" s="66"/>
      <c r="N670" s="64" t="str">
        <f>IF(OR($B670="", $I670="", $J670="", $K670="", $L670="", $M670=""),"",ROUND(($I670*Lists!$AN$2)+($J670*Lists!$AN$3)+($K670*Lists!$AN$4)+($L670*Lists!$AN$5)+($M670*Lists!$AN$6),2))</f>
        <v/>
      </c>
      <c r="O670" s="64" t="str">
        <f>IF($A670="","",IFERROR(VLOOKUP($A670,'Risk Register'!$B$2:$I$1000,8,FALSE()),""))</f>
        <v/>
      </c>
      <c r="P670" s="66"/>
      <c r="Q670" s="66"/>
      <c r="R670" s="66"/>
      <c r="S670" s="66"/>
      <c r="T670" s="64" t="str">
        <f>IF(OR($B670="", $P670="", $Q670="", $R670="", $S670=""),"",ROUND(($P670*Lists!$AN$7)+($Q670*Lists!$AN$8)+($R670*Lists!$AN$9)+($S670*Lists!$AN$10),2))</f>
        <v/>
      </c>
      <c r="U670" s="66"/>
      <c r="V670" s="66"/>
      <c r="W670" s="66"/>
      <c r="X670" s="66"/>
      <c r="Y670" s="66"/>
      <c r="Z670" s="64" t="str">
        <f>IF(OR($B670="", $U670="", $V670="", $W670="", $X670="", $Y670=""),"",ROUND(($U670*Lists!$AN$11)+($V670*Lists!$AN$12)+($W670*Lists!$AN$13)+($X670*Lists!$AN$14)+($Y670*Lists!$AN$15),2))</f>
        <v/>
      </c>
      <c r="AA670" s="64" t="str">
        <f>IF(OR($B670="", $N670="", $O670="", $T670="", $Z670=""),"",ROUND(($N670*Lists!$AN$16)-($O670*Lists!$AN$17)-($T670*Lists!$AN$18)+($Z670*Lists!$AN$19),2))</f>
        <v/>
      </c>
      <c r="AB670" s="63" t="str">
        <f t="shared" si="41"/>
        <v/>
      </c>
      <c r="AC670" s="63" t="str">
        <f t="shared" si="42"/>
        <v/>
      </c>
      <c r="AD670" s="63" t="str">
        <f>IF($A670="","",IFERROR(IF(VLOOKUP($A670,'Risk Register'!$B$2:$H$1000,4,FALSE())&gt;=4,"Yes",""),""))</f>
        <v/>
      </c>
      <c r="AE670" s="63" t="str">
        <f t="shared" si="43"/>
        <v/>
      </c>
      <c r="AF670" s="62"/>
      <c r="AG670" s="62"/>
      <c r="AH670" s="62"/>
      <c r="AI670" s="62"/>
      <c r="AJ670" s="62"/>
      <c r="AK670" s="62"/>
      <c r="AL670" s="62"/>
      <c r="AM670" s="62"/>
      <c r="AN670" s="62"/>
      <c r="AO670" s="62"/>
      <c r="AP670" s="62"/>
      <c r="AQ670" s="80"/>
    </row>
    <row r="671" spans="1:43" ht="15.75" customHeight="1" x14ac:dyDescent="0.2">
      <c r="A671" s="63" t="str">
        <f t="shared" si="40"/>
        <v/>
      </c>
      <c r="B671" s="62"/>
      <c r="C671" s="62"/>
      <c r="D671" s="62"/>
      <c r="E671" s="62"/>
      <c r="F671" s="62"/>
      <c r="G671" s="62"/>
      <c r="H671" s="62"/>
      <c r="I671" s="66"/>
      <c r="J671" s="66"/>
      <c r="K671" s="66"/>
      <c r="L671" s="66"/>
      <c r="M671" s="66"/>
      <c r="N671" s="64" t="str">
        <f>IF(OR($B671="", $I671="", $J671="", $K671="", $L671="", $M671=""),"",ROUND(($I671*Lists!$AN$2)+($J671*Lists!$AN$3)+($K671*Lists!$AN$4)+($L671*Lists!$AN$5)+($M671*Lists!$AN$6),2))</f>
        <v/>
      </c>
      <c r="O671" s="64" t="str">
        <f>IF($A671="","",IFERROR(VLOOKUP($A671,'Risk Register'!$B$2:$I$1000,8,FALSE()),""))</f>
        <v/>
      </c>
      <c r="P671" s="66"/>
      <c r="Q671" s="66"/>
      <c r="R671" s="66"/>
      <c r="S671" s="66"/>
      <c r="T671" s="64" t="str">
        <f>IF(OR($B671="", $P671="", $Q671="", $R671="", $S671=""),"",ROUND(($P671*Lists!$AN$7)+($Q671*Lists!$AN$8)+($R671*Lists!$AN$9)+($S671*Lists!$AN$10),2))</f>
        <v/>
      </c>
      <c r="U671" s="66"/>
      <c r="V671" s="66"/>
      <c r="W671" s="66"/>
      <c r="X671" s="66"/>
      <c r="Y671" s="66"/>
      <c r="Z671" s="64" t="str">
        <f>IF(OR($B671="", $U671="", $V671="", $W671="", $X671="", $Y671=""),"",ROUND(($U671*Lists!$AN$11)+($V671*Lists!$AN$12)+($W671*Lists!$AN$13)+($X671*Lists!$AN$14)+($Y671*Lists!$AN$15),2))</f>
        <v/>
      </c>
      <c r="AA671" s="64" t="str">
        <f>IF(OR($B671="", $N671="", $O671="", $T671="", $Z671=""),"",ROUND(($N671*Lists!$AN$16)-($O671*Lists!$AN$17)-($T671*Lists!$AN$18)+($Z671*Lists!$AN$19),2))</f>
        <v/>
      </c>
      <c r="AB671" s="63" t="str">
        <f t="shared" si="41"/>
        <v/>
      </c>
      <c r="AC671" s="63" t="str">
        <f t="shared" si="42"/>
        <v/>
      </c>
      <c r="AD671" s="63" t="str">
        <f>IF($A671="","",IFERROR(IF(VLOOKUP($A671,'Risk Register'!$B$2:$H$1000,4,FALSE())&gt;=4,"Yes",""),""))</f>
        <v/>
      </c>
      <c r="AE671" s="63" t="str">
        <f t="shared" si="43"/>
        <v/>
      </c>
      <c r="AF671" s="62"/>
      <c r="AG671" s="62"/>
      <c r="AH671" s="62"/>
      <c r="AI671" s="62"/>
      <c r="AJ671" s="62"/>
      <c r="AK671" s="62"/>
      <c r="AL671" s="62"/>
      <c r="AM671" s="62"/>
      <c r="AN671" s="62"/>
      <c r="AO671" s="62"/>
      <c r="AP671" s="62"/>
      <c r="AQ671" s="80"/>
    </row>
    <row r="672" spans="1:43" ht="15.75" customHeight="1" x14ac:dyDescent="0.2">
      <c r="A672" s="63" t="str">
        <f t="shared" si="40"/>
        <v/>
      </c>
      <c r="B672" s="62"/>
      <c r="C672" s="62"/>
      <c r="D672" s="62"/>
      <c r="E672" s="62"/>
      <c r="F672" s="62"/>
      <c r="G672" s="62"/>
      <c r="H672" s="62"/>
      <c r="I672" s="66"/>
      <c r="J672" s="66"/>
      <c r="K672" s="66"/>
      <c r="L672" s="66"/>
      <c r="M672" s="66"/>
      <c r="N672" s="64" t="str">
        <f>IF(OR($B672="", $I672="", $J672="", $K672="", $L672="", $M672=""),"",ROUND(($I672*Lists!$AN$2)+($J672*Lists!$AN$3)+($K672*Lists!$AN$4)+($L672*Lists!$AN$5)+($M672*Lists!$AN$6),2))</f>
        <v/>
      </c>
      <c r="O672" s="64" t="str">
        <f>IF($A672="","",IFERROR(VLOOKUP($A672,'Risk Register'!$B$2:$I$1000,8,FALSE()),""))</f>
        <v/>
      </c>
      <c r="P672" s="66"/>
      <c r="Q672" s="66"/>
      <c r="R672" s="66"/>
      <c r="S672" s="66"/>
      <c r="T672" s="64" t="str">
        <f>IF(OR($B672="", $P672="", $Q672="", $R672="", $S672=""),"",ROUND(($P672*Lists!$AN$7)+($Q672*Lists!$AN$8)+($R672*Lists!$AN$9)+($S672*Lists!$AN$10),2))</f>
        <v/>
      </c>
      <c r="U672" s="66"/>
      <c r="V672" s="66"/>
      <c r="W672" s="66"/>
      <c r="X672" s="66"/>
      <c r="Y672" s="66"/>
      <c r="Z672" s="64" t="str">
        <f>IF(OR($B672="", $U672="", $V672="", $W672="", $X672="", $Y672=""),"",ROUND(($U672*Lists!$AN$11)+($V672*Lists!$AN$12)+($W672*Lists!$AN$13)+($X672*Lists!$AN$14)+($Y672*Lists!$AN$15),2))</f>
        <v/>
      </c>
      <c r="AA672" s="64" t="str">
        <f>IF(OR($B672="", $N672="", $O672="", $T672="", $Z672=""),"",ROUND(($N672*Lists!$AN$16)-($O672*Lists!$AN$17)-($T672*Lists!$AN$18)+($Z672*Lists!$AN$19),2))</f>
        <v/>
      </c>
      <c r="AB672" s="63" t="str">
        <f t="shared" si="41"/>
        <v/>
      </c>
      <c r="AC672" s="63" t="str">
        <f t="shared" si="42"/>
        <v/>
      </c>
      <c r="AD672" s="63" t="str">
        <f>IF($A672="","",IFERROR(IF(VLOOKUP($A672,'Risk Register'!$B$2:$H$1000,4,FALSE())&gt;=4,"Yes",""),""))</f>
        <v/>
      </c>
      <c r="AE672" s="63" t="str">
        <f t="shared" si="43"/>
        <v/>
      </c>
      <c r="AF672" s="62"/>
      <c r="AG672" s="62"/>
      <c r="AH672" s="62"/>
      <c r="AI672" s="62"/>
      <c r="AJ672" s="62"/>
      <c r="AK672" s="62"/>
      <c r="AL672" s="62"/>
      <c r="AM672" s="62"/>
      <c r="AN672" s="62"/>
      <c r="AO672" s="62"/>
      <c r="AP672" s="62"/>
      <c r="AQ672" s="80"/>
    </row>
    <row r="673" spans="1:43" ht="15.75" customHeight="1" x14ac:dyDescent="0.2">
      <c r="A673" s="63" t="str">
        <f t="shared" si="40"/>
        <v/>
      </c>
      <c r="B673" s="62"/>
      <c r="C673" s="62"/>
      <c r="D673" s="62"/>
      <c r="E673" s="62"/>
      <c r="F673" s="62"/>
      <c r="G673" s="62"/>
      <c r="H673" s="62"/>
      <c r="I673" s="66"/>
      <c r="J673" s="66"/>
      <c r="K673" s="66"/>
      <c r="L673" s="66"/>
      <c r="M673" s="66"/>
      <c r="N673" s="64" t="str">
        <f>IF(OR($B673="", $I673="", $J673="", $K673="", $L673="", $M673=""),"",ROUND(($I673*Lists!$AN$2)+($J673*Lists!$AN$3)+($K673*Lists!$AN$4)+($L673*Lists!$AN$5)+($M673*Lists!$AN$6),2))</f>
        <v/>
      </c>
      <c r="O673" s="64" t="str">
        <f>IF($A673="","",IFERROR(VLOOKUP($A673,'Risk Register'!$B$2:$I$1000,8,FALSE()),""))</f>
        <v/>
      </c>
      <c r="P673" s="66"/>
      <c r="Q673" s="66"/>
      <c r="R673" s="66"/>
      <c r="S673" s="66"/>
      <c r="T673" s="64" t="str">
        <f>IF(OR($B673="", $P673="", $Q673="", $R673="", $S673=""),"",ROUND(($P673*Lists!$AN$7)+($Q673*Lists!$AN$8)+($R673*Lists!$AN$9)+($S673*Lists!$AN$10),2))</f>
        <v/>
      </c>
      <c r="U673" s="66"/>
      <c r="V673" s="66"/>
      <c r="W673" s="66"/>
      <c r="X673" s="66"/>
      <c r="Y673" s="66"/>
      <c r="Z673" s="64" t="str">
        <f>IF(OR($B673="", $U673="", $V673="", $W673="", $X673="", $Y673=""),"",ROUND(($U673*Lists!$AN$11)+($V673*Lists!$AN$12)+($W673*Lists!$AN$13)+($X673*Lists!$AN$14)+($Y673*Lists!$AN$15),2))</f>
        <v/>
      </c>
      <c r="AA673" s="64" t="str">
        <f>IF(OR($B673="", $N673="", $O673="", $T673="", $Z673=""),"",ROUND(($N673*Lists!$AN$16)-($O673*Lists!$AN$17)-($T673*Lists!$AN$18)+($Z673*Lists!$AN$19),2))</f>
        <v/>
      </c>
      <c r="AB673" s="63" t="str">
        <f t="shared" si="41"/>
        <v/>
      </c>
      <c r="AC673" s="63" t="str">
        <f t="shared" si="42"/>
        <v/>
      </c>
      <c r="AD673" s="63" t="str">
        <f>IF($A673="","",IFERROR(IF(VLOOKUP($A673,'Risk Register'!$B$2:$H$1000,4,FALSE())&gt;=4,"Yes",""),""))</f>
        <v/>
      </c>
      <c r="AE673" s="63" t="str">
        <f t="shared" si="43"/>
        <v/>
      </c>
      <c r="AF673" s="62"/>
      <c r="AG673" s="62"/>
      <c r="AH673" s="62"/>
      <c r="AI673" s="62"/>
      <c r="AJ673" s="62"/>
      <c r="AK673" s="62"/>
      <c r="AL673" s="62"/>
      <c r="AM673" s="62"/>
      <c r="AN673" s="62"/>
      <c r="AO673" s="62"/>
      <c r="AP673" s="62"/>
      <c r="AQ673" s="80"/>
    </row>
    <row r="674" spans="1:43" ht="15.75" customHeight="1" x14ac:dyDescent="0.2">
      <c r="A674" s="63" t="str">
        <f t="shared" si="40"/>
        <v/>
      </c>
      <c r="B674" s="62"/>
      <c r="C674" s="62"/>
      <c r="D674" s="62"/>
      <c r="E674" s="62"/>
      <c r="F674" s="62"/>
      <c r="G674" s="62"/>
      <c r="H674" s="62"/>
      <c r="I674" s="66"/>
      <c r="J674" s="66"/>
      <c r="K674" s="66"/>
      <c r="L674" s="66"/>
      <c r="M674" s="66"/>
      <c r="N674" s="64" t="str">
        <f>IF(OR($B674="", $I674="", $J674="", $K674="", $L674="", $M674=""),"",ROUND(($I674*Lists!$AN$2)+($J674*Lists!$AN$3)+($K674*Lists!$AN$4)+($L674*Lists!$AN$5)+($M674*Lists!$AN$6),2))</f>
        <v/>
      </c>
      <c r="O674" s="64" t="str">
        <f>IF($A674="","",IFERROR(VLOOKUP($A674,'Risk Register'!$B$2:$I$1000,8,FALSE()),""))</f>
        <v/>
      </c>
      <c r="P674" s="66"/>
      <c r="Q674" s="66"/>
      <c r="R674" s="66"/>
      <c r="S674" s="66"/>
      <c r="T674" s="64" t="str">
        <f>IF(OR($B674="", $P674="", $Q674="", $R674="", $S674=""),"",ROUND(($P674*Lists!$AN$7)+($Q674*Lists!$AN$8)+($R674*Lists!$AN$9)+($S674*Lists!$AN$10),2))</f>
        <v/>
      </c>
      <c r="U674" s="66"/>
      <c r="V674" s="66"/>
      <c r="W674" s="66"/>
      <c r="X674" s="66"/>
      <c r="Y674" s="66"/>
      <c r="Z674" s="64" t="str">
        <f>IF(OR($B674="", $U674="", $V674="", $W674="", $X674="", $Y674=""),"",ROUND(($U674*Lists!$AN$11)+($V674*Lists!$AN$12)+($W674*Lists!$AN$13)+($X674*Lists!$AN$14)+($Y674*Lists!$AN$15),2))</f>
        <v/>
      </c>
      <c r="AA674" s="64" t="str">
        <f>IF(OR($B674="", $N674="", $O674="", $T674="", $Z674=""),"",ROUND(($N674*Lists!$AN$16)-($O674*Lists!$AN$17)-($T674*Lists!$AN$18)+($Z674*Lists!$AN$19),2))</f>
        <v/>
      </c>
      <c r="AB674" s="63" t="str">
        <f t="shared" si="41"/>
        <v/>
      </c>
      <c r="AC674" s="63" t="str">
        <f t="shared" si="42"/>
        <v/>
      </c>
      <c r="AD674" s="63" t="str">
        <f>IF($A674="","",IFERROR(IF(VLOOKUP($A674,'Risk Register'!$B$2:$H$1000,4,FALSE())&gt;=4,"Yes",""),""))</f>
        <v/>
      </c>
      <c r="AE674" s="63" t="str">
        <f t="shared" si="43"/>
        <v/>
      </c>
      <c r="AF674" s="62"/>
      <c r="AG674" s="62"/>
      <c r="AH674" s="62"/>
      <c r="AI674" s="62"/>
      <c r="AJ674" s="62"/>
      <c r="AK674" s="62"/>
      <c r="AL674" s="62"/>
      <c r="AM674" s="62"/>
      <c r="AN674" s="62"/>
      <c r="AO674" s="62"/>
      <c r="AP674" s="62"/>
      <c r="AQ674" s="80"/>
    </row>
    <row r="675" spans="1:43" ht="15.75" customHeight="1" x14ac:dyDescent="0.2">
      <c r="A675" s="63" t="str">
        <f t="shared" si="40"/>
        <v/>
      </c>
      <c r="B675" s="62"/>
      <c r="C675" s="62"/>
      <c r="D675" s="62"/>
      <c r="E675" s="62"/>
      <c r="F675" s="62"/>
      <c r="G675" s="62"/>
      <c r="H675" s="62"/>
      <c r="I675" s="66"/>
      <c r="J675" s="66"/>
      <c r="K675" s="66"/>
      <c r="L675" s="66"/>
      <c r="M675" s="66"/>
      <c r="N675" s="64" t="str">
        <f>IF(OR($B675="", $I675="", $J675="", $K675="", $L675="", $M675=""),"",ROUND(($I675*Lists!$AN$2)+($J675*Lists!$AN$3)+($K675*Lists!$AN$4)+($L675*Lists!$AN$5)+($M675*Lists!$AN$6),2))</f>
        <v/>
      </c>
      <c r="O675" s="64" t="str">
        <f>IF($A675="","",IFERROR(VLOOKUP($A675,'Risk Register'!$B$2:$I$1000,8,FALSE()),""))</f>
        <v/>
      </c>
      <c r="P675" s="66"/>
      <c r="Q675" s="66"/>
      <c r="R675" s="66"/>
      <c r="S675" s="66"/>
      <c r="T675" s="64" t="str">
        <f>IF(OR($B675="", $P675="", $Q675="", $R675="", $S675=""),"",ROUND(($P675*Lists!$AN$7)+($Q675*Lists!$AN$8)+($R675*Lists!$AN$9)+($S675*Lists!$AN$10),2))</f>
        <v/>
      </c>
      <c r="U675" s="66"/>
      <c r="V675" s="66"/>
      <c r="W675" s="66"/>
      <c r="X675" s="66"/>
      <c r="Y675" s="66"/>
      <c r="Z675" s="64" t="str">
        <f>IF(OR($B675="", $U675="", $V675="", $W675="", $X675="", $Y675=""),"",ROUND(($U675*Lists!$AN$11)+($V675*Lists!$AN$12)+($W675*Lists!$AN$13)+($X675*Lists!$AN$14)+($Y675*Lists!$AN$15),2))</f>
        <v/>
      </c>
      <c r="AA675" s="64" t="str">
        <f>IF(OR($B675="", $N675="", $O675="", $T675="", $Z675=""),"",ROUND(($N675*Lists!$AN$16)-($O675*Lists!$AN$17)-($T675*Lists!$AN$18)+($Z675*Lists!$AN$19),2))</f>
        <v/>
      </c>
      <c r="AB675" s="63" t="str">
        <f t="shared" si="41"/>
        <v/>
      </c>
      <c r="AC675" s="63" t="str">
        <f t="shared" si="42"/>
        <v/>
      </c>
      <c r="AD675" s="63" t="str">
        <f>IF($A675="","",IFERROR(IF(VLOOKUP($A675,'Risk Register'!$B$2:$H$1000,4,FALSE())&gt;=4,"Yes",""),""))</f>
        <v/>
      </c>
      <c r="AE675" s="63" t="str">
        <f t="shared" si="43"/>
        <v/>
      </c>
      <c r="AF675" s="62"/>
      <c r="AG675" s="62"/>
      <c r="AH675" s="62"/>
      <c r="AI675" s="62"/>
      <c r="AJ675" s="62"/>
      <c r="AK675" s="62"/>
      <c r="AL675" s="62"/>
      <c r="AM675" s="62"/>
      <c r="AN675" s="62"/>
      <c r="AO675" s="62"/>
      <c r="AP675" s="62"/>
      <c r="AQ675" s="80"/>
    </row>
    <row r="676" spans="1:43" ht="15.75" customHeight="1" x14ac:dyDescent="0.2">
      <c r="A676" s="63" t="str">
        <f t="shared" si="40"/>
        <v/>
      </c>
      <c r="B676" s="62"/>
      <c r="C676" s="62"/>
      <c r="D676" s="62"/>
      <c r="E676" s="62"/>
      <c r="F676" s="62"/>
      <c r="G676" s="62"/>
      <c r="H676" s="62"/>
      <c r="I676" s="66"/>
      <c r="J676" s="66"/>
      <c r="K676" s="66"/>
      <c r="L676" s="66"/>
      <c r="M676" s="66"/>
      <c r="N676" s="64" t="str">
        <f>IF(OR($B676="", $I676="", $J676="", $K676="", $L676="", $M676=""),"",ROUND(($I676*Lists!$AN$2)+($J676*Lists!$AN$3)+($K676*Lists!$AN$4)+($L676*Lists!$AN$5)+($M676*Lists!$AN$6),2))</f>
        <v/>
      </c>
      <c r="O676" s="64" t="str">
        <f>IF($A676="","",IFERROR(VLOOKUP($A676,'Risk Register'!$B$2:$I$1000,8,FALSE()),""))</f>
        <v/>
      </c>
      <c r="P676" s="66"/>
      <c r="Q676" s="66"/>
      <c r="R676" s="66"/>
      <c r="S676" s="66"/>
      <c r="T676" s="64" t="str">
        <f>IF(OR($B676="", $P676="", $Q676="", $R676="", $S676=""),"",ROUND(($P676*Lists!$AN$7)+($Q676*Lists!$AN$8)+($R676*Lists!$AN$9)+($S676*Lists!$AN$10),2))</f>
        <v/>
      </c>
      <c r="U676" s="66"/>
      <c r="V676" s="66"/>
      <c r="W676" s="66"/>
      <c r="X676" s="66"/>
      <c r="Y676" s="66"/>
      <c r="Z676" s="64" t="str">
        <f>IF(OR($B676="", $U676="", $V676="", $W676="", $X676="", $Y676=""),"",ROUND(($U676*Lists!$AN$11)+($V676*Lists!$AN$12)+($W676*Lists!$AN$13)+($X676*Lists!$AN$14)+($Y676*Lists!$AN$15),2))</f>
        <v/>
      </c>
      <c r="AA676" s="64" t="str">
        <f>IF(OR($B676="", $N676="", $O676="", $T676="", $Z676=""),"",ROUND(($N676*Lists!$AN$16)-($O676*Lists!$AN$17)-($T676*Lists!$AN$18)+($Z676*Lists!$AN$19),2))</f>
        <v/>
      </c>
      <c r="AB676" s="63" t="str">
        <f t="shared" si="41"/>
        <v/>
      </c>
      <c r="AC676" s="63" t="str">
        <f t="shared" si="42"/>
        <v/>
      </c>
      <c r="AD676" s="63" t="str">
        <f>IF($A676="","",IFERROR(IF(VLOOKUP($A676,'Risk Register'!$B$2:$H$1000,4,FALSE())&gt;=4,"Yes",""),""))</f>
        <v/>
      </c>
      <c r="AE676" s="63" t="str">
        <f t="shared" si="43"/>
        <v/>
      </c>
      <c r="AF676" s="62"/>
      <c r="AG676" s="62"/>
      <c r="AH676" s="62"/>
      <c r="AI676" s="62"/>
      <c r="AJ676" s="62"/>
      <c r="AK676" s="62"/>
      <c r="AL676" s="62"/>
      <c r="AM676" s="62"/>
      <c r="AN676" s="62"/>
      <c r="AO676" s="62"/>
      <c r="AP676" s="62"/>
      <c r="AQ676" s="80"/>
    </row>
    <row r="677" spans="1:43" ht="15.75" customHeight="1" x14ac:dyDescent="0.2">
      <c r="A677" s="63" t="str">
        <f t="shared" si="40"/>
        <v/>
      </c>
      <c r="B677" s="62"/>
      <c r="C677" s="62"/>
      <c r="D677" s="62"/>
      <c r="E677" s="62"/>
      <c r="F677" s="62"/>
      <c r="G677" s="62"/>
      <c r="H677" s="62"/>
      <c r="I677" s="66"/>
      <c r="J677" s="66"/>
      <c r="K677" s="66"/>
      <c r="L677" s="66"/>
      <c r="M677" s="66"/>
      <c r="N677" s="64" t="str">
        <f>IF(OR($B677="", $I677="", $J677="", $K677="", $L677="", $M677=""),"",ROUND(($I677*Lists!$AN$2)+($J677*Lists!$AN$3)+($K677*Lists!$AN$4)+($L677*Lists!$AN$5)+($M677*Lists!$AN$6),2))</f>
        <v/>
      </c>
      <c r="O677" s="64" t="str">
        <f>IF($A677="","",IFERROR(VLOOKUP($A677,'Risk Register'!$B$2:$I$1000,8,FALSE()),""))</f>
        <v/>
      </c>
      <c r="P677" s="66"/>
      <c r="Q677" s="66"/>
      <c r="R677" s="66"/>
      <c r="S677" s="66"/>
      <c r="T677" s="64" t="str">
        <f>IF(OR($B677="", $P677="", $Q677="", $R677="", $S677=""),"",ROUND(($P677*Lists!$AN$7)+($Q677*Lists!$AN$8)+($R677*Lists!$AN$9)+($S677*Lists!$AN$10),2))</f>
        <v/>
      </c>
      <c r="U677" s="66"/>
      <c r="V677" s="66"/>
      <c r="W677" s="66"/>
      <c r="X677" s="66"/>
      <c r="Y677" s="66"/>
      <c r="Z677" s="64" t="str">
        <f>IF(OR($B677="", $U677="", $V677="", $W677="", $X677="", $Y677=""),"",ROUND(($U677*Lists!$AN$11)+($V677*Lists!$AN$12)+($W677*Lists!$AN$13)+($X677*Lists!$AN$14)+($Y677*Lists!$AN$15),2))</f>
        <v/>
      </c>
      <c r="AA677" s="64" t="str">
        <f>IF(OR($B677="", $N677="", $O677="", $T677="", $Z677=""),"",ROUND(($N677*Lists!$AN$16)-($O677*Lists!$AN$17)-($T677*Lists!$AN$18)+($Z677*Lists!$AN$19),2))</f>
        <v/>
      </c>
      <c r="AB677" s="63" t="str">
        <f t="shared" si="41"/>
        <v/>
      </c>
      <c r="AC677" s="63" t="str">
        <f t="shared" si="42"/>
        <v/>
      </c>
      <c r="AD677" s="63" t="str">
        <f>IF($A677="","",IFERROR(IF(VLOOKUP($A677,'Risk Register'!$B$2:$H$1000,4,FALSE())&gt;=4,"Yes",""),""))</f>
        <v/>
      </c>
      <c r="AE677" s="63" t="str">
        <f t="shared" si="43"/>
        <v/>
      </c>
      <c r="AF677" s="62"/>
      <c r="AG677" s="62"/>
      <c r="AH677" s="62"/>
      <c r="AI677" s="62"/>
      <c r="AJ677" s="62"/>
      <c r="AK677" s="62"/>
      <c r="AL677" s="62"/>
      <c r="AM677" s="62"/>
      <c r="AN677" s="62"/>
      <c r="AO677" s="62"/>
      <c r="AP677" s="62"/>
      <c r="AQ677" s="80"/>
    </row>
    <row r="678" spans="1:43" ht="15.75" customHeight="1" x14ac:dyDescent="0.2">
      <c r="A678" s="63" t="str">
        <f t="shared" si="40"/>
        <v/>
      </c>
      <c r="B678" s="62"/>
      <c r="C678" s="62"/>
      <c r="D678" s="62"/>
      <c r="E678" s="62"/>
      <c r="F678" s="62"/>
      <c r="G678" s="62"/>
      <c r="H678" s="62"/>
      <c r="I678" s="66"/>
      <c r="J678" s="66"/>
      <c r="K678" s="66"/>
      <c r="L678" s="66"/>
      <c r="M678" s="66"/>
      <c r="N678" s="64" t="str">
        <f>IF(OR($B678="", $I678="", $J678="", $K678="", $L678="", $M678=""),"",ROUND(($I678*Lists!$AN$2)+($J678*Lists!$AN$3)+($K678*Lists!$AN$4)+($L678*Lists!$AN$5)+($M678*Lists!$AN$6),2))</f>
        <v/>
      </c>
      <c r="O678" s="64" t="str">
        <f>IF($A678="","",IFERROR(VLOOKUP($A678,'Risk Register'!$B$2:$I$1000,8,FALSE()),""))</f>
        <v/>
      </c>
      <c r="P678" s="66"/>
      <c r="Q678" s="66"/>
      <c r="R678" s="66"/>
      <c r="S678" s="66"/>
      <c r="T678" s="64" t="str">
        <f>IF(OR($B678="", $P678="", $Q678="", $R678="", $S678=""),"",ROUND(($P678*Lists!$AN$7)+($Q678*Lists!$AN$8)+($R678*Lists!$AN$9)+($S678*Lists!$AN$10),2))</f>
        <v/>
      </c>
      <c r="U678" s="66"/>
      <c r="V678" s="66"/>
      <c r="W678" s="66"/>
      <c r="X678" s="66"/>
      <c r="Y678" s="66"/>
      <c r="Z678" s="64" t="str">
        <f>IF(OR($B678="", $U678="", $V678="", $W678="", $X678="", $Y678=""),"",ROUND(($U678*Lists!$AN$11)+($V678*Lists!$AN$12)+($W678*Lists!$AN$13)+($X678*Lists!$AN$14)+($Y678*Lists!$AN$15),2))</f>
        <v/>
      </c>
      <c r="AA678" s="64" t="str">
        <f>IF(OR($B678="", $N678="", $O678="", $T678="", $Z678=""),"",ROUND(($N678*Lists!$AN$16)-($O678*Lists!$AN$17)-($T678*Lists!$AN$18)+($Z678*Lists!$AN$19),2))</f>
        <v/>
      </c>
      <c r="AB678" s="63" t="str">
        <f t="shared" si="41"/>
        <v/>
      </c>
      <c r="AC678" s="63" t="str">
        <f t="shared" si="42"/>
        <v/>
      </c>
      <c r="AD678" s="63" t="str">
        <f>IF($A678="","",IFERROR(IF(VLOOKUP($A678,'Risk Register'!$B$2:$H$1000,4,FALSE())&gt;=4,"Yes",""),""))</f>
        <v/>
      </c>
      <c r="AE678" s="63" t="str">
        <f t="shared" si="43"/>
        <v/>
      </c>
      <c r="AF678" s="62"/>
      <c r="AG678" s="62"/>
      <c r="AH678" s="62"/>
      <c r="AI678" s="62"/>
      <c r="AJ678" s="62"/>
      <c r="AK678" s="62"/>
      <c r="AL678" s="62"/>
      <c r="AM678" s="62"/>
      <c r="AN678" s="62"/>
      <c r="AO678" s="62"/>
      <c r="AP678" s="62"/>
      <c r="AQ678" s="80"/>
    </row>
    <row r="679" spans="1:43" ht="15.75" customHeight="1" x14ac:dyDescent="0.2">
      <c r="A679" s="63" t="str">
        <f t="shared" si="40"/>
        <v/>
      </c>
      <c r="B679" s="62"/>
      <c r="C679" s="62"/>
      <c r="D679" s="62"/>
      <c r="E679" s="62"/>
      <c r="F679" s="62"/>
      <c r="G679" s="62"/>
      <c r="H679" s="62"/>
      <c r="I679" s="66"/>
      <c r="J679" s="66"/>
      <c r="K679" s="66"/>
      <c r="L679" s="66"/>
      <c r="M679" s="66"/>
      <c r="N679" s="64" t="str">
        <f>IF(OR($B679="", $I679="", $J679="", $K679="", $L679="", $M679=""),"",ROUND(($I679*Lists!$AN$2)+($J679*Lists!$AN$3)+($K679*Lists!$AN$4)+($L679*Lists!$AN$5)+($M679*Lists!$AN$6),2))</f>
        <v/>
      </c>
      <c r="O679" s="64" t="str">
        <f>IF($A679="","",IFERROR(VLOOKUP($A679,'Risk Register'!$B$2:$I$1000,8,FALSE()),""))</f>
        <v/>
      </c>
      <c r="P679" s="66"/>
      <c r="Q679" s="66"/>
      <c r="R679" s="66"/>
      <c r="S679" s="66"/>
      <c r="T679" s="64" t="str">
        <f>IF(OR($B679="", $P679="", $Q679="", $R679="", $S679=""),"",ROUND(($P679*Lists!$AN$7)+($Q679*Lists!$AN$8)+($R679*Lists!$AN$9)+($S679*Lists!$AN$10),2))</f>
        <v/>
      </c>
      <c r="U679" s="66"/>
      <c r="V679" s="66"/>
      <c r="W679" s="66"/>
      <c r="X679" s="66"/>
      <c r="Y679" s="66"/>
      <c r="Z679" s="64" t="str">
        <f>IF(OR($B679="", $U679="", $V679="", $W679="", $X679="", $Y679=""),"",ROUND(($U679*Lists!$AN$11)+($V679*Lists!$AN$12)+($W679*Lists!$AN$13)+($X679*Lists!$AN$14)+($Y679*Lists!$AN$15),2))</f>
        <v/>
      </c>
      <c r="AA679" s="64" t="str">
        <f>IF(OR($B679="", $N679="", $O679="", $T679="", $Z679=""),"",ROUND(($N679*Lists!$AN$16)-($O679*Lists!$AN$17)-($T679*Lists!$AN$18)+($Z679*Lists!$AN$19),2))</f>
        <v/>
      </c>
      <c r="AB679" s="63" t="str">
        <f t="shared" si="41"/>
        <v/>
      </c>
      <c r="AC679" s="63" t="str">
        <f t="shared" si="42"/>
        <v/>
      </c>
      <c r="AD679" s="63" t="str">
        <f>IF($A679="","",IFERROR(IF(VLOOKUP($A679,'Risk Register'!$B$2:$H$1000,4,FALSE())&gt;=4,"Yes",""),""))</f>
        <v/>
      </c>
      <c r="AE679" s="63" t="str">
        <f t="shared" si="43"/>
        <v/>
      </c>
      <c r="AF679" s="62"/>
      <c r="AG679" s="62"/>
      <c r="AH679" s="62"/>
      <c r="AI679" s="62"/>
      <c r="AJ679" s="62"/>
      <c r="AK679" s="62"/>
      <c r="AL679" s="62"/>
      <c r="AM679" s="62"/>
      <c r="AN679" s="62"/>
      <c r="AO679" s="62"/>
      <c r="AP679" s="62"/>
      <c r="AQ679" s="80"/>
    </row>
    <row r="680" spans="1:43" ht="15.75" customHeight="1" x14ac:dyDescent="0.2">
      <c r="A680" s="63" t="str">
        <f t="shared" si="40"/>
        <v/>
      </c>
      <c r="B680" s="62"/>
      <c r="C680" s="62"/>
      <c r="D680" s="62"/>
      <c r="E680" s="62"/>
      <c r="F680" s="62"/>
      <c r="G680" s="62"/>
      <c r="H680" s="62"/>
      <c r="I680" s="66"/>
      <c r="J680" s="66"/>
      <c r="K680" s="66"/>
      <c r="L680" s="66"/>
      <c r="M680" s="66"/>
      <c r="N680" s="64" t="str">
        <f>IF(OR($B680="", $I680="", $J680="", $K680="", $L680="", $M680=""),"",ROUND(($I680*Lists!$AN$2)+($J680*Lists!$AN$3)+($K680*Lists!$AN$4)+($L680*Lists!$AN$5)+($M680*Lists!$AN$6),2))</f>
        <v/>
      </c>
      <c r="O680" s="64" t="str">
        <f>IF($A680="","",IFERROR(VLOOKUP($A680,'Risk Register'!$B$2:$I$1000,8,FALSE()),""))</f>
        <v/>
      </c>
      <c r="P680" s="66"/>
      <c r="Q680" s="66"/>
      <c r="R680" s="66"/>
      <c r="S680" s="66"/>
      <c r="T680" s="64" t="str">
        <f>IF(OR($B680="", $P680="", $Q680="", $R680="", $S680=""),"",ROUND(($P680*Lists!$AN$7)+($Q680*Lists!$AN$8)+($R680*Lists!$AN$9)+($S680*Lists!$AN$10),2))</f>
        <v/>
      </c>
      <c r="U680" s="66"/>
      <c r="V680" s="66"/>
      <c r="W680" s="66"/>
      <c r="X680" s="66"/>
      <c r="Y680" s="66"/>
      <c r="Z680" s="64" t="str">
        <f>IF(OR($B680="", $U680="", $V680="", $W680="", $X680="", $Y680=""),"",ROUND(($U680*Lists!$AN$11)+($V680*Lists!$AN$12)+($W680*Lists!$AN$13)+($X680*Lists!$AN$14)+($Y680*Lists!$AN$15),2))</f>
        <v/>
      </c>
      <c r="AA680" s="64" t="str">
        <f>IF(OR($B680="", $N680="", $O680="", $T680="", $Z680=""),"",ROUND(($N680*Lists!$AN$16)-($O680*Lists!$AN$17)-($T680*Lists!$AN$18)+($Z680*Lists!$AN$19),2))</f>
        <v/>
      </c>
      <c r="AB680" s="63" t="str">
        <f t="shared" si="41"/>
        <v/>
      </c>
      <c r="AC680" s="63" t="str">
        <f t="shared" si="42"/>
        <v/>
      </c>
      <c r="AD680" s="63" t="str">
        <f>IF($A680="","",IFERROR(IF(VLOOKUP($A680,'Risk Register'!$B$2:$H$1000,4,FALSE())&gt;=4,"Yes",""),""))</f>
        <v/>
      </c>
      <c r="AE680" s="63" t="str">
        <f t="shared" si="43"/>
        <v/>
      </c>
      <c r="AF680" s="62"/>
      <c r="AG680" s="62"/>
      <c r="AH680" s="62"/>
      <c r="AI680" s="62"/>
      <c r="AJ680" s="62"/>
      <c r="AK680" s="62"/>
      <c r="AL680" s="62"/>
      <c r="AM680" s="62"/>
      <c r="AN680" s="62"/>
      <c r="AO680" s="62"/>
      <c r="AP680" s="62"/>
      <c r="AQ680" s="80"/>
    </row>
    <row r="681" spans="1:43" ht="15.75" customHeight="1" x14ac:dyDescent="0.2">
      <c r="A681" s="63" t="str">
        <f t="shared" si="40"/>
        <v/>
      </c>
      <c r="B681" s="62"/>
      <c r="C681" s="62"/>
      <c r="D681" s="62"/>
      <c r="E681" s="62"/>
      <c r="F681" s="62"/>
      <c r="G681" s="62"/>
      <c r="H681" s="62"/>
      <c r="I681" s="66"/>
      <c r="J681" s="66"/>
      <c r="K681" s="66"/>
      <c r="L681" s="66"/>
      <c r="M681" s="66"/>
      <c r="N681" s="64" t="str">
        <f>IF(OR($B681="", $I681="", $J681="", $K681="", $L681="", $M681=""),"",ROUND(($I681*Lists!$AN$2)+($J681*Lists!$AN$3)+($K681*Lists!$AN$4)+($L681*Lists!$AN$5)+($M681*Lists!$AN$6),2))</f>
        <v/>
      </c>
      <c r="O681" s="64" t="str">
        <f>IF($A681="","",IFERROR(VLOOKUP($A681,'Risk Register'!$B$2:$I$1000,8,FALSE()),""))</f>
        <v/>
      </c>
      <c r="P681" s="66"/>
      <c r="Q681" s="66"/>
      <c r="R681" s="66"/>
      <c r="S681" s="66"/>
      <c r="T681" s="64" t="str">
        <f>IF(OR($B681="", $P681="", $Q681="", $R681="", $S681=""),"",ROUND(($P681*Lists!$AN$7)+($Q681*Lists!$AN$8)+($R681*Lists!$AN$9)+($S681*Lists!$AN$10),2))</f>
        <v/>
      </c>
      <c r="U681" s="66"/>
      <c r="V681" s="66"/>
      <c r="W681" s="66"/>
      <c r="X681" s="66"/>
      <c r="Y681" s="66"/>
      <c r="Z681" s="64" t="str">
        <f>IF(OR($B681="", $U681="", $V681="", $W681="", $X681="", $Y681=""),"",ROUND(($U681*Lists!$AN$11)+($V681*Lists!$AN$12)+($W681*Lists!$AN$13)+($X681*Lists!$AN$14)+($Y681*Lists!$AN$15),2))</f>
        <v/>
      </c>
      <c r="AA681" s="64" t="str">
        <f>IF(OR($B681="", $N681="", $O681="", $T681="", $Z681=""),"",ROUND(($N681*Lists!$AN$16)-($O681*Lists!$AN$17)-($T681*Lists!$AN$18)+($Z681*Lists!$AN$19),2))</f>
        <v/>
      </c>
      <c r="AB681" s="63" t="str">
        <f t="shared" si="41"/>
        <v/>
      </c>
      <c r="AC681" s="63" t="str">
        <f t="shared" si="42"/>
        <v/>
      </c>
      <c r="AD681" s="63" t="str">
        <f>IF($A681="","",IFERROR(IF(VLOOKUP($A681,'Risk Register'!$B$2:$H$1000,4,FALSE())&gt;=4,"Yes",""),""))</f>
        <v/>
      </c>
      <c r="AE681" s="63" t="str">
        <f t="shared" si="43"/>
        <v/>
      </c>
      <c r="AF681" s="62"/>
      <c r="AG681" s="62"/>
      <c r="AH681" s="62"/>
      <c r="AI681" s="62"/>
      <c r="AJ681" s="62"/>
      <c r="AK681" s="62"/>
      <c r="AL681" s="62"/>
      <c r="AM681" s="62"/>
      <c r="AN681" s="62"/>
      <c r="AO681" s="62"/>
      <c r="AP681" s="62"/>
      <c r="AQ681" s="80"/>
    </row>
    <row r="682" spans="1:43" ht="15.75" customHeight="1" x14ac:dyDescent="0.2">
      <c r="A682" s="63" t="str">
        <f t="shared" si="40"/>
        <v/>
      </c>
      <c r="B682" s="62"/>
      <c r="C682" s="62"/>
      <c r="D682" s="62"/>
      <c r="E682" s="62"/>
      <c r="F682" s="62"/>
      <c r="G682" s="62"/>
      <c r="H682" s="62"/>
      <c r="I682" s="66"/>
      <c r="J682" s="66"/>
      <c r="K682" s="66"/>
      <c r="L682" s="66"/>
      <c r="M682" s="66"/>
      <c r="N682" s="64" t="str">
        <f>IF(OR($B682="", $I682="", $J682="", $K682="", $L682="", $M682=""),"",ROUND(($I682*Lists!$AN$2)+($J682*Lists!$AN$3)+($K682*Lists!$AN$4)+($L682*Lists!$AN$5)+($M682*Lists!$AN$6),2))</f>
        <v/>
      </c>
      <c r="O682" s="64" t="str">
        <f>IF($A682="","",IFERROR(VLOOKUP($A682,'Risk Register'!$B$2:$I$1000,8,FALSE()),""))</f>
        <v/>
      </c>
      <c r="P682" s="66"/>
      <c r="Q682" s="66"/>
      <c r="R682" s="66"/>
      <c r="S682" s="66"/>
      <c r="T682" s="64" t="str">
        <f>IF(OR($B682="", $P682="", $Q682="", $R682="", $S682=""),"",ROUND(($P682*Lists!$AN$7)+($Q682*Lists!$AN$8)+($R682*Lists!$AN$9)+($S682*Lists!$AN$10),2))</f>
        <v/>
      </c>
      <c r="U682" s="66"/>
      <c r="V682" s="66"/>
      <c r="W682" s="66"/>
      <c r="X682" s="66"/>
      <c r="Y682" s="66"/>
      <c r="Z682" s="64" t="str">
        <f>IF(OR($B682="", $U682="", $V682="", $W682="", $X682="", $Y682=""),"",ROUND(($U682*Lists!$AN$11)+($V682*Lists!$AN$12)+($W682*Lists!$AN$13)+($X682*Lists!$AN$14)+($Y682*Lists!$AN$15),2))</f>
        <v/>
      </c>
      <c r="AA682" s="64" t="str">
        <f>IF(OR($B682="", $N682="", $O682="", $T682="", $Z682=""),"",ROUND(($N682*Lists!$AN$16)-($O682*Lists!$AN$17)-($T682*Lists!$AN$18)+($Z682*Lists!$AN$19),2))</f>
        <v/>
      </c>
      <c r="AB682" s="63" t="str">
        <f t="shared" si="41"/>
        <v/>
      </c>
      <c r="AC682" s="63" t="str">
        <f t="shared" si="42"/>
        <v/>
      </c>
      <c r="AD682" s="63" t="str">
        <f>IF($A682="","",IFERROR(IF(VLOOKUP($A682,'Risk Register'!$B$2:$H$1000,4,FALSE())&gt;=4,"Yes",""),""))</f>
        <v/>
      </c>
      <c r="AE682" s="63" t="str">
        <f t="shared" si="43"/>
        <v/>
      </c>
      <c r="AF682" s="62"/>
      <c r="AG682" s="62"/>
      <c r="AH682" s="62"/>
      <c r="AI682" s="62"/>
      <c r="AJ682" s="62"/>
      <c r="AK682" s="62"/>
      <c r="AL682" s="62"/>
      <c r="AM682" s="62"/>
      <c r="AN682" s="62"/>
      <c r="AO682" s="62"/>
      <c r="AP682" s="62"/>
      <c r="AQ682" s="80"/>
    </row>
    <row r="683" spans="1:43" ht="15.75" customHeight="1" x14ac:dyDescent="0.2">
      <c r="A683" s="63" t="str">
        <f t="shared" si="40"/>
        <v/>
      </c>
      <c r="B683" s="62"/>
      <c r="C683" s="62"/>
      <c r="D683" s="62"/>
      <c r="E683" s="62"/>
      <c r="F683" s="62"/>
      <c r="G683" s="62"/>
      <c r="H683" s="62"/>
      <c r="I683" s="66"/>
      <c r="J683" s="66"/>
      <c r="K683" s="66"/>
      <c r="L683" s="66"/>
      <c r="M683" s="66"/>
      <c r="N683" s="64" t="str">
        <f>IF(OR($B683="", $I683="", $J683="", $K683="", $L683="", $M683=""),"",ROUND(($I683*Lists!$AN$2)+($J683*Lists!$AN$3)+($K683*Lists!$AN$4)+($L683*Lists!$AN$5)+($M683*Lists!$AN$6),2))</f>
        <v/>
      </c>
      <c r="O683" s="64" t="str">
        <f>IF($A683="","",IFERROR(VLOOKUP($A683,'Risk Register'!$B$2:$I$1000,8,FALSE()),""))</f>
        <v/>
      </c>
      <c r="P683" s="66"/>
      <c r="Q683" s="66"/>
      <c r="R683" s="66"/>
      <c r="S683" s="66"/>
      <c r="T683" s="64" t="str">
        <f>IF(OR($B683="", $P683="", $Q683="", $R683="", $S683=""),"",ROUND(($P683*Lists!$AN$7)+($Q683*Lists!$AN$8)+($R683*Lists!$AN$9)+($S683*Lists!$AN$10),2))</f>
        <v/>
      </c>
      <c r="U683" s="66"/>
      <c r="V683" s="66"/>
      <c r="W683" s="66"/>
      <c r="X683" s="66"/>
      <c r="Y683" s="66"/>
      <c r="Z683" s="64" t="str">
        <f>IF(OR($B683="", $U683="", $V683="", $W683="", $X683="", $Y683=""),"",ROUND(($U683*Lists!$AN$11)+($V683*Lists!$AN$12)+($W683*Lists!$AN$13)+($X683*Lists!$AN$14)+($Y683*Lists!$AN$15),2))</f>
        <v/>
      </c>
      <c r="AA683" s="64" t="str">
        <f>IF(OR($B683="", $N683="", $O683="", $T683="", $Z683=""),"",ROUND(($N683*Lists!$AN$16)-($O683*Lists!$AN$17)-($T683*Lists!$AN$18)+($Z683*Lists!$AN$19),2))</f>
        <v/>
      </c>
      <c r="AB683" s="63" t="str">
        <f t="shared" si="41"/>
        <v/>
      </c>
      <c r="AC683" s="63" t="str">
        <f t="shared" si="42"/>
        <v/>
      </c>
      <c r="AD683" s="63" t="str">
        <f>IF($A683="","",IFERROR(IF(VLOOKUP($A683,'Risk Register'!$B$2:$H$1000,4,FALSE())&gt;=4,"Yes",""),""))</f>
        <v/>
      </c>
      <c r="AE683" s="63" t="str">
        <f t="shared" si="43"/>
        <v/>
      </c>
      <c r="AF683" s="62"/>
      <c r="AG683" s="62"/>
      <c r="AH683" s="62"/>
      <c r="AI683" s="62"/>
      <c r="AJ683" s="62"/>
      <c r="AK683" s="62"/>
      <c r="AL683" s="62"/>
      <c r="AM683" s="62"/>
      <c r="AN683" s="62"/>
      <c r="AO683" s="62"/>
      <c r="AP683" s="62"/>
      <c r="AQ683" s="80"/>
    </row>
    <row r="684" spans="1:43" ht="15.75" customHeight="1" x14ac:dyDescent="0.2">
      <c r="A684" s="63" t="str">
        <f t="shared" si="40"/>
        <v/>
      </c>
      <c r="B684" s="62"/>
      <c r="C684" s="62"/>
      <c r="D684" s="62"/>
      <c r="E684" s="62"/>
      <c r="F684" s="62"/>
      <c r="G684" s="62"/>
      <c r="H684" s="62"/>
      <c r="I684" s="66"/>
      <c r="J684" s="66"/>
      <c r="K684" s="66"/>
      <c r="L684" s="66"/>
      <c r="M684" s="66"/>
      <c r="N684" s="64" t="str">
        <f>IF(OR($B684="", $I684="", $J684="", $K684="", $L684="", $M684=""),"",ROUND(($I684*Lists!$AN$2)+($J684*Lists!$AN$3)+($K684*Lists!$AN$4)+($L684*Lists!$AN$5)+($M684*Lists!$AN$6),2))</f>
        <v/>
      </c>
      <c r="O684" s="64" t="str">
        <f>IF($A684="","",IFERROR(VLOOKUP($A684,'Risk Register'!$B$2:$I$1000,8,FALSE()),""))</f>
        <v/>
      </c>
      <c r="P684" s="66"/>
      <c r="Q684" s="66"/>
      <c r="R684" s="66"/>
      <c r="S684" s="66"/>
      <c r="T684" s="64" t="str">
        <f>IF(OR($B684="", $P684="", $Q684="", $R684="", $S684=""),"",ROUND(($P684*Lists!$AN$7)+($Q684*Lists!$AN$8)+($R684*Lists!$AN$9)+($S684*Lists!$AN$10),2))</f>
        <v/>
      </c>
      <c r="U684" s="66"/>
      <c r="V684" s="66"/>
      <c r="W684" s="66"/>
      <c r="X684" s="66"/>
      <c r="Y684" s="66"/>
      <c r="Z684" s="64" t="str">
        <f>IF(OR($B684="", $U684="", $V684="", $W684="", $X684="", $Y684=""),"",ROUND(($U684*Lists!$AN$11)+($V684*Lists!$AN$12)+($W684*Lists!$AN$13)+($X684*Lists!$AN$14)+($Y684*Lists!$AN$15),2))</f>
        <v/>
      </c>
      <c r="AA684" s="64" t="str">
        <f>IF(OR($B684="", $N684="", $O684="", $T684="", $Z684=""),"",ROUND(($N684*Lists!$AN$16)-($O684*Lists!$AN$17)-($T684*Lists!$AN$18)+($Z684*Lists!$AN$19),2))</f>
        <v/>
      </c>
      <c r="AB684" s="63" t="str">
        <f t="shared" si="41"/>
        <v/>
      </c>
      <c r="AC684" s="63" t="str">
        <f t="shared" si="42"/>
        <v/>
      </c>
      <c r="AD684" s="63" t="str">
        <f>IF($A684="","",IFERROR(IF(VLOOKUP($A684,'Risk Register'!$B$2:$H$1000,4,FALSE())&gt;=4,"Yes",""),""))</f>
        <v/>
      </c>
      <c r="AE684" s="63" t="str">
        <f t="shared" si="43"/>
        <v/>
      </c>
      <c r="AF684" s="62"/>
      <c r="AG684" s="62"/>
      <c r="AH684" s="62"/>
      <c r="AI684" s="62"/>
      <c r="AJ684" s="62"/>
      <c r="AK684" s="62"/>
      <c r="AL684" s="62"/>
      <c r="AM684" s="62"/>
      <c r="AN684" s="62"/>
      <c r="AO684" s="62"/>
      <c r="AP684" s="62"/>
      <c r="AQ684" s="80"/>
    </row>
    <row r="685" spans="1:43" ht="15.75" customHeight="1" x14ac:dyDescent="0.2">
      <c r="A685" s="63" t="str">
        <f t="shared" si="40"/>
        <v/>
      </c>
      <c r="B685" s="62"/>
      <c r="C685" s="62"/>
      <c r="D685" s="62"/>
      <c r="E685" s="62"/>
      <c r="F685" s="62"/>
      <c r="G685" s="62"/>
      <c r="H685" s="62"/>
      <c r="I685" s="66"/>
      <c r="J685" s="66"/>
      <c r="K685" s="66"/>
      <c r="L685" s="66"/>
      <c r="M685" s="66"/>
      <c r="N685" s="64" t="str">
        <f>IF(OR($B685="", $I685="", $J685="", $K685="", $L685="", $M685=""),"",ROUND(($I685*Lists!$AN$2)+($J685*Lists!$AN$3)+($K685*Lists!$AN$4)+($L685*Lists!$AN$5)+($M685*Lists!$AN$6),2))</f>
        <v/>
      </c>
      <c r="O685" s="64" t="str">
        <f>IF($A685="","",IFERROR(VLOOKUP($A685,'Risk Register'!$B$2:$I$1000,8,FALSE()),""))</f>
        <v/>
      </c>
      <c r="P685" s="66"/>
      <c r="Q685" s="66"/>
      <c r="R685" s="66"/>
      <c r="S685" s="66"/>
      <c r="T685" s="64" t="str">
        <f>IF(OR($B685="", $P685="", $Q685="", $R685="", $S685=""),"",ROUND(($P685*Lists!$AN$7)+($Q685*Lists!$AN$8)+($R685*Lists!$AN$9)+($S685*Lists!$AN$10),2))</f>
        <v/>
      </c>
      <c r="U685" s="66"/>
      <c r="V685" s="66"/>
      <c r="W685" s="66"/>
      <c r="X685" s="66"/>
      <c r="Y685" s="66"/>
      <c r="Z685" s="64" t="str">
        <f>IF(OR($B685="", $U685="", $V685="", $W685="", $X685="", $Y685=""),"",ROUND(($U685*Lists!$AN$11)+($V685*Lists!$AN$12)+($W685*Lists!$AN$13)+($X685*Lists!$AN$14)+($Y685*Lists!$AN$15),2))</f>
        <v/>
      </c>
      <c r="AA685" s="64" t="str">
        <f>IF(OR($B685="", $N685="", $O685="", $T685="", $Z685=""),"",ROUND(($N685*Lists!$AN$16)-($O685*Lists!$AN$17)-($T685*Lists!$AN$18)+($Z685*Lists!$AN$19),2))</f>
        <v/>
      </c>
      <c r="AB685" s="63" t="str">
        <f t="shared" si="41"/>
        <v/>
      </c>
      <c r="AC685" s="63" t="str">
        <f t="shared" si="42"/>
        <v/>
      </c>
      <c r="AD685" s="63" t="str">
        <f>IF($A685="","",IFERROR(IF(VLOOKUP($A685,'Risk Register'!$B$2:$H$1000,4,FALSE())&gt;=4,"Yes",""),""))</f>
        <v/>
      </c>
      <c r="AE685" s="63" t="str">
        <f t="shared" si="43"/>
        <v/>
      </c>
      <c r="AF685" s="62"/>
      <c r="AG685" s="62"/>
      <c r="AH685" s="62"/>
      <c r="AI685" s="62"/>
      <c r="AJ685" s="62"/>
      <c r="AK685" s="62"/>
      <c r="AL685" s="62"/>
      <c r="AM685" s="62"/>
      <c r="AN685" s="62"/>
      <c r="AO685" s="62"/>
      <c r="AP685" s="62"/>
      <c r="AQ685" s="80"/>
    </row>
    <row r="686" spans="1:43" ht="15.75" customHeight="1" x14ac:dyDescent="0.2">
      <c r="A686" s="63" t="str">
        <f t="shared" si="40"/>
        <v/>
      </c>
      <c r="B686" s="62"/>
      <c r="C686" s="62"/>
      <c r="D686" s="62"/>
      <c r="E686" s="62"/>
      <c r="F686" s="62"/>
      <c r="G686" s="62"/>
      <c r="H686" s="62"/>
      <c r="I686" s="66"/>
      <c r="J686" s="66"/>
      <c r="K686" s="66"/>
      <c r="L686" s="66"/>
      <c r="M686" s="66"/>
      <c r="N686" s="64" t="str">
        <f>IF(OR($B686="", $I686="", $J686="", $K686="", $L686="", $M686=""),"",ROUND(($I686*Lists!$AN$2)+($J686*Lists!$AN$3)+($K686*Lists!$AN$4)+($L686*Lists!$AN$5)+($M686*Lists!$AN$6),2))</f>
        <v/>
      </c>
      <c r="O686" s="64" t="str">
        <f>IF($A686="","",IFERROR(VLOOKUP($A686,'Risk Register'!$B$2:$I$1000,8,FALSE()),""))</f>
        <v/>
      </c>
      <c r="P686" s="66"/>
      <c r="Q686" s="66"/>
      <c r="R686" s="66"/>
      <c r="S686" s="66"/>
      <c r="T686" s="64" t="str">
        <f>IF(OR($B686="", $P686="", $Q686="", $R686="", $S686=""),"",ROUND(($P686*Lists!$AN$7)+($Q686*Lists!$AN$8)+($R686*Lists!$AN$9)+($S686*Lists!$AN$10),2))</f>
        <v/>
      </c>
      <c r="U686" s="66"/>
      <c r="V686" s="66"/>
      <c r="W686" s="66"/>
      <c r="X686" s="66"/>
      <c r="Y686" s="66"/>
      <c r="Z686" s="64" t="str">
        <f>IF(OR($B686="", $U686="", $V686="", $W686="", $X686="", $Y686=""),"",ROUND(($U686*Lists!$AN$11)+($V686*Lists!$AN$12)+($W686*Lists!$AN$13)+($X686*Lists!$AN$14)+($Y686*Lists!$AN$15),2))</f>
        <v/>
      </c>
      <c r="AA686" s="64" t="str">
        <f>IF(OR($B686="", $N686="", $O686="", $T686="", $Z686=""),"",ROUND(($N686*Lists!$AN$16)-($O686*Lists!$AN$17)-($T686*Lists!$AN$18)+($Z686*Lists!$AN$19),2))</f>
        <v/>
      </c>
      <c r="AB686" s="63" t="str">
        <f t="shared" si="41"/>
        <v/>
      </c>
      <c r="AC686" s="63" t="str">
        <f t="shared" si="42"/>
        <v/>
      </c>
      <c r="AD686" s="63" t="str">
        <f>IF($A686="","",IFERROR(IF(VLOOKUP($A686,'Risk Register'!$B$2:$H$1000,4,FALSE())&gt;=4,"Yes",""),""))</f>
        <v/>
      </c>
      <c r="AE686" s="63" t="str">
        <f t="shared" si="43"/>
        <v/>
      </c>
      <c r="AF686" s="62"/>
      <c r="AG686" s="62"/>
      <c r="AH686" s="62"/>
      <c r="AI686" s="62"/>
      <c r="AJ686" s="62"/>
      <c r="AK686" s="62"/>
      <c r="AL686" s="62"/>
      <c r="AM686" s="62"/>
      <c r="AN686" s="62"/>
      <c r="AO686" s="62"/>
      <c r="AP686" s="62"/>
      <c r="AQ686" s="80"/>
    </row>
    <row r="687" spans="1:43" ht="15.75" customHeight="1" x14ac:dyDescent="0.2">
      <c r="A687" s="63" t="str">
        <f t="shared" si="40"/>
        <v/>
      </c>
      <c r="B687" s="62"/>
      <c r="C687" s="62"/>
      <c r="D687" s="62"/>
      <c r="E687" s="62"/>
      <c r="F687" s="62"/>
      <c r="G687" s="62"/>
      <c r="H687" s="62"/>
      <c r="I687" s="66"/>
      <c r="J687" s="66"/>
      <c r="K687" s="66"/>
      <c r="L687" s="66"/>
      <c r="M687" s="66"/>
      <c r="N687" s="64" t="str">
        <f>IF(OR($B687="", $I687="", $J687="", $K687="", $L687="", $M687=""),"",ROUND(($I687*Lists!$AN$2)+($J687*Lists!$AN$3)+($K687*Lists!$AN$4)+($L687*Lists!$AN$5)+($M687*Lists!$AN$6),2))</f>
        <v/>
      </c>
      <c r="O687" s="64" t="str">
        <f>IF($A687="","",IFERROR(VLOOKUP($A687,'Risk Register'!$B$2:$I$1000,8,FALSE()),""))</f>
        <v/>
      </c>
      <c r="P687" s="66"/>
      <c r="Q687" s="66"/>
      <c r="R687" s="66"/>
      <c r="S687" s="66"/>
      <c r="T687" s="64" t="str">
        <f>IF(OR($B687="", $P687="", $Q687="", $R687="", $S687=""),"",ROUND(($P687*Lists!$AN$7)+($Q687*Lists!$AN$8)+($R687*Lists!$AN$9)+($S687*Lists!$AN$10),2))</f>
        <v/>
      </c>
      <c r="U687" s="66"/>
      <c r="V687" s="66"/>
      <c r="W687" s="66"/>
      <c r="X687" s="66"/>
      <c r="Y687" s="66"/>
      <c r="Z687" s="64" t="str">
        <f>IF(OR($B687="", $U687="", $V687="", $W687="", $X687="", $Y687=""),"",ROUND(($U687*Lists!$AN$11)+($V687*Lists!$AN$12)+($W687*Lists!$AN$13)+($X687*Lists!$AN$14)+($Y687*Lists!$AN$15),2))</f>
        <v/>
      </c>
      <c r="AA687" s="64" t="str">
        <f>IF(OR($B687="", $N687="", $O687="", $T687="", $Z687=""),"",ROUND(($N687*Lists!$AN$16)-($O687*Lists!$AN$17)-($T687*Lists!$AN$18)+($Z687*Lists!$AN$19),2))</f>
        <v/>
      </c>
      <c r="AB687" s="63" t="str">
        <f t="shared" si="41"/>
        <v/>
      </c>
      <c r="AC687" s="63" t="str">
        <f t="shared" si="42"/>
        <v/>
      </c>
      <c r="AD687" s="63" t="str">
        <f>IF($A687="","",IFERROR(IF(VLOOKUP($A687,'Risk Register'!$B$2:$H$1000,4,FALSE())&gt;=4,"Yes",""),""))</f>
        <v/>
      </c>
      <c r="AE687" s="63" t="str">
        <f t="shared" si="43"/>
        <v/>
      </c>
      <c r="AF687" s="62"/>
      <c r="AG687" s="62"/>
      <c r="AH687" s="62"/>
      <c r="AI687" s="62"/>
      <c r="AJ687" s="62"/>
      <c r="AK687" s="62"/>
      <c r="AL687" s="62"/>
      <c r="AM687" s="62"/>
      <c r="AN687" s="62"/>
      <c r="AO687" s="62"/>
      <c r="AP687" s="62"/>
      <c r="AQ687" s="80"/>
    </row>
    <row r="688" spans="1:43" ht="15.75" customHeight="1" x14ac:dyDescent="0.2">
      <c r="A688" s="63" t="str">
        <f t="shared" si="40"/>
        <v/>
      </c>
      <c r="B688" s="62"/>
      <c r="C688" s="62"/>
      <c r="D688" s="62"/>
      <c r="E688" s="62"/>
      <c r="F688" s="62"/>
      <c r="G688" s="62"/>
      <c r="H688" s="62"/>
      <c r="I688" s="66"/>
      <c r="J688" s="66"/>
      <c r="K688" s="66"/>
      <c r="L688" s="66"/>
      <c r="M688" s="66"/>
      <c r="N688" s="64" t="str">
        <f>IF(OR($B688="", $I688="", $J688="", $K688="", $L688="", $M688=""),"",ROUND(($I688*Lists!$AN$2)+($J688*Lists!$AN$3)+($K688*Lists!$AN$4)+($L688*Lists!$AN$5)+($M688*Lists!$AN$6),2))</f>
        <v/>
      </c>
      <c r="O688" s="64" t="str">
        <f>IF($A688="","",IFERROR(VLOOKUP($A688,'Risk Register'!$B$2:$I$1000,8,FALSE()),""))</f>
        <v/>
      </c>
      <c r="P688" s="66"/>
      <c r="Q688" s="66"/>
      <c r="R688" s="66"/>
      <c r="S688" s="66"/>
      <c r="T688" s="64" t="str">
        <f>IF(OR($B688="", $P688="", $Q688="", $R688="", $S688=""),"",ROUND(($P688*Lists!$AN$7)+($Q688*Lists!$AN$8)+($R688*Lists!$AN$9)+($S688*Lists!$AN$10),2))</f>
        <v/>
      </c>
      <c r="U688" s="66"/>
      <c r="V688" s="66"/>
      <c r="W688" s="66"/>
      <c r="X688" s="66"/>
      <c r="Y688" s="66"/>
      <c r="Z688" s="64" t="str">
        <f>IF(OR($B688="", $U688="", $V688="", $W688="", $X688="", $Y688=""),"",ROUND(($U688*Lists!$AN$11)+($V688*Lists!$AN$12)+($W688*Lists!$AN$13)+($X688*Lists!$AN$14)+($Y688*Lists!$AN$15),2))</f>
        <v/>
      </c>
      <c r="AA688" s="64" t="str">
        <f>IF(OR($B688="", $N688="", $O688="", $T688="", $Z688=""),"",ROUND(($N688*Lists!$AN$16)-($O688*Lists!$AN$17)-($T688*Lists!$AN$18)+($Z688*Lists!$AN$19),2))</f>
        <v/>
      </c>
      <c r="AB688" s="63" t="str">
        <f t="shared" si="41"/>
        <v/>
      </c>
      <c r="AC688" s="63" t="str">
        <f t="shared" si="42"/>
        <v/>
      </c>
      <c r="AD688" s="63" t="str">
        <f>IF($A688="","",IFERROR(IF(VLOOKUP($A688,'Risk Register'!$B$2:$H$1000,4,FALSE())&gt;=4,"Yes",""),""))</f>
        <v/>
      </c>
      <c r="AE688" s="63" t="str">
        <f t="shared" si="43"/>
        <v/>
      </c>
      <c r="AF688" s="62"/>
      <c r="AG688" s="62"/>
      <c r="AH688" s="62"/>
      <c r="AI688" s="62"/>
      <c r="AJ688" s="62"/>
      <c r="AK688" s="62"/>
      <c r="AL688" s="62"/>
      <c r="AM688" s="62"/>
      <c r="AN688" s="62"/>
      <c r="AO688" s="62"/>
      <c r="AP688" s="62"/>
      <c r="AQ688" s="80"/>
    </row>
    <row r="689" spans="1:43" ht="15.75" customHeight="1" x14ac:dyDescent="0.2">
      <c r="A689" s="63" t="str">
        <f t="shared" si="40"/>
        <v/>
      </c>
      <c r="B689" s="62"/>
      <c r="C689" s="62"/>
      <c r="D689" s="62"/>
      <c r="E689" s="62"/>
      <c r="F689" s="62"/>
      <c r="G689" s="62"/>
      <c r="H689" s="62"/>
      <c r="I689" s="66"/>
      <c r="J689" s="66"/>
      <c r="K689" s="66"/>
      <c r="L689" s="66"/>
      <c r="M689" s="66"/>
      <c r="N689" s="64" t="str">
        <f>IF(OR($B689="", $I689="", $J689="", $K689="", $L689="", $M689=""),"",ROUND(($I689*Lists!$AN$2)+($J689*Lists!$AN$3)+($K689*Lists!$AN$4)+($L689*Lists!$AN$5)+($M689*Lists!$AN$6),2))</f>
        <v/>
      </c>
      <c r="O689" s="64" t="str">
        <f>IF($A689="","",IFERROR(VLOOKUP($A689,'Risk Register'!$B$2:$I$1000,8,FALSE()),""))</f>
        <v/>
      </c>
      <c r="P689" s="66"/>
      <c r="Q689" s="66"/>
      <c r="R689" s="66"/>
      <c r="S689" s="66"/>
      <c r="T689" s="64" t="str">
        <f>IF(OR($B689="", $P689="", $Q689="", $R689="", $S689=""),"",ROUND(($P689*Lists!$AN$7)+($Q689*Lists!$AN$8)+($R689*Lists!$AN$9)+($S689*Lists!$AN$10),2))</f>
        <v/>
      </c>
      <c r="U689" s="66"/>
      <c r="V689" s="66"/>
      <c r="W689" s="66"/>
      <c r="X689" s="66"/>
      <c r="Y689" s="66"/>
      <c r="Z689" s="64" t="str">
        <f>IF(OR($B689="", $U689="", $V689="", $W689="", $X689="", $Y689=""),"",ROUND(($U689*Lists!$AN$11)+($V689*Lists!$AN$12)+($W689*Lists!$AN$13)+($X689*Lists!$AN$14)+($Y689*Lists!$AN$15),2))</f>
        <v/>
      </c>
      <c r="AA689" s="64" t="str">
        <f>IF(OR($B689="", $N689="", $O689="", $T689="", $Z689=""),"",ROUND(($N689*Lists!$AN$16)-($O689*Lists!$AN$17)-($T689*Lists!$AN$18)+($Z689*Lists!$AN$19),2))</f>
        <v/>
      </c>
      <c r="AB689" s="63" t="str">
        <f t="shared" si="41"/>
        <v/>
      </c>
      <c r="AC689" s="63" t="str">
        <f t="shared" si="42"/>
        <v/>
      </c>
      <c r="AD689" s="63" t="str">
        <f>IF($A689="","",IFERROR(IF(VLOOKUP($A689,'Risk Register'!$B$2:$H$1000,4,FALSE())&gt;=4,"Yes",""),""))</f>
        <v/>
      </c>
      <c r="AE689" s="63" t="str">
        <f t="shared" si="43"/>
        <v/>
      </c>
      <c r="AF689" s="62"/>
      <c r="AG689" s="62"/>
      <c r="AH689" s="62"/>
      <c r="AI689" s="62"/>
      <c r="AJ689" s="62"/>
      <c r="AK689" s="62"/>
      <c r="AL689" s="62"/>
      <c r="AM689" s="62"/>
      <c r="AN689" s="62"/>
      <c r="AO689" s="62"/>
      <c r="AP689" s="62"/>
      <c r="AQ689" s="80"/>
    </row>
    <row r="690" spans="1:43" ht="15.75" customHeight="1" x14ac:dyDescent="0.2">
      <c r="A690" s="63" t="str">
        <f t="shared" si="40"/>
        <v/>
      </c>
      <c r="B690" s="62"/>
      <c r="C690" s="62"/>
      <c r="D690" s="62"/>
      <c r="E690" s="62"/>
      <c r="F690" s="62"/>
      <c r="G690" s="62"/>
      <c r="H690" s="62"/>
      <c r="I690" s="66"/>
      <c r="J690" s="66"/>
      <c r="K690" s="66"/>
      <c r="L690" s="66"/>
      <c r="M690" s="66"/>
      <c r="N690" s="64" t="str">
        <f>IF(OR($B690="", $I690="", $J690="", $K690="", $L690="", $M690=""),"",ROUND(($I690*Lists!$AN$2)+($J690*Lists!$AN$3)+($K690*Lists!$AN$4)+($L690*Lists!$AN$5)+($M690*Lists!$AN$6),2))</f>
        <v/>
      </c>
      <c r="O690" s="64" t="str">
        <f>IF($A690="","",IFERROR(VLOOKUP($A690,'Risk Register'!$B$2:$I$1000,8,FALSE()),""))</f>
        <v/>
      </c>
      <c r="P690" s="66"/>
      <c r="Q690" s="66"/>
      <c r="R690" s="66"/>
      <c r="S690" s="66"/>
      <c r="T690" s="64" t="str">
        <f>IF(OR($B690="", $P690="", $Q690="", $R690="", $S690=""),"",ROUND(($P690*Lists!$AN$7)+($Q690*Lists!$AN$8)+($R690*Lists!$AN$9)+($S690*Lists!$AN$10),2))</f>
        <v/>
      </c>
      <c r="U690" s="66"/>
      <c r="V690" s="66"/>
      <c r="W690" s="66"/>
      <c r="X690" s="66"/>
      <c r="Y690" s="66"/>
      <c r="Z690" s="64" t="str">
        <f>IF(OR($B690="", $U690="", $V690="", $W690="", $X690="", $Y690=""),"",ROUND(($U690*Lists!$AN$11)+($V690*Lists!$AN$12)+($W690*Lists!$AN$13)+($X690*Lists!$AN$14)+($Y690*Lists!$AN$15),2))</f>
        <v/>
      </c>
      <c r="AA690" s="64" t="str">
        <f>IF(OR($B690="", $N690="", $O690="", $T690="", $Z690=""),"",ROUND(($N690*Lists!$AN$16)-($O690*Lists!$AN$17)-($T690*Lists!$AN$18)+($Z690*Lists!$AN$19),2))</f>
        <v/>
      </c>
      <c r="AB690" s="63" t="str">
        <f t="shared" si="41"/>
        <v/>
      </c>
      <c r="AC690" s="63" t="str">
        <f t="shared" si="42"/>
        <v/>
      </c>
      <c r="AD690" s="63" t="str">
        <f>IF($A690="","",IFERROR(IF(VLOOKUP($A690,'Risk Register'!$B$2:$H$1000,4,FALSE())&gt;=4,"Yes",""),""))</f>
        <v/>
      </c>
      <c r="AE690" s="63" t="str">
        <f t="shared" si="43"/>
        <v/>
      </c>
      <c r="AF690" s="62"/>
      <c r="AG690" s="62"/>
      <c r="AH690" s="62"/>
      <c r="AI690" s="62"/>
      <c r="AJ690" s="62"/>
      <c r="AK690" s="62"/>
      <c r="AL690" s="62"/>
      <c r="AM690" s="62"/>
      <c r="AN690" s="62"/>
      <c r="AO690" s="62"/>
      <c r="AP690" s="62"/>
      <c r="AQ690" s="80"/>
    </row>
    <row r="691" spans="1:43" ht="15.75" customHeight="1" x14ac:dyDescent="0.2">
      <c r="A691" s="63" t="str">
        <f t="shared" si="40"/>
        <v/>
      </c>
      <c r="B691" s="62"/>
      <c r="C691" s="62"/>
      <c r="D691" s="62"/>
      <c r="E691" s="62"/>
      <c r="F691" s="62"/>
      <c r="G691" s="62"/>
      <c r="H691" s="62"/>
      <c r="I691" s="66"/>
      <c r="J691" s="66"/>
      <c r="K691" s="66"/>
      <c r="L691" s="66"/>
      <c r="M691" s="66"/>
      <c r="N691" s="64" t="str">
        <f>IF(OR($B691="", $I691="", $J691="", $K691="", $L691="", $M691=""),"",ROUND(($I691*Lists!$AN$2)+($J691*Lists!$AN$3)+($K691*Lists!$AN$4)+($L691*Lists!$AN$5)+($M691*Lists!$AN$6),2))</f>
        <v/>
      </c>
      <c r="O691" s="64" t="str">
        <f>IF($A691="","",IFERROR(VLOOKUP($A691,'Risk Register'!$B$2:$I$1000,8,FALSE()),""))</f>
        <v/>
      </c>
      <c r="P691" s="66"/>
      <c r="Q691" s="66"/>
      <c r="R691" s="66"/>
      <c r="S691" s="66"/>
      <c r="T691" s="64" t="str">
        <f>IF(OR($B691="", $P691="", $Q691="", $R691="", $S691=""),"",ROUND(($P691*Lists!$AN$7)+($Q691*Lists!$AN$8)+($R691*Lists!$AN$9)+($S691*Lists!$AN$10),2))</f>
        <v/>
      </c>
      <c r="U691" s="66"/>
      <c r="V691" s="66"/>
      <c r="W691" s="66"/>
      <c r="X691" s="66"/>
      <c r="Y691" s="66"/>
      <c r="Z691" s="64" t="str">
        <f>IF(OR($B691="", $U691="", $V691="", $W691="", $X691="", $Y691=""),"",ROUND(($U691*Lists!$AN$11)+($V691*Lists!$AN$12)+($W691*Lists!$AN$13)+($X691*Lists!$AN$14)+($Y691*Lists!$AN$15),2))</f>
        <v/>
      </c>
      <c r="AA691" s="64" t="str">
        <f>IF(OR($B691="", $N691="", $O691="", $T691="", $Z691=""),"",ROUND(($N691*Lists!$AN$16)-($O691*Lists!$AN$17)-($T691*Lists!$AN$18)+($Z691*Lists!$AN$19),2))</f>
        <v/>
      </c>
      <c r="AB691" s="63" t="str">
        <f t="shared" si="41"/>
        <v/>
      </c>
      <c r="AC691" s="63" t="str">
        <f t="shared" si="42"/>
        <v/>
      </c>
      <c r="AD691" s="63" t="str">
        <f>IF($A691="","",IFERROR(IF(VLOOKUP($A691,'Risk Register'!$B$2:$H$1000,4,FALSE())&gt;=4,"Yes",""),""))</f>
        <v/>
      </c>
      <c r="AE691" s="63" t="str">
        <f t="shared" si="43"/>
        <v/>
      </c>
      <c r="AF691" s="62"/>
      <c r="AG691" s="62"/>
      <c r="AH691" s="62"/>
      <c r="AI691" s="62"/>
      <c r="AJ691" s="62"/>
      <c r="AK691" s="62"/>
      <c r="AL691" s="62"/>
      <c r="AM691" s="62"/>
      <c r="AN691" s="62"/>
      <c r="AO691" s="62"/>
      <c r="AP691" s="62"/>
      <c r="AQ691" s="80"/>
    </row>
    <row r="692" spans="1:43" ht="15.75" customHeight="1" x14ac:dyDescent="0.2">
      <c r="A692" s="63" t="str">
        <f t="shared" si="40"/>
        <v/>
      </c>
      <c r="B692" s="62"/>
      <c r="C692" s="62"/>
      <c r="D692" s="62"/>
      <c r="E692" s="62"/>
      <c r="F692" s="62"/>
      <c r="G692" s="62"/>
      <c r="H692" s="62"/>
      <c r="I692" s="66"/>
      <c r="J692" s="66"/>
      <c r="K692" s="66"/>
      <c r="L692" s="66"/>
      <c r="M692" s="66"/>
      <c r="N692" s="64" t="str">
        <f>IF(OR($B692="", $I692="", $J692="", $K692="", $L692="", $M692=""),"",ROUND(($I692*Lists!$AN$2)+($J692*Lists!$AN$3)+($K692*Lists!$AN$4)+($L692*Lists!$AN$5)+($M692*Lists!$AN$6),2))</f>
        <v/>
      </c>
      <c r="O692" s="64" t="str">
        <f>IF($A692="","",IFERROR(VLOOKUP($A692,'Risk Register'!$B$2:$I$1000,8,FALSE()),""))</f>
        <v/>
      </c>
      <c r="P692" s="66"/>
      <c r="Q692" s="66"/>
      <c r="R692" s="66"/>
      <c r="S692" s="66"/>
      <c r="T692" s="64" t="str">
        <f>IF(OR($B692="", $P692="", $Q692="", $R692="", $S692=""),"",ROUND(($P692*Lists!$AN$7)+($Q692*Lists!$AN$8)+($R692*Lists!$AN$9)+($S692*Lists!$AN$10),2))</f>
        <v/>
      </c>
      <c r="U692" s="66"/>
      <c r="V692" s="66"/>
      <c r="W692" s="66"/>
      <c r="X692" s="66"/>
      <c r="Y692" s="66"/>
      <c r="Z692" s="64" t="str">
        <f>IF(OR($B692="", $U692="", $V692="", $W692="", $X692="", $Y692=""),"",ROUND(($U692*Lists!$AN$11)+($V692*Lists!$AN$12)+($W692*Lists!$AN$13)+($X692*Lists!$AN$14)+($Y692*Lists!$AN$15),2))</f>
        <v/>
      </c>
      <c r="AA692" s="64" t="str">
        <f>IF(OR($B692="", $N692="", $O692="", $T692="", $Z692=""),"",ROUND(($N692*Lists!$AN$16)-($O692*Lists!$AN$17)-($T692*Lists!$AN$18)+($Z692*Lists!$AN$19),2))</f>
        <v/>
      </c>
      <c r="AB692" s="63" t="str">
        <f t="shared" si="41"/>
        <v/>
      </c>
      <c r="AC692" s="63" t="str">
        <f t="shared" si="42"/>
        <v/>
      </c>
      <c r="AD692" s="63" t="str">
        <f>IF($A692="","",IFERROR(IF(VLOOKUP($A692,'Risk Register'!$B$2:$H$1000,4,FALSE())&gt;=4,"Yes",""),""))</f>
        <v/>
      </c>
      <c r="AE692" s="63" t="str">
        <f t="shared" si="43"/>
        <v/>
      </c>
      <c r="AF692" s="62"/>
      <c r="AG692" s="62"/>
      <c r="AH692" s="62"/>
      <c r="AI692" s="62"/>
      <c r="AJ692" s="62"/>
      <c r="AK692" s="62"/>
      <c r="AL692" s="62"/>
      <c r="AM692" s="62"/>
      <c r="AN692" s="62"/>
      <c r="AO692" s="62"/>
      <c r="AP692" s="62"/>
      <c r="AQ692" s="80"/>
    </row>
    <row r="693" spans="1:43" ht="15.75" customHeight="1" x14ac:dyDescent="0.2">
      <c r="A693" s="63" t="str">
        <f t="shared" si="40"/>
        <v/>
      </c>
      <c r="B693" s="62"/>
      <c r="C693" s="62"/>
      <c r="D693" s="62"/>
      <c r="E693" s="62"/>
      <c r="F693" s="62"/>
      <c r="G693" s="62"/>
      <c r="H693" s="62"/>
      <c r="I693" s="66"/>
      <c r="J693" s="66"/>
      <c r="K693" s="66"/>
      <c r="L693" s="66"/>
      <c r="M693" s="66"/>
      <c r="N693" s="64" t="str">
        <f>IF(OR($B693="", $I693="", $J693="", $K693="", $L693="", $M693=""),"",ROUND(($I693*Lists!$AN$2)+($J693*Lists!$AN$3)+($K693*Lists!$AN$4)+($L693*Lists!$AN$5)+($M693*Lists!$AN$6),2))</f>
        <v/>
      </c>
      <c r="O693" s="64" t="str">
        <f>IF($A693="","",IFERROR(VLOOKUP($A693,'Risk Register'!$B$2:$I$1000,8,FALSE()),""))</f>
        <v/>
      </c>
      <c r="P693" s="66"/>
      <c r="Q693" s="66"/>
      <c r="R693" s="66"/>
      <c r="S693" s="66"/>
      <c r="T693" s="64" t="str">
        <f>IF(OR($B693="", $P693="", $Q693="", $R693="", $S693=""),"",ROUND(($P693*Lists!$AN$7)+($Q693*Lists!$AN$8)+($R693*Lists!$AN$9)+($S693*Lists!$AN$10),2))</f>
        <v/>
      </c>
      <c r="U693" s="66"/>
      <c r="V693" s="66"/>
      <c r="W693" s="66"/>
      <c r="X693" s="66"/>
      <c r="Y693" s="66"/>
      <c r="Z693" s="64" t="str">
        <f>IF(OR($B693="", $U693="", $V693="", $W693="", $X693="", $Y693=""),"",ROUND(($U693*Lists!$AN$11)+($V693*Lists!$AN$12)+($W693*Lists!$AN$13)+($X693*Lists!$AN$14)+($Y693*Lists!$AN$15),2))</f>
        <v/>
      </c>
      <c r="AA693" s="64" t="str">
        <f>IF(OR($B693="", $N693="", $O693="", $T693="", $Z693=""),"",ROUND(($N693*Lists!$AN$16)-($O693*Lists!$AN$17)-($T693*Lists!$AN$18)+($Z693*Lists!$AN$19),2))</f>
        <v/>
      </c>
      <c r="AB693" s="63" t="str">
        <f t="shared" si="41"/>
        <v/>
      </c>
      <c r="AC693" s="63" t="str">
        <f t="shared" si="42"/>
        <v/>
      </c>
      <c r="AD693" s="63" t="str">
        <f>IF($A693="","",IFERROR(IF(VLOOKUP($A693,'Risk Register'!$B$2:$H$1000,4,FALSE())&gt;=4,"Yes",""),""))</f>
        <v/>
      </c>
      <c r="AE693" s="63" t="str">
        <f t="shared" si="43"/>
        <v/>
      </c>
      <c r="AF693" s="62"/>
      <c r="AG693" s="62"/>
      <c r="AH693" s="62"/>
      <c r="AI693" s="62"/>
      <c r="AJ693" s="62"/>
      <c r="AK693" s="62"/>
      <c r="AL693" s="62"/>
      <c r="AM693" s="62"/>
      <c r="AN693" s="62"/>
      <c r="AO693" s="62"/>
      <c r="AP693" s="62"/>
      <c r="AQ693" s="80"/>
    </row>
    <row r="694" spans="1:43" ht="15.75" customHeight="1" x14ac:dyDescent="0.2">
      <c r="A694" s="63" t="str">
        <f t="shared" si="40"/>
        <v/>
      </c>
      <c r="B694" s="62"/>
      <c r="C694" s="62"/>
      <c r="D694" s="62"/>
      <c r="E694" s="62"/>
      <c r="F694" s="62"/>
      <c r="G694" s="62"/>
      <c r="H694" s="62"/>
      <c r="I694" s="66"/>
      <c r="J694" s="66"/>
      <c r="K694" s="66"/>
      <c r="L694" s="66"/>
      <c r="M694" s="66"/>
      <c r="N694" s="64" t="str">
        <f>IF(OR($B694="", $I694="", $J694="", $K694="", $L694="", $M694=""),"",ROUND(($I694*Lists!$AN$2)+($J694*Lists!$AN$3)+($K694*Lists!$AN$4)+($L694*Lists!$AN$5)+($M694*Lists!$AN$6),2))</f>
        <v/>
      </c>
      <c r="O694" s="64" t="str">
        <f>IF($A694="","",IFERROR(VLOOKUP($A694,'Risk Register'!$B$2:$I$1000,8,FALSE()),""))</f>
        <v/>
      </c>
      <c r="P694" s="66"/>
      <c r="Q694" s="66"/>
      <c r="R694" s="66"/>
      <c r="S694" s="66"/>
      <c r="T694" s="64" t="str">
        <f>IF(OR($B694="", $P694="", $Q694="", $R694="", $S694=""),"",ROUND(($P694*Lists!$AN$7)+($Q694*Lists!$AN$8)+($R694*Lists!$AN$9)+($S694*Lists!$AN$10),2))</f>
        <v/>
      </c>
      <c r="U694" s="66"/>
      <c r="V694" s="66"/>
      <c r="W694" s="66"/>
      <c r="X694" s="66"/>
      <c r="Y694" s="66"/>
      <c r="Z694" s="64" t="str">
        <f>IF(OR($B694="", $U694="", $V694="", $W694="", $X694="", $Y694=""),"",ROUND(($U694*Lists!$AN$11)+($V694*Lists!$AN$12)+($W694*Lists!$AN$13)+($X694*Lists!$AN$14)+($Y694*Lists!$AN$15),2))</f>
        <v/>
      </c>
      <c r="AA694" s="64" t="str">
        <f>IF(OR($B694="", $N694="", $O694="", $T694="", $Z694=""),"",ROUND(($N694*Lists!$AN$16)-($O694*Lists!$AN$17)-($T694*Lists!$AN$18)+($Z694*Lists!$AN$19),2))</f>
        <v/>
      </c>
      <c r="AB694" s="63" t="str">
        <f t="shared" si="41"/>
        <v/>
      </c>
      <c r="AC694" s="63" t="str">
        <f t="shared" si="42"/>
        <v/>
      </c>
      <c r="AD694" s="63" t="str">
        <f>IF($A694="","",IFERROR(IF(VLOOKUP($A694,'Risk Register'!$B$2:$H$1000,4,FALSE())&gt;=4,"Yes",""),""))</f>
        <v/>
      </c>
      <c r="AE694" s="63" t="str">
        <f t="shared" si="43"/>
        <v/>
      </c>
      <c r="AF694" s="62"/>
      <c r="AG694" s="62"/>
      <c r="AH694" s="62"/>
      <c r="AI694" s="62"/>
      <c r="AJ694" s="62"/>
      <c r="AK694" s="62"/>
      <c r="AL694" s="62"/>
      <c r="AM694" s="62"/>
      <c r="AN694" s="62"/>
      <c r="AO694" s="62"/>
      <c r="AP694" s="62"/>
      <c r="AQ694" s="80"/>
    </row>
    <row r="695" spans="1:43" ht="15.75" customHeight="1" x14ac:dyDescent="0.2">
      <c r="A695" s="63" t="str">
        <f t="shared" si="40"/>
        <v/>
      </c>
      <c r="B695" s="62"/>
      <c r="C695" s="62"/>
      <c r="D695" s="62"/>
      <c r="E695" s="62"/>
      <c r="F695" s="62"/>
      <c r="G695" s="62"/>
      <c r="H695" s="62"/>
      <c r="I695" s="66"/>
      <c r="J695" s="66"/>
      <c r="K695" s="66"/>
      <c r="L695" s="66"/>
      <c r="M695" s="66"/>
      <c r="N695" s="64" t="str">
        <f>IF(OR($B695="", $I695="", $J695="", $K695="", $L695="", $M695=""),"",ROUND(($I695*Lists!$AN$2)+($J695*Lists!$AN$3)+($K695*Lists!$AN$4)+($L695*Lists!$AN$5)+($M695*Lists!$AN$6),2))</f>
        <v/>
      </c>
      <c r="O695" s="64" t="str">
        <f>IF($A695="","",IFERROR(VLOOKUP($A695,'Risk Register'!$B$2:$I$1000,8,FALSE()),""))</f>
        <v/>
      </c>
      <c r="P695" s="66"/>
      <c r="Q695" s="66"/>
      <c r="R695" s="66"/>
      <c r="S695" s="66"/>
      <c r="T695" s="64" t="str">
        <f>IF(OR($B695="", $P695="", $Q695="", $R695="", $S695=""),"",ROUND(($P695*Lists!$AN$7)+($Q695*Lists!$AN$8)+($R695*Lists!$AN$9)+($S695*Lists!$AN$10),2))</f>
        <v/>
      </c>
      <c r="U695" s="66"/>
      <c r="V695" s="66"/>
      <c r="W695" s="66"/>
      <c r="X695" s="66"/>
      <c r="Y695" s="66"/>
      <c r="Z695" s="64" t="str">
        <f>IF(OR($B695="", $U695="", $V695="", $W695="", $X695="", $Y695=""),"",ROUND(($U695*Lists!$AN$11)+($V695*Lists!$AN$12)+($W695*Lists!$AN$13)+($X695*Lists!$AN$14)+($Y695*Lists!$AN$15),2))</f>
        <v/>
      </c>
      <c r="AA695" s="64" t="str">
        <f>IF(OR($B695="", $N695="", $O695="", $T695="", $Z695=""),"",ROUND(($N695*Lists!$AN$16)-($O695*Lists!$AN$17)-($T695*Lists!$AN$18)+($Z695*Lists!$AN$19),2))</f>
        <v/>
      </c>
      <c r="AB695" s="63" t="str">
        <f t="shared" si="41"/>
        <v/>
      </c>
      <c r="AC695" s="63" t="str">
        <f t="shared" si="42"/>
        <v/>
      </c>
      <c r="AD695" s="63" t="str">
        <f>IF($A695="","",IFERROR(IF(VLOOKUP($A695,'Risk Register'!$B$2:$H$1000,4,FALSE())&gt;=4,"Yes",""),""))</f>
        <v/>
      </c>
      <c r="AE695" s="63" t="str">
        <f t="shared" si="43"/>
        <v/>
      </c>
      <c r="AF695" s="62"/>
      <c r="AG695" s="62"/>
      <c r="AH695" s="62"/>
      <c r="AI695" s="62"/>
      <c r="AJ695" s="62"/>
      <c r="AK695" s="62"/>
      <c r="AL695" s="62"/>
      <c r="AM695" s="62"/>
      <c r="AN695" s="62"/>
      <c r="AO695" s="62"/>
      <c r="AP695" s="62"/>
      <c r="AQ695" s="80"/>
    </row>
    <row r="696" spans="1:43" ht="15.75" customHeight="1" x14ac:dyDescent="0.2">
      <c r="A696" s="63" t="str">
        <f t="shared" si="40"/>
        <v/>
      </c>
      <c r="B696" s="62"/>
      <c r="C696" s="62"/>
      <c r="D696" s="62"/>
      <c r="E696" s="62"/>
      <c r="F696" s="62"/>
      <c r="G696" s="62"/>
      <c r="H696" s="62"/>
      <c r="I696" s="66"/>
      <c r="J696" s="66"/>
      <c r="K696" s="66"/>
      <c r="L696" s="66"/>
      <c r="M696" s="66"/>
      <c r="N696" s="64" t="str">
        <f>IF(OR($B696="", $I696="", $J696="", $K696="", $L696="", $M696=""),"",ROUND(($I696*Lists!$AN$2)+($J696*Lists!$AN$3)+($K696*Lists!$AN$4)+($L696*Lists!$AN$5)+($M696*Lists!$AN$6),2))</f>
        <v/>
      </c>
      <c r="O696" s="64" t="str">
        <f>IF($A696="","",IFERROR(VLOOKUP($A696,'Risk Register'!$B$2:$I$1000,8,FALSE()),""))</f>
        <v/>
      </c>
      <c r="P696" s="66"/>
      <c r="Q696" s="66"/>
      <c r="R696" s="66"/>
      <c r="S696" s="66"/>
      <c r="T696" s="64" t="str">
        <f>IF(OR($B696="", $P696="", $Q696="", $R696="", $S696=""),"",ROUND(($P696*Lists!$AN$7)+($Q696*Lists!$AN$8)+($R696*Lists!$AN$9)+($S696*Lists!$AN$10),2))</f>
        <v/>
      </c>
      <c r="U696" s="66"/>
      <c r="V696" s="66"/>
      <c r="W696" s="66"/>
      <c r="X696" s="66"/>
      <c r="Y696" s="66"/>
      <c r="Z696" s="64" t="str">
        <f>IF(OR($B696="", $U696="", $V696="", $W696="", $X696="", $Y696=""),"",ROUND(($U696*Lists!$AN$11)+($V696*Lists!$AN$12)+($W696*Lists!$AN$13)+($X696*Lists!$AN$14)+($Y696*Lists!$AN$15),2))</f>
        <v/>
      </c>
      <c r="AA696" s="64" t="str">
        <f>IF(OR($B696="", $N696="", $O696="", $T696="", $Z696=""),"",ROUND(($N696*Lists!$AN$16)-($O696*Lists!$AN$17)-($T696*Lists!$AN$18)+($Z696*Lists!$AN$19),2))</f>
        <v/>
      </c>
      <c r="AB696" s="63" t="str">
        <f t="shared" si="41"/>
        <v/>
      </c>
      <c r="AC696" s="63" t="str">
        <f t="shared" si="42"/>
        <v/>
      </c>
      <c r="AD696" s="63" t="str">
        <f>IF($A696="","",IFERROR(IF(VLOOKUP($A696,'Risk Register'!$B$2:$H$1000,4,FALSE())&gt;=4,"Yes",""),""))</f>
        <v/>
      </c>
      <c r="AE696" s="63" t="str">
        <f t="shared" si="43"/>
        <v/>
      </c>
      <c r="AF696" s="62"/>
      <c r="AG696" s="62"/>
      <c r="AH696" s="62"/>
      <c r="AI696" s="62"/>
      <c r="AJ696" s="62"/>
      <c r="AK696" s="62"/>
      <c r="AL696" s="62"/>
      <c r="AM696" s="62"/>
      <c r="AN696" s="62"/>
      <c r="AO696" s="62"/>
      <c r="AP696" s="62"/>
      <c r="AQ696" s="80"/>
    </row>
    <row r="697" spans="1:43" ht="15.75" customHeight="1" x14ac:dyDescent="0.2">
      <c r="A697" s="63" t="str">
        <f t="shared" si="40"/>
        <v/>
      </c>
      <c r="B697" s="62"/>
      <c r="C697" s="62"/>
      <c r="D697" s="62"/>
      <c r="E697" s="62"/>
      <c r="F697" s="62"/>
      <c r="G697" s="62"/>
      <c r="H697" s="62"/>
      <c r="I697" s="66"/>
      <c r="J697" s="66"/>
      <c r="K697" s="66"/>
      <c r="L697" s="66"/>
      <c r="M697" s="66"/>
      <c r="N697" s="64" t="str">
        <f>IF(OR($B697="", $I697="", $J697="", $K697="", $L697="", $M697=""),"",ROUND(($I697*Lists!$AN$2)+($J697*Lists!$AN$3)+($K697*Lists!$AN$4)+($L697*Lists!$AN$5)+($M697*Lists!$AN$6),2))</f>
        <v/>
      </c>
      <c r="O697" s="64" t="str">
        <f>IF($A697="","",IFERROR(VLOOKUP($A697,'Risk Register'!$B$2:$I$1000,8,FALSE()),""))</f>
        <v/>
      </c>
      <c r="P697" s="66"/>
      <c r="Q697" s="66"/>
      <c r="R697" s="66"/>
      <c r="S697" s="66"/>
      <c r="T697" s="64" t="str">
        <f>IF(OR($B697="", $P697="", $Q697="", $R697="", $S697=""),"",ROUND(($P697*Lists!$AN$7)+($Q697*Lists!$AN$8)+($R697*Lists!$AN$9)+($S697*Lists!$AN$10),2))</f>
        <v/>
      </c>
      <c r="U697" s="66"/>
      <c r="V697" s="66"/>
      <c r="W697" s="66"/>
      <c r="X697" s="66"/>
      <c r="Y697" s="66"/>
      <c r="Z697" s="64" t="str">
        <f>IF(OR($B697="", $U697="", $V697="", $W697="", $X697="", $Y697=""),"",ROUND(($U697*Lists!$AN$11)+($V697*Lists!$AN$12)+($W697*Lists!$AN$13)+($X697*Lists!$AN$14)+($Y697*Lists!$AN$15),2))</f>
        <v/>
      </c>
      <c r="AA697" s="64" t="str">
        <f>IF(OR($B697="", $N697="", $O697="", $T697="", $Z697=""),"",ROUND(($N697*Lists!$AN$16)-($O697*Lists!$AN$17)-($T697*Lists!$AN$18)+($Z697*Lists!$AN$19),2))</f>
        <v/>
      </c>
      <c r="AB697" s="63" t="str">
        <f t="shared" si="41"/>
        <v/>
      </c>
      <c r="AC697" s="63" t="str">
        <f t="shared" si="42"/>
        <v/>
      </c>
      <c r="AD697" s="63" t="str">
        <f>IF($A697="","",IFERROR(IF(VLOOKUP($A697,'Risk Register'!$B$2:$H$1000,4,FALSE())&gt;=4,"Yes",""),""))</f>
        <v/>
      </c>
      <c r="AE697" s="63" t="str">
        <f t="shared" si="43"/>
        <v/>
      </c>
      <c r="AF697" s="62"/>
      <c r="AG697" s="62"/>
      <c r="AH697" s="62"/>
      <c r="AI697" s="62"/>
      <c r="AJ697" s="62"/>
      <c r="AK697" s="62"/>
      <c r="AL697" s="62"/>
      <c r="AM697" s="62"/>
      <c r="AN697" s="62"/>
      <c r="AO697" s="62"/>
      <c r="AP697" s="62"/>
      <c r="AQ697" s="80"/>
    </row>
    <row r="698" spans="1:43" ht="15.75" customHeight="1" x14ac:dyDescent="0.2">
      <c r="A698" s="63" t="str">
        <f t="shared" si="40"/>
        <v/>
      </c>
      <c r="B698" s="62"/>
      <c r="C698" s="62"/>
      <c r="D698" s="62"/>
      <c r="E698" s="62"/>
      <c r="F698" s="62"/>
      <c r="G698" s="62"/>
      <c r="H698" s="62"/>
      <c r="I698" s="66"/>
      <c r="J698" s="66"/>
      <c r="K698" s="66"/>
      <c r="L698" s="66"/>
      <c r="M698" s="66"/>
      <c r="N698" s="64" t="str">
        <f>IF(OR($B698="", $I698="", $J698="", $K698="", $L698="", $M698=""),"",ROUND(($I698*Lists!$AN$2)+($J698*Lists!$AN$3)+($K698*Lists!$AN$4)+($L698*Lists!$AN$5)+($M698*Lists!$AN$6),2))</f>
        <v/>
      </c>
      <c r="O698" s="64" t="str">
        <f>IF($A698="","",IFERROR(VLOOKUP($A698,'Risk Register'!$B$2:$I$1000,8,FALSE()),""))</f>
        <v/>
      </c>
      <c r="P698" s="66"/>
      <c r="Q698" s="66"/>
      <c r="R698" s="66"/>
      <c r="S698" s="66"/>
      <c r="T698" s="64" t="str">
        <f>IF(OR($B698="", $P698="", $Q698="", $R698="", $S698=""),"",ROUND(($P698*Lists!$AN$7)+($Q698*Lists!$AN$8)+($R698*Lists!$AN$9)+($S698*Lists!$AN$10),2))</f>
        <v/>
      </c>
      <c r="U698" s="66"/>
      <c r="V698" s="66"/>
      <c r="W698" s="66"/>
      <c r="X698" s="66"/>
      <c r="Y698" s="66"/>
      <c r="Z698" s="64" t="str">
        <f>IF(OR($B698="", $U698="", $V698="", $W698="", $X698="", $Y698=""),"",ROUND(($U698*Lists!$AN$11)+($V698*Lists!$AN$12)+($W698*Lists!$AN$13)+($X698*Lists!$AN$14)+($Y698*Lists!$AN$15),2))</f>
        <v/>
      </c>
      <c r="AA698" s="64" t="str">
        <f>IF(OR($B698="", $N698="", $O698="", $T698="", $Z698=""),"",ROUND(($N698*Lists!$AN$16)-($O698*Lists!$AN$17)-($T698*Lists!$AN$18)+($Z698*Lists!$AN$19),2))</f>
        <v/>
      </c>
      <c r="AB698" s="63" t="str">
        <f t="shared" si="41"/>
        <v/>
      </c>
      <c r="AC698" s="63" t="str">
        <f t="shared" si="42"/>
        <v/>
      </c>
      <c r="AD698" s="63" t="str">
        <f>IF($A698="","",IFERROR(IF(VLOOKUP($A698,'Risk Register'!$B$2:$H$1000,4,FALSE())&gt;=4,"Yes",""),""))</f>
        <v/>
      </c>
      <c r="AE698" s="63" t="str">
        <f t="shared" si="43"/>
        <v/>
      </c>
      <c r="AF698" s="62"/>
      <c r="AG698" s="62"/>
      <c r="AH698" s="62"/>
      <c r="AI698" s="62"/>
      <c r="AJ698" s="62"/>
      <c r="AK698" s="62"/>
      <c r="AL698" s="62"/>
      <c r="AM698" s="62"/>
      <c r="AN698" s="62"/>
      <c r="AO698" s="62"/>
      <c r="AP698" s="62"/>
      <c r="AQ698" s="80"/>
    </row>
    <row r="699" spans="1:43" ht="15.75" customHeight="1" x14ac:dyDescent="0.2">
      <c r="A699" s="63" t="str">
        <f t="shared" si="40"/>
        <v/>
      </c>
      <c r="B699" s="62"/>
      <c r="C699" s="62"/>
      <c r="D699" s="62"/>
      <c r="E699" s="62"/>
      <c r="F699" s="62"/>
      <c r="G699" s="62"/>
      <c r="H699" s="62"/>
      <c r="I699" s="66"/>
      <c r="J699" s="66"/>
      <c r="K699" s="66"/>
      <c r="L699" s="66"/>
      <c r="M699" s="66"/>
      <c r="N699" s="64" t="str">
        <f>IF(OR($B699="", $I699="", $J699="", $K699="", $L699="", $M699=""),"",ROUND(($I699*Lists!$AN$2)+($J699*Lists!$AN$3)+($K699*Lists!$AN$4)+($L699*Lists!$AN$5)+($M699*Lists!$AN$6),2))</f>
        <v/>
      </c>
      <c r="O699" s="64" t="str">
        <f>IF($A699="","",IFERROR(VLOOKUP($A699,'Risk Register'!$B$2:$I$1000,8,FALSE()),""))</f>
        <v/>
      </c>
      <c r="P699" s="66"/>
      <c r="Q699" s="66"/>
      <c r="R699" s="66"/>
      <c r="S699" s="66"/>
      <c r="T699" s="64" t="str">
        <f>IF(OR($B699="", $P699="", $Q699="", $R699="", $S699=""),"",ROUND(($P699*Lists!$AN$7)+($Q699*Lists!$AN$8)+($R699*Lists!$AN$9)+($S699*Lists!$AN$10),2))</f>
        <v/>
      </c>
      <c r="U699" s="66"/>
      <c r="V699" s="66"/>
      <c r="W699" s="66"/>
      <c r="X699" s="66"/>
      <c r="Y699" s="66"/>
      <c r="Z699" s="64" t="str">
        <f>IF(OR($B699="", $U699="", $V699="", $W699="", $X699="", $Y699=""),"",ROUND(($U699*Lists!$AN$11)+($V699*Lists!$AN$12)+($W699*Lists!$AN$13)+($X699*Lists!$AN$14)+($Y699*Lists!$AN$15),2))</f>
        <v/>
      </c>
      <c r="AA699" s="64" t="str">
        <f>IF(OR($B699="", $N699="", $O699="", $T699="", $Z699=""),"",ROUND(($N699*Lists!$AN$16)-($O699*Lists!$AN$17)-($T699*Lists!$AN$18)+($Z699*Lists!$AN$19),2))</f>
        <v/>
      </c>
      <c r="AB699" s="63" t="str">
        <f t="shared" si="41"/>
        <v/>
      </c>
      <c r="AC699" s="63" t="str">
        <f t="shared" si="42"/>
        <v/>
      </c>
      <c r="AD699" s="63" t="str">
        <f>IF($A699="","",IFERROR(IF(VLOOKUP($A699,'Risk Register'!$B$2:$H$1000,4,FALSE())&gt;=4,"Yes",""),""))</f>
        <v/>
      </c>
      <c r="AE699" s="63" t="str">
        <f t="shared" si="43"/>
        <v/>
      </c>
      <c r="AF699" s="62"/>
      <c r="AG699" s="62"/>
      <c r="AH699" s="62"/>
      <c r="AI699" s="62"/>
      <c r="AJ699" s="62"/>
      <c r="AK699" s="62"/>
      <c r="AL699" s="62"/>
      <c r="AM699" s="62"/>
      <c r="AN699" s="62"/>
      <c r="AO699" s="62"/>
      <c r="AP699" s="62"/>
      <c r="AQ699" s="80"/>
    </row>
    <row r="700" spans="1:43" ht="15.75" customHeight="1" x14ac:dyDescent="0.2">
      <c r="A700" s="63" t="str">
        <f t="shared" si="40"/>
        <v/>
      </c>
      <c r="B700" s="62"/>
      <c r="C700" s="62"/>
      <c r="D700" s="62"/>
      <c r="E700" s="62"/>
      <c r="F700" s="62"/>
      <c r="G700" s="62"/>
      <c r="H700" s="62"/>
      <c r="I700" s="66"/>
      <c r="J700" s="66"/>
      <c r="K700" s="66"/>
      <c r="L700" s="66"/>
      <c r="M700" s="66"/>
      <c r="N700" s="64" t="str">
        <f>IF(OR($B700="", $I700="", $J700="", $K700="", $L700="", $M700=""),"",ROUND(($I700*Lists!$AN$2)+($J700*Lists!$AN$3)+($K700*Lists!$AN$4)+($L700*Lists!$AN$5)+($M700*Lists!$AN$6),2))</f>
        <v/>
      </c>
      <c r="O700" s="64" t="str">
        <f>IF($A700="","",IFERROR(VLOOKUP($A700,'Risk Register'!$B$2:$I$1000,8,FALSE()),""))</f>
        <v/>
      </c>
      <c r="P700" s="66"/>
      <c r="Q700" s="66"/>
      <c r="R700" s="66"/>
      <c r="S700" s="66"/>
      <c r="T700" s="64" t="str">
        <f>IF(OR($B700="", $P700="", $Q700="", $R700="", $S700=""),"",ROUND(($P700*Lists!$AN$7)+($Q700*Lists!$AN$8)+($R700*Lists!$AN$9)+($S700*Lists!$AN$10),2))</f>
        <v/>
      </c>
      <c r="U700" s="66"/>
      <c r="V700" s="66"/>
      <c r="W700" s="66"/>
      <c r="X700" s="66"/>
      <c r="Y700" s="66"/>
      <c r="Z700" s="64" t="str">
        <f>IF(OR($B700="", $U700="", $V700="", $W700="", $X700="", $Y700=""),"",ROUND(($U700*Lists!$AN$11)+($V700*Lists!$AN$12)+($W700*Lists!$AN$13)+($X700*Lists!$AN$14)+($Y700*Lists!$AN$15),2))</f>
        <v/>
      </c>
      <c r="AA700" s="64" t="str">
        <f>IF(OR($B700="", $N700="", $O700="", $T700="", $Z700=""),"",ROUND(($N700*Lists!$AN$16)-($O700*Lists!$AN$17)-($T700*Lists!$AN$18)+($Z700*Lists!$AN$19),2))</f>
        <v/>
      </c>
      <c r="AB700" s="63" t="str">
        <f t="shared" si="41"/>
        <v/>
      </c>
      <c r="AC700" s="63" t="str">
        <f t="shared" si="42"/>
        <v/>
      </c>
      <c r="AD700" s="63" t="str">
        <f>IF($A700="","",IFERROR(IF(VLOOKUP($A700,'Risk Register'!$B$2:$H$1000,4,FALSE())&gt;=4,"Yes",""),""))</f>
        <v/>
      </c>
      <c r="AE700" s="63" t="str">
        <f t="shared" si="43"/>
        <v/>
      </c>
      <c r="AF700" s="62"/>
      <c r="AG700" s="62"/>
      <c r="AH700" s="62"/>
      <c r="AI700" s="62"/>
      <c r="AJ700" s="62"/>
      <c r="AK700" s="62"/>
      <c r="AL700" s="62"/>
      <c r="AM700" s="62"/>
      <c r="AN700" s="62"/>
      <c r="AO700" s="62"/>
      <c r="AP700" s="62"/>
      <c r="AQ700" s="80"/>
    </row>
    <row r="701" spans="1:43" ht="15.75" customHeight="1" x14ac:dyDescent="0.2">
      <c r="A701" s="63" t="str">
        <f t="shared" si="40"/>
        <v/>
      </c>
      <c r="B701" s="62"/>
      <c r="C701" s="62"/>
      <c r="D701" s="62"/>
      <c r="E701" s="62"/>
      <c r="F701" s="62"/>
      <c r="G701" s="62"/>
      <c r="H701" s="62"/>
      <c r="I701" s="66"/>
      <c r="J701" s="66"/>
      <c r="K701" s="66"/>
      <c r="L701" s="66"/>
      <c r="M701" s="66"/>
      <c r="N701" s="64" t="str">
        <f>IF(OR($B701="", $I701="", $J701="", $K701="", $L701="", $M701=""),"",ROUND(($I701*Lists!$AN$2)+($J701*Lists!$AN$3)+($K701*Lists!$AN$4)+($L701*Lists!$AN$5)+($M701*Lists!$AN$6),2))</f>
        <v/>
      </c>
      <c r="O701" s="64" t="str">
        <f>IF($A701="","",IFERROR(VLOOKUP($A701,'Risk Register'!$B$2:$I$1000,8,FALSE()),""))</f>
        <v/>
      </c>
      <c r="P701" s="66"/>
      <c r="Q701" s="66"/>
      <c r="R701" s="66"/>
      <c r="S701" s="66"/>
      <c r="T701" s="64" t="str">
        <f>IF(OR($B701="", $P701="", $Q701="", $R701="", $S701=""),"",ROUND(($P701*Lists!$AN$7)+($Q701*Lists!$AN$8)+($R701*Lists!$AN$9)+($S701*Lists!$AN$10),2))</f>
        <v/>
      </c>
      <c r="U701" s="66"/>
      <c r="V701" s="66"/>
      <c r="W701" s="66"/>
      <c r="X701" s="66"/>
      <c r="Y701" s="66"/>
      <c r="Z701" s="64" t="str">
        <f>IF(OR($B701="", $U701="", $V701="", $W701="", $X701="", $Y701=""),"",ROUND(($U701*Lists!$AN$11)+($V701*Lists!$AN$12)+($W701*Lists!$AN$13)+($X701*Lists!$AN$14)+($Y701*Lists!$AN$15),2))</f>
        <v/>
      </c>
      <c r="AA701" s="64" t="str">
        <f>IF(OR($B701="", $N701="", $O701="", $T701="", $Z701=""),"",ROUND(($N701*Lists!$AN$16)-($O701*Lists!$AN$17)-($T701*Lists!$AN$18)+($Z701*Lists!$AN$19),2))</f>
        <v/>
      </c>
      <c r="AB701" s="63" t="str">
        <f t="shared" si="41"/>
        <v/>
      </c>
      <c r="AC701" s="63" t="str">
        <f t="shared" si="42"/>
        <v/>
      </c>
      <c r="AD701" s="63" t="str">
        <f>IF($A701="","",IFERROR(IF(VLOOKUP($A701,'Risk Register'!$B$2:$H$1000,4,FALSE())&gt;=4,"Yes",""),""))</f>
        <v/>
      </c>
      <c r="AE701" s="63" t="str">
        <f t="shared" si="43"/>
        <v/>
      </c>
      <c r="AF701" s="62"/>
      <c r="AG701" s="62"/>
      <c r="AH701" s="62"/>
      <c r="AI701" s="62"/>
      <c r="AJ701" s="62"/>
      <c r="AK701" s="62"/>
      <c r="AL701" s="62"/>
      <c r="AM701" s="62"/>
      <c r="AN701" s="62"/>
      <c r="AO701" s="62"/>
      <c r="AP701" s="62"/>
      <c r="AQ701" s="80"/>
    </row>
    <row r="702" spans="1:43" ht="15.75" customHeight="1" x14ac:dyDescent="0.2">
      <c r="A702" s="63" t="str">
        <f t="shared" si="40"/>
        <v/>
      </c>
      <c r="B702" s="62"/>
      <c r="C702" s="62"/>
      <c r="D702" s="62"/>
      <c r="E702" s="62"/>
      <c r="F702" s="62"/>
      <c r="G702" s="62"/>
      <c r="H702" s="62"/>
      <c r="I702" s="66"/>
      <c r="J702" s="66"/>
      <c r="K702" s="66"/>
      <c r="L702" s="66"/>
      <c r="M702" s="66"/>
      <c r="N702" s="64" t="str">
        <f>IF(OR($B702="", $I702="", $J702="", $K702="", $L702="", $M702=""),"",ROUND(($I702*Lists!$AN$2)+($J702*Lists!$AN$3)+($K702*Lists!$AN$4)+($L702*Lists!$AN$5)+($M702*Lists!$AN$6),2))</f>
        <v/>
      </c>
      <c r="O702" s="64" t="str">
        <f>IF($A702="","",IFERROR(VLOOKUP($A702,'Risk Register'!$B$2:$I$1000,8,FALSE()),""))</f>
        <v/>
      </c>
      <c r="P702" s="66"/>
      <c r="Q702" s="66"/>
      <c r="R702" s="66"/>
      <c r="S702" s="66"/>
      <c r="T702" s="64" t="str">
        <f>IF(OR($B702="", $P702="", $Q702="", $R702="", $S702=""),"",ROUND(($P702*Lists!$AN$7)+($Q702*Lists!$AN$8)+($R702*Lists!$AN$9)+($S702*Lists!$AN$10),2))</f>
        <v/>
      </c>
      <c r="U702" s="66"/>
      <c r="V702" s="66"/>
      <c r="W702" s="66"/>
      <c r="X702" s="66"/>
      <c r="Y702" s="66"/>
      <c r="Z702" s="64" t="str">
        <f>IF(OR($B702="", $U702="", $V702="", $W702="", $X702="", $Y702=""),"",ROUND(($U702*Lists!$AN$11)+($V702*Lists!$AN$12)+($W702*Lists!$AN$13)+($X702*Lists!$AN$14)+($Y702*Lists!$AN$15),2))</f>
        <v/>
      </c>
      <c r="AA702" s="64" t="str">
        <f>IF(OR($B702="", $N702="", $O702="", $T702="", $Z702=""),"",ROUND(($N702*Lists!$AN$16)-($O702*Lists!$AN$17)-($T702*Lists!$AN$18)+($Z702*Lists!$AN$19),2))</f>
        <v/>
      </c>
      <c r="AB702" s="63" t="str">
        <f t="shared" si="41"/>
        <v/>
      </c>
      <c r="AC702" s="63" t="str">
        <f t="shared" si="42"/>
        <v/>
      </c>
      <c r="AD702" s="63" t="str">
        <f>IF($A702="","",IFERROR(IF(VLOOKUP($A702,'Risk Register'!$B$2:$H$1000,4,FALSE())&gt;=4,"Yes",""),""))</f>
        <v/>
      </c>
      <c r="AE702" s="63" t="str">
        <f t="shared" si="43"/>
        <v/>
      </c>
      <c r="AF702" s="62"/>
      <c r="AG702" s="62"/>
      <c r="AH702" s="62"/>
      <c r="AI702" s="62"/>
      <c r="AJ702" s="62"/>
      <c r="AK702" s="62"/>
      <c r="AL702" s="62"/>
      <c r="AM702" s="62"/>
      <c r="AN702" s="62"/>
      <c r="AO702" s="62"/>
      <c r="AP702" s="62"/>
      <c r="AQ702" s="80"/>
    </row>
    <row r="703" spans="1:43" ht="15.75" customHeight="1" x14ac:dyDescent="0.2">
      <c r="A703" s="63" t="str">
        <f t="shared" si="40"/>
        <v/>
      </c>
      <c r="B703" s="62"/>
      <c r="C703" s="62"/>
      <c r="D703" s="62"/>
      <c r="E703" s="62"/>
      <c r="F703" s="62"/>
      <c r="G703" s="62"/>
      <c r="H703" s="62"/>
      <c r="I703" s="66"/>
      <c r="J703" s="66"/>
      <c r="K703" s="66"/>
      <c r="L703" s="66"/>
      <c r="M703" s="66"/>
      <c r="N703" s="64" t="str">
        <f>IF(OR($B703="", $I703="", $J703="", $K703="", $L703="", $M703=""),"",ROUND(($I703*Lists!$AN$2)+($J703*Lists!$AN$3)+($K703*Lists!$AN$4)+($L703*Lists!$AN$5)+($M703*Lists!$AN$6),2))</f>
        <v/>
      </c>
      <c r="O703" s="64" t="str">
        <f>IF($A703="","",IFERROR(VLOOKUP($A703,'Risk Register'!$B$2:$I$1000,8,FALSE()),""))</f>
        <v/>
      </c>
      <c r="P703" s="66"/>
      <c r="Q703" s="66"/>
      <c r="R703" s="66"/>
      <c r="S703" s="66"/>
      <c r="T703" s="64" t="str">
        <f>IF(OR($B703="", $P703="", $Q703="", $R703="", $S703=""),"",ROUND(($P703*Lists!$AN$7)+($Q703*Lists!$AN$8)+($R703*Lists!$AN$9)+($S703*Lists!$AN$10),2))</f>
        <v/>
      </c>
      <c r="U703" s="66"/>
      <c r="V703" s="66"/>
      <c r="W703" s="66"/>
      <c r="X703" s="66"/>
      <c r="Y703" s="66"/>
      <c r="Z703" s="64" t="str">
        <f>IF(OR($B703="", $U703="", $V703="", $W703="", $X703="", $Y703=""),"",ROUND(($U703*Lists!$AN$11)+($V703*Lists!$AN$12)+($W703*Lists!$AN$13)+($X703*Lists!$AN$14)+($Y703*Lists!$AN$15),2))</f>
        <v/>
      </c>
      <c r="AA703" s="64" t="str">
        <f>IF(OR($B703="", $N703="", $O703="", $T703="", $Z703=""),"",ROUND(($N703*Lists!$AN$16)-($O703*Lists!$AN$17)-($T703*Lists!$AN$18)+($Z703*Lists!$AN$19),2))</f>
        <v/>
      </c>
      <c r="AB703" s="63" t="str">
        <f t="shared" si="41"/>
        <v/>
      </c>
      <c r="AC703" s="63" t="str">
        <f t="shared" si="42"/>
        <v/>
      </c>
      <c r="AD703" s="63" t="str">
        <f>IF($A703="","",IFERROR(IF(VLOOKUP($A703,'Risk Register'!$B$2:$H$1000,4,FALSE())&gt;=4,"Yes",""),""))</f>
        <v/>
      </c>
      <c r="AE703" s="63" t="str">
        <f t="shared" si="43"/>
        <v/>
      </c>
      <c r="AF703" s="62"/>
      <c r="AG703" s="62"/>
      <c r="AH703" s="62"/>
      <c r="AI703" s="62"/>
      <c r="AJ703" s="62"/>
      <c r="AK703" s="62"/>
      <c r="AL703" s="62"/>
      <c r="AM703" s="62"/>
      <c r="AN703" s="62"/>
      <c r="AO703" s="62"/>
      <c r="AP703" s="62"/>
      <c r="AQ703" s="80"/>
    </row>
    <row r="704" spans="1:43" ht="15.75" customHeight="1" x14ac:dyDescent="0.2">
      <c r="A704" s="63" t="str">
        <f t="shared" si="40"/>
        <v/>
      </c>
      <c r="B704" s="62"/>
      <c r="C704" s="62"/>
      <c r="D704" s="62"/>
      <c r="E704" s="62"/>
      <c r="F704" s="62"/>
      <c r="G704" s="62"/>
      <c r="H704" s="62"/>
      <c r="I704" s="66"/>
      <c r="J704" s="66"/>
      <c r="K704" s="66"/>
      <c r="L704" s="66"/>
      <c r="M704" s="66"/>
      <c r="N704" s="64" t="str">
        <f>IF(OR($B704="", $I704="", $J704="", $K704="", $L704="", $M704=""),"",ROUND(($I704*Lists!$AN$2)+($J704*Lists!$AN$3)+($K704*Lists!$AN$4)+($L704*Lists!$AN$5)+($M704*Lists!$AN$6),2))</f>
        <v/>
      </c>
      <c r="O704" s="64" t="str">
        <f>IF($A704="","",IFERROR(VLOOKUP($A704,'Risk Register'!$B$2:$I$1000,8,FALSE()),""))</f>
        <v/>
      </c>
      <c r="P704" s="66"/>
      <c r="Q704" s="66"/>
      <c r="R704" s="66"/>
      <c r="S704" s="66"/>
      <c r="T704" s="64" t="str">
        <f>IF(OR($B704="", $P704="", $Q704="", $R704="", $S704=""),"",ROUND(($P704*Lists!$AN$7)+($Q704*Lists!$AN$8)+($R704*Lists!$AN$9)+($S704*Lists!$AN$10),2))</f>
        <v/>
      </c>
      <c r="U704" s="66"/>
      <c r="V704" s="66"/>
      <c r="W704" s="66"/>
      <c r="X704" s="66"/>
      <c r="Y704" s="66"/>
      <c r="Z704" s="64" t="str">
        <f>IF(OR($B704="", $U704="", $V704="", $W704="", $X704="", $Y704=""),"",ROUND(($U704*Lists!$AN$11)+($V704*Lists!$AN$12)+($W704*Lists!$AN$13)+($X704*Lists!$AN$14)+($Y704*Lists!$AN$15),2))</f>
        <v/>
      </c>
      <c r="AA704" s="64" t="str">
        <f>IF(OR($B704="", $N704="", $O704="", $T704="", $Z704=""),"",ROUND(($N704*Lists!$AN$16)-($O704*Lists!$AN$17)-($T704*Lists!$AN$18)+($Z704*Lists!$AN$19),2))</f>
        <v/>
      </c>
      <c r="AB704" s="63" t="str">
        <f t="shared" si="41"/>
        <v/>
      </c>
      <c r="AC704" s="63" t="str">
        <f t="shared" si="42"/>
        <v/>
      </c>
      <c r="AD704" s="63" t="str">
        <f>IF($A704="","",IFERROR(IF(VLOOKUP($A704,'Risk Register'!$B$2:$H$1000,4,FALSE())&gt;=4,"Yes",""),""))</f>
        <v/>
      </c>
      <c r="AE704" s="63" t="str">
        <f t="shared" si="43"/>
        <v/>
      </c>
      <c r="AF704" s="62"/>
      <c r="AG704" s="62"/>
      <c r="AH704" s="62"/>
      <c r="AI704" s="62"/>
      <c r="AJ704" s="62"/>
      <c r="AK704" s="62"/>
      <c r="AL704" s="62"/>
      <c r="AM704" s="62"/>
      <c r="AN704" s="62"/>
      <c r="AO704" s="62"/>
      <c r="AP704" s="62"/>
      <c r="AQ704" s="80"/>
    </row>
    <row r="705" spans="1:43" ht="15.75" customHeight="1" x14ac:dyDescent="0.2">
      <c r="A705" s="63" t="str">
        <f t="shared" si="40"/>
        <v/>
      </c>
      <c r="B705" s="62"/>
      <c r="C705" s="62"/>
      <c r="D705" s="62"/>
      <c r="E705" s="62"/>
      <c r="F705" s="62"/>
      <c r="G705" s="62"/>
      <c r="H705" s="62"/>
      <c r="I705" s="66"/>
      <c r="J705" s="66"/>
      <c r="K705" s="66"/>
      <c r="L705" s="66"/>
      <c r="M705" s="66"/>
      <c r="N705" s="64" t="str">
        <f>IF(OR($B705="", $I705="", $J705="", $K705="", $L705="", $M705=""),"",ROUND(($I705*Lists!$AN$2)+($J705*Lists!$AN$3)+($K705*Lists!$AN$4)+($L705*Lists!$AN$5)+($M705*Lists!$AN$6),2))</f>
        <v/>
      </c>
      <c r="O705" s="64" t="str">
        <f>IF($A705="","",IFERROR(VLOOKUP($A705,'Risk Register'!$B$2:$I$1000,8,FALSE()),""))</f>
        <v/>
      </c>
      <c r="P705" s="66"/>
      <c r="Q705" s="66"/>
      <c r="R705" s="66"/>
      <c r="S705" s="66"/>
      <c r="T705" s="64" t="str">
        <f>IF(OR($B705="", $P705="", $Q705="", $R705="", $S705=""),"",ROUND(($P705*Lists!$AN$7)+($Q705*Lists!$AN$8)+($R705*Lists!$AN$9)+($S705*Lists!$AN$10),2))</f>
        <v/>
      </c>
      <c r="U705" s="66"/>
      <c r="V705" s="66"/>
      <c r="W705" s="66"/>
      <c r="X705" s="66"/>
      <c r="Y705" s="66"/>
      <c r="Z705" s="64" t="str">
        <f>IF(OR($B705="", $U705="", $V705="", $W705="", $X705="", $Y705=""),"",ROUND(($U705*Lists!$AN$11)+($V705*Lists!$AN$12)+($W705*Lists!$AN$13)+($X705*Lists!$AN$14)+($Y705*Lists!$AN$15),2))</f>
        <v/>
      </c>
      <c r="AA705" s="64" t="str">
        <f>IF(OR($B705="", $N705="", $O705="", $T705="", $Z705=""),"",ROUND(($N705*Lists!$AN$16)-($O705*Lists!$AN$17)-($T705*Lists!$AN$18)+($Z705*Lists!$AN$19),2))</f>
        <v/>
      </c>
      <c r="AB705" s="63" t="str">
        <f t="shared" si="41"/>
        <v/>
      </c>
      <c r="AC705" s="63" t="str">
        <f t="shared" si="42"/>
        <v/>
      </c>
      <c r="AD705" s="63" t="str">
        <f>IF($A705="","",IFERROR(IF(VLOOKUP($A705,'Risk Register'!$B$2:$H$1000,4,FALSE())&gt;=4,"Yes",""),""))</f>
        <v/>
      </c>
      <c r="AE705" s="63" t="str">
        <f t="shared" si="43"/>
        <v/>
      </c>
      <c r="AF705" s="62"/>
      <c r="AG705" s="62"/>
      <c r="AH705" s="62"/>
      <c r="AI705" s="62"/>
      <c r="AJ705" s="62"/>
      <c r="AK705" s="62"/>
      <c r="AL705" s="62"/>
      <c r="AM705" s="62"/>
      <c r="AN705" s="62"/>
      <c r="AO705" s="62"/>
      <c r="AP705" s="62"/>
      <c r="AQ705" s="80"/>
    </row>
    <row r="706" spans="1:43" ht="15.75" customHeight="1" x14ac:dyDescent="0.2">
      <c r="A706" s="63" t="str">
        <f t="shared" si="40"/>
        <v/>
      </c>
      <c r="B706" s="62"/>
      <c r="C706" s="62"/>
      <c r="D706" s="62"/>
      <c r="E706" s="62"/>
      <c r="F706" s="62"/>
      <c r="G706" s="62"/>
      <c r="H706" s="62"/>
      <c r="I706" s="66"/>
      <c r="J706" s="66"/>
      <c r="K706" s="66"/>
      <c r="L706" s="66"/>
      <c r="M706" s="66"/>
      <c r="N706" s="64" t="str">
        <f>IF(OR($B706="", $I706="", $J706="", $K706="", $L706="", $M706=""),"",ROUND(($I706*Lists!$AN$2)+($J706*Lists!$AN$3)+($K706*Lists!$AN$4)+($L706*Lists!$AN$5)+($M706*Lists!$AN$6),2))</f>
        <v/>
      </c>
      <c r="O706" s="64" t="str">
        <f>IF($A706="","",IFERROR(VLOOKUP($A706,'Risk Register'!$B$2:$I$1000,8,FALSE()),""))</f>
        <v/>
      </c>
      <c r="P706" s="66"/>
      <c r="Q706" s="66"/>
      <c r="R706" s="66"/>
      <c r="S706" s="66"/>
      <c r="T706" s="64" t="str">
        <f>IF(OR($B706="", $P706="", $Q706="", $R706="", $S706=""),"",ROUND(($P706*Lists!$AN$7)+($Q706*Lists!$AN$8)+($R706*Lists!$AN$9)+($S706*Lists!$AN$10),2))</f>
        <v/>
      </c>
      <c r="U706" s="66"/>
      <c r="V706" s="66"/>
      <c r="W706" s="66"/>
      <c r="X706" s="66"/>
      <c r="Y706" s="66"/>
      <c r="Z706" s="64" t="str">
        <f>IF(OR($B706="", $U706="", $V706="", $W706="", $X706="", $Y706=""),"",ROUND(($U706*Lists!$AN$11)+($V706*Lists!$AN$12)+($W706*Lists!$AN$13)+($X706*Lists!$AN$14)+($Y706*Lists!$AN$15),2))</f>
        <v/>
      </c>
      <c r="AA706" s="64" t="str">
        <f>IF(OR($B706="", $N706="", $O706="", $T706="", $Z706=""),"",ROUND(($N706*Lists!$AN$16)-($O706*Lists!$AN$17)-($T706*Lists!$AN$18)+($Z706*Lists!$AN$19),2))</f>
        <v/>
      </c>
      <c r="AB706" s="63" t="str">
        <f t="shared" si="41"/>
        <v/>
      </c>
      <c r="AC706" s="63" t="str">
        <f t="shared" si="42"/>
        <v/>
      </c>
      <c r="AD706" s="63" t="str">
        <f>IF($A706="","",IFERROR(IF(VLOOKUP($A706,'Risk Register'!$B$2:$H$1000,4,FALSE())&gt;=4,"Yes",""),""))</f>
        <v/>
      </c>
      <c r="AE706" s="63" t="str">
        <f t="shared" si="43"/>
        <v/>
      </c>
      <c r="AF706" s="62"/>
      <c r="AG706" s="62"/>
      <c r="AH706" s="62"/>
      <c r="AI706" s="62"/>
      <c r="AJ706" s="62"/>
      <c r="AK706" s="62"/>
      <c r="AL706" s="62"/>
      <c r="AM706" s="62"/>
      <c r="AN706" s="62"/>
      <c r="AO706" s="62"/>
      <c r="AP706" s="62"/>
      <c r="AQ706" s="80"/>
    </row>
    <row r="707" spans="1:43" ht="15.75" customHeight="1" x14ac:dyDescent="0.2">
      <c r="A707" s="63" t="str">
        <f t="shared" si="40"/>
        <v/>
      </c>
      <c r="B707" s="62"/>
      <c r="C707" s="62"/>
      <c r="D707" s="62"/>
      <c r="E707" s="62"/>
      <c r="F707" s="62"/>
      <c r="G707" s="62"/>
      <c r="H707" s="62"/>
      <c r="I707" s="66"/>
      <c r="J707" s="66"/>
      <c r="K707" s="66"/>
      <c r="L707" s="66"/>
      <c r="M707" s="66"/>
      <c r="N707" s="64" t="str">
        <f>IF(OR($B707="", $I707="", $J707="", $K707="", $L707="", $M707=""),"",ROUND(($I707*Lists!$AN$2)+($J707*Lists!$AN$3)+($K707*Lists!$AN$4)+($L707*Lists!$AN$5)+($M707*Lists!$AN$6),2))</f>
        <v/>
      </c>
      <c r="O707" s="64" t="str">
        <f>IF($A707="","",IFERROR(VLOOKUP($A707,'Risk Register'!$B$2:$I$1000,8,FALSE()),""))</f>
        <v/>
      </c>
      <c r="P707" s="66"/>
      <c r="Q707" s="66"/>
      <c r="R707" s="66"/>
      <c r="S707" s="66"/>
      <c r="T707" s="64" t="str">
        <f>IF(OR($B707="", $P707="", $Q707="", $R707="", $S707=""),"",ROUND(($P707*Lists!$AN$7)+($Q707*Lists!$AN$8)+($R707*Lists!$AN$9)+($S707*Lists!$AN$10),2))</f>
        <v/>
      </c>
      <c r="U707" s="66"/>
      <c r="V707" s="66"/>
      <c r="W707" s="66"/>
      <c r="X707" s="66"/>
      <c r="Y707" s="66"/>
      <c r="Z707" s="64" t="str">
        <f>IF(OR($B707="", $U707="", $V707="", $W707="", $X707="", $Y707=""),"",ROUND(($U707*Lists!$AN$11)+($V707*Lists!$AN$12)+($W707*Lists!$AN$13)+($X707*Lists!$AN$14)+($Y707*Lists!$AN$15),2))</f>
        <v/>
      </c>
      <c r="AA707" s="64" t="str">
        <f>IF(OR($B707="", $N707="", $O707="", $T707="", $Z707=""),"",ROUND(($N707*Lists!$AN$16)-($O707*Lists!$AN$17)-($T707*Lists!$AN$18)+($Z707*Lists!$AN$19),2))</f>
        <v/>
      </c>
      <c r="AB707" s="63" t="str">
        <f t="shared" si="41"/>
        <v/>
      </c>
      <c r="AC707" s="63" t="str">
        <f t="shared" si="42"/>
        <v/>
      </c>
      <c r="AD707" s="63" t="str">
        <f>IF($A707="","",IFERROR(IF(VLOOKUP($A707,'Risk Register'!$B$2:$H$1000,4,FALSE())&gt;=4,"Yes",""),""))</f>
        <v/>
      </c>
      <c r="AE707" s="63" t="str">
        <f t="shared" si="43"/>
        <v/>
      </c>
      <c r="AF707" s="62"/>
      <c r="AG707" s="62"/>
      <c r="AH707" s="62"/>
      <c r="AI707" s="62"/>
      <c r="AJ707" s="62"/>
      <c r="AK707" s="62"/>
      <c r="AL707" s="62"/>
      <c r="AM707" s="62"/>
      <c r="AN707" s="62"/>
      <c r="AO707" s="62"/>
      <c r="AP707" s="62"/>
      <c r="AQ707" s="80"/>
    </row>
    <row r="708" spans="1:43" ht="15.75" customHeight="1" x14ac:dyDescent="0.2">
      <c r="A708" s="63" t="str">
        <f t="shared" si="40"/>
        <v/>
      </c>
      <c r="B708" s="62"/>
      <c r="C708" s="62"/>
      <c r="D708" s="62"/>
      <c r="E708" s="62"/>
      <c r="F708" s="62"/>
      <c r="G708" s="62"/>
      <c r="H708" s="62"/>
      <c r="I708" s="66"/>
      <c r="J708" s="66"/>
      <c r="K708" s="66"/>
      <c r="L708" s="66"/>
      <c r="M708" s="66"/>
      <c r="N708" s="64" t="str">
        <f>IF(OR($B708="", $I708="", $J708="", $K708="", $L708="", $M708=""),"",ROUND(($I708*Lists!$AN$2)+($J708*Lists!$AN$3)+($K708*Lists!$AN$4)+($L708*Lists!$AN$5)+($M708*Lists!$AN$6),2))</f>
        <v/>
      </c>
      <c r="O708" s="64" t="str">
        <f>IF($A708="","",IFERROR(VLOOKUP($A708,'Risk Register'!$B$2:$I$1000,8,FALSE()),""))</f>
        <v/>
      </c>
      <c r="P708" s="66"/>
      <c r="Q708" s="66"/>
      <c r="R708" s="66"/>
      <c r="S708" s="66"/>
      <c r="T708" s="64" t="str">
        <f>IF(OR($B708="", $P708="", $Q708="", $R708="", $S708=""),"",ROUND(($P708*Lists!$AN$7)+($Q708*Lists!$AN$8)+($R708*Lists!$AN$9)+($S708*Lists!$AN$10),2))</f>
        <v/>
      </c>
      <c r="U708" s="66"/>
      <c r="V708" s="66"/>
      <c r="W708" s="66"/>
      <c r="X708" s="66"/>
      <c r="Y708" s="66"/>
      <c r="Z708" s="64" t="str">
        <f>IF(OR($B708="", $U708="", $V708="", $W708="", $X708="", $Y708=""),"",ROUND(($U708*Lists!$AN$11)+($V708*Lists!$AN$12)+($W708*Lists!$AN$13)+($X708*Lists!$AN$14)+($Y708*Lists!$AN$15),2))</f>
        <v/>
      </c>
      <c r="AA708" s="64" t="str">
        <f>IF(OR($B708="", $N708="", $O708="", $T708="", $Z708=""),"",ROUND(($N708*Lists!$AN$16)-($O708*Lists!$AN$17)-($T708*Lists!$AN$18)+($Z708*Lists!$AN$19),2))</f>
        <v/>
      </c>
      <c r="AB708" s="63" t="str">
        <f t="shared" si="41"/>
        <v/>
      </c>
      <c r="AC708" s="63" t="str">
        <f t="shared" si="42"/>
        <v/>
      </c>
      <c r="AD708" s="63" t="str">
        <f>IF($A708="","",IFERROR(IF(VLOOKUP($A708,'Risk Register'!$B$2:$H$1000,4,FALSE())&gt;=4,"Yes",""),""))</f>
        <v/>
      </c>
      <c r="AE708" s="63" t="str">
        <f t="shared" si="43"/>
        <v/>
      </c>
      <c r="AF708" s="62"/>
      <c r="AG708" s="62"/>
      <c r="AH708" s="62"/>
      <c r="AI708" s="62"/>
      <c r="AJ708" s="62"/>
      <c r="AK708" s="62"/>
      <c r="AL708" s="62"/>
      <c r="AM708" s="62"/>
      <c r="AN708" s="62"/>
      <c r="AO708" s="62"/>
      <c r="AP708" s="62"/>
      <c r="AQ708" s="80"/>
    </row>
    <row r="709" spans="1:43" ht="15.75" customHeight="1" x14ac:dyDescent="0.2">
      <c r="A709" s="63" t="str">
        <f t="shared" si="40"/>
        <v/>
      </c>
      <c r="B709" s="62"/>
      <c r="C709" s="62"/>
      <c r="D709" s="62"/>
      <c r="E709" s="62"/>
      <c r="F709" s="62"/>
      <c r="G709" s="62"/>
      <c r="H709" s="62"/>
      <c r="I709" s="66"/>
      <c r="J709" s="66"/>
      <c r="K709" s="66"/>
      <c r="L709" s="66"/>
      <c r="M709" s="66"/>
      <c r="N709" s="64" t="str">
        <f>IF(OR($B709="", $I709="", $J709="", $K709="", $L709="", $M709=""),"",ROUND(($I709*Lists!$AN$2)+($J709*Lists!$AN$3)+($K709*Lists!$AN$4)+($L709*Lists!$AN$5)+($M709*Lists!$AN$6),2))</f>
        <v/>
      </c>
      <c r="O709" s="64" t="str">
        <f>IF($A709="","",IFERROR(VLOOKUP($A709,'Risk Register'!$B$2:$I$1000,8,FALSE()),""))</f>
        <v/>
      </c>
      <c r="P709" s="66"/>
      <c r="Q709" s="66"/>
      <c r="R709" s="66"/>
      <c r="S709" s="66"/>
      <c r="T709" s="64" t="str">
        <f>IF(OR($B709="", $P709="", $Q709="", $R709="", $S709=""),"",ROUND(($P709*Lists!$AN$7)+($Q709*Lists!$AN$8)+($R709*Lists!$AN$9)+($S709*Lists!$AN$10),2))</f>
        <v/>
      </c>
      <c r="U709" s="66"/>
      <c r="V709" s="66"/>
      <c r="W709" s="66"/>
      <c r="X709" s="66"/>
      <c r="Y709" s="66"/>
      <c r="Z709" s="64" t="str">
        <f>IF(OR($B709="", $U709="", $V709="", $W709="", $X709="", $Y709=""),"",ROUND(($U709*Lists!$AN$11)+($V709*Lists!$AN$12)+($W709*Lists!$AN$13)+($X709*Lists!$AN$14)+($Y709*Lists!$AN$15),2))</f>
        <v/>
      </c>
      <c r="AA709" s="64" t="str">
        <f>IF(OR($B709="", $N709="", $O709="", $T709="", $Z709=""),"",ROUND(($N709*Lists!$AN$16)-($O709*Lists!$AN$17)-($T709*Lists!$AN$18)+($Z709*Lists!$AN$19),2))</f>
        <v/>
      </c>
      <c r="AB709" s="63" t="str">
        <f t="shared" si="41"/>
        <v/>
      </c>
      <c r="AC709" s="63" t="str">
        <f t="shared" si="42"/>
        <v/>
      </c>
      <c r="AD709" s="63" t="str">
        <f>IF($A709="","",IFERROR(IF(VLOOKUP($A709,'Risk Register'!$B$2:$H$1000,4,FALSE())&gt;=4,"Yes",""),""))</f>
        <v/>
      </c>
      <c r="AE709" s="63" t="str">
        <f t="shared" si="43"/>
        <v/>
      </c>
      <c r="AF709" s="62"/>
      <c r="AG709" s="62"/>
      <c r="AH709" s="62"/>
      <c r="AI709" s="62"/>
      <c r="AJ709" s="62"/>
      <c r="AK709" s="62"/>
      <c r="AL709" s="62"/>
      <c r="AM709" s="62"/>
      <c r="AN709" s="62"/>
      <c r="AO709" s="62"/>
      <c r="AP709" s="62"/>
      <c r="AQ709" s="80"/>
    </row>
    <row r="710" spans="1:43" ht="15.75" customHeight="1" x14ac:dyDescent="0.2">
      <c r="A710" s="63" t="str">
        <f t="shared" si="40"/>
        <v/>
      </c>
      <c r="B710" s="62"/>
      <c r="C710" s="62"/>
      <c r="D710" s="62"/>
      <c r="E710" s="62"/>
      <c r="F710" s="62"/>
      <c r="G710" s="62"/>
      <c r="H710" s="62"/>
      <c r="I710" s="66"/>
      <c r="J710" s="66"/>
      <c r="K710" s="66"/>
      <c r="L710" s="66"/>
      <c r="M710" s="66"/>
      <c r="N710" s="64" t="str">
        <f>IF(OR($B710="", $I710="", $J710="", $K710="", $L710="", $M710=""),"",ROUND(($I710*Lists!$AN$2)+($J710*Lists!$AN$3)+($K710*Lists!$AN$4)+($L710*Lists!$AN$5)+($M710*Lists!$AN$6),2))</f>
        <v/>
      </c>
      <c r="O710" s="64" t="str">
        <f>IF($A710="","",IFERROR(VLOOKUP($A710,'Risk Register'!$B$2:$I$1000,8,FALSE()),""))</f>
        <v/>
      </c>
      <c r="P710" s="66"/>
      <c r="Q710" s="66"/>
      <c r="R710" s="66"/>
      <c r="S710" s="66"/>
      <c r="T710" s="64" t="str">
        <f>IF(OR($B710="", $P710="", $Q710="", $R710="", $S710=""),"",ROUND(($P710*Lists!$AN$7)+($Q710*Lists!$AN$8)+($R710*Lists!$AN$9)+($S710*Lists!$AN$10),2))</f>
        <v/>
      </c>
      <c r="U710" s="66"/>
      <c r="V710" s="66"/>
      <c r="W710" s="66"/>
      <c r="X710" s="66"/>
      <c r="Y710" s="66"/>
      <c r="Z710" s="64" t="str">
        <f>IF(OR($B710="", $U710="", $V710="", $W710="", $X710="", $Y710=""),"",ROUND(($U710*Lists!$AN$11)+($V710*Lists!$AN$12)+($W710*Lists!$AN$13)+($X710*Lists!$AN$14)+($Y710*Lists!$AN$15),2))</f>
        <v/>
      </c>
      <c r="AA710" s="64" t="str">
        <f>IF(OR($B710="", $N710="", $O710="", $T710="", $Z710=""),"",ROUND(($N710*Lists!$AN$16)-($O710*Lists!$AN$17)-($T710*Lists!$AN$18)+($Z710*Lists!$AN$19),2))</f>
        <v/>
      </c>
      <c r="AB710" s="63" t="str">
        <f t="shared" si="41"/>
        <v/>
      </c>
      <c r="AC710" s="63" t="str">
        <f t="shared" si="42"/>
        <v/>
      </c>
      <c r="AD710" s="63" t="str">
        <f>IF($A710="","",IFERROR(IF(VLOOKUP($A710,'Risk Register'!$B$2:$H$1000,4,FALSE())&gt;=4,"Yes",""),""))</f>
        <v/>
      </c>
      <c r="AE710" s="63" t="str">
        <f t="shared" si="43"/>
        <v/>
      </c>
      <c r="AF710" s="62"/>
      <c r="AG710" s="62"/>
      <c r="AH710" s="62"/>
      <c r="AI710" s="62"/>
      <c r="AJ710" s="62"/>
      <c r="AK710" s="62"/>
      <c r="AL710" s="62"/>
      <c r="AM710" s="62"/>
      <c r="AN710" s="62"/>
      <c r="AO710" s="62"/>
      <c r="AP710" s="62"/>
      <c r="AQ710" s="80"/>
    </row>
    <row r="711" spans="1:43" ht="15.75" customHeight="1" x14ac:dyDescent="0.2">
      <c r="A711" s="63" t="str">
        <f t="shared" si="40"/>
        <v/>
      </c>
      <c r="B711" s="62"/>
      <c r="C711" s="62"/>
      <c r="D711" s="62"/>
      <c r="E711" s="62"/>
      <c r="F711" s="62"/>
      <c r="G711" s="62"/>
      <c r="H711" s="62"/>
      <c r="I711" s="66"/>
      <c r="J711" s="66"/>
      <c r="K711" s="66"/>
      <c r="L711" s="66"/>
      <c r="M711" s="66"/>
      <c r="N711" s="64" t="str">
        <f>IF(OR($B711="", $I711="", $J711="", $K711="", $L711="", $M711=""),"",ROUND(($I711*Lists!$AN$2)+($J711*Lists!$AN$3)+($K711*Lists!$AN$4)+($L711*Lists!$AN$5)+($M711*Lists!$AN$6),2))</f>
        <v/>
      </c>
      <c r="O711" s="64" t="str">
        <f>IF($A711="","",IFERROR(VLOOKUP($A711,'Risk Register'!$B$2:$I$1000,8,FALSE()),""))</f>
        <v/>
      </c>
      <c r="P711" s="66"/>
      <c r="Q711" s="66"/>
      <c r="R711" s="66"/>
      <c r="S711" s="66"/>
      <c r="T711" s="64" t="str">
        <f>IF(OR($B711="", $P711="", $Q711="", $R711="", $S711=""),"",ROUND(($P711*Lists!$AN$7)+($Q711*Lists!$AN$8)+($R711*Lists!$AN$9)+($S711*Lists!$AN$10),2))</f>
        <v/>
      </c>
      <c r="U711" s="66"/>
      <c r="V711" s="66"/>
      <c r="W711" s="66"/>
      <c r="X711" s="66"/>
      <c r="Y711" s="66"/>
      <c r="Z711" s="64" t="str">
        <f>IF(OR($B711="", $U711="", $V711="", $W711="", $X711="", $Y711=""),"",ROUND(($U711*Lists!$AN$11)+($V711*Lists!$AN$12)+($W711*Lists!$AN$13)+($X711*Lists!$AN$14)+($Y711*Lists!$AN$15),2))</f>
        <v/>
      </c>
      <c r="AA711" s="64" t="str">
        <f>IF(OR($B711="", $N711="", $O711="", $T711="", $Z711=""),"",ROUND(($N711*Lists!$AN$16)-($O711*Lists!$AN$17)-($T711*Lists!$AN$18)+($Z711*Lists!$AN$19),2))</f>
        <v/>
      </c>
      <c r="AB711" s="63" t="str">
        <f t="shared" si="41"/>
        <v/>
      </c>
      <c r="AC711" s="63" t="str">
        <f t="shared" si="42"/>
        <v/>
      </c>
      <c r="AD711" s="63" t="str">
        <f>IF($A711="","",IFERROR(IF(VLOOKUP($A711,'Risk Register'!$B$2:$H$1000,4,FALSE())&gt;=4,"Yes",""),""))</f>
        <v/>
      </c>
      <c r="AE711" s="63" t="str">
        <f t="shared" si="43"/>
        <v/>
      </c>
      <c r="AF711" s="62"/>
      <c r="AG711" s="62"/>
      <c r="AH711" s="62"/>
      <c r="AI711" s="62"/>
      <c r="AJ711" s="62"/>
      <c r="AK711" s="62"/>
      <c r="AL711" s="62"/>
      <c r="AM711" s="62"/>
      <c r="AN711" s="62"/>
      <c r="AO711" s="62"/>
      <c r="AP711" s="62"/>
      <c r="AQ711" s="80"/>
    </row>
    <row r="712" spans="1:43" ht="15.75" customHeight="1" x14ac:dyDescent="0.2">
      <c r="A712" s="63" t="str">
        <f t="shared" si="40"/>
        <v/>
      </c>
      <c r="B712" s="62"/>
      <c r="C712" s="62"/>
      <c r="D712" s="62"/>
      <c r="E712" s="62"/>
      <c r="F712" s="62"/>
      <c r="G712" s="62"/>
      <c r="H712" s="62"/>
      <c r="I712" s="66"/>
      <c r="J712" s="66"/>
      <c r="K712" s="66"/>
      <c r="L712" s="66"/>
      <c r="M712" s="66"/>
      <c r="N712" s="64" t="str">
        <f>IF(OR($B712="", $I712="", $J712="", $K712="", $L712="", $M712=""),"",ROUND(($I712*Lists!$AN$2)+($J712*Lists!$AN$3)+($K712*Lists!$AN$4)+($L712*Lists!$AN$5)+($M712*Lists!$AN$6),2))</f>
        <v/>
      </c>
      <c r="O712" s="64" t="str">
        <f>IF($A712="","",IFERROR(VLOOKUP($A712,'Risk Register'!$B$2:$I$1000,8,FALSE()),""))</f>
        <v/>
      </c>
      <c r="P712" s="66"/>
      <c r="Q712" s="66"/>
      <c r="R712" s="66"/>
      <c r="S712" s="66"/>
      <c r="T712" s="64" t="str">
        <f>IF(OR($B712="", $P712="", $Q712="", $R712="", $S712=""),"",ROUND(($P712*Lists!$AN$7)+($Q712*Lists!$AN$8)+($R712*Lists!$AN$9)+($S712*Lists!$AN$10),2))</f>
        <v/>
      </c>
      <c r="U712" s="66"/>
      <c r="V712" s="66"/>
      <c r="W712" s="66"/>
      <c r="X712" s="66"/>
      <c r="Y712" s="66"/>
      <c r="Z712" s="64" t="str">
        <f>IF(OR($B712="", $U712="", $V712="", $W712="", $X712="", $Y712=""),"",ROUND(($U712*Lists!$AN$11)+($V712*Lists!$AN$12)+($W712*Lists!$AN$13)+($X712*Lists!$AN$14)+($Y712*Lists!$AN$15),2))</f>
        <v/>
      </c>
      <c r="AA712" s="64" t="str">
        <f>IF(OR($B712="", $N712="", $O712="", $T712="", $Z712=""),"",ROUND(($N712*Lists!$AN$16)-($O712*Lists!$AN$17)-($T712*Lists!$AN$18)+($Z712*Lists!$AN$19),2))</f>
        <v/>
      </c>
      <c r="AB712" s="63" t="str">
        <f t="shared" si="41"/>
        <v/>
      </c>
      <c r="AC712" s="63" t="str">
        <f t="shared" si="42"/>
        <v/>
      </c>
      <c r="AD712" s="63" t="str">
        <f>IF($A712="","",IFERROR(IF(VLOOKUP($A712,'Risk Register'!$B$2:$H$1000,4,FALSE())&gt;=4,"Yes",""),""))</f>
        <v/>
      </c>
      <c r="AE712" s="63" t="str">
        <f t="shared" si="43"/>
        <v/>
      </c>
      <c r="AF712" s="62"/>
      <c r="AG712" s="62"/>
      <c r="AH712" s="62"/>
      <c r="AI712" s="62"/>
      <c r="AJ712" s="62"/>
      <c r="AK712" s="62"/>
      <c r="AL712" s="62"/>
      <c r="AM712" s="62"/>
      <c r="AN712" s="62"/>
      <c r="AO712" s="62"/>
      <c r="AP712" s="62"/>
      <c r="AQ712" s="80"/>
    </row>
    <row r="713" spans="1:43" ht="15.75" customHeight="1" x14ac:dyDescent="0.2">
      <c r="A713" s="63" t="str">
        <f t="shared" si="40"/>
        <v/>
      </c>
      <c r="B713" s="62"/>
      <c r="C713" s="62"/>
      <c r="D713" s="62"/>
      <c r="E713" s="62"/>
      <c r="F713" s="62"/>
      <c r="G713" s="62"/>
      <c r="H713" s="62"/>
      <c r="I713" s="66"/>
      <c r="J713" s="66"/>
      <c r="K713" s="66"/>
      <c r="L713" s="66"/>
      <c r="M713" s="66"/>
      <c r="N713" s="64" t="str">
        <f>IF(OR($B713="", $I713="", $J713="", $K713="", $L713="", $M713=""),"",ROUND(($I713*Lists!$AN$2)+($J713*Lists!$AN$3)+($K713*Lists!$AN$4)+($L713*Lists!$AN$5)+($M713*Lists!$AN$6),2))</f>
        <v/>
      </c>
      <c r="O713" s="64" t="str">
        <f>IF($A713="","",IFERROR(VLOOKUP($A713,'Risk Register'!$B$2:$I$1000,8,FALSE()),""))</f>
        <v/>
      </c>
      <c r="P713" s="66"/>
      <c r="Q713" s="66"/>
      <c r="R713" s="66"/>
      <c r="S713" s="66"/>
      <c r="T713" s="64" t="str">
        <f>IF(OR($B713="", $P713="", $Q713="", $R713="", $S713=""),"",ROUND(($P713*Lists!$AN$7)+($Q713*Lists!$AN$8)+($R713*Lists!$AN$9)+($S713*Lists!$AN$10),2))</f>
        <v/>
      </c>
      <c r="U713" s="66"/>
      <c r="V713" s="66"/>
      <c r="W713" s="66"/>
      <c r="X713" s="66"/>
      <c r="Y713" s="66"/>
      <c r="Z713" s="64" t="str">
        <f>IF(OR($B713="", $U713="", $V713="", $W713="", $X713="", $Y713=""),"",ROUND(($U713*Lists!$AN$11)+($V713*Lists!$AN$12)+($W713*Lists!$AN$13)+($X713*Lists!$AN$14)+($Y713*Lists!$AN$15),2))</f>
        <v/>
      </c>
      <c r="AA713" s="64" t="str">
        <f>IF(OR($B713="", $N713="", $O713="", $T713="", $Z713=""),"",ROUND(($N713*Lists!$AN$16)-($O713*Lists!$AN$17)-($T713*Lists!$AN$18)+($Z713*Lists!$AN$19),2))</f>
        <v/>
      </c>
      <c r="AB713" s="63" t="str">
        <f t="shared" si="41"/>
        <v/>
      </c>
      <c r="AC713" s="63" t="str">
        <f t="shared" si="42"/>
        <v/>
      </c>
      <c r="AD713" s="63" t="str">
        <f>IF($A713="","",IFERROR(IF(VLOOKUP($A713,'Risk Register'!$B$2:$H$1000,4,FALSE())&gt;=4,"Yes",""),""))</f>
        <v/>
      </c>
      <c r="AE713" s="63" t="str">
        <f t="shared" si="43"/>
        <v/>
      </c>
      <c r="AF713" s="62"/>
      <c r="AG713" s="62"/>
      <c r="AH713" s="62"/>
      <c r="AI713" s="62"/>
      <c r="AJ713" s="62"/>
      <c r="AK713" s="62"/>
      <c r="AL713" s="62"/>
      <c r="AM713" s="62"/>
      <c r="AN713" s="62"/>
      <c r="AO713" s="62"/>
      <c r="AP713" s="62"/>
      <c r="AQ713" s="80"/>
    </row>
    <row r="714" spans="1:43" ht="15.75" customHeight="1" x14ac:dyDescent="0.2">
      <c r="A714" s="63" t="str">
        <f t="shared" si="40"/>
        <v/>
      </c>
      <c r="B714" s="62"/>
      <c r="C714" s="62"/>
      <c r="D714" s="62"/>
      <c r="E714" s="62"/>
      <c r="F714" s="62"/>
      <c r="G714" s="62"/>
      <c r="H714" s="62"/>
      <c r="I714" s="66"/>
      <c r="J714" s="66"/>
      <c r="K714" s="66"/>
      <c r="L714" s="66"/>
      <c r="M714" s="66"/>
      <c r="N714" s="64" t="str">
        <f>IF(OR($B714="", $I714="", $J714="", $K714="", $L714="", $M714=""),"",ROUND(($I714*Lists!$AN$2)+($J714*Lists!$AN$3)+($K714*Lists!$AN$4)+($L714*Lists!$AN$5)+($M714*Lists!$AN$6),2))</f>
        <v/>
      </c>
      <c r="O714" s="64" t="str">
        <f>IF($A714="","",IFERROR(VLOOKUP($A714,'Risk Register'!$B$2:$I$1000,8,FALSE()),""))</f>
        <v/>
      </c>
      <c r="P714" s="66"/>
      <c r="Q714" s="66"/>
      <c r="R714" s="66"/>
      <c r="S714" s="66"/>
      <c r="T714" s="64" t="str">
        <f>IF(OR($B714="", $P714="", $Q714="", $R714="", $S714=""),"",ROUND(($P714*Lists!$AN$7)+($Q714*Lists!$AN$8)+($R714*Lists!$AN$9)+($S714*Lists!$AN$10),2))</f>
        <v/>
      </c>
      <c r="U714" s="66"/>
      <c r="V714" s="66"/>
      <c r="W714" s="66"/>
      <c r="X714" s="66"/>
      <c r="Y714" s="66"/>
      <c r="Z714" s="64" t="str">
        <f>IF(OR($B714="", $U714="", $V714="", $W714="", $X714="", $Y714=""),"",ROUND(($U714*Lists!$AN$11)+($V714*Lists!$AN$12)+($W714*Lists!$AN$13)+($X714*Lists!$AN$14)+($Y714*Lists!$AN$15),2))</f>
        <v/>
      </c>
      <c r="AA714" s="64" t="str">
        <f>IF(OR($B714="", $N714="", $O714="", $T714="", $Z714=""),"",ROUND(($N714*Lists!$AN$16)-($O714*Lists!$AN$17)-($T714*Lists!$AN$18)+($Z714*Lists!$AN$19),2))</f>
        <v/>
      </c>
      <c r="AB714" s="63" t="str">
        <f t="shared" si="41"/>
        <v/>
      </c>
      <c r="AC714" s="63" t="str">
        <f t="shared" si="42"/>
        <v/>
      </c>
      <c r="AD714" s="63" t="str">
        <f>IF($A714="","",IFERROR(IF(VLOOKUP($A714,'Risk Register'!$B$2:$H$1000,4,FALSE())&gt;=4,"Yes",""),""))</f>
        <v/>
      </c>
      <c r="AE714" s="63" t="str">
        <f t="shared" si="43"/>
        <v/>
      </c>
      <c r="AF714" s="62"/>
      <c r="AG714" s="62"/>
      <c r="AH714" s="62"/>
      <c r="AI714" s="62"/>
      <c r="AJ714" s="62"/>
      <c r="AK714" s="62"/>
      <c r="AL714" s="62"/>
      <c r="AM714" s="62"/>
      <c r="AN714" s="62"/>
      <c r="AO714" s="62"/>
      <c r="AP714" s="62"/>
      <c r="AQ714" s="80"/>
    </row>
    <row r="715" spans="1:43" ht="15.75" customHeight="1" x14ac:dyDescent="0.2">
      <c r="A715" s="63" t="str">
        <f t="shared" si="40"/>
        <v/>
      </c>
      <c r="B715" s="62"/>
      <c r="C715" s="62"/>
      <c r="D715" s="62"/>
      <c r="E715" s="62"/>
      <c r="F715" s="62"/>
      <c r="G715" s="62"/>
      <c r="H715" s="62"/>
      <c r="I715" s="66"/>
      <c r="J715" s="66"/>
      <c r="K715" s="66"/>
      <c r="L715" s="66"/>
      <c r="M715" s="66"/>
      <c r="N715" s="64" t="str">
        <f>IF(OR($B715="", $I715="", $J715="", $K715="", $L715="", $M715=""),"",ROUND(($I715*Lists!$AN$2)+($J715*Lists!$AN$3)+($K715*Lists!$AN$4)+($L715*Lists!$AN$5)+($M715*Lists!$AN$6),2))</f>
        <v/>
      </c>
      <c r="O715" s="64" t="str">
        <f>IF($A715="","",IFERROR(VLOOKUP($A715,'Risk Register'!$B$2:$I$1000,8,FALSE()),""))</f>
        <v/>
      </c>
      <c r="P715" s="66"/>
      <c r="Q715" s="66"/>
      <c r="R715" s="66"/>
      <c r="S715" s="66"/>
      <c r="T715" s="64" t="str">
        <f>IF(OR($B715="", $P715="", $Q715="", $R715="", $S715=""),"",ROUND(($P715*Lists!$AN$7)+($Q715*Lists!$AN$8)+($R715*Lists!$AN$9)+($S715*Lists!$AN$10),2))</f>
        <v/>
      </c>
      <c r="U715" s="66"/>
      <c r="V715" s="66"/>
      <c r="W715" s="66"/>
      <c r="X715" s="66"/>
      <c r="Y715" s="66"/>
      <c r="Z715" s="64" t="str">
        <f>IF(OR($B715="", $U715="", $V715="", $W715="", $X715="", $Y715=""),"",ROUND(($U715*Lists!$AN$11)+($V715*Lists!$AN$12)+($W715*Lists!$AN$13)+($X715*Lists!$AN$14)+($Y715*Lists!$AN$15),2))</f>
        <v/>
      </c>
      <c r="AA715" s="64" t="str">
        <f>IF(OR($B715="", $N715="", $O715="", $T715="", $Z715=""),"",ROUND(($N715*Lists!$AN$16)-($O715*Lists!$AN$17)-($T715*Lists!$AN$18)+($Z715*Lists!$AN$19),2))</f>
        <v/>
      </c>
      <c r="AB715" s="63" t="str">
        <f t="shared" si="41"/>
        <v/>
      </c>
      <c r="AC715" s="63" t="str">
        <f t="shared" si="42"/>
        <v/>
      </c>
      <c r="AD715" s="63" t="str">
        <f>IF($A715="","",IFERROR(IF(VLOOKUP($A715,'Risk Register'!$B$2:$H$1000,4,FALSE())&gt;=4,"Yes",""),""))</f>
        <v/>
      </c>
      <c r="AE715" s="63" t="str">
        <f t="shared" si="43"/>
        <v/>
      </c>
      <c r="AF715" s="62"/>
      <c r="AG715" s="62"/>
      <c r="AH715" s="62"/>
      <c r="AI715" s="62"/>
      <c r="AJ715" s="62"/>
      <c r="AK715" s="62"/>
      <c r="AL715" s="62"/>
      <c r="AM715" s="62"/>
      <c r="AN715" s="62"/>
      <c r="AO715" s="62"/>
      <c r="AP715" s="62"/>
      <c r="AQ715" s="80"/>
    </row>
    <row r="716" spans="1:43" ht="15.75" customHeight="1" x14ac:dyDescent="0.2">
      <c r="A716" s="63" t="str">
        <f t="shared" si="40"/>
        <v/>
      </c>
      <c r="B716" s="62"/>
      <c r="C716" s="62"/>
      <c r="D716" s="62"/>
      <c r="E716" s="62"/>
      <c r="F716" s="62"/>
      <c r="G716" s="62"/>
      <c r="H716" s="62"/>
      <c r="I716" s="66"/>
      <c r="J716" s="66"/>
      <c r="K716" s="66"/>
      <c r="L716" s="66"/>
      <c r="M716" s="66"/>
      <c r="N716" s="64" t="str">
        <f>IF(OR($B716="", $I716="", $J716="", $K716="", $L716="", $M716=""),"",ROUND(($I716*Lists!$AN$2)+($J716*Lists!$AN$3)+($K716*Lists!$AN$4)+($L716*Lists!$AN$5)+($M716*Lists!$AN$6),2))</f>
        <v/>
      </c>
      <c r="O716" s="64" t="str">
        <f>IF($A716="","",IFERROR(VLOOKUP($A716,'Risk Register'!$B$2:$I$1000,8,FALSE()),""))</f>
        <v/>
      </c>
      <c r="P716" s="66"/>
      <c r="Q716" s="66"/>
      <c r="R716" s="66"/>
      <c r="S716" s="66"/>
      <c r="T716" s="64" t="str">
        <f>IF(OR($B716="", $P716="", $Q716="", $R716="", $S716=""),"",ROUND(($P716*Lists!$AN$7)+($Q716*Lists!$AN$8)+($R716*Lists!$AN$9)+($S716*Lists!$AN$10),2))</f>
        <v/>
      </c>
      <c r="U716" s="66"/>
      <c r="V716" s="66"/>
      <c r="W716" s="66"/>
      <c r="X716" s="66"/>
      <c r="Y716" s="66"/>
      <c r="Z716" s="64" t="str">
        <f>IF(OR($B716="", $U716="", $V716="", $W716="", $X716="", $Y716=""),"",ROUND(($U716*Lists!$AN$11)+($V716*Lists!$AN$12)+($W716*Lists!$AN$13)+($X716*Lists!$AN$14)+($Y716*Lists!$AN$15),2))</f>
        <v/>
      </c>
      <c r="AA716" s="64" t="str">
        <f>IF(OR($B716="", $N716="", $O716="", $T716="", $Z716=""),"",ROUND(($N716*Lists!$AN$16)-($O716*Lists!$AN$17)-($T716*Lists!$AN$18)+($Z716*Lists!$AN$19),2))</f>
        <v/>
      </c>
      <c r="AB716" s="63" t="str">
        <f t="shared" si="41"/>
        <v/>
      </c>
      <c r="AC716" s="63" t="str">
        <f t="shared" si="42"/>
        <v/>
      </c>
      <c r="AD716" s="63" t="str">
        <f>IF($A716="","",IFERROR(IF(VLOOKUP($A716,'Risk Register'!$B$2:$H$1000,4,FALSE())&gt;=4,"Yes",""),""))</f>
        <v/>
      </c>
      <c r="AE716" s="63" t="str">
        <f t="shared" si="43"/>
        <v/>
      </c>
      <c r="AF716" s="62"/>
      <c r="AG716" s="62"/>
      <c r="AH716" s="62"/>
      <c r="AI716" s="62"/>
      <c r="AJ716" s="62"/>
      <c r="AK716" s="62"/>
      <c r="AL716" s="62"/>
      <c r="AM716" s="62"/>
      <c r="AN716" s="62"/>
      <c r="AO716" s="62"/>
      <c r="AP716" s="62"/>
      <c r="AQ716" s="80"/>
    </row>
    <row r="717" spans="1:43" ht="15.75" customHeight="1" x14ac:dyDescent="0.2">
      <c r="A717" s="63" t="str">
        <f t="shared" si="40"/>
        <v/>
      </c>
      <c r="B717" s="62"/>
      <c r="C717" s="62"/>
      <c r="D717" s="62"/>
      <c r="E717" s="62"/>
      <c r="F717" s="62"/>
      <c r="G717" s="62"/>
      <c r="H717" s="62"/>
      <c r="I717" s="66"/>
      <c r="J717" s="66"/>
      <c r="K717" s="66"/>
      <c r="L717" s="66"/>
      <c r="M717" s="66"/>
      <c r="N717" s="64" t="str">
        <f>IF(OR($B717="", $I717="", $J717="", $K717="", $L717="", $M717=""),"",ROUND(($I717*Lists!$AN$2)+($J717*Lists!$AN$3)+($K717*Lists!$AN$4)+($L717*Lists!$AN$5)+($M717*Lists!$AN$6),2))</f>
        <v/>
      </c>
      <c r="O717" s="64" t="str">
        <f>IF($A717="","",IFERROR(VLOOKUP($A717,'Risk Register'!$B$2:$I$1000,8,FALSE()),""))</f>
        <v/>
      </c>
      <c r="P717" s="66"/>
      <c r="Q717" s="66"/>
      <c r="R717" s="66"/>
      <c r="S717" s="66"/>
      <c r="T717" s="64" t="str">
        <f>IF(OR($B717="", $P717="", $Q717="", $R717="", $S717=""),"",ROUND(($P717*Lists!$AN$7)+($Q717*Lists!$AN$8)+($R717*Lists!$AN$9)+($S717*Lists!$AN$10),2))</f>
        <v/>
      </c>
      <c r="U717" s="66"/>
      <c r="V717" s="66"/>
      <c r="W717" s="66"/>
      <c r="X717" s="66"/>
      <c r="Y717" s="66"/>
      <c r="Z717" s="64" t="str">
        <f>IF(OR($B717="", $U717="", $V717="", $W717="", $X717="", $Y717=""),"",ROUND(($U717*Lists!$AN$11)+($V717*Lists!$AN$12)+($W717*Lists!$AN$13)+($X717*Lists!$AN$14)+($Y717*Lists!$AN$15),2))</f>
        <v/>
      </c>
      <c r="AA717" s="64" t="str">
        <f>IF(OR($B717="", $N717="", $O717="", $T717="", $Z717=""),"",ROUND(($N717*Lists!$AN$16)-($O717*Lists!$AN$17)-($T717*Lists!$AN$18)+($Z717*Lists!$AN$19),2))</f>
        <v/>
      </c>
      <c r="AB717" s="63" t="str">
        <f t="shared" si="41"/>
        <v/>
      </c>
      <c r="AC717" s="63" t="str">
        <f t="shared" si="42"/>
        <v/>
      </c>
      <c r="AD717" s="63" t="str">
        <f>IF($A717="","",IFERROR(IF(VLOOKUP($A717,'Risk Register'!$B$2:$H$1000,4,FALSE())&gt;=4,"Yes",""),""))</f>
        <v/>
      </c>
      <c r="AE717" s="63" t="str">
        <f t="shared" si="43"/>
        <v/>
      </c>
      <c r="AF717" s="62"/>
      <c r="AG717" s="62"/>
      <c r="AH717" s="62"/>
      <c r="AI717" s="62"/>
      <c r="AJ717" s="62"/>
      <c r="AK717" s="62"/>
      <c r="AL717" s="62"/>
      <c r="AM717" s="62"/>
      <c r="AN717" s="62"/>
      <c r="AO717" s="62"/>
      <c r="AP717" s="62"/>
      <c r="AQ717" s="80"/>
    </row>
    <row r="718" spans="1:43" ht="15.75" customHeight="1" x14ac:dyDescent="0.2">
      <c r="A718" s="63" t="str">
        <f t="shared" si="40"/>
        <v/>
      </c>
      <c r="B718" s="62"/>
      <c r="C718" s="62"/>
      <c r="D718" s="62"/>
      <c r="E718" s="62"/>
      <c r="F718" s="62"/>
      <c r="G718" s="62"/>
      <c r="H718" s="62"/>
      <c r="I718" s="66"/>
      <c r="J718" s="66"/>
      <c r="K718" s="66"/>
      <c r="L718" s="66"/>
      <c r="M718" s="66"/>
      <c r="N718" s="64" t="str">
        <f>IF(OR($B718="", $I718="", $J718="", $K718="", $L718="", $M718=""),"",ROUND(($I718*Lists!$AN$2)+($J718*Lists!$AN$3)+($K718*Lists!$AN$4)+($L718*Lists!$AN$5)+($M718*Lists!$AN$6),2))</f>
        <v/>
      </c>
      <c r="O718" s="64" t="str">
        <f>IF($A718="","",IFERROR(VLOOKUP($A718,'Risk Register'!$B$2:$I$1000,8,FALSE()),""))</f>
        <v/>
      </c>
      <c r="P718" s="66"/>
      <c r="Q718" s="66"/>
      <c r="R718" s="66"/>
      <c r="S718" s="66"/>
      <c r="T718" s="64" t="str">
        <f>IF(OR($B718="", $P718="", $Q718="", $R718="", $S718=""),"",ROUND(($P718*Lists!$AN$7)+($Q718*Lists!$AN$8)+($R718*Lists!$AN$9)+($S718*Lists!$AN$10),2))</f>
        <v/>
      </c>
      <c r="U718" s="66"/>
      <c r="V718" s="66"/>
      <c r="W718" s="66"/>
      <c r="X718" s="66"/>
      <c r="Y718" s="66"/>
      <c r="Z718" s="64" t="str">
        <f>IF(OR($B718="", $U718="", $V718="", $W718="", $X718="", $Y718=""),"",ROUND(($U718*Lists!$AN$11)+($V718*Lists!$AN$12)+($W718*Lists!$AN$13)+($X718*Lists!$AN$14)+($Y718*Lists!$AN$15),2))</f>
        <v/>
      </c>
      <c r="AA718" s="64" t="str">
        <f>IF(OR($B718="", $N718="", $O718="", $T718="", $Z718=""),"",ROUND(($N718*Lists!$AN$16)-($O718*Lists!$AN$17)-($T718*Lists!$AN$18)+($Z718*Lists!$AN$19),2))</f>
        <v/>
      </c>
      <c r="AB718" s="63" t="str">
        <f t="shared" si="41"/>
        <v/>
      </c>
      <c r="AC718" s="63" t="str">
        <f t="shared" si="42"/>
        <v/>
      </c>
      <c r="AD718" s="63" t="str">
        <f>IF($A718="","",IFERROR(IF(VLOOKUP($A718,'Risk Register'!$B$2:$H$1000,4,FALSE())&gt;=4,"Yes",""),""))</f>
        <v/>
      </c>
      <c r="AE718" s="63" t="str">
        <f t="shared" si="43"/>
        <v/>
      </c>
      <c r="AF718" s="62"/>
      <c r="AG718" s="62"/>
      <c r="AH718" s="62"/>
      <c r="AI718" s="62"/>
      <c r="AJ718" s="62"/>
      <c r="AK718" s="62"/>
      <c r="AL718" s="62"/>
      <c r="AM718" s="62"/>
      <c r="AN718" s="62"/>
      <c r="AO718" s="62"/>
      <c r="AP718" s="62"/>
      <c r="AQ718" s="80"/>
    </row>
    <row r="719" spans="1:43" ht="15.75" customHeight="1" x14ac:dyDescent="0.2">
      <c r="A719" s="63" t="str">
        <f t="shared" si="40"/>
        <v/>
      </c>
      <c r="B719" s="62"/>
      <c r="C719" s="62"/>
      <c r="D719" s="62"/>
      <c r="E719" s="62"/>
      <c r="F719" s="62"/>
      <c r="G719" s="62"/>
      <c r="H719" s="62"/>
      <c r="I719" s="66"/>
      <c r="J719" s="66"/>
      <c r="K719" s="66"/>
      <c r="L719" s="66"/>
      <c r="M719" s="66"/>
      <c r="N719" s="64" t="str">
        <f>IF(OR($B719="", $I719="", $J719="", $K719="", $L719="", $M719=""),"",ROUND(($I719*Lists!$AN$2)+($J719*Lists!$AN$3)+($K719*Lists!$AN$4)+($L719*Lists!$AN$5)+($M719*Lists!$AN$6),2))</f>
        <v/>
      </c>
      <c r="O719" s="64" t="str">
        <f>IF($A719="","",IFERROR(VLOOKUP($A719,'Risk Register'!$B$2:$I$1000,8,FALSE()),""))</f>
        <v/>
      </c>
      <c r="P719" s="66"/>
      <c r="Q719" s="66"/>
      <c r="R719" s="66"/>
      <c r="S719" s="66"/>
      <c r="T719" s="64" t="str">
        <f>IF(OR($B719="", $P719="", $Q719="", $R719="", $S719=""),"",ROUND(($P719*Lists!$AN$7)+($Q719*Lists!$AN$8)+($R719*Lists!$AN$9)+($S719*Lists!$AN$10),2))</f>
        <v/>
      </c>
      <c r="U719" s="66"/>
      <c r="V719" s="66"/>
      <c r="W719" s="66"/>
      <c r="X719" s="66"/>
      <c r="Y719" s="66"/>
      <c r="Z719" s="64" t="str">
        <f>IF(OR($B719="", $U719="", $V719="", $W719="", $X719="", $Y719=""),"",ROUND(($U719*Lists!$AN$11)+($V719*Lists!$AN$12)+($W719*Lists!$AN$13)+($X719*Lists!$AN$14)+($Y719*Lists!$AN$15),2))</f>
        <v/>
      </c>
      <c r="AA719" s="64" t="str">
        <f>IF(OR($B719="", $N719="", $O719="", $T719="", $Z719=""),"",ROUND(($N719*Lists!$AN$16)-($O719*Lists!$AN$17)-($T719*Lists!$AN$18)+($Z719*Lists!$AN$19),2))</f>
        <v/>
      </c>
      <c r="AB719" s="63" t="str">
        <f t="shared" si="41"/>
        <v/>
      </c>
      <c r="AC719" s="63" t="str">
        <f t="shared" si="42"/>
        <v/>
      </c>
      <c r="AD719" s="63" t="str">
        <f>IF($A719="","",IFERROR(IF(VLOOKUP($A719,'Risk Register'!$B$2:$H$1000,4,FALSE())&gt;=4,"Yes",""),""))</f>
        <v/>
      </c>
      <c r="AE719" s="63" t="str">
        <f t="shared" si="43"/>
        <v/>
      </c>
      <c r="AF719" s="62"/>
      <c r="AG719" s="62"/>
      <c r="AH719" s="62"/>
      <c r="AI719" s="62"/>
      <c r="AJ719" s="62"/>
      <c r="AK719" s="62"/>
      <c r="AL719" s="62"/>
      <c r="AM719" s="62"/>
      <c r="AN719" s="62"/>
      <c r="AO719" s="62"/>
      <c r="AP719" s="62"/>
      <c r="AQ719" s="80"/>
    </row>
    <row r="720" spans="1:43" ht="15.75" customHeight="1" x14ac:dyDescent="0.2">
      <c r="A720" s="63" t="str">
        <f t="shared" si="40"/>
        <v/>
      </c>
      <c r="B720" s="62"/>
      <c r="C720" s="62"/>
      <c r="D720" s="62"/>
      <c r="E720" s="62"/>
      <c r="F720" s="62"/>
      <c r="G720" s="62"/>
      <c r="H720" s="62"/>
      <c r="I720" s="66"/>
      <c r="J720" s="66"/>
      <c r="K720" s="66"/>
      <c r="L720" s="66"/>
      <c r="M720" s="66"/>
      <c r="N720" s="64" t="str">
        <f>IF(OR($B720="", $I720="", $J720="", $K720="", $L720="", $M720=""),"",ROUND(($I720*Lists!$AN$2)+($J720*Lists!$AN$3)+($K720*Lists!$AN$4)+($L720*Lists!$AN$5)+($M720*Lists!$AN$6),2))</f>
        <v/>
      </c>
      <c r="O720" s="64" t="str">
        <f>IF($A720="","",IFERROR(VLOOKUP($A720,'Risk Register'!$B$2:$I$1000,8,FALSE()),""))</f>
        <v/>
      </c>
      <c r="P720" s="66"/>
      <c r="Q720" s="66"/>
      <c r="R720" s="66"/>
      <c r="S720" s="66"/>
      <c r="T720" s="64" t="str">
        <f>IF(OR($B720="", $P720="", $Q720="", $R720="", $S720=""),"",ROUND(($P720*Lists!$AN$7)+($Q720*Lists!$AN$8)+($R720*Lists!$AN$9)+($S720*Lists!$AN$10),2))</f>
        <v/>
      </c>
      <c r="U720" s="66"/>
      <c r="V720" s="66"/>
      <c r="W720" s="66"/>
      <c r="X720" s="66"/>
      <c r="Y720" s="66"/>
      <c r="Z720" s="64" t="str">
        <f>IF(OR($B720="", $U720="", $V720="", $W720="", $X720="", $Y720=""),"",ROUND(($U720*Lists!$AN$11)+($V720*Lists!$AN$12)+($W720*Lists!$AN$13)+($X720*Lists!$AN$14)+($Y720*Lists!$AN$15),2))</f>
        <v/>
      </c>
      <c r="AA720" s="64" t="str">
        <f>IF(OR($B720="", $N720="", $O720="", $T720="", $Z720=""),"",ROUND(($N720*Lists!$AN$16)-($O720*Lists!$AN$17)-($T720*Lists!$AN$18)+($Z720*Lists!$AN$19),2))</f>
        <v/>
      </c>
      <c r="AB720" s="63" t="str">
        <f t="shared" si="41"/>
        <v/>
      </c>
      <c r="AC720" s="63" t="str">
        <f t="shared" si="42"/>
        <v/>
      </c>
      <c r="AD720" s="63" t="str">
        <f>IF($A720="","",IFERROR(IF(VLOOKUP($A720,'Risk Register'!$B$2:$H$1000,4,FALSE())&gt;=4,"Yes",""),""))</f>
        <v/>
      </c>
      <c r="AE720" s="63" t="str">
        <f t="shared" si="43"/>
        <v/>
      </c>
      <c r="AF720" s="62"/>
      <c r="AG720" s="62"/>
      <c r="AH720" s="62"/>
      <c r="AI720" s="62"/>
      <c r="AJ720" s="62"/>
      <c r="AK720" s="62"/>
      <c r="AL720" s="62"/>
      <c r="AM720" s="62"/>
      <c r="AN720" s="62"/>
      <c r="AO720" s="62"/>
      <c r="AP720" s="62"/>
      <c r="AQ720" s="80"/>
    </row>
    <row r="721" spans="1:43" ht="15.75" customHeight="1" x14ac:dyDescent="0.2">
      <c r="A721" s="63" t="str">
        <f t="shared" si="40"/>
        <v/>
      </c>
      <c r="B721" s="62"/>
      <c r="C721" s="62"/>
      <c r="D721" s="62"/>
      <c r="E721" s="62"/>
      <c r="F721" s="62"/>
      <c r="G721" s="62"/>
      <c r="H721" s="62"/>
      <c r="I721" s="66"/>
      <c r="J721" s="66"/>
      <c r="K721" s="66"/>
      <c r="L721" s="66"/>
      <c r="M721" s="66"/>
      <c r="N721" s="64" t="str">
        <f>IF(OR($B721="", $I721="", $J721="", $K721="", $L721="", $M721=""),"",ROUND(($I721*Lists!$AN$2)+($J721*Lists!$AN$3)+($K721*Lists!$AN$4)+($L721*Lists!$AN$5)+($M721*Lists!$AN$6),2))</f>
        <v/>
      </c>
      <c r="O721" s="64" t="str">
        <f>IF($A721="","",IFERROR(VLOOKUP($A721,'Risk Register'!$B$2:$I$1000,8,FALSE()),""))</f>
        <v/>
      </c>
      <c r="P721" s="66"/>
      <c r="Q721" s="66"/>
      <c r="R721" s="66"/>
      <c r="S721" s="66"/>
      <c r="T721" s="64" t="str">
        <f>IF(OR($B721="", $P721="", $Q721="", $R721="", $S721=""),"",ROUND(($P721*Lists!$AN$7)+($Q721*Lists!$AN$8)+($R721*Lists!$AN$9)+($S721*Lists!$AN$10),2))</f>
        <v/>
      </c>
      <c r="U721" s="66"/>
      <c r="V721" s="66"/>
      <c r="W721" s="66"/>
      <c r="X721" s="66"/>
      <c r="Y721" s="66"/>
      <c r="Z721" s="64" t="str">
        <f>IF(OR($B721="", $U721="", $V721="", $W721="", $X721="", $Y721=""),"",ROUND(($U721*Lists!$AN$11)+($V721*Lists!$AN$12)+($W721*Lists!$AN$13)+($X721*Lists!$AN$14)+($Y721*Lists!$AN$15),2))</f>
        <v/>
      </c>
      <c r="AA721" s="64" t="str">
        <f>IF(OR($B721="", $N721="", $O721="", $T721="", $Z721=""),"",ROUND(($N721*Lists!$AN$16)-($O721*Lists!$AN$17)-($T721*Lists!$AN$18)+($Z721*Lists!$AN$19),2))</f>
        <v/>
      </c>
      <c r="AB721" s="63" t="str">
        <f t="shared" si="41"/>
        <v/>
      </c>
      <c r="AC721" s="63" t="str">
        <f t="shared" si="42"/>
        <v/>
      </c>
      <c r="AD721" s="63" t="str">
        <f>IF($A721="","",IFERROR(IF(VLOOKUP($A721,'Risk Register'!$B$2:$H$1000,4,FALSE())&gt;=4,"Yes",""),""))</f>
        <v/>
      </c>
      <c r="AE721" s="63" t="str">
        <f t="shared" si="43"/>
        <v/>
      </c>
      <c r="AF721" s="62"/>
      <c r="AG721" s="62"/>
      <c r="AH721" s="62"/>
      <c r="AI721" s="62"/>
      <c r="AJ721" s="62"/>
      <c r="AK721" s="62"/>
      <c r="AL721" s="62"/>
      <c r="AM721" s="62"/>
      <c r="AN721" s="62"/>
      <c r="AO721" s="62"/>
      <c r="AP721" s="62"/>
      <c r="AQ721" s="80"/>
    </row>
    <row r="722" spans="1:43" ht="15.75" customHeight="1" x14ac:dyDescent="0.2">
      <c r="A722" s="63" t="str">
        <f t="shared" si="40"/>
        <v/>
      </c>
      <c r="B722" s="62"/>
      <c r="C722" s="62"/>
      <c r="D722" s="62"/>
      <c r="E722" s="62"/>
      <c r="F722" s="62"/>
      <c r="G722" s="62"/>
      <c r="H722" s="62"/>
      <c r="I722" s="66"/>
      <c r="J722" s="66"/>
      <c r="K722" s="66"/>
      <c r="L722" s="66"/>
      <c r="M722" s="66"/>
      <c r="N722" s="64" t="str">
        <f>IF(OR($B722="", $I722="", $J722="", $K722="", $L722="", $M722=""),"",ROUND(($I722*Lists!$AN$2)+($J722*Lists!$AN$3)+($K722*Lists!$AN$4)+($L722*Lists!$AN$5)+($M722*Lists!$AN$6),2))</f>
        <v/>
      </c>
      <c r="O722" s="64" t="str">
        <f>IF($A722="","",IFERROR(VLOOKUP($A722,'Risk Register'!$B$2:$I$1000,8,FALSE()),""))</f>
        <v/>
      </c>
      <c r="P722" s="66"/>
      <c r="Q722" s="66"/>
      <c r="R722" s="66"/>
      <c r="S722" s="66"/>
      <c r="T722" s="64" t="str">
        <f>IF(OR($B722="", $P722="", $Q722="", $R722="", $S722=""),"",ROUND(($P722*Lists!$AN$7)+($Q722*Lists!$AN$8)+($R722*Lists!$AN$9)+($S722*Lists!$AN$10),2))</f>
        <v/>
      </c>
      <c r="U722" s="66"/>
      <c r="V722" s="66"/>
      <c r="W722" s="66"/>
      <c r="X722" s="66"/>
      <c r="Y722" s="66"/>
      <c r="Z722" s="64" t="str">
        <f>IF(OR($B722="", $U722="", $V722="", $W722="", $X722="", $Y722=""),"",ROUND(($U722*Lists!$AN$11)+($V722*Lists!$AN$12)+($W722*Lists!$AN$13)+($X722*Lists!$AN$14)+($Y722*Lists!$AN$15),2))</f>
        <v/>
      </c>
      <c r="AA722" s="64" t="str">
        <f>IF(OR($B722="", $N722="", $O722="", $T722="", $Z722=""),"",ROUND(($N722*Lists!$AN$16)-($O722*Lists!$AN$17)-($T722*Lists!$AN$18)+($Z722*Lists!$AN$19),2))</f>
        <v/>
      </c>
      <c r="AB722" s="63" t="str">
        <f t="shared" si="41"/>
        <v/>
      </c>
      <c r="AC722" s="63" t="str">
        <f t="shared" si="42"/>
        <v/>
      </c>
      <c r="AD722" s="63" t="str">
        <f>IF($A722="","",IFERROR(IF(VLOOKUP($A722,'Risk Register'!$B$2:$H$1000,4,FALSE())&gt;=4,"Yes",""),""))</f>
        <v/>
      </c>
      <c r="AE722" s="63" t="str">
        <f t="shared" si="43"/>
        <v/>
      </c>
      <c r="AF722" s="62"/>
      <c r="AG722" s="62"/>
      <c r="AH722" s="62"/>
      <c r="AI722" s="62"/>
      <c r="AJ722" s="62"/>
      <c r="AK722" s="62"/>
      <c r="AL722" s="62"/>
      <c r="AM722" s="62"/>
      <c r="AN722" s="62"/>
      <c r="AO722" s="62"/>
      <c r="AP722" s="62"/>
      <c r="AQ722" s="80"/>
    </row>
    <row r="723" spans="1:43" ht="15.75" customHeight="1" x14ac:dyDescent="0.2">
      <c r="A723" s="63" t="str">
        <f t="shared" si="40"/>
        <v/>
      </c>
      <c r="B723" s="62"/>
      <c r="C723" s="62"/>
      <c r="D723" s="62"/>
      <c r="E723" s="62"/>
      <c r="F723" s="62"/>
      <c r="G723" s="62"/>
      <c r="H723" s="62"/>
      <c r="I723" s="66"/>
      <c r="J723" s="66"/>
      <c r="K723" s="66"/>
      <c r="L723" s="66"/>
      <c r="M723" s="66"/>
      <c r="N723" s="64" t="str">
        <f>IF(OR($B723="", $I723="", $J723="", $K723="", $L723="", $M723=""),"",ROUND(($I723*Lists!$AN$2)+($J723*Lists!$AN$3)+($K723*Lists!$AN$4)+($L723*Lists!$AN$5)+($M723*Lists!$AN$6),2))</f>
        <v/>
      </c>
      <c r="O723" s="64" t="str">
        <f>IF($A723="","",IFERROR(VLOOKUP($A723,'Risk Register'!$B$2:$I$1000,8,FALSE()),""))</f>
        <v/>
      </c>
      <c r="P723" s="66"/>
      <c r="Q723" s="66"/>
      <c r="R723" s="66"/>
      <c r="S723" s="66"/>
      <c r="T723" s="64" t="str">
        <f>IF(OR($B723="", $P723="", $Q723="", $R723="", $S723=""),"",ROUND(($P723*Lists!$AN$7)+($Q723*Lists!$AN$8)+($R723*Lists!$AN$9)+($S723*Lists!$AN$10),2))</f>
        <v/>
      </c>
      <c r="U723" s="66"/>
      <c r="V723" s="66"/>
      <c r="W723" s="66"/>
      <c r="X723" s="66"/>
      <c r="Y723" s="66"/>
      <c r="Z723" s="64" t="str">
        <f>IF(OR($B723="", $U723="", $V723="", $W723="", $X723="", $Y723=""),"",ROUND(($U723*Lists!$AN$11)+($V723*Lists!$AN$12)+($W723*Lists!$AN$13)+($X723*Lists!$AN$14)+($Y723*Lists!$AN$15),2))</f>
        <v/>
      </c>
      <c r="AA723" s="64" t="str">
        <f>IF(OR($B723="", $N723="", $O723="", $T723="", $Z723=""),"",ROUND(($N723*Lists!$AN$16)-($O723*Lists!$AN$17)-($T723*Lists!$AN$18)+($Z723*Lists!$AN$19),2))</f>
        <v/>
      </c>
      <c r="AB723" s="63" t="str">
        <f t="shared" si="41"/>
        <v/>
      </c>
      <c r="AC723" s="63" t="str">
        <f t="shared" si="42"/>
        <v/>
      </c>
      <c r="AD723" s="63" t="str">
        <f>IF($A723="","",IFERROR(IF(VLOOKUP($A723,'Risk Register'!$B$2:$H$1000,4,FALSE())&gt;=4,"Yes",""),""))</f>
        <v/>
      </c>
      <c r="AE723" s="63" t="str">
        <f t="shared" si="43"/>
        <v/>
      </c>
      <c r="AF723" s="62"/>
      <c r="AG723" s="62"/>
      <c r="AH723" s="62"/>
      <c r="AI723" s="62"/>
      <c r="AJ723" s="62"/>
      <c r="AK723" s="62"/>
      <c r="AL723" s="62"/>
      <c r="AM723" s="62"/>
      <c r="AN723" s="62"/>
      <c r="AO723" s="62"/>
      <c r="AP723" s="62"/>
      <c r="AQ723" s="80"/>
    </row>
    <row r="724" spans="1:43" ht="15.75" customHeight="1" x14ac:dyDescent="0.2">
      <c r="A724" s="63" t="str">
        <f t="shared" si="40"/>
        <v/>
      </c>
      <c r="B724" s="62"/>
      <c r="C724" s="62"/>
      <c r="D724" s="62"/>
      <c r="E724" s="62"/>
      <c r="F724" s="62"/>
      <c r="G724" s="62"/>
      <c r="H724" s="62"/>
      <c r="I724" s="66"/>
      <c r="J724" s="66"/>
      <c r="K724" s="66"/>
      <c r="L724" s="66"/>
      <c r="M724" s="66"/>
      <c r="N724" s="64" t="str">
        <f>IF(OR($B724="", $I724="", $J724="", $K724="", $L724="", $M724=""),"",ROUND(($I724*Lists!$AN$2)+($J724*Lists!$AN$3)+($K724*Lists!$AN$4)+($L724*Lists!$AN$5)+($M724*Lists!$AN$6),2))</f>
        <v/>
      </c>
      <c r="O724" s="64" t="str">
        <f>IF($A724="","",IFERROR(VLOOKUP($A724,'Risk Register'!$B$2:$I$1000,8,FALSE()),""))</f>
        <v/>
      </c>
      <c r="P724" s="66"/>
      <c r="Q724" s="66"/>
      <c r="R724" s="66"/>
      <c r="S724" s="66"/>
      <c r="T724" s="64" t="str">
        <f>IF(OR($B724="", $P724="", $Q724="", $R724="", $S724=""),"",ROUND(($P724*Lists!$AN$7)+($Q724*Lists!$AN$8)+($R724*Lists!$AN$9)+($S724*Lists!$AN$10),2))</f>
        <v/>
      </c>
      <c r="U724" s="66"/>
      <c r="V724" s="66"/>
      <c r="W724" s="66"/>
      <c r="X724" s="66"/>
      <c r="Y724" s="66"/>
      <c r="Z724" s="64" t="str">
        <f>IF(OR($B724="", $U724="", $V724="", $W724="", $X724="", $Y724=""),"",ROUND(($U724*Lists!$AN$11)+($V724*Lists!$AN$12)+($W724*Lists!$AN$13)+($X724*Lists!$AN$14)+($Y724*Lists!$AN$15),2))</f>
        <v/>
      </c>
      <c r="AA724" s="64" t="str">
        <f>IF(OR($B724="", $N724="", $O724="", $T724="", $Z724=""),"",ROUND(($N724*Lists!$AN$16)-($O724*Lists!$AN$17)-($T724*Lists!$AN$18)+($Z724*Lists!$AN$19),2))</f>
        <v/>
      </c>
      <c r="AB724" s="63" t="str">
        <f t="shared" si="41"/>
        <v/>
      </c>
      <c r="AC724" s="63" t="str">
        <f t="shared" si="42"/>
        <v/>
      </c>
      <c r="AD724" s="63" t="str">
        <f>IF($A724="","",IFERROR(IF(VLOOKUP($A724,'Risk Register'!$B$2:$H$1000,4,FALSE())&gt;=4,"Yes",""),""))</f>
        <v/>
      </c>
      <c r="AE724" s="63" t="str">
        <f t="shared" si="43"/>
        <v/>
      </c>
      <c r="AF724" s="62"/>
      <c r="AG724" s="62"/>
      <c r="AH724" s="62"/>
      <c r="AI724" s="62"/>
      <c r="AJ724" s="62"/>
      <c r="AK724" s="62"/>
      <c r="AL724" s="62"/>
      <c r="AM724" s="62"/>
      <c r="AN724" s="62"/>
      <c r="AO724" s="62"/>
      <c r="AP724" s="62"/>
      <c r="AQ724" s="80"/>
    </row>
    <row r="725" spans="1:43" ht="15.75" customHeight="1" x14ac:dyDescent="0.2">
      <c r="A725" s="63" t="str">
        <f t="shared" si="40"/>
        <v/>
      </c>
      <c r="B725" s="62"/>
      <c r="C725" s="62"/>
      <c r="D725" s="62"/>
      <c r="E725" s="62"/>
      <c r="F725" s="62"/>
      <c r="G725" s="62"/>
      <c r="H725" s="62"/>
      <c r="I725" s="66"/>
      <c r="J725" s="66"/>
      <c r="K725" s="66"/>
      <c r="L725" s="66"/>
      <c r="M725" s="66"/>
      <c r="N725" s="64" t="str">
        <f>IF(OR($B725="", $I725="", $J725="", $K725="", $L725="", $M725=""),"",ROUND(($I725*Lists!$AN$2)+($J725*Lists!$AN$3)+($K725*Lists!$AN$4)+($L725*Lists!$AN$5)+($M725*Lists!$AN$6),2))</f>
        <v/>
      </c>
      <c r="O725" s="64" t="str">
        <f>IF($A725="","",IFERROR(VLOOKUP($A725,'Risk Register'!$B$2:$I$1000,8,FALSE()),""))</f>
        <v/>
      </c>
      <c r="P725" s="66"/>
      <c r="Q725" s="66"/>
      <c r="R725" s="66"/>
      <c r="S725" s="66"/>
      <c r="T725" s="64" t="str">
        <f>IF(OR($B725="", $P725="", $Q725="", $R725="", $S725=""),"",ROUND(($P725*Lists!$AN$7)+($Q725*Lists!$AN$8)+($R725*Lists!$AN$9)+($S725*Lists!$AN$10),2))</f>
        <v/>
      </c>
      <c r="U725" s="66"/>
      <c r="V725" s="66"/>
      <c r="W725" s="66"/>
      <c r="X725" s="66"/>
      <c r="Y725" s="66"/>
      <c r="Z725" s="64" t="str">
        <f>IF(OR($B725="", $U725="", $V725="", $W725="", $X725="", $Y725=""),"",ROUND(($U725*Lists!$AN$11)+($V725*Lists!$AN$12)+($W725*Lists!$AN$13)+($X725*Lists!$AN$14)+($Y725*Lists!$AN$15),2))</f>
        <v/>
      </c>
      <c r="AA725" s="64" t="str">
        <f>IF(OR($B725="", $N725="", $O725="", $T725="", $Z725=""),"",ROUND(($N725*Lists!$AN$16)-($O725*Lists!$AN$17)-($T725*Lists!$AN$18)+($Z725*Lists!$AN$19),2))</f>
        <v/>
      </c>
      <c r="AB725" s="63" t="str">
        <f t="shared" si="41"/>
        <v/>
      </c>
      <c r="AC725" s="63" t="str">
        <f t="shared" si="42"/>
        <v/>
      </c>
      <c r="AD725" s="63" t="str">
        <f>IF($A725="","",IFERROR(IF(VLOOKUP($A725,'Risk Register'!$B$2:$H$1000,4,FALSE())&gt;=4,"Yes",""),""))</f>
        <v/>
      </c>
      <c r="AE725" s="63" t="str">
        <f t="shared" si="43"/>
        <v/>
      </c>
      <c r="AF725" s="62"/>
      <c r="AG725" s="62"/>
      <c r="AH725" s="62"/>
      <c r="AI725" s="62"/>
      <c r="AJ725" s="62"/>
      <c r="AK725" s="62"/>
      <c r="AL725" s="62"/>
      <c r="AM725" s="62"/>
      <c r="AN725" s="62"/>
      <c r="AO725" s="62"/>
      <c r="AP725" s="62"/>
      <c r="AQ725" s="80"/>
    </row>
    <row r="726" spans="1:43" ht="15.75" customHeight="1" x14ac:dyDescent="0.2">
      <c r="A726" s="63" t="str">
        <f t="shared" si="40"/>
        <v/>
      </c>
      <c r="B726" s="62"/>
      <c r="C726" s="62"/>
      <c r="D726" s="62"/>
      <c r="E726" s="62"/>
      <c r="F726" s="62"/>
      <c r="G726" s="62"/>
      <c r="H726" s="62"/>
      <c r="I726" s="66"/>
      <c r="J726" s="66"/>
      <c r="K726" s="66"/>
      <c r="L726" s="66"/>
      <c r="M726" s="66"/>
      <c r="N726" s="64" t="str">
        <f>IF(OR($B726="", $I726="", $J726="", $K726="", $L726="", $M726=""),"",ROUND(($I726*Lists!$AN$2)+($J726*Lists!$AN$3)+($K726*Lists!$AN$4)+($L726*Lists!$AN$5)+($M726*Lists!$AN$6),2))</f>
        <v/>
      </c>
      <c r="O726" s="64" t="str">
        <f>IF($A726="","",IFERROR(VLOOKUP($A726,'Risk Register'!$B$2:$I$1000,8,FALSE()),""))</f>
        <v/>
      </c>
      <c r="P726" s="66"/>
      <c r="Q726" s="66"/>
      <c r="R726" s="66"/>
      <c r="S726" s="66"/>
      <c r="T726" s="64" t="str">
        <f>IF(OR($B726="", $P726="", $Q726="", $R726="", $S726=""),"",ROUND(($P726*Lists!$AN$7)+($Q726*Lists!$AN$8)+($R726*Lists!$AN$9)+($S726*Lists!$AN$10),2))</f>
        <v/>
      </c>
      <c r="U726" s="66"/>
      <c r="V726" s="66"/>
      <c r="W726" s="66"/>
      <c r="X726" s="66"/>
      <c r="Y726" s="66"/>
      <c r="Z726" s="64" t="str">
        <f>IF(OR($B726="", $U726="", $V726="", $W726="", $X726="", $Y726=""),"",ROUND(($U726*Lists!$AN$11)+($V726*Lists!$AN$12)+($W726*Lists!$AN$13)+($X726*Lists!$AN$14)+($Y726*Lists!$AN$15),2))</f>
        <v/>
      </c>
      <c r="AA726" s="64" t="str">
        <f>IF(OR($B726="", $N726="", $O726="", $T726="", $Z726=""),"",ROUND(($N726*Lists!$AN$16)-($O726*Lists!$AN$17)-($T726*Lists!$AN$18)+($Z726*Lists!$AN$19),2))</f>
        <v/>
      </c>
      <c r="AB726" s="63" t="str">
        <f t="shared" si="41"/>
        <v/>
      </c>
      <c r="AC726" s="63" t="str">
        <f t="shared" si="42"/>
        <v/>
      </c>
      <c r="AD726" s="63" t="str">
        <f>IF($A726="","",IFERROR(IF(VLOOKUP($A726,'Risk Register'!$B$2:$H$1000,4,FALSE())&gt;=4,"Yes",""),""))</f>
        <v/>
      </c>
      <c r="AE726" s="63" t="str">
        <f t="shared" si="43"/>
        <v/>
      </c>
      <c r="AF726" s="62"/>
      <c r="AG726" s="62"/>
      <c r="AH726" s="62"/>
      <c r="AI726" s="62"/>
      <c r="AJ726" s="62"/>
      <c r="AK726" s="62"/>
      <c r="AL726" s="62"/>
      <c r="AM726" s="62"/>
      <c r="AN726" s="62"/>
      <c r="AO726" s="62"/>
      <c r="AP726" s="62"/>
      <c r="AQ726" s="80"/>
    </row>
    <row r="727" spans="1:43" ht="15.75" customHeight="1" x14ac:dyDescent="0.2">
      <c r="A727" s="63" t="str">
        <f t="shared" ref="A727:A790" si="44">IF($B727="","", "APM-" &amp; RIGHT("0000"&amp;ROW()-1,4))</f>
        <v/>
      </c>
      <c r="B727" s="62"/>
      <c r="C727" s="62"/>
      <c r="D727" s="62"/>
      <c r="E727" s="62"/>
      <c r="F727" s="62"/>
      <c r="G727" s="62"/>
      <c r="H727" s="62"/>
      <c r="I727" s="66"/>
      <c r="J727" s="66"/>
      <c r="K727" s="66"/>
      <c r="L727" s="66"/>
      <c r="M727" s="66"/>
      <c r="N727" s="64" t="str">
        <f>IF(OR($B727="", $I727="", $J727="", $K727="", $L727="", $M727=""),"",ROUND(($I727*Lists!$AN$2)+($J727*Lists!$AN$3)+($K727*Lists!$AN$4)+($L727*Lists!$AN$5)+($M727*Lists!$AN$6),2))</f>
        <v/>
      </c>
      <c r="O727" s="64" t="str">
        <f>IF($A727="","",IFERROR(VLOOKUP($A727,'Risk Register'!$B$2:$I$1000,8,FALSE()),""))</f>
        <v/>
      </c>
      <c r="P727" s="66"/>
      <c r="Q727" s="66"/>
      <c r="R727" s="66"/>
      <c r="S727" s="66"/>
      <c r="T727" s="64" t="str">
        <f>IF(OR($B727="", $P727="", $Q727="", $R727="", $S727=""),"",ROUND(($P727*Lists!$AN$7)+($Q727*Lists!$AN$8)+($R727*Lists!$AN$9)+($S727*Lists!$AN$10),2))</f>
        <v/>
      </c>
      <c r="U727" s="66"/>
      <c r="V727" s="66"/>
      <c r="W727" s="66"/>
      <c r="X727" s="66"/>
      <c r="Y727" s="66"/>
      <c r="Z727" s="64" t="str">
        <f>IF(OR($B727="", $U727="", $V727="", $W727="", $X727="", $Y727=""),"",ROUND(($U727*Lists!$AN$11)+($V727*Lists!$AN$12)+($W727*Lists!$AN$13)+($X727*Lists!$AN$14)+($Y727*Lists!$AN$15),2))</f>
        <v/>
      </c>
      <c r="AA727" s="64" t="str">
        <f>IF(OR($B727="", $N727="", $O727="", $T727="", $Z727=""),"",ROUND(($N727*Lists!$AN$16)-($O727*Lists!$AN$17)-($T727*Lists!$AN$18)+($Z727*Lists!$AN$19),2))</f>
        <v/>
      </c>
      <c r="AB727" s="63" t="str">
        <f t="shared" ref="AB727:AB790" si="45">IF($AA727="","",IF($AA727&gt;=3.5,"INVEST",IF($AA727&gt;=2.5,"TOLERATE",IF($AA727&gt;=1.5,"MIGRATE / MODERNIZE","RETIRE"))))</f>
        <v/>
      </c>
      <c r="AC727" s="63" t="str">
        <f t="shared" ref="AC727:AC790" si="46">IF($B727="","",IF($J727&gt;=4,"Yes",""))</f>
        <v/>
      </c>
      <c r="AD727" s="63" t="str">
        <f>IF($A727="","",IFERROR(IF(VLOOKUP($A727,'Risk Register'!$B$2:$H$1000,4,FALSE())&gt;=4,"Yes",""),""))</f>
        <v/>
      </c>
      <c r="AE727" s="63" t="str">
        <f t="shared" ref="AE727:AE790" si="47">IF(OR($N727="", $O727=""),"",IF($N727&gt;=3.5,IF($O727&gt;=3.5,"High Value / High Risk","High Value / Low Risk"),IF($O727&gt;=3.5,"Low Value / High Risk","Low Value / Low Risk")))</f>
        <v/>
      </c>
      <c r="AF727" s="62"/>
      <c r="AG727" s="62"/>
      <c r="AH727" s="62"/>
      <c r="AI727" s="62"/>
      <c r="AJ727" s="62"/>
      <c r="AK727" s="62"/>
      <c r="AL727" s="62"/>
      <c r="AM727" s="62"/>
      <c r="AN727" s="62"/>
      <c r="AO727" s="62"/>
      <c r="AP727" s="62"/>
      <c r="AQ727" s="80"/>
    </row>
    <row r="728" spans="1:43" ht="15.75" customHeight="1" x14ac:dyDescent="0.2">
      <c r="A728" s="63" t="str">
        <f t="shared" si="44"/>
        <v/>
      </c>
      <c r="B728" s="62"/>
      <c r="C728" s="62"/>
      <c r="D728" s="62"/>
      <c r="E728" s="62"/>
      <c r="F728" s="62"/>
      <c r="G728" s="62"/>
      <c r="H728" s="62"/>
      <c r="I728" s="66"/>
      <c r="J728" s="66"/>
      <c r="K728" s="66"/>
      <c r="L728" s="66"/>
      <c r="M728" s="66"/>
      <c r="N728" s="64" t="str">
        <f>IF(OR($B728="", $I728="", $J728="", $K728="", $L728="", $M728=""),"",ROUND(($I728*Lists!$AN$2)+($J728*Lists!$AN$3)+($K728*Lists!$AN$4)+($L728*Lists!$AN$5)+($M728*Lists!$AN$6),2))</f>
        <v/>
      </c>
      <c r="O728" s="64" t="str">
        <f>IF($A728="","",IFERROR(VLOOKUP($A728,'Risk Register'!$B$2:$I$1000,8,FALSE()),""))</f>
        <v/>
      </c>
      <c r="P728" s="66"/>
      <c r="Q728" s="66"/>
      <c r="R728" s="66"/>
      <c r="S728" s="66"/>
      <c r="T728" s="64" t="str">
        <f>IF(OR($B728="", $P728="", $Q728="", $R728="", $S728=""),"",ROUND(($P728*Lists!$AN$7)+($Q728*Lists!$AN$8)+($R728*Lists!$AN$9)+($S728*Lists!$AN$10),2))</f>
        <v/>
      </c>
      <c r="U728" s="66"/>
      <c r="V728" s="66"/>
      <c r="W728" s="66"/>
      <c r="X728" s="66"/>
      <c r="Y728" s="66"/>
      <c r="Z728" s="64" t="str">
        <f>IF(OR($B728="", $U728="", $V728="", $W728="", $X728="", $Y728=""),"",ROUND(($U728*Lists!$AN$11)+($V728*Lists!$AN$12)+($W728*Lists!$AN$13)+($X728*Lists!$AN$14)+($Y728*Lists!$AN$15),2))</f>
        <v/>
      </c>
      <c r="AA728" s="64" t="str">
        <f>IF(OR($B728="", $N728="", $O728="", $T728="", $Z728=""),"",ROUND(($N728*Lists!$AN$16)-($O728*Lists!$AN$17)-($T728*Lists!$AN$18)+($Z728*Lists!$AN$19),2))</f>
        <v/>
      </c>
      <c r="AB728" s="63" t="str">
        <f t="shared" si="45"/>
        <v/>
      </c>
      <c r="AC728" s="63" t="str">
        <f t="shared" si="46"/>
        <v/>
      </c>
      <c r="AD728" s="63" t="str">
        <f>IF($A728="","",IFERROR(IF(VLOOKUP($A728,'Risk Register'!$B$2:$H$1000,4,FALSE())&gt;=4,"Yes",""),""))</f>
        <v/>
      </c>
      <c r="AE728" s="63" t="str">
        <f t="shared" si="47"/>
        <v/>
      </c>
      <c r="AF728" s="62"/>
      <c r="AG728" s="62"/>
      <c r="AH728" s="62"/>
      <c r="AI728" s="62"/>
      <c r="AJ728" s="62"/>
      <c r="AK728" s="62"/>
      <c r="AL728" s="62"/>
      <c r="AM728" s="62"/>
      <c r="AN728" s="62"/>
      <c r="AO728" s="62"/>
      <c r="AP728" s="62"/>
      <c r="AQ728" s="80"/>
    </row>
    <row r="729" spans="1:43" ht="15.75" customHeight="1" x14ac:dyDescent="0.2">
      <c r="A729" s="63" t="str">
        <f t="shared" si="44"/>
        <v/>
      </c>
      <c r="B729" s="62"/>
      <c r="C729" s="62"/>
      <c r="D729" s="62"/>
      <c r="E729" s="62"/>
      <c r="F729" s="62"/>
      <c r="G729" s="62"/>
      <c r="H729" s="62"/>
      <c r="I729" s="66"/>
      <c r="J729" s="66"/>
      <c r="K729" s="66"/>
      <c r="L729" s="66"/>
      <c r="M729" s="66"/>
      <c r="N729" s="64" t="str">
        <f>IF(OR($B729="", $I729="", $J729="", $K729="", $L729="", $M729=""),"",ROUND(($I729*Lists!$AN$2)+($J729*Lists!$AN$3)+($K729*Lists!$AN$4)+($L729*Lists!$AN$5)+($M729*Lists!$AN$6),2))</f>
        <v/>
      </c>
      <c r="O729" s="64" t="str">
        <f>IF($A729="","",IFERROR(VLOOKUP($A729,'Risk Register'!$B$2:$I$1000,8,FALSE()),""))</f>
        <v/>
      </c>
      <c r="P729" s="66"/>
      <c r="Q729" s="66"/>
      <c r="R729" s="66"/>
      <c r="S729" s="66"/>
      <c r="T729" s="64" t="str">
        <f>IF(OR($B729="", $P729="", $Q729="", $R729="", $S729=""),"",ROUND(($P729*Lists!$AN$7)+($Q729*Lists!$AN$8)+($R729*Lists!$AN$9)+($S729*Lists!$AN$10),2))</f>
        <v/>
      </c>
      <c r="U729" s="66"/>
      <c r="V729" s="66"/>
      <c r="W729" s="66"/>
      <c r="X729" s="66"/>
      <c r="Y729" s="66"/>
      <c r="Z729" s="64" t="str">
        <f>IF(OR($B729="", $U729="", $V729="", $W729="", $X729="", $Y729=""),"",ROUND(($U729*Lists!$AN$11)+($V729*Lists!$AN$12)+($W729*Lists!$AN$13)+($X729*Lists!$AN$14)+($Y729*Lists!$AN$15),2))</f>
        <v/>
      </c>
      <c r="AA729" s="64" t="str">
        <f>IF(OR($B729="", $N729="", $O729="", $T729="", $Z729=""),"",ROUND(($N729*Lists!$AN$16)-($O729*Lists!$AN$17)-($T729*Lists!$AN$18)+($Z729*Lists!$AN$19),2))</f>
        <v/>
      </c>
      <c r="AB729" s="63" t="str">
        <f t="shared" si="45"/>
        <v/>
      </c>
      <c r="AC729" s="63" t="str">
        <f t="shared" si="46"/>
        <v/>
      </c>
      <c r="AD729" s="63" t="str">
        <f>IF($A729="","",IFERROR(IF(VLOOKUP($A729,'Risk Register'!$B$2:$H$1000,4,FALSE())&gt;=4,"Yes",""),""))</f>
        <v/>
      </c>
      <c r="AE729" s="63" t="str">
        <f t="shared" si="47"/>
        <v/>
      </c>
      <c r="AF729" s="62"/>
      <c r="AG729" s="62"/>
      <c r="AH729" s="62"/>
      <c r="AI729" s="62"/>
      <c r="AJ729" s="62"/>
      <c r="AK729" s="62"/>
      <c r="AL729" s="62"/>
      <c r="AM729" s="62"/>
      <c r="AN729" s="62"/>
      <c r="AO729" s="62"/>
      <c r="AP729" s="62"/>
      <c r="AQ729" s="80"/>
    </row>
    <row r="730" spans="1:43" ht="15.75" customHeight="1" x14ac:dyDescent="0.2">
      <c r="A730" s="63" t="str">
        <f t="shared" si="44"/>
        <v/>
      </c>
      <c r="B730" s="62"/>
      <c r="C730" s="62"/>
      <c r="D730" s="62"/>
      <c r="E730" s="62"/>
      <c r="F730" s="62"/>
      <c r="G730" s="62"/>
      <c r="H730" s="62"/>
      <c r="I730" s="66"/>
      <c r="J730" s="66"/>
      <c r="K730" s="66"/>
      <c r="L730" s="66"/>
      <c r="M730" s="66"/>
      <c r="N730" s="64" t="str">
        <f>IF(OR($B730="", $I730="", $J730="", $K730="", $L730="", $M730=""),"",ROUND(($I730*Lists!$AN$2)+($J730*Lists!$AN$3)+($K730*Lists!$AN$4)+($L730*Lists!$AN$5)+($M730*Lists!$AN$6),2))</f>
        <v/>
      </c>
      <c r="O730" s="64" t="str">
        <f>IF($A730="","",IFERROR(VLOOKUP($A730,'Risk Register'!$B$2:$I$1000,8,FALSE()),""))</f>
        <v/>
      </c>
      <c r="P730" s="66"/>
      <c r="Q730" s="66"/>
      <c r="R730" s="66"/>
      <c r="S730" s="66"/>
      <c r="T730" s="64" t="str">
        <f>IF(OR($B730="", $P730="", $Q730="", $R730="", $S730=""),"",ROUND(($P730*Lists!$AN$7)+($Q730*Lists!$AN$8)+($R730*Lists!$AN$9)+($S730*Lists!$AN$10),2))</f>
        <v/>
      </c>
      <c r="U730" s="66"/>
      <c r="V730" s="66"/>
      <c r="W730" s="66"/>
      <c r="X730" s="66"/>
      <c r="Y730" s="66"/>
      <c r="Z730" s="64" t="str">
        <f>IF(OR($B730="", $U730="", $V730="", $W730="", $X730="", $Y730=""),"",ROUND(($U730*Lists!$AN$11)+($V730*Lists!$AN$12)+($W730*Lists!$AN$13)+($X730*Lists!$AN$14)+($Y730*Lists!$AN$15),2))</f>
        <v/>
      </c>
      <c r="AA730" s="64" t="str">
        <f>IF(OR($B730="", $N730="", $O730="", $T730="", $Z730=""),"",ROUND(($N730*Lists!$AN$16)-($O730*Lists!$AN$17)-($T730*Lists!$AN$18)+($Z730*Lists!$AN$19),2))</f>
        <v/>
      </c>
      <c r="AB730" s="63" t="str">
        <f t="shared" si="45"/>
        <v/>
      </c>
      <c r="AC730" s="63" t="str">
        <f t="shared" si="46"/>
        <v/>
      </c>
      <c r="AD730" s="63" t="str">
        <f>IF($A730="","",IFERROR(IF(VLOOKUP($A730,'Risk Register'!$B$2:$H$1000,4,FALSE())&gt;=4,"Yes",""),""))</f>
        <v/>
      </c>
      <c r="AE730" s="63" t="str">
        <f t="shared" si="47"/>
        <v/>
      </c>
      <c r="AF730" s="62"/>
      <c r="AG730" s="62"/>
      <c r="AH730" s="62"/>
      <c r="AI730" s="62"/>
      <c r="AJ730" s="62"/>
      <c r="AK730" s="62"/>
      <c r="AL730" s="62"/>
      <c r="AM730" s="62"/>
      <c r="AN730" s="62"/>
      <c r="AO730" s="62"/>
      <c r="AP730" s="62"/>
      <c r="AQ730" s="80"/>
    </row>
    <row r="731" spans="1:43" ht="15.75" customHeight="1" x14ac:dyDescent="0.2">
      <c r="A731" s="63" t="str">
        <f t="shared" si="44"/>
        <v/>
      </c>
      <c r="B731" s="62"/>
      <c r="C731" s="62"/>
      <c r="D731" s="62"/>
      <c r="E731" s="62"/>
      <c r="F731" s="62"/>
      <c r="G731" s="62"/>
      <c r="H731" s="62"/>
      <c r="I731" s="66"/>
      <c r="J731" s="66"/>
      <c r="K731" s="66"/>
      <c r="L731" s="66"/>
      <c r="M731" s="66"/>
      <c r="N731" s="64" t="str">
        <f>IF(OR($B731="", $I731="", $J731="", $K731="", $L731="", $M731=""),"",ROUND(($I731*Lists!$AN$2)+($J731*Lists!$AN$3)+($K731*Lists!$AN$4)+($L731*Lists!$AN$5)+($M731*Lists!$AN$6),2))</f>
        <v/>
      </c>
      <c r="O731" s="64" t="str">
        <f>IF($A731="","",IFERROR(VLOOKUP($A731,'Risk Register'!$B$2:$I$1000,8,FALSE()),""))</f>
        <v/>
      </c>
      <c r="P731" s="66"/>
      <c r="Q731" s="66"/>
      <c r="R731" s="66"/>
      <c r="S731" s="66"/>
      <c r="T731" s="64" t="str">
        <f>IF(OR($B731="", $P731="", $Q731="", $R731="", $S731=""),"",ROUND(($P731*Lists!$AN$7)+($Q731*Lists!$AN$8)+($R731*Lists!$AN$9)+($S731*Lists!$AN$10),2))</f>
        <v/>
      </c>
      <c r="U731" s="66"/>
      <c r="V731" s="66"/>
      <c r="W731" s="66"/>
      <c r="X731" s="66"/>
      <c r="Y731" s="66"/>
      <c r="Z731" s="64" t="str">
        <f>IF(OR($B731="", $U731="", $V731="", $W731="", $X731="", $Y731=""),"",ROUND(($U731*Lists!$AN$11)+($V731*Lists!$AN$12)+($W731*Lists!$AN$13)+($X731*Lists!$AN$14)+($Y731*Lists!$AN$15),2))</f>
        <v/>
      </c>
      <c r="AA731" s="64" t="str">
        <f>IF(OR($B731="", $N731="", $O731="", $T731="", $Z731=""),"",ROUND(($N731*Lists!$AN$16)-($O731*Lists!$AN$17)-($T731*Lists!$AN$18)+($Z731*Lists!$AN$19),2))</f>
        <v/>
      </c>
      <c r="AB731" s="63" t="str">
        <f t="shared" si="45"/>
        <v/>
      </c>
      <c r="AC731" s="63" t="str">
        <f t="shared" si="46"/>
        <v/>
      </c>
      <c r="AD731" s="63" t="str">
        <f>IF($A731="","",IFERROR(IF(VLOOKUP($A731,'Risk Register'!$B$2:$H$1000,4,FALSE())&gt;=4,"Yes",""),""))</f>
        <v/>
      </c>
      <c r="AE731" s="63" t="str">
        <f t="shared" si="47"/>
        <v/>
      </c>
      <c r="AF731" s="62"/>
      <c r="AG731" s="62"/>
      <c r="AH731" s="62"/>
      <c r="AI731" s="62"/>
      <c r="AJ731" s="62"/>
      <c r="AK731" s="62"/>
      <c r="AL731" s="62"/>
      <c r="AM731" s="62"/>
      <c r="AN731" s="62"/>
      <c r="AO731" s="62"/>
      <c r="AP731" s="62"/>
      <c r="AQ731" s="80"/>
    </row>
    <row r="732" spans="1:43" ht="15.75" customHeight="1" x14ac:dyDescent="0.2">
      <c r="A732" s="63" t="str">
        <f t="shared" si="44"/>
        <v/>
      </c>
      <c r="B732" s="62"/>
      <c r="C732" s="62"/>
      <c r="D732" s="62"/>
      <c r="E732" s="62"/>
      <c r="F732" s="62"/>
      <c r="G732" s="62"/>
      <c r="H732" s="62"/>
      <c r="I732" s="66"/>
      <c r="J732" s="66"/>
      <c r="K732" s="66"/>
      <c r="L732" s="66"/>
      <c r="M732" s="66"/>
      <c r="N732" s="64" t="str">
        <f>IF(OR($B732="", $I732="", $J732="", $K732="", $L732="", $M732=""),"",ROUND(($I732*Lists!$AN$2)+($J732*Lists!$AN$3)+($K732*Lists!$AN$4)+($L732*Lists!$AN$5)+($M732*Lists!$AN$6),2))</f>
        <v/>
      </c>
      <c r="O732" s="64" t="str">
        <f>IF($A732="","",IFERROR(VLOOKUP($A732,'Risk Register'!$B$2:$I$1000,8,FALSE()),""))</f>
        <v/>
      </c>
      <c r="P732" s="66"/>
      <c r="Q732" s="66"/>
      <c r="R732" s="66"/>
      <c r="S732" s="66"/>
      <c r="T732" s="64" t="str">
        <f>IF(OR($B732="", $P732="", $Q732="", $R732="", $S732=""),"",ROUND(($P732*Lists!$AN$7)+($Q732*Lists!$AN$8)+($R732*Lists!$AN$9)+($S732*Lists!$AN$10),2))</f>
        <v/>
      </c>
      <c r="U732" s="66"/>
      <c r="V732" s="66"/>
      <c r="W732" s="66"/>
      <c r="X732" s="66"/>
      <c r="Y732" s="66"/>
      <c r="Z732" s="64" t="str">
        <f>IF(OR($B732="", $U732="", $V732="", $W732="", $X732="", $Y732=""),"",ROUND(($U732*Lists!$AN$11)+($V732*Lists!$AN$12)+($W732*Lists!$AN$13)+($X732*Lists!$AN$14)+($Y732*Lists!$AN$15),2))</f>
        <v/>
      </c>
      <c r="AA732" s="64" t="str">
        <f>IF(OR($B732="", $N732="", $O732="", $T732="", $Z732=""),"",ROUND(($N732*Lists!$AN$16)-($O732*Lists!$AN$17)-($T732*Lists!$AN$18)+($Z732*Lists!$AN$19),2))</f>
        <v/>
      </c>
      <c r="AB732" s="63" t="str">
        <f t="shared" si="45"/>
        <v/>
      </c>
      <c r="AC732" s="63" t="str">
        <f t="shared" si="46"/>
        <v/>
      </c>
      <c r="AD732" s="63" t="str">
        <f>IF($A732="","",IFERROR(IF(VLOOKUP($A732,'Risk Register'!$B$2:$H$1000,4,FALSE())&gt;=4,"Yes",""),""))</f>
        <v/>
      </c>
      <c r="AE732" s="63" t="str">
        <f t="shared" si="47"/>
        <v/>
      </c>
      <c r="AF732" s="62"/>
      <c r="AG732" s="62"/>
      <c r="AH732" s="62"/>
      <c r="AI732" s="62"/>
      <c r="AJ732" s="62"/>
      <c r="AK732" s="62"/>
      <c r="AL732" s="62"/>
      <c r="AM732" s="62"/>
      <c r="AN732" s="62"/>
      <c r="AO732" s="62"/>
      <c r="AP732" s="62"/>
      <c r="AQ732" s="80"/>
    </row>
    <row r="733" spans="1:43" ht="15.75" customHeight="1" x14ac:dyDescent="0.2">
      <c r="A733" s="63" t="str">
        <f t="shared" si="44"/>
        <v/>
      </c>
      <c r="B733" s="62"/>
      <c r="C733" s="62"/>
      <c r="D733" s="62"/>
      <c r="E733" s="62"/>
      <c r="F733" s="62"/>
      <c r="G733" s="62"/>
      <c r="H733" s="62"/>
      <c r="I733" s="66"/>
      <c r="J733" s="66"/>
      <c r="K733" s="66"/>
      <c r="L733" s="66"/>
      <c r="M733" s="66"/>
      <c r="N733" s="64" t="str">
        <f>IF(OR($B733="", $I733="", $J733="", $K733="", $L733="", $M733=""),"",ROUND(($I733*Lists!$AN$2)+($J733*Lists!$AN$3)+($K733*Lists!$AN$4)+($L733*Lists!$AN$5)+($M733*Lists!$AN$6),2))</f>
        <v/>
      </c>
      <c r="O733" s="64" t="str">
        <f>IF($A733="","",IFERROR(VLOOKUP($A733,'Risk Register'!$B$2:$I$1000,8,FALSE()),""))</f>
        <v/>
      </c>
      <c r="P733" s="66"/>
      <c r="Q733" s="66"/>
      <c r="R733" s="66"/>
      <c r="S733" s="66"/>
      <c r="T733" s="64" t="str">
        <f>IF(OR($B733="", $P733="", $Q733="", $R733="", $S733=""),"",ROUND(($P733*Lists!$AN$7)+($Q733*Lists!$AN$8)+($R733*Lists!$AN$9)+($S733*Lists!$AN$10),2))</f>
        <v/>
      </c>
      <c r="U733" s="66"/>
      <c r="V733" s="66"/>
      <c r="W733" s="66"/>
      <c r="X733" s="66"/>
      <c r="Y733" s="66"/>
      <c r="Z733" s="64" t="str">
        <f>IF(OR($B733="", $U733="", $V733="", $W733="", $X733="", $Y733=""),"",ROUND(($U733*Lists!$AN$11)+($V733*Lists!$AN$12)+($W733*Lists!$AN$13)+($X733*Lists!$AN$14)+($Y733*Lists!$AN$15),2))</f>
        <v/>
      </c>
      <c r="AA733" s="64" t="str">
        <f>IF(OR($B733="", $N733="", $O733="", $T733="", $Z733=""),"",ROUND(($N733*Lists!$AN$16)-($O733*Lists!$AN$17)-($T733*Lists!$AN$18)+($Z733*Lists!$AN$19),2))</f>
        <v/>
      </c>
      <c r="AB733" s="63" t="str">
        <f t="shared" si="45"/>
        <v/>
      </c>
      <c r="AC733" s="63" t="str">
        <f t="shared" si="46"/>
        <v/>
      </c>
      <c r="AD733" s="63" t="str">
        <f>IF($A733="","",IFERROR(IF(VLOOKUP($A733,'Risk Register'!$B$2:$H$1000,4,FALSE())&gt;=4,"Yes",""),""))</f>
        <v/>
      </c>
      <c r="AE733" s="63" t="str">
        <f t="shared" si="47"/>
        <v/>
      </c>
      <c r="AF733" s="62"/>
      <c r="AG733" s="62"/>
      <c r="AH733" s="62"/>
      <c r="AI733" s="62"/>
      <c r="AJ733" s="62"/>
      <c r="AK733" s="62"/>
      <c r="AL733" s="62"/>
      <c r="AM733" s="62"/>
      <c r="AN733" s="62"/>
      <c r="AO733" s="62"/>
      <c r="AP733" s="62"/>
      <c r="AQ733" s="80"/>
    </row>
    <row r="734" spans="1:43" ht="15.75" customHeight="1" x14ac:dyDescent="0.2">
      <c r="A734" s="63" t="str">
        <f t="shared" si="44"/>
        <v/>
      </c>
      <c r="B734" s="62"/>
      <c r="C734" s="62"/>
      <c r="D734" s="62"/>
      <c r="E734" s="62"/>
      <c r="F734" s="62"/>
      <c r="G734" s="62"/>
      <c r="H734" s="62"/>
      <c r="I734" s="66"/>
      <c r="J734" s="66"/>
      <c r="K734" s="66"/>
      <c r="L734" s="66"/>
      <c r="M734" s="66"/>
      <c r="N734" s="64" t="str">
        <f>IF(OR($B734="", $I734="", $J734="", $K734="", $L734="", $M734=""),"",ROUND(($I734*Lists!$AN$2)+($J734*Lists!$AN$3)+($K734*Lists!$AN$4)+($L734*Lists!$AN$5)+($M734*Lists!$AN$6),2))</f>
        <v/>
      </c>
      <c r="O734" s="64" t="str">
        <f>IF($A734="","",IFERROR(VLOOKUP($A734,'Risk Register'!$B$2:$I$1000,8,FALSE()),""))</f>
        <v/>
      </c>
      <c r="P734" s="66"/>
      <c r="Q734" s="66"/>
      <c r="R734" s="66"/>
      <c r="S734" s="66"/>
      <c r="T734" s="64" t="str">
        <f>IF(OR($B734="", $P734="", $Q734="", $R734="", $S734=""),"",ROUND(($P734*Lists!$AN$7)+($Q734*Lists!$AN$8)+($R734*Lists!$AN$9)+($S734*Lists!$AN$10),2))</f>
        <v/>
      </c>
      <c r="U734" s="66"/>
      <c r="V734" s="66"/>
      <c r="W734" s="66"/>
      <c r="X734" s="66"/>
      <c r="Y734" s="66"/>
      <c r="Z734" s="64" t="str">
        <f>IF(OR($B734="", $U734="", $V734="", $W734="", $X734="", $Y734=""),"",ROUND(($U734*Lists!$AN$11)+($V734*Lists!$AN$12)+($W734*Lists!$AN$13)+($X734*Lists!$AN$14)+($Y734*Lists!$AN$15),2))</f>
        <v/>
      </c>
      <c r="AA734" s="64" t="str">
        <f>IF(OR($B734="", $N734="", $O734="", $T734="", $Z734=""),"",ROUND(($N734*Lists!$AN$16)-($O734*Lists!$AN$17)-($T734*Lists!$AN$18)+($Z734*Lists!$AN$19),2))</f>
        <v/>
      </c>
      <c r="AB734" s="63" t="str">
        <f t="shared" si="45"/>
        <v/>
      </c>
      <c r="AC734" s="63" t="str">
        <f t="shared" si="46"/>
        <v/>
      </c>
      <c r="AD734" s="63" t="str">
        <f>IF($A734="","",IFERROR(IF(VLOOKUP($A734,'Risk Register'!$B$2:$H$1000,4,FALSE())&gt;=4,"Yes",""),""))</f>
        <v/>
      </c>
      <c r="AE734" s="63" t="str">
        <f t="shared" si="47"/>
        <v/>
      </c>
      <c r="AF734" s="62"/>
      <c r="AG734" s="62"/>
      <c r="AH734" s="62"/>
      <c r="AI734" s="62"/>
      <c r="AJ734" s="62"/>
      <c r="AK734" s="62"/>
      <c r="AL734" s="62"/>
      <c r="AM734" s="62"/>
      <c r="AN734" s="62"/>
      <c r="AO734" s="62"/>
      <c r="AP734" s="62"/>
      <c r="AQ734" s="80"/>
    </row>
    <row r="735" spans="1:43" ht="15.75" customHeight="1" x14ac:dyDescent="0.2">
      <c r="A735" s="63" t="str">
        <f t="shared" si="44"/>
        <v/>
      </c>
      <c r="B735" s="62"/>
      <c r="C735" s="62"/>
      <c r="D735" s="62"/>
      <c r="E735" s="62"/>
      <c r="F735" s="62"/>
      <c r="G735" s="62"/>
      <c r="H735" s="62"/>
      <c r="I735" s="66"/>
      <c r="J735" s="66"/>
      <c r="K735" s="66"/>
      <c r="L735" s="66"/>
      <c r="M735" s="66"/>
      <c r="N735" s="64" t="str">
        <f>IF(OR($B735="", $I735="", $J735="", $K735="", $L735="", $M735=""),"",ROUND(($I735*Lists!$AN$2)+($J735*Lists!$AN$3)+($K735*Lists!$AN$4)+($L735*Lists!$AN$5)+($M735*Lists!$AN$6),2))</f>
        <v/>
      </c>
      <c r="O735" s="64" t="str">
        <f>IF($A735="","",IFERROR(VLOOKUP($A735,'Risk Register'!$B$2:$I$1000,8,FALSE()),""))</f>
        <v/>
      </c>
      <c r="P735" s="66"/>
      <c r="Q735" s="66"/>
      <c r="R735" s="66"/>
      <c r="S735" s="66"/>
      <c r="T735" s="64" t="str">
        <f>IF(OR($B735="", $P735="", $Q735="", $R735="", $S735=""),"",ROUND(($P735*Lists!$AN$7)+($Q735*Lists!$AN$8)+($R735*Lists!$AN$9)+($S735*Lists!$AN$10),2))</f>
        <v/>
      </c>
      <c r="U735" s="66"/>
      <c r="V735" s="66"/>
      <c r="W735" s="66"/>
      <c r="X735" s="66"/>
      <c r="Y735" s="66"/>
      <c r="Z735" s="64" t="str">
        <f>IF(OR($B735="", $U735="", $V735="", $W735="", $X735="", $Y735=""),"",ROUND(($U735*Lists!$AN$11)+($V735*Lists!$AN$12)+($W735*Lists!$AN$13)+($X735*Lists!$AN$14)+($Y735*Lists!$AN$15),2))</f>
        <v/>
      </c>
      <c r="AA735" s="64" t="str">
        <f>IF(OR($B735="", $N735="", $O735="", $T735="", $Z735=""),"",ROUND(($N735*Lists!$AN$16)-($O735*Lists!$AN$17)-($T735*Lists!$AN$18)+($Z735*Lists!$AN$19),2))</f>
        <v/>
      </c>
      <c r="AB735" s="63" t="str">
        <f t="shared" si="45"/>
        <v/>
      </c>
      <c r="AC735" s="63" t="str">
        <f t="shared" si="46"/>
        <v/>
      </c>
      <c r="AD735" s="63" t="str">
        <f>IF($A735="","",IFERROR(IF(VLOOKUP($A735,'Risk Register'!$B$2:$H$1000,4,FALSE())&gt;=4,"Yes",""),""))</f>
        <v/>
      </c>
      <c r="AE735" s="63" t="str">
        <f t="shared" si="47"/>
        <v/>
      </c>
      <c r="AF735" s="62"/>
      <c r="AG735" s="62"/>
      <c r="AH735" s="62"/>
      <c r="AI735" s="62"/>
      <c r="AJ735" s="62"/>
      <c r="AK735" s="62"/>
      <c r="AL735" s="62"/>
      <c r="AM735" s="62"/>
      <c r="AN735" s="62"/>
      <c r="AO735" s="62"/>
      <c r="AP735" s="62"/>
      <c r="AQ735" s="80"/>
    </row>
    <row r="736" spans="1:43" ht="15.75" customHeight="1" x14ac:dyDescent="0.2">
      <c r="A736" s="63" t="str">
        <f t="shared" si="44"/>
        <v/>
      </c>
      <c r="B736" s="62"/>
      <c r="C736" s="62"/>
      <c r="D736" s="62"/>
      <c r="E736" s="62"/>
      <c r="F736" s="62"/>
      <c r="G736" s="62"/>
      <c r="H736" s="62"/>
      <c r="I736" s="66"/>
      <c r="J736" s="66"/>
      <c r="K736" s="66"/>
      <c r="L736" s="66"/>
      <c r="M736" s="66"/>
      <c r="N736" s="64" t="str">
        <f>IF(OR($B736="", $I736="", $J736="", $K736="", $L736="", $M736=""),"",ROUND(($I736*Lists!$AN$2)+($J736*Lists!$AN$3)+($K736*Lists!$AN$4)+($L736*Lists!$AN$5)+($M736*Lists!$AN$6),2))</f>
        <v/>
      </c>
      <c r="O736" s="64" t="str">
        <f>IF($A736="","",IFERROR(VLOOKUP($A736,'Risk Register'!$B$2:$I$1000,8,FALSE()),""))</f>
        <v/>
      </c>
      <c r="P736" s="66"/>
      <c r="Q736" s="66"/>
      <c r="R736" s="66"/>
      <c r="S736" s="66"/>
      <c r="T736" s="64" t="str">
        <f>IF(OR($B736="", $P736="", $Q736="", $R736="", $S736=""),"",ROUND(($P736*Lists!$AN$7)+($Q736*Lists!$AN$8)+($R736*Lists!$AN$9)+($S736*Lists!$AN$10),2))</f>
        <v/>
      </c>
      <c r="U736" s="66"/>
      <c r="V736" s="66"/>
      <c r="W736" s="66"/>
      <c r="X736" s="66"/>
      <c r="Y736" s="66"/>
      <c r="Z736" s="64" t="str">
        <f>IF(OR($B736="", $U736="", $V736="", $W736="", $X736="", $Y736=""),"",ROUND(($U736*Lists!$AN$11)+($V736*Lists!$AN$12)+($W736*Lists!$AN$13)+($X736*Lists!$AN$14)+($Y736*Lists!$AN$15),2))</f>
        <v/>
      </c>
      <c r="AA736" s="64" t="str">
        <f>IF(OR($B736="", $N736="", $O736="", $T736="", $Z736=""),"",ROUND(($N736*Lists!$AN$16)-($O736*Lists!$AN$17)-($T736*Lists!$AN$18)+($Z736*Lists!$AN$19),2))</f>
        <v/>
      </c>
      <c r="AB736" s="63" t="str">
        <f t="shared" si="45"/>
        <v/>
      </c>
      <c r="AC736" s="63" t="str">
        <f t="shared" si="46"/>
        <v/>
      </c>
      <c r="AD736" s="63" t="str">
        <f>IF($A736="","",IFERROR(IF(VLOOKUP($A736,'Risk Register'!$B$2:$H$1000,4,FALSE())&gt;=4,"Yes",""),""))</f>
        <v/>
      </c>
      <c r="AE736" s="63" t="str">
        <f t="shared" si="47"/>
        <v/>
      </c>
      <c r="AF736" s="62"/>
      <c r="AG736" s="62"/>
      <c r="AH736" s="62"/>
      <c r="AI736" s="62"/>
      <c r="AJ736" s="62"/>
      <c r="AK736" s="62"/>
      <c r="AL736" s="62"/>
      <c r="AM736" s="62"/>
      <c r="AN736" s="62"/>
      <c r="AO736" s="62"/>
      <c r="AP736" s="62"/>
      <c r="AQ736" s="80"/>
    </row>
    <row r="737" spans="1:43" ht="15.75" customHeight="1" x14ac:dyDescent="0.2">
      <c r="A737" s="63" t="str">
        <f t="shared" si="44"/>
        <v/>
      </c>
      <c r="B737" s="62"/>
      <c r="C737" s="62"/>
      <c r="D737" s="62"/>
      <c r="E737" s="62"/>
      <c r="F737" s="62"/>
      <c r="G737" s="62"/>
      <c r="H737" s="62"/>
      <c r="I737" s="66"/>
      <c r="J737" s="66"/>
      <c r="K737" s="66"/>
      <c r="L737" s="66"/>
      <c r="M737" s="66"/>
      <c r="N737" s="64" t="str">
        <f>IF(OR($B737="", $I737="", $J737="", $K737="", $L737="", $M737=""),"",ROUND(($I737*Lists!$AN$2)+($J737*Lists!$AN$3)+($K737*Lists!$AN$4)+($L737*Lists!$AN$5)+($M737*Lists!$AN$6),2))</f>
        <v/>
      </c>
      <c r="O737" s="64" t="str">
        <f>IF($A737="","",IFERROR(VLOOKUP($A737,'Risk Register'!$B$2:$I$1000,8,FALSE()),""))</f>
        <v/>
      </c>
      <c r="P737" s="66"/>
      <c r="Q737" s="66"/>
      <c r="R737" s="66"/>
      <c r="S737" s="66"/>
      <c r="T737" s="64" t="str">
        <f>IF(OR($B737="", $P737="", $Q737="", $R737="", $S737=""),"",ROUND(($P737*Lists!$AN$7)+($Q737*Lists!$AN$8)+($R737*Lists!$AN$9)+($S737*Lists!$AN$10),2))</f>
        <v/>
      </c>
      <c r="U737" s="66"/>
      <c r="V737" s="66"/>
      <c r="W737" s="66"/>
      <c r="X737" s="66"/>
      <c r="Y737" s="66"/>
      <c r="Z737" s="64" t="str">
        <f>IF(OR($B737="", $U737="", $V737="", $W737="", $X737="", $Y737=""),"",ROUND(($U737*Lists!$AN$11)+($V737*Lists!$AN$12)+($W737*Lists!$AN$13)+($X737*Lists!$AN$14)+($Y737*Lists!$AN$15),2))</f>
        <v/>
      </c>
      <c r="AA737" s="64" t="str">
        <f>IF(OR($B737="", $N737="", $O737="", $T737="", $Z737=""),"",ROUND(($N737*Lists!$AN$16)-($O737*Lists!$AN$17)-($T737*Lists!$AN$18)+($Z737*Lists!$AN$19),2))</f>
        <v/>
      </c>
      <c r="AB737" s="63" t="str">
        <f t="shared" si="45"/>
        <v/>
      </c>
      <c r="AC737" s="63" t="str">
        <f t="shared" si="46"/>
        <v/>
      </c>
      <c r="AD737" s="63" t="str">
        <f>IF($A737="","",IFERROR(IF(VLOOKUP($A737,'Risk Register'!$B$2:$H$1000,4,FALSE())&gt;=4,"Yes",""),""))</f>
        <v/>
      </c>
      <c r="AE737" s="63" t="str">
        <f t="shared" si="47"/>
        <v/>
      </c>
      <c r="AF737" s="62"/>
      <c r="AG737" s="62"/>
      <c r="AH737" s="62"/>
      <c r="AI737" s="62"/>
      <c r="AJ737" s="62"/>
      <c r="AK737" s="62"/>
      <c r="AL737" s="62"/>
      <c r="AM737" s="62"/>
      <c r="AN737" s="62"/>
      <c r="AO737" s="62"/>
      <c r="AP737" s="62"/>
      <c r="AQ737" s="80"/>
    </row>
    <row r="738" spans="1:43" ht="15.75" customHeight="1" x14ac:dyDescent="0.2">
      <c r="A738" s="63" t="str">
        <f t="shared" si="44"/>
        <v/>
      </c>
      <c r="B738" s="62"/>
      <c r="C738" s="62"/>
      <c r="D738" s="62"/>
      <c r="E738" s="62"/>
      <c r="F738" s="62"/>
      <c r="G738" s="62"/>
      <c r="H738" s="62"/>
      <c r="I738" s="66"/>
      <c r="J738" s="66"/>
      <c r="K738" s="66"/>
      <c r="L738" s="66"/>
      <c r="M738" s="66"/>
      <c r="N738" s="64" t="str">
        <f>IF(OR($B738="", $I738="", $J738="", $K738="", $L738="", $M738=""),"",ROUND(($I738*Lists!$AN$2)+($J738*Lists!$AN$3)+($K738*Lists!$AN$4)+($L738*Lists!$AN$5)+($M738*Lists!$AN$6),2))</f>
        <v/>
      </c>
      <c r="O738" s="64" t="str">
        <f>IF($A738="","",IFERROR(VLOOKUP($A738,'Risk Register'!$B$2:$I$1000,8,FALSE()),""))</f>
        <v/>
      </c>
      <c r="P738" s="66"/>
      <c r="Q738" s="66"/>
      <c r="R738" s="66"/>
      <c r="S738" s="66"/>
      <c r="T738" s="64" t="str">
        <f>IF(OR($B738="", $P738="", $Q738="", $R738="", $S738=""),"",ROUND(($P738*Lists!$AN$7)+($Q738*Lists!$AN$8)+($R738*Lists!$AN$9)+($S738*Lists!$AN$10),2))</f>
        <v/>
      </c>
      <c r="U738" s="66"/>
      <c r="V738" s="66"/>
      <c r="W738" s="66"/>
      <c r="X738" s="66"/>
      <c r="Y738" s="66"/>
      <c r="Z738" s="64" t="str">
        <f>IF(OR($B738="", $U738="", $V738="", $W738="", $X738="", $Y738=""),"",ROUND(($U738*Lists!$AN$11)+($V738*Lists!$AN$12)+($W738*Lists!$AN$13)+($X738*Lists!$AN$14)+($Y738*Lists!$AN$15),2))</f>
        <v/>
      </c>
      <c r="AA738" s="64" t="str">
        <f>IF(OR($B738="", $N738="", $O738="", $T738="", $Z738=""),"",ROUND(($N738*Lists!$AN$16)-($O738*Lists!$AN$17)-($T738*Lists!$AN$18)+($Z738*Lists!$AN$19),2))</f>
        <v/>
      </c>
      <c r="AB738" s="63" t="str">
        <f t="shared" si="45"/>
        <v/>
      </c>
      <c r="AC738" s="63" t="str">
        <f t="shared" si="46"/>
        <v/>
      </c>
      <c r="AD738" s="63" t="str">
        <f>IF($A738="","",IFERROR(IF(VLOOKUP($A738,'Risk Register'!$B$2:$H$1000,4,FALSE())&gt;=4,"Yes",""),""))</f>
        <v/>
      </c>
      <c r="AE738" s="63" t="str">
        <f t="shared" si="47"/>
        <v/>
      </c>
      <c r="AF738" s="62"/>
      <c r="AG738" s="62"/>
      <c r="AH738" s="62"/>
      <c r="AI738" s="62"/>
      <c r="AJ738" s="62"/>
      <c r="AK738" s="62"/>
      <c r="AL738" s="62"/>
      <c r="AM738" s="62"/>
      <c r="AN738" s="62"/>
      <c r="AO738" s="62"/>
      <c r="AP738" s="62"/>
      <c r="AQ738" s="80"/>
    </row>
    <row r="739" spans="1:43" ht="15.75" customHeight="1" x14ac:dyDescent="0.2">
      <c r="A739" s="63" t="str">
        <f t="shared" si="44"/>
        <v/>
      </c>
      <c r="B739" s="62"/>
      <c r="C739" s="62"/>
      <c r="D739" s="62"/>
      <c r="E739" s="62"/>
      <c r="F739" s="62"/>
      <c r="G739" s="62"/>
      <c r="H739" s="62"/>
      <c r="I739" s="66"/>
      <c r="J739" s="66"/>
      <c r="K739" s="66"/>
      <c r="L739" s="66"/>
      <c r="M739" s="66"/>
      <c r="N739" s="64" t="str">
        <f>IF(OR($B739="", $I739="", $J739="", $K739="", $L739="", $M739=""),"",ROUND(($I739*Lists!$AN$2)+($J739*Lists!$AN$3)+($K739*Lists!$AN$4)+($L739*Lists!$AN$5)+($M739*Lists!$AN$6),2))</f>
        <v/>
      </c>
      <c r="O739" s="64" t="str">
        <f>IF($A739="","",IFERROR(VLOOKUP($A739,'Risk Register'!$B$2:$I$1000,8,FALSE()),""))</f>
        <v/>
      </c>
      <c r="P739" s="66"/>
      <c r="Q739" s="66"/>
      <c r="R739" s="66"/>
      <c r="S739" s="66"/>
      <c r="T739" s="64" t="str">
        <f>IF(OR($B739="", $P739="", $Q739="", $R739="", $S739=""),"",ROUND(($P739*Lists!$AN$7)+($Q739*Lists!$AN$8)+($R739*Lists!$AN$9)+($S739*Lists!$AN$10),2))</f>
        <v/>
      </c>
      <c r="U739" s="66"/>
      <c r="V739" s="66"/>
      <c r="W739" s="66"/>
      <c r="X739" s="66"/>
      <c r="Y739" s="66"/>
      <c r="Z739" s="64" t="str">
        <f>IF(OR($B739="", $U739="", $V739="", $W739="", $X739="", $Y739=""),"",ROUND(($U739*Lists!$AN$11)+($V739*Lists!$AN$12)+($W739*Lists!$AN$13)+($X739*Lists!$AN$14)+($Y739*Lists!$AN$15),2))</f>
        <v/>
      </c>
      <c r="AA739" s="64" t="str">
        <f>IF(OR($B739="", $N739="", $O739="", $T739="", $Z739=""),"",ROUND(($N739*Lists!$AN$16)-($O739*Lists!$AN$17)-($T739*Lists!$AN$18)+($Z739*Lists!$AN$19),2))</f>
        <v/>
      </c>
      <c r="AB739" s="63" t="str">
        <f t="shared" si="45"/>
        <v/>
      </c>
      <c r="AC739" s="63" t="str">
        <f t="shared" si="46"/>
        <v/>
      </c>
      <c r="AD739" s="63" t="str">
        <f>IF($A739="","",IFERROR(IF(VLOOKUP($A739,'Risk Register'!$B$2:$H$1000,4,FALSE())&gt;=4,"Yes",""),""))</f>
        <v/>
      </c>
      <c r="AE739" s="63" t="str">
        <f t="shared" si="47"/>
        <v/>
      </c>
      <c r="AF739" s="62"/>
      <c r="AG739" s="62"/>
      <c r="AH739" s="62"/>
      <c r="AI739" s="62"/>
      <c r="AJ739" s="62"/>
      <c r="AK739" s="62"/>
      <c r="AL739" s="62"/>
      <c r="AM739" s="62"/>
      <c r="AN739" s="62"/>
      <c r="AO739" s="62"/>
      <c r="AP739" s="62"/>
      <c r="AQ739" s="80"/>
    </row>
    <row r="740" spans="1:43" ht="15.75" customHeight="1" x14ac:dyDescent="0.2">
      <c r="A740" s="63" t="str">
        <f t="shared" si="44"/>
        <v/>
      </c>
      <c r="B740" s="62"/>
      <c r="C740" s="62"/>
      <c r="D740" s="62"/>
      <c r="E740" s="62"/>
      <c r="F740" s="62"/>
      <c r="G740" s="62"/>
      <c r="H740" s="62"/>
      <c r="I740" s="66"/>
      <c r="J740" s="66"/>
      <c r="K740" s="66"/>
      <c r="L740" s="66"/>
      <c r="M740" s="66"/>
      <c r="N740" s="64" t="str">
        <f>IF(OR($B740="", $I740="", $J740="", $K740="", $L740="", $M740=""),"",ROUND(($I740*Lists!$AN$2)+($J740*Lists!$AN$3)+($K740*Lists!$AN$4)+($L740*Lists!$AN$5)+($M740*Lists!$AN$6),2))</f>
        <v/>
      </c>
      <c r="O740" s="64" t="str">
        <f>IF($A740="","",IFERROR(VLOOKUP($A740,'Risk Register'!$B$2:$I$1000,8,FALSE()),""))</f>
        <v/>
      </c>
      <c r="P740" s="66"/>
      <c r="Q740" s="66"/>
      <c r="R740" s="66"/>
      <c r="S740" s="66"/>
      <c r="T740" s="64" t="str">
        <f>IF(OR($B740="", $P740="", $Q740="", $R740="", $S740=""),"",ROUND(($P740*Lists!$AN$7)+($Q740*Lists!$AN$8)+($R740*Lists!$AN$9)+($S740*Lists!$AN$10),2))</f>
        <v/>
      </c>
      <c r="U740" s="66"/>
      <c r="V740" s="66"/>
      <c r="W740" s="66"/>
      <c r="X740" s="66"/>
      <c r="Y740" s="66"/>
      <c r="Z740" s="64" t="str">
        <f>IF(OR($B740="", $U740="", $V740="", $W740="", $X740="", $Y740=""),"",ROUND(($U740*Lists!$AN$11)+($V740*Lists!$AN$12)+($W740*Lists!$AN$13)+($X740*Lists!$AN$14)+($Y740*Lists!$AN$15),2))</f>
        <v/>
      </c>
      <c r="AA740" s="64" t="str">
        <f>IF(OR($B740="", $N740="", $O740="", $T740="", $Z740=""),"",ROUND(($N740*Lists!$AN$16)-($O740*Lists!$AN$17)-($T740*Lists!$AN$18)+($Z740*Lists!$AN$19),2))</f>
        <v/>
      </c>
      <c r="AB740" s="63" t="str">
        <f t="shared" si="45"/>
        <v/>
      </c>
      <c r="AC740" s="63" t="str">
        <f t="shared" si="46"/>
        <v/>
      </c>
      <c r="AD740" s="63" t="str">
        <f>IF($A740="","",IFERROR(IF(VLOOKUP($A740,'Risk Register'!$B$2:$H$1000,4,FALSE())&gt;=4,"Yes",""),""))</f>
        <v/>
      </c>
      <c r="AE740" s="63" t="str">
        <f t="shared" si="47"/>
        <v/>
      </c>
      <c r="AF740" s="62"/>
      <c r="AG740" s="62"/>
      <c r="AH740" s="62"/>
      <c r="AI740" s="62"/>
      <c r="AJ740" s="62"/>
      <c r="AK740" s="62"/>
      <c r="AL740" s="62"/>
      <c r="AM740" s="62"/>
      <c r="AN740" s="62"/>
      <c r="AO740" s="62"/>
      <c r="AP740" s="62"/>
      <c r="AQ740" s="80"/>
    </row>
    <row r="741" spans="1:43" ht="15.75" customHeight="1" x14ac:dyDescent="0.2">
      <c r="A741" s="63" t="str">
        <f t="shared" si="44"/>
        <v/>
      </c>
      <c r="B741" s="62"/>
      <c r="C741" s="62"/>
      <c r="D741" s="62"/>
      <c r="E741" s="62"/>
      <c r="F741" s="62"/>
      <c r="G741" s="62"/>
      <c r="H741" s="62"/>
      <c r="I741" s="66"/>
      <c r="J741" s="66"/>
      <c r="K741" s="66"/>
      <c r="L741" s="66"/>
      <c r="M741" s="66"/>
      <c r="N741" s="64" t="str">
        <f>IF(OR($B741="", $I741="", $J741="", $K741="", $L741="", $M741=""),"",ROUND(($I741*Lists!$AN$2)+($J741*Lists!$AN$3)+($K741*Lists!$AN$4)+($L741*Lists!$AN$5)+($M741*Lists!$AN$6),2))</f>
        <v/>
      </c>
      <c r="O741" s="64" t="str">
        <f>IF($A741="","",IFERROR(VLOOKUP($A741,'Risk Register'!$B$2:$I$1000,8,FALSE()),""))</f>
        <v/>
      </c>
      <c r="P741" s="66"/>
      <c r="Q741" s="66"/>
      <c r="R741" s="66"/>
      <c r="S741" s="66"/>
      <c r="T741" s="64" t="str">
        <f>IF(OR($B741="", $P741="", $Q741="", $R741="", $S741=""),"",ROUND(($P741*Lists!$AN$7)+($Q741*Lists!$AN$8)+($R741*Lists!$AN$9)+($S741*Lists!$AN$10),2))</f>
        <v/>
      </c>
      <c r="U741" s="66"/>
      <c r="V741" s="66"/>
      <c r="W741" s="66"/>
      <c r="X741" s="66"/>
      <c r="Y741" s="66"/>
      <c r="Z741" s="64" t="str">
        <f>IF(OR($B741="", $U741="", $V741="", $W741="", $X741="", $Y741=""),"",ROUND(($U741*Lists!$AN$11)+($V741*Lists!$AN$12)+($W741*Lists!$AN$13)+($X741*Lists!$AN$14)+($Y741*Lists!$AN$15),2))</f>
        <v/>
      </c>
      <c r="AA741" s="64" t="str">
        <f>IF(OR($B741="", $N741="", $O741="", $T741="", $Z741=""),"",ROUND(($N741*Lists!$AN$16)-($O741*Lists!$AN$17)-($T741*Lists!$AN$18)+($Z741*Lists!$AN$19),2))</f>
        <v/>
      </c>
      <c r="AB741" s="63" t="str">
        <f t="shared" si="45"/>
        <v/>
      </c>
      <c r="AC741" s="63" t="str">
        <f t="shared" si="46"/>
        <v/>
      </c>
      <c r="AD741" s="63" t="str">
        <f>IF($A741="","",IFERROR(IF(VLOOKUP($A741,'Risk Register'!$B$2:$H$1000,4,FALSE())&gt;=4,"Yes",""),""))</f>
        <v/>
      </c>
      <c r="AE741" s="63" t="str">
        <f t="shared" si="47"/>
        <v/>
      </c>
      <c r="AF741" s="62"/>
      <c r="AG741" s="62"/>
      <c r="AH741" s="62"/>
      <c r="AI741" s="62"/>
      <c r="AJ741" s="62"/>
      <c r="AK741" s="62"/>
      <c r="AL741" s="62"/>
      <c r="AM741" s="62"/>
      <c r="AN741" s="62"/>
      <c r="AO741" s="62"/>
      <c r="AP741" s="62"/>
      <c r="AQ741" s="80"/>
    </row>
    <row r="742" spans="1:43" ht="15.75" customHeight="1" x14ac:dyDescent="0.2">
      <c r="A742" s="63" t="str">
        <f t="shared" si="44"/>
        <v/>
      </c>
      <c r="B742" s="62"/>
      <c r="C742" s="62"/>
      <c r="D742" s="62"/>
      <c r="E742" s="62"/>
      <c r="F742" s="62"/>
      <c r="G742" s="62"/>
      <c r="H742" s="62"/>
      <c r="I742" s="66"/>
      <c r="J742" s="66"/>
      <c r="K742" s="66"/>
      <c r="L742" s="66"/>
      <c r="M742" s="66"/>
      <c r="N742" s="64" t="str">
        <f>IF(OR($B742="", $I742="", $J742="", $K742="", $L742="", $M742=""),"",ROUND(($I742*Lists!$AN$2)+($J742*Lists!$AN$3)+($K742*Lists!$AN$4)+($L742*Lists!$AN$5)+($M742*Lists!$AN$6),2))</f>
        <v/>
      </c>
      <c r="O742" s="64" t="str">
        <f>IF($A742="","",IFERROR(VLOOKUP($A742,'Risk Register'!$B$2:$I$1000,8,FALSE()),""))</f>
        <v/>
      </c>
      <c r="P742" s="66"/>
      <c r="Q742" s="66"/>
      <c r="R742" s="66"/>
      <c r="S742" s="66"/>
      <c r="T742" s="64" t="str">
        <f>IF(OR($B742="", $P742="", $Q742="", $R742="", $S742=""),"",ROUND(($P742*Lists!$AN$7)+($Q742*Lists!$AN$8)+($R742*Lists!$AN$9)+($S742*Lists!$AN$10),2))</f>
        <v/>
      </c>
      <c r="U742" s="66"/>
      <c r="V742" s="66"/>
      <c r="W742" s="66"/>
      <c r="X742" s="66"/>
      <c r="Y742" s="66"/>
      <c r="Z742" s="64" t="str">
        <f>IF(OR($B742="", $U742="", $V742="", $W742="", $X742="", $Y742=""),"",ROUND(($U742*Lists!$AN$11)+($V742*Lists!$AN$12)+($W742*Lists!$AN$13)+($X742*Lists!$AN$14)+($Y742*Lists!$AN$15),2))</f>
        <v/>
      </c>
      <c r="AA742" s="64" t="str">
        <f>IF(OR($B742="", $N742="", $O742="", $T742="", $Z742=""),"",ROUND(($N742*Lists!$AN$16)-($O742*Lists!$AN$17)-($T742*Lists!$AN$18)+($Z742*Lists!$AN$19),2))</f>
        <v/>
      </c>
      <c r="AB742" s="63" t="str">
        <f t="shared" si="45"/>
        <v/>
      </c>
      <c r="AC742" s="63" t="str">
        <f t="shared" si="46"/>
        <v/>
      </c>
      <c r="AD742" s="63" t="str">
        <f>IF($A742="","",IFERROR(IF(VLOOKUP($A742,'Risk Register'!$B$2:$H$1000,4,FALSE())&gt;=4,"Yes",""),""))</f>
        <v/>
      </c>
      <c r="AE742" s="63" t="str">
        <f t="shared" si="47"/>
        <v/>
      </c>
      <c r="AF742" s="62"/>
      <c r="AG742" s="62"/>
      <c r="AH742" s="62"/>
      <c r="AI742" s="62"/>
      <c r="AJ742" s="62"/>
      <c r="AK742" s="62"/>
      <c r="AL742" s="62"/>
      <c r="AM742" s="62"/>
      <c r="AN742" s="62"/>
      <c r="AO742" s="62"/>
      <c r="AP742" s="62"/>
      <c r="AQ742" s="80"/>
    </row>
    <row r="743" spans="1:43" ht="15.75" customHeight="1" x14ac:dyDescent="0.2">
      <c r="A743" s="63" t="str">
        <f t="shared" si="44"/>
        <v/>
      </c>
      <c r="B743" s="62"/>
      <c r="C743" s="62"/>
      <c r="D743" s="62"/>
      <c r="E743" s="62"/>
      <c r="F743" s="62"/>
      <c r="G743" s="62"/>
      <c r="H743" s="62"/>
      <c r="I743" s="66"/>
      <c r="J743" s="66"/>
      <c r="K743" s="66"/>
      <c r="L743" s="66"/>
      <c r="M743" s="66"/>
      <c r="N743" s="64" t="str">
        <f>IF(OR($B743="", $I743="", $J743="", $K743="", $L743="", $M743=""),"",ROUND(($I743*Lists!$AN$2)+($J743*Lists!$AN$3)+($K743*Lists!$AN$4)+($L743*Lists!$AN$5)+($M743*Lists!$AN$6),2))</f>
        <v/>
      </c>
      <c r="O743" s="64" t="str">
        <f>IF($A743="","",IFERROR(VLOOKUP($A743,'Risk Register'!$B$2:$I$1000,8,FALSE()),""))</f>
        <v/>
      </c>
      <c r="P743" s="66"/>
      <c r="Q743" s="66"/>
      <c r="R743" s="66"/>
      <c r="S743" s="66"/>
      <c r="T743" s="64" t="str">
        <f>IF(OR($B743="", $P743="", $Q743="", $R743="", $S743=""),"",ROUND(($P743*Lists!$AN$7)+($Q743*Lists!$AN$8)+($R743*Lists!$AN$9)+($S743*Lists!$AN$10),2))</f>
        <v/>
      </c>
      <c r="U743" s="66"/>
      <c r="V743" s="66"/>
      <c r="W743" s="66"/>
      <c r="X743" s="66"/>
      <c r="Y743" s="66"/>
      <c r="Z743" s="64" t="str">
        <f>IF(OR($B743="", $U743="", $V743="", $W743="", $X743="", $Y743=""),"",ROUND(($U743*Lists!$AN$11)+($V743*Lists!$AN$12)+($W743*Lists!$AN$13)+($X743*Lists!$AN$14)+($Y743*Lists!$AN$15),2))</f>
        <v/>
      </c>
      <c r="AA743" s="64" t="str">
        <f>IF(OR($B743="", $N743="", $O743="", $T743="", $Z743=""),"",ROUND(($N743*Lists!$AN$16)-($O743*Lists!$AN$17)-($T743*Lists!$AN$18)+($Z743*Lists!$AN$19),2))</f>
        <v/>
      </c>
      <c r="AB743" s="63" t="str">
        <f t="shared" si="45"/>
        <v/>
      </c>
      <c r="AC743" s="63" t="str">
        <f t="shared" si="46"/>
        <v/>
      </c>
      <c r="AD743" s="63" t="str">
        <f>IF($A743="","",IFERROR(IF(VLOOKUP($A743,'Risk Register'!$B$2:$H$1000,4,FALSE())&gt;=4,"Yes",""),""))</f>
        <v/>
      </c>
      <c r="AE743" s="63" t="str">
        <f t="shared" si="47"/>
        <v/>
      </c>
      <c r="AF743" s="62"/>
      <c r="AG743" s="62"/>
      <c r="AH743" s="62"/>
      <c r="AI743" s="62"/>
      <c r="AJ743" s="62"/>
      <c r="AK743" s="62"/>
      <c r="AL743" s="62"/>
      <c r="AM743" s="62"/>
      <c r="AN743" s="62"/>
      <c r="AO743" s="62"/>
      <c r="AP743" s="62"/>
      <c r="AQ743" s="80"/>
    </row>
    <row r="744" spans="1:43" ht="15.75" customHeight="1" x14ac:dyDescent="0.2">
      <c r="A744" s="63" t="str">
        <f t="shared" si="44"/>
        <v/>
      </c>
      <c r="B744" s="62"/>
      <c r="C744" s="62"/>
      <c r="D744" s="62"/>
      <c r="E744" s="62"/>
      <c r="F744" s="62"/>
      <c r="G744" s="62"/>
      <c r="H744" s="62"/>
      <c r="I744" s="66"/>
      <c r="J744" s="66"/>
      <c r="K744" s="66"/>
      <c r="L744" s="66"/>
      <c r="M744" s="66"/>
      <c r="N744" s="64" t="str">
        <f>IF(OR($B744="", $I744="", $J744="", $K744="", $L744="", $M744=""),"",ROUND(($I744*Lists!$AN$2)+($J744*Lists!$AN$3)+($K744*Lists!$AN$4)+($L744*Lists!$AN$5)+($M744*Lists!$AN$6),2))</f>
        <v/>
      </c>
      <c r="O744" s="64" t="str">
        <f>IF($A744="","",IFERROR(VLOOKUP($A744,'Risk Register'!$B$2:$I$1000,8,FALSE()),""))</f>
        <v/>
      </c>
      <c r="P744" s="66"/>
      <c r="Q744" s="66"/>
      <c r="R744" s="66"/>
      <c r="S744" s="66"/>
      <c r="T744" s="64" t="str">
        <f>IF(OR($B744="", $P744="", $Q744="", $R744="", $S744=""),"",ROUND(($P744*Lists!$AN$7)+($Q744*Lists!$AN$8)+($R744*Lists!$AN$9)+($S744*Lists!$AN$10),2))</f>
        <v/>
      </c>
      <c r="U744" s="66"/>
      <c r="V744" s="66"/>
      <c r="W744" s="66"/>
      <c r="X744" s="66"/>
      <c r="Y744" s="66"/>
      <c r="Z744" s="64" t="str">
        <f>IF(OR($B744="", $U744="", $V744="", $W744="", $X744="", $Y744=""),"",ROUND(($U744*Lists!$AN$11)+($V744*Lists!$AN$12)+($W744*Lists!$AN$13)+($X744*Lists!$AN$14)+($Y744*Lists!$AN$15),2))</f>
        <v/>
      </c>
      <c r="AA744" s="64" t="str">
        <f>IF(OR($B744="", $N744="", $O744="", $T744="", $Z744=""),"",ROUND(($N744*Lists!$AN$16)-($O744*Lists!$AN$17)-($T744*Lists!$AN$18)+($Z744*Lists!$AN$19),2))</f>
        <v/>
      </c>
      <c r="AB744" s="63" t="str">
        <f t="shared" si="45"/>
        <v/>
      </c>
      <c r="AC744" s="63" t="str">
        <f t="shared" si="46"/>
        <v/>
      </c>
      <c r="AD744" s="63" t="str">
        <f>IF($A744="","",IFERROR(IF(VLOOKUP($A744,'Risk Register'!$B$2:$H$1000,4,FALSE())&gt;=4,"Yes",""),""))</f>
        <v/>
      </c>
      <c r="AE744" s="63" t="str">
        <f t="shared" si="47"/>
        <v/>
      </c>
      <c r="AF744" s="62"/>
      <c r="AG744" s="62"/>
      <c r="AH744" s="62"/>
      <c r="AI744" s="62"/>
      <c r="AJ744" s="62"/>
      <c r="AK744" s="62"/>
      <c r="AL744" s="62"/>
      <c r="AM744" s="62"/>
      <c r="AN744" s="62"/>
      <c r="AO744" s="62"/>
      <c r="AP744" s="62"/>
      <c r="AQ744" s="80"/>
    </row>
    <row r="745" spans="1:43" ht="15.75" customHeight="1" x14ac:dyDescent="0.2">
      <c r="A745" s="63" t="str">
        <f t="shared" si="44"/>
        <v/>
      </c>
      <c r="B745" s="62"/>
      <c r="C745" s="62"/>
      <c r="D745" s="62"/>
      <c r="E745" s="62"/>
      <c r="F745" s="62"/>
      <c r="G745" s="62"/>
      <c r="H745" s="62"/>
      <c r="I745" s="66"/>
      <c r="J745" s="66"/>
      <c r="K745" s="66"/>
      <c r="L745" s="66"/>
      <c r="M745" s="66"/>
      <c r="N745" s="64" t="str">
        <f>IF(OR($B745="", $I745="", $J745="", $K745="", $L745="", $M745=""),"",ROUND(($I745*Lists!$AN$2)+($J745*Lists!$AN$3)+($K745*Lists!$AN$4)+($L745*Lists!$AN$5)+($M745*Lists!$AN$6),2))</f>
        <v/>
      </c>
      <c r="O745" s="64" t="str">
        <f>IF($A745="","",IFERROR(VLOOKUP($A745,'Risk Register'!$B$2:$I$1000,8,FALSE()),""))</f>
        <v/>
      </c>
      <c r="P745" s="66"/>
      <c r="Q745" s="66"/>
      <c r="R745" s="66"/>
      <c r="S745" s="66"/>
      <c r="T745" s="64" t="str">
        <f>IF(OR($B745="", $P745="", $Q745="", $R745="", $S745=""),"",ROUND(($P745*Lists!$AN$7)+($Q745*Lists!$AN$8)+($R745*Lists!$AN$9)+($S745*Lists!$AN$10),2))</f>
        <v/>
      </c>
      <c r="U745" s="66"/>
      <c r="V745" s="66"/>
      <c r="W745" s="66"/>
      <c r="X745" s="66"/>
      <c r="Y745" s="66"/>
      <c r="Z745" s="64" t="str">
        <f>IF(OR($B745="", $U745="", $V745="", $W745="", $X745="", $Y745=""),"",ROUND(($U745*Lists!$AN$11)+($V745*Lists!$AN$12)+($W745*Lists!$AN$13)+($X745*Lists!$AN$14)+($Y745*Lists!$AN$15),2))</f>
        <v/>
      </c>
      <c r="AA745" s="64" t="str">
        <f>IF(OR($B745="", $N745="", $O745="", $T745="", $Z745=""),"",ROUND(($N745*Lists!$AN$16)-($O745*Lists!$AN$17)-($T745*Lists!$AN$18)+($Z745*Lists!$AN$19),2))</f>
        <v/>
      </c>
      <c r="AB745" s="63" t="str">
        <f t="shared" si="45"/>
        <v/>
      </c>
      <c r="AC745" s="63" t="str">
        <f t="shared" si="46"/>
        <v/>
      </c>
      <c r="AD745" s="63" t="str">
        <f>IF($A745="","",IFERROR(IF(VLOOKUP($A745,'Risk Register'!$B$2:$H$1000,4,FALSE())&gt;=4,"Yes",""),""))</f>
        <v/>
      </c>
      <c r="AE745" s="63" t="str">
        <f t="shared" si="47"/>
        <v/>
      </c>
      <c r="AF745" s="62"/>
      <c r="AG745" s="62"/>
      <c r="AH745" s="62"/>
      <c r="AI745" s="62"/>
      <c r="AJ745" s="62"/>
      <c r="AK745" s="62"/>
      <c r="AL745" s="62"/>
      <c r="AM745" s="62"/>
      <c r="AN745" s="62"/>
      <c r="AO745" s="62"/>
      <c r="AP745" s="62"/>
      <c r="AQ745" s="80"/>
    </row>
    <row r="746" spans="1:43" ht="15.75" customHeight="1" x14ac:dyDescent="0.2">
      <c r="A746" s="63" t="str">
        <f t="shared" si="44"/>
        <v/>
      </c>
      <c r="B746" s="62"/>
      <c r="C746" s="62"/>
      <c r="D746" s="62"/>
      <c r="E746" s="62"/>
      <c r="F746" s="62"/>
      <c r="G746" s="62"/>
      <c r="H746" s="62"/>
      <c r="I746" s="66"/>
      <c r="J746" s="66"/>
      <c r="K746" s="66"/>
      <c r="L746" s="66"/>
      <c r="M746" s="66"/>
      <c r="N746" s="64" t="str">
        <f>IF(OR($B746="", $I746="", $J746="", $K746="", $L746="", $M746=""),"",ROUND(($I746*Lists!$AN$2)+($J746*Lists!$AN$3)+($K746*Lists!$AN$4)+($L746*Lists!$AN$5)+($M746*Lists!$AN$6),2))</f>
        <v/>
      </c>
      <c r="O746" s="64" t="str">
        <f>IF($A746="","",IFERROR(VLOOKUP($A746,'Risk Register'!$B$2:$I$1000,8,FALSE()),""))</f>
        <v/>
      </c>
      <c r="P746" s="66"/>
      <c r="Q746" s="66"/>
      <c r="R746" s="66"/>
      <c r="S746" s="66"/>
      <c r="T746" s="64" t="str">
        <f>IF(OR($B746="", $P746="", $Q746="", $R746="", $S746=""),"",ROUND(($P746*Lists!$AN$7)+($Q746*Lists!$AN$8)+($R746*Lists!$AN$9)+($S746*Lists!$AN$10),2))</f>
        <v/>
      </c>
      <c r="U746" s="66"/>
      <c r="V746" s="66"/>
      <c r="W746" s="66"/>
      <c r="X746" s="66"/>
      <c r="Y746" s="66"/>
      <c r="Z746" s="64" t="str">
        <f>IF(OR($B746="", $U746="", $V746="", $W746="", $X746="", $Y746=""),"",ROUND(($U746*Lists!$AN$11)+($V746*Lists!$AN$12)+($W746*Lists!$AN$13)+($X746*Lists!$AN$14)+($Y746*Lists!$AN$15),2))</f>
        <v/>
      </c>
      <c r="AA746" s="64" t="str">
        <f>IF(OR($B746="", $N746="", $O746="", $T746="", $Z746=""),"",ROUND(($N746*Lists!$AN$16)-($O746*Lists!$AN$17)-($T746*Lists!$AN$18)+($Z746*Lists!$AN$19),2))</f>
        <v/>
      </c>
      <c r="AB746" s="63" t="str">
        <f t="shared" si="45"/>
        <v/>
      </c>
      <c r="AC746" s="63" t="str">
        <f t="shared" si="46"/>
        <v/>
      </c>
      <c r="AD746" s="63" t="str">
        <f>IF($A746="","",IFERROR(IF(VLOOKUP($A746,'Risk Register'!$B$2:$H$1000,4,FALSE())&gt;=4,"Yes",""),""))</f>
        <v/>
      </c>
      <c r="AE746" s="63" t="str">
        <f t="shared" si="47"/>
        <v/>
      </c>
      <c r="AF746" s="62"/>
      <c r="AG746" s="62"/>
      <c r="AH746" s="62"/>
      <c r="AI746" s="62"/>
      <c r="AJ746" s="62"/>
      <c r="AK746" s="62"/>
      <c r="AL746" s="62"/>
      <c r="AM746" s="62"/>
      <c r="AN746" s="62"/>
      <c r="AO746" s="62"/>
      <c r="AP746" s="62"/>
      <c r="AQ746" s="80"/>
    </row>
    <row r="747" spans="1:43" ht="15.75" customHeight="1" x14ac:dyDescent="0.2">
      <c r="A747" s="63" t="str">
        <f t="shared" si="44"/>
        <v/>
      </c>
      <c r="B747" s="62"/>
      <c r="C747" s="62"/>
      <c r="D747" s="62"/>
      <c r="E747" s="62"/>
      <c r="F747" s="62"/>
      <c r="G747" s="62"/>
      <c r="H747" s="62"/>
      <c r="I747" s="66"/>
      <c r="J747" s="66"/>
      <c r="K747" s="66"/>
      <c r="L747" s="66"/>
      <c r="M747" s="66"/>
      <c r="N747" s="64" t="str">
        <f>IF(OR($B747="", $I747="", $J747="", $K747="", $L747="", $M747=""),"",ROUND(($I747*Lists!$AN$2)+($J747*Lists!$AN$3)+($K747*Lists!$AN$4)+($L747*Lists!$AN$5)+($M747*Lists!$AN$6),2))</f>
        <v/>
      </c>
      <c r="O747" s="64" t="str">
        <f>IF($A747="","",IFERROR(VLOOKUP($A747,'Risk Register'!$B$2:$I$1000,8,FALSE()),""))</f>
        <v/>
      </c>
      <c r="P747" s="66"/>
      <c r="Q747" s="66"/>
      <c r="R747" s="66"/>
      <c r="S747" s="66"/>
      <c r="T747" s="64" t="str">
        <f>IF(OR($B747="", $P747="", $Q747="", $R747="", $S747=""),"",ROUND(($P747*Lists!$AN$7)+($Q747*Lists!$AN$8)+($R747*Lists!$AN$9)+($S747*Lists!$AN$10),2))</f>
        <v/>
      </c>
      <c r="U747" s="66"/>
      <c r="V747" s="66"/>
      <c r="W747" s="66"/>
      <c r="X747" s="66"/>
      <c r="Y747" s="66"/>
      <c r="Z747" s="64" t="str">
        <f>IF(OR($B747="", $U747="", $V747="", $W747="", $X747="", $Y747=""),"",ROUND(($U747*Lists!$AN$11)+($V747*Lists!$AN$12)+($W747*Lists!$AN$13)+($X747*Lists!$AN$14)+($Y747*Lists!$AN$15),2))</f>
        <v/>
      </c>
      <c r="AA747" s="64" t="str">
        <f>IF(OR($B747="", $N747="", $O747="", $T747="", $Z747=""),"",ROUND(($N747*Lists!$AN$16)-($O747*Lists!$AN$17)-($T747*Lists!$AN$18)+($Z747*Lists!$AN$19),2))</f>
        <v/>
      </c>
      <c r="AB747" s="63" t="str">
        <f t="shared" si="45"/>
        <v/>
      </c>
      <c r="AC747" s="63" t="str">
        <f t="shared" si="46"/>
        <v/>
      </c>
      <c r="AD747" s="63" t="str">
        <f>IF($A747="","",IFERROR(IF(VLOOKUP($A747,'Risk Register'!$B$2:$H$1000,4,FALSE())&gt;=4,"Yes",""),""))</f>
        <v/>
      </c>
      <c r="AE747" s="63" t="str">
        <f t="shared" si="47"/>
        <v/>
      </c>
      <c r="AF747" s="62"/>
      <c r="AG747" s="62"/>
      <c r="AH747" s="62"/>
      <c r="AI747" s="62"/>
      <c r="AJ747" s="62"/>
      <c r="AK747" s="62"/>
      <c r="AL747" s="62"/>
      <c r="AM747" s="62"/>
      <c r="AN747" s="62"/>
      <c r="AO747" s="62"/>
      <c r="AP747" s="62"/>
      <c r="AQ747" s="80"/>
    </row>
    <row r="748" spans="1:43" ht="15.75" customHeight="1" x14ac:dyDescent="0.2">
      <c r="A748" s="63" t="str">
        <f t="shared" si="44"/>
        <v/>
      </c>
      <c r="B748" s="62"/>
      <c r="C748" s="62"/>
      <c r="D748" s="62"/>
      <c r="E748" s="62"/>
      <c r="F748" s="62"/>
      <c r="G748" s="62"/>
      <c r="H748" s="62"/>
      <c r="I748" s="66"/>
      <c r="J748" s="66"/>
      <c r="K748" s="66"/>
      <c r="L748" s="66"/>
      <c r="M748" s="66"/>
      <c r="N748" s="64" t="str">
        <f>IF(OR($B748="", $I748="", $J748="", $K748="", $L748="", $M748=""),"",ROUND(($I748*Lists!$AN$2)+($J748*Lists!$AN$3)+($K748*Lists!$AN$4)+($L748*Lists!$AN$5)+($M748*Lists!$AN$6),2))</f>
        <v/>
      </c>
      <c r="O748" s="64" t="str">
        <f>IF($A748="","",IFERROR(VLOOKUP($A748,'Risk Register'!$B$2:$I$1000,8,FALSE()),""))</f>
        <v/>
      </c>
      <c r="P748" s="66"/>
      <c r="Q748" s="66"/>
      <c r="R748" s="66"/>
      <c r="S748" s="66"/>
      <c r="T748" s="64" t="str">
        <f>IF(OR($B748="", $P748="", $Q748="", $R748="", $S748=""),"",ROUND(($P748*Lists!$AN$7)+($Q748*Lists!$AN$8)+($R748*Lists!$AN$9)+($S748*Lists!$AN$10),2))</f>
        <v/>
      </c>
      <c r="U748" s="66"/>
      <c r="V748" s="66"/>
      <c r="W748" s="66"/>
      <c r="X748" s="66"/>
      <c r="Y748" s="66"/>
      <c r="Z748" s="64" t="str">
        <f>IF(OR($B748="", $U748="", $V748="", $W748="", $X748="", $Y748=""),"",ROUND(($U748*Lists!$AN$11)+($V748*Lists!$AN$12)+($W748*Lists!$AN$13)+($X748*Lists!$AN$14)+($Y748*Lists!$AN$15),2))</f>
        <v/>
      </c>
      <c r="AA748" s="64" t="str">
        <f>IF(OR($B748="", $N748="", $O748="", $T748="", $Z748=""),"",ROUND(($N748*Lists!$AN$16)-($O748*Lists!$AN$17)-($T748*Lists!$AN$18)+($Z748*Lists!$AN$19),2))</f>
        <v/>
      </c>
      <c r="AB748" s="63" t="str">
        <f t="shared" si="45"/>
        <v/>
      </c>
      <c r="AC748" s="63" t="str">
        <f t="shared" si="46"/>
        <v/>
      </c>
      <c r="AD748" s="63" t="str">
        <f>IF($A748="","",IFERROR(IF(VLOOKUP($A748,'Risk Register'!$B$2:$H$1000,4,FALSE())&gt;=4,"Yes",""),""))</f>
        <v/>
      </c>
      <c r="AE748" s="63" t="str">
        <f t="shared" si="47"/>
        <v/>
      </c>
      <c r="AF748" s="62"/>
      <c r="AG748" s="62"/>
      <c r="AH748" s="62"/>
      <c r="AI748" s="62"/>
      <c r="AJ748" s="62"/>
      <c r="AK748" s="62"/>
      <c r="AL748" s="62"/>
      <c r="AM748" s="62"/>
      <c r="AN748" s="62"/>
      <c r="AO748" s="62"/>
      <c r="AP748" s="62"/>
      <c r="AQ748" s="80"/>
    </row>
    <row r="749" spans="1:43" ht="15.75" customHeight="1" x14ac:dyDescent="0.2">
      <c r="A749" s="63" t="str">
        <f t="shared" si="44"/>
        <v/>
      </c>
      <c r="B749" s="62"/>
      <c r="C749" s="62"/>
      <c r="D749" s="62"/>
      <c r="E749" s="62"/>
      <c r="F749" s="62"/>
      <c r="G749" s="62"/>
      <c r="H749" s="62"/>
      <c r="I749" s="66"/>
      <c r="J749" s="66"/>
      <c r="K749" s="66"/>
      <c r="L749" s="66"/>
      <c r="M749" s="66"/>
      <c r="N749" s="64" t="str">
        <f>IF(OR($B749="", $I749="", $J749="", $K749="", $L749="", $M749=""),"",ROUND(($I749*Lists!$AN$2)+($J749*Lists!$AN$3)+($K749*Lists!$AN$4)+($L749*Lists!$AN$5)+($M749*Lists!$AN$6),2))</f>
        <v/>
      </c>
      <c r="O749" s="64" t="str">
        <f>IF($A749="","",IFERROR(VLOOKUP($A749,'Risk Register'!$B$2:$I$1000,8,FALSE()),""))</f>
        <v/>
      </c>
      <c r="P749" s="66"/>
      <c r="Q749" s="66"/>
      <c r="R749" s="66"/>
      <c r="S749" s="66"/>
      <c r="T749" s="64" t="str">
        <f>IF(OR($B749="", $P749="", $Q749="", $R749="", $S749=""),"",ROUND(($P749*Lists!$AN$7)+($Q749*Lists!$AN$8)+($R749*Lists!$AN$9)+($S749*Lists!$AN$10),2))</f>
        <v/>
      </c>
      <c r="U749" s="66"/>
      <c r="V749" s="66"/>
      <c r="W749" s="66"/>
      <c r="X749" s="66"/>
      <c r="Y749" s="66"/>
      <c r="Z749" s="64" t="str">
        <f>IF(OR($B749="", $U749="", $V749="", $W749="", $X749="", $Y749=""),"",ROUND(($U749*Lists!$AN$11)+($V749*Lists!$AN$12)+($W749*Lists!$AN$13)+($X749*Lists!$AN$14)+($Y749*Lists!$AN$15),2))</f>
        <v/>
      </c>
      <c r="AA749" s="64" t="str">
        <f>IF(OR($B749="", $N749="", $O749="", $T749="", $Z749=""),"",ROUND(($N749*Lists!$AN$16)-($O749*Lists!$AN$17)-($T749*Lists!$AN$18)+($Z749*Lists!$AN$19),2))</f>
        <v/>
      </c>
      <c r="AB749" s="63" t="str">
        <f t="shared" si="45"/>
        <v/>
      </c>
      <c r="AC749" s="63" t="str">
        <f t="shared" si="46"/>
        <v/>
      </c>
      <c r="AD749" s="63" t="str">
        <f>IF($A749="","",IFERROR(IF(VLOOKUP($A749,'Risk Register'!$B$2:$H$1000,4,FALSE())&gt;=4,"Yes",""),""))</f>
        <v/>
      </c>
      <c r="AE749" s="63" t="str">
        <f t="shared" si="47"/>
        <v/>
      </c>
      <c r="AF749" s="62"/>
      <c r="AG749" s="62"/>
      <c r="AH749" s="62"/>
      <c r="AI749" s="62"/>
      <c r="AJ749" s="62"/>
      <c r="AK749" s="62"/>
      <c r="AL749" s="62"/>
      <c r="AM749" s="62"/>
      <c r="AN749" s="62"/>
      <c r="AO749" s="62"/>
      <c r="AP749" s="62"/>
      <c r="AQ749" s="80"/>
    </row>
    <row r="750" spans="1:43" ht="15.75" customHeight="1" x14ac:dyDescent="0.2">
      <c r="A750" s="63" t="str">
        <f t="shared" si="44"/>
        <v/>
      </c>
      <c r="B750" s="62"/>
      <c r="C750" s="62"/>
      <c r="D750" s="62"/>
      <c r="E750" s="62"/>
      <c r="F750" s="62"/>
      <c r="G750" s="62"/>
      <c r="H750" s="62"/>
      <c r="I750" s="66"/>
      <c r="J750" s="66"/>
      <c r="K750" s="66"/>
      <c r="L750" s="66"/>
      <c r="M750" s="66"/>
      <c r="N750" s="64" t="str">
        <f>IF(OR($B750="", $I750="", $J750="", $K750="", $L750="", $M750=""),"",ROUND(($I750*Lists!$AN$2)+($J750*Lists!$AN$3)+($K750*Lists!$AN$4)+($L750*Lists!$AN$5)+($M750*Lists!$AN$6),2))</f>
        <v/>
      </c>
      <c r="O750" s="64" t="str">
        <f>IF($A750="","",IFERROR(VLOOKUP($A750,'Risk Register'!$B$2:$I$1000,8,FALSE()),""))</f>
        <v/>
      </c>
      <c r="P750" s="66"/>
      <c r="Q750" s="66"/>
      <c r="R750" s="66"/>
      <c r="S750" s="66"/>
      <c r="T750" s="64" t="str">
        <f>IF(OR($B750="", $P750="", $Q750="", $R750="", $S750=""),"",ROUND(($P750*Lists!$AN$7)+($Q750*Lists!$AN$8)+($R750*Lists!$AN$9)+($S750*Lists!$AN$10),2))</f>
        <v/>
      </c>
      <c r="U750" s="66"/>
      <c r="V750" s="66"/>
      <c r="W750" s="66"/>
      <c r="X750" s="66"/>
      <c r="Y750" s="66"/>
      <c r="Z750" s="64" t="str">
        <f>IF(OR($B750="", $U750="", $V750="", $W750="", $X750="", $Y750=""),"",ROUND(($U750*Lists!$AN$11)+($V750*Lists!$AN$12)+($W750*Lists!$AN$13)+($X750*Lists!$AN$14)+($Y750*Lists!$AN$15),2))</f>
        <v/>
      </c>
      <c r="AA750" s="64" t="str">
        <f>IF(OR($B750="", $N750="", $O750="", $T750="", $Z750=""),"",ROUND(($N750*Lists!$AN$16)-($O750*Lists!$AN$17)-($T750*Lists!$AN$18)+($Z750*Lists!$AN$19),2))</f>
        <v/>
      </c>
      <c r="AB750" s="63" t="str">
        <f t="shared" si="45"/>
        <v/>
      </c>
      <c r="AC750" s="63" t="str">
        <f t="shared" si="46"/>
        <v/>
      </c>
      <c r="AD750" s="63" t="str">
        <f>IF($A750="","",IFERROR(IF(VLOOKUP($A750,'Risk Register'!$B$2:$H$1000,4,FALSE())&gt;=4,"Yes",""),""))</f>
        <v/>
      </c>
      <c r="AE750" s="63" t="str">
        <f t="shared" si="47"/>
        <v/>
      </c>
      <c r="AF750" s="62"/>
      <c r="AG750" s="62"/>
      <c r="AH750" s="62"/>
      <c r="AI750" s="62"/>
      <c r="AJ750" s="62"/>
      <c r="AK750" s="62"/>
      <c r="AL750" s="62"/>
      <c r="AM750" s="62"/>
      <c r="AN750" s="62"/>
      <c r="AO750" s="62"/>
      <c r="AP750" s="62"/>
      <c r="AQ750" s="80"/>
    </row>
    <row r="751" spans="1:43" ht="15.75" customHeight="1" x14ac:dyDescent="0.2">
      <c r="A751" s="63" t="str">
        <f t="shared" si="44"/>
        <v/>
      </c>
      <c r="B751" s="62"/>
      <c r="C751" s="62"/>
      <c r="D751" s="62"/>
      <c r="E751" s="62"/>
      <c r="F751" s="62"/>
      <c r="G751" s="62"/>
      <c r="H751" s="62"/>
      <c r="I751" s="66"/>
      <c r="J751" s="66"/>
      <c r="K751" s="66"/>
      <c r="L751" s="66"/>
      <c r="M751" s="66"/>
      <c r="N751" s="64" t="str">
        <f>IF(OR($B751="", $I751="", $J751="", $K751="", $L751="", $M751=""),"",ROUND(($I751*Lists!$AN$2)+($J751*Lists!$AN$3)+($K751*Lists!$AN$4)+($L751*Lists!$AN$5)+($M751*Lists!$AN$6),2))</f>
        <v/>
      </c>
      <c r="O751" s="64" t="str">
        <f>IF($A751="","",IFERROR(VLOOKUP($A751,'Risk Register'!$B$2:$I$1000,8,FALSE()),""))</f>
        <v/>
      </c>
      <c r="P751" s="66"/>
      <c r="Q751" s="66"/>
      <c r="R751" s="66"/>
      <c r="S751" s="66"/>
      <c r="T751" s="64" t="str">
        <f>IF(OR($B751="", $P751="", $Q751="", $R751="", $S751=""),"",ROUND(($P751*Lists!$AN$7)+($Q751*Lists!$AN$8)+($R751*Lists!$AN$9)+($S751*Lists!$AN$10),2))</f>
        <v/>
      </c>
      <c r="U751" s="66"/>
      <c r="V751" s="66"/>
      <c r="W751" s="66"/>
      <c r="X751" s="66"/>
      <c r="Y751" s="66"/>
      <c r="Z751" s="64" t="str">
        <f>IF(OR($B751="", $U751="", $V751="", $W751="", $X751="", $Y751=""),"",ROUND(($U751*Lists!$AN$11)+($V751*Lists!$AN$12)+($W751*Lists!$AN$13)+($X751*Lists!$AN$14)+($Y751*Lists!$AN$15),2))</f>
        <v/>
      </c>
      <c r="AA751" s="64" t="str">
        <f>IF(OR($B751="", $N751="", $O751="", $T751="", $Z751=""),"",ROUND(($N751*Lists!$AN$16)-($O751*Lists!$AN$17)-($T751*Lists!$AN$18)+($Z751*Lists!$AN$19),2))</f>
        <v/>
      </c>
      <c r="AB751" s="63" t="str">
        <f t="shared" si="45"/>
        <v/>
      </c>
      <c r="AC751" s="63" t="str">
        <f t="shared" si="46"/>
        <v/>
      </c>
      <c r="AD751" s="63" t="str">
        <f>IF($A751="","",IFERROR(IF(VLOOKUP($A751,'Risk Register'!$B$2:$H$1000,4,FALSE())&gt;=4,"Yes",""),""))</f>
        <v/>
      </c>
      <c r="AE751" s="63" t="str">
        <f t="shared" si="47"/>
        <v/>
      </c>
      <c r="AF751" s="62"/>
      <c r="AG751" s="62"/>
      <c r="AH751" s="62"/>
      <c r="AI751" s="62"/>
      <c r="AJ751" s="62"/>
      <c r="AK751" s="62"/>
      <c r="AL751" s="62"/>
      <c r="AM751" s="62"/>
      <c r="AN751" s="62"/>
      <c r="AO751" s="62"/>
      <c r="AP751" s="62"/>
      <c r="AQ751" s="80"/>
    </row>
    <row r="752" spans="1:43" ht="15.75" customHeight="1" x14ac:dyDescent="0.2">
      <c r="A752" s="63" t="str">
        <f t="shared" si="44"/>
        <v/>
      </c>
      <c r="B752" s="62"/>
      <c r="C752" s="62"/>
      <c r="D752" s="62"/>
      <c r="E752" s="62"/>
      <c r="F752" s="62"/>
      <c r="G752" s="62"/>
      <c r="H752" s="62"/>
      <c r="I752" s="66"/>
      <c r="J752" s="66"/>
      <c r="K752" s="66"/>
      <c r="L752" s="66"/>
      <c r="M752" s="66"/>
      <c r="N752" s="64" t="str">
        <f>IF(OR($B752="", $I752="", $J752="", $K752="", $L752="", $M752=""),"",ROUND(($I752*Lists!$AN$2)+($J752*Lists!$AN$3)+($K752*Lists!$AN$4)+($L752*Lists!$AN$5)+($M752*Lists!$AN$6),2))</f>
        <v/>
      </c>
      <c r="O752" s="64" t="str">
        <f>IF($A752="","",IFERROR(VLOOKUP($A752,'Risk Register'!$B$2:$I$1000,8,FALSE()),""))</f>
        <v/>
      </c>
      <c r="P752" s="66"/>
      <c r="Q752" s="66"/>
      <c r="R752" s="66"/>
      <c r="S752" s="66"/>
      <c r="T752" s="64" t="str">
        <f>IF(OR($B752="", $P752="", $Q752="", $R752="", $S752=""),"",ROUND(($P752*Lists!$AN$7)+($Q752*Lists!$AN$8)+($R752*Lists!$AN$9)+($S752*Lists!$AN$10),2))</f>
        <v/>
      </c>
      <c r="U752" s="66"/>
      <c r="V752" s="66"/>
      <c r="W752" s="66"/>
      <c r="X752" s="66"/>
      <c r="Y752" s="66"/>
      <c r="Z752" s="64" t="str">
        <f>IF(OR($B752="", $U752="", $V752="", $W752="", $X752="", $Y752=""),"",ROUND(($U752*Lists!$AN$11)+($V752*Lists!$AN$12)+($W752*Lists!$AN$13)+($X752*Lists!$AN$14)+($Y752*Lists!$AN$15),2))</f>
        <v/>
      </c>
      <c r="AA752" s="64" t="str">
        <f>IF(OR($B752="", $N752="", $O752="", $T752="", $Z752=""),"",ROUND(($N752*Lists!$AN$16)-($O752*Lists!$AN$17)-($T752*Lists!$AN$18)+($Z752*Lists!$AN$19),2))</f>
        <v/>
      </c>
      <c r="AB752" s="63" t="str">
        <f t="shared" si="45"/>
        <v/>
      </c>
      <c r="AC752" s="63" t="str">
        <f t="shared" si="46"/>
        <v/>
      </c>
      <c r="AD752" s="63" t="str">
        <f>IF($A752="","",IFERROR(IF(VLOOKUP($A752,'Risk Register'!$B$2:$H$1000,4,FALSE())&gt;=4,"Yes",""),""))</f>
        <v/>
      </c>
      <c r="AE752" s="63" t="str">
        <f t="shared" si="47"/>
        <v/>
      </c>
      <c r="AF752" s="62"/>
      <c r="AG752" s="62"/>
      <c r="AH752" s="62"/>
      <c r="AI752" s="62"/>
      <c r="AJ752" s="62"/>
      <c r="AK752" s="62"/>
      <c r="AL752" s="62"/>
      <c r="AM752" s="62"/>
      <c r="AN752" s="62"/>
      <c r="AO752" s="62"/>
      <c r="AP752" s="62"/>
      <c r="AQ752" s="80"/>
    </row>
    <row r="753" spans="1:43" ht="15.75" customHeight="1" x14ac:dyDescent="0.2">
      <c r="A753" s="63" t="str">
        <f t="shared" si="44"/>
        <v/>
      </c>
      <c r="B753" s="62"/>
      <c r="C753" s="62"/>
      <c r="D753" s="62"/>
      <c r="E753" s="62"/>
      <c r="F753" s="62"/>
      <c r="G753" s="62"/>
      <c r="H753" s="62"/>
      <c r="I753" s="66"/>
      <c r="J753" s="66"/>
      <c r="K753" s="66"/>
      <c r="L753" s="66"/>
      <c r="M753" s="66"/>
      <c r="N753" s="64" t="str">
        <f>IF(OR($B753="", $I753="", $J753="", $K753="", $L753="", $M753=""),"",ROUND(($I753*Lists!$AN$2)+($J753*Lists!$AN$3)+($K753*Lists!$AN$4)+($L753*Lists!$AN$5)+($M753*Lists!$AN$6),2))</f>
        <v/>
      </c>
      <c r="O753" s="64" t="str">
        <f>IF($A753="","",IFERROR(VLOOKUP($A753,'Risk Register'!$B$2:$I$1000,8,FALSE()),""))</f>
        <v/>
      </c>
      <c r="P753" s="66"/>
      <c r="Q753" s="66"/>
      <c r="R753" s="66"/>
      <c r="S753" s="66"/>
      <c r="T753" s="64" t="str">
        <f>IF(OR($B753="", $P753="", $Q753="", $R753="", $S753=""),"",ROUND(($P753*Lists!$AN$7)+($Q753*Lists!$AN$8)+($R753*Lists!$AN$9)+($S753*Lists!$AN$10),2))</f>
        <v/>
      </c>
      <c r="U753" s="66"/>
      <c r="V753" s="66"/>
      <c r="W753" s="66"/>
      <c r="X753" s="66"/>
      <c r="Y753" s="66"/>
      <c r="Z753" s="64" t="str">
        <f>IF(OR($B753="", $U753="", $V753="", $W753="", $X753="", $Y753=""),"",ROUND(($U753*Lists!$AN$11)+($V753*Lists!$AN$12)+($W753*Lists!$AN$13)+($X753*Lists!$AN$14)+($Y753*Lists!$AN$15),2))</f>
        <v/>
      </c>
      <c r="AA753" s="64" t="str">
        <f>IF(OR($B753="", $N753="", $O753="", $T753="", $Z753=""),"",ROUND(($N753*Lists!$AN$16)-($O753*Lists!$AN$17)-($T753*Lists!$AN$18)+($Z753*Lists!$AN$19),2))</f>
        <v/>
      </c>
      <c r="AB753" s="63" t="str">
        <f t="shared" si="45"/>
        <v/>
      </c>
      <c r="AC753" s="63" t="str">
        <f t="shared" si="46"/>
        <v/>
      </c>
      <c r="AD753" s="63" t="str">
        <f>IF($A753="","",IFERROR(IF(VLOOKUP($A753,'Risk Register'!$B$2:$H$1000,4,FALSE())&gt;=4,"Yes",""),""))</f>
        <v/>
      </c>
      <c r="AE753" s="63" t="str">
        <f t="shared" si="47"/>
        <v/>
      </c>
      <c r="AF753" s="62"/>
      <c r="AG753" s="62"/>
      <c r="AH753" s="62"/>
      <c r="AI753" s="62"/>
      <c r="AJ753" s="62"/>
      <c r="AK753" s="62"/>
      <c r="AL753" s="62"/>
      <c r="AM753" s="62"/>
      <c r="AN753" s="62"/>
      <c r="AO753" s="62"/>
      <c r="AP753" s="62"/>
      <c r="AQ753" s="80"/>
    </row>
    <row r="754" spans="1:43" ht="15.75" customHeight="1" x14ac:dyDescent="0.2">
      <c r="A754" s="63" t="str">
        <f t="shared" si="44"/>
        <v/>
      </c>
      <c r="B754" s="62"/>
      <c r="C754" s="62"/>
      <c r="D754" s="62"/>
      <c r="E754" s="62"/>
      <c r="F754" s="62"/>
      <c r="G754" s="62"/>
      <c r="H754" s="62"/>
      <c r="I754" s="66"/>
      <c r="J754" s="66"/>
      <c r="K754" s="66"/>
      <c r="L754" s="66"/>
      <c r="M754" s="66"/>
      <c r="N754" s="64" t="str">
        <f>IF(OR($B754="", $I754="", $J754="", $K754="", $L754="", $M754=""),"",ROUND(($I754*Lists!$AN$2)+($J754*Lists!$AN$3)+($K754*Lists!$AN$4)+($L754*Lists!$AN$5)+($M754*Lists!$AN$6),2))</f>
        <v/>
      </c>
      <c r="O754" s="64" t="str">
        <f>IF($A754="","",IFERROR(VLOOKUP($A754,'Risk Register'!$B$2:$I$1000,8,FALSE()),""))</f>
        <v/>
      </c>
      <c r="P754" s="66"/>
      <c r="Q754" s="66"/>
      <c r="R754" s="66"/>
      <c r="S754" s="66"/>
      <c r="T754" s="64" t="str">
        <f>IF(OR($B754="", $P754="", $Q754="", $R754="", $S754=""),"",ROUND(($P754*Lists!$AN$7)+($Q754*Lists!$AN$8)+($R754*Lists!$AN$9)+($S754*Lists!$AN$10),2))</f>
        <v/>
      </c>
      <c r="U754" s="66"/>
      <c r="V754" s="66"/>
      <c r="W754" s="66"/>
      <c r="X754" s="66"/>
      <c r="Y754" s="66"/>
      <c r="Z754" s="64" t="str">
        <f>IF(OR($B754="", $U754="", $V754="", $W754="", $X754="", $Y754=""),"",ROUND(($U754*Lists!$AN$11)+($V754*Lists!$AN$12)+($W754*Lists!$AN$13)+($X754*Lists!$AN$14)+($Y754*Lists!$AN$15),2))</f>
        <v/>
      </c>
      <c r="AA754" s="64" t="str">
        <f>IF(OR($B754="", $N754="", $O754="", $T754="", $Z754=""),"",ROUND(($N754*Lists!$AN$16)-($O754*Lists!$AN$17)-($T754*Lists!$AN$18)+($Z754*Lists!$AN$19),2))</f>
        <v/>
      </c>
      <c r="AB754" s="63" t="str">
        <f t="shared" si="45"/>
        <v/>
      </c>
      <c r="AC754" s="63" t="str">
        <f t="shared" si="46"/>
        <v/>
      </c>
      <c r="AD754" s="63" t="str">
        <f>IF($A754="","",IFERROR(IF(VLOOKUP($A754,'Risk Register'!$B$2:$H$1000,4,FALSE())&gt;=4,"Yes",""),""))</f>
        <v/>
      </c>
      <c r="AE754" s="63" t="str">
        <f t="shared" si="47"/>
        <v/>
      </c>
      <c r="AF754" s="62"/>
      <c r="AG754" s="62"/>
      <c r="AH754" s="62"/>
      <c r="AI754" s="62"/>
      <c r="AJ754" s="62"/>
      <c r="AK754" s="62"/>
      <c r="AL754" s="62"/>
      <c r="AM754" s="62"/>
      <c r="AN754" s="62"/>
      <c r="AO754" s="62"/>
      <c r="AP754" s="62"/>
      <c r="AQ754" s="80"/>
    </row>
    <row r="755" spans="1:43" ht="15.75" customHeight="1" x14ac:dyDescent="0.2">
      <c r="A755" s="63" t="str">
        <f t="shared" si="44"/>
        <v/>
      </c>
      <c r="B755" s="62"/>
      <c r="C755" s="62"/>
      <c r="D755" s="62"/>
      <c r="E755" s="62"/>
      <c r="F755" s="62"/>
      <c r="G755" s="62"/>
      <c r="H755" s="62"/>
      <c r="I755" s="66"/>
      <c r="J755" s="66"/>
      <c r="K755" s="66"/>
      <c r="L755" s="66"/>
      <c r="M755" s="66"/>
      <c r="N755" s="64" t="str">
        <f>IF(OR($B755="", $I755="", $J755="", $K755="", $L755="", $M755=""),"",ROUND(($I755*Lists!$AN$2)+($J755*Lists!$AN$3)+($K755*Lists!$AN$4)+($L755*Lists!$AN$5)+($M755*Lists!$AN$6),2))</f>
        <v/>
      </c>
      <c r="O755" s="64" t="str">
        <f>IF($A755="","",IFERROR(VLOOKUP($A755,'Risk Register'!$B$2:$I$1000,8,FALSE()),""))</f>
        <v/>
      </c>
      <c r="P755" s="66"/>
      <c r="Q755" s="66"/>
      <c r="R755" s="66"/>
      <c r="S755" s="66"/>
      <c r="T755" s="64" t="str">
        <f>IF(OR($B755="", $P755="", $Q755="", $R755="", $S755=""),"",ROUND(($P755*Lists!$AN$7)+($Q755*Lists!$AN$8)+($R755*Lists!$AN$9)+($S755*Lists!$AN$10),2))</f>
        <v/>
      </c>
      <c r="U755" s="66"/>
      <c r="V755" s="66"/>
      <c r="W755" s="66"/>
      <c r="X755" s="66"/>
      <c r="Y755" s="66"/>
      <c r="Z755" s="64" t="str">
        <f>IF(OR($B755="", $U755="", $V755="", $W755="", $X755="", $Y755=""),"",ROUND(($U755*Lists!$AN$11)+($V755*Lists!$AN$12)+($W755*Lists!$AN$13)+($X755*Lists!$AN$14)+($Y755*Lists!$AN$15),2))</f>
        <v/>
      </c>
      <c r="AA755" s="64" t="str">
        <f>IF(OR($B755="", $N755="", $O755="", $T755="", $Z755=""),"",ROUND(($N755*Lists!$AN$16)-($O755*Lists!$AN$17)-($T755*Lists!$AN$18)+($Z755*Lists!$AN$19),2))</f>
        <v/>
      </c>
      <c r="AB755" s="63" t="str">
        <f t="shared" si="45"/>
        <v/>
      </c>
      <c r="AC755" s="63" t="str">
        <f t="shared" si="46"/>
        <v/>
      </c>
      <c r="AD755" s="63" t="str">
        <f>IF($A755="","",IFERROR(IF(VLOOKUP($A755,'Risk Register'!$B$2:$H$1000,4,FALSE())&gt;=4,"Yes",""),""))</f>
        <v/>
      </c>
      <c r="AE755" s="63" t="str">
        <f t="shared" si="47"/>
        <v/>
      </c>
      <c r="AF755" s="62"/>
      <c r="AG755" s="62"/>
      <c r="AH755" s="62"/>
      <c r="AI755" s="62"/>
      <c r="AJ755" s="62"/>
      <c r="AK755" s="62"/>
      <c r="AL755" s="62"/>
      <c r="AM755" s="62"/>
      <c r="AN755" s="62"/>
      <c r="AO755" s="62"/>
      <c r="AP755" s="62"/>
      <c r="AQ755" s="80"/>
    </row>
    <row r="756" spans="1:43" ht="15.75" customHeight="1" x14ac:dyDescent="0.2">
      <c r="A756" s="63" t="str">
        <f t="shared" si="44"/>
        <v/>
      </c>
      <c r="B756" s="62"/>
      <c r="C756" s="62"/>
      <c r="D756" s="62"/>
      <c r="E756" s="62"/>
      <c r="F756" s="62"/>
      <c r="G756" s="62"/>
      <c r="H756" s="62"/>
      <c r="I756" s="66"/>
      <c r="J756" s="66"/>
      <c r="K756" s="66"/>
      <c r="L756" s="66"/>
      <c r="M756" s="66"/>
      <c r="N756" s="64" t="str">
        <f>IF(OR($B756="", $I756="", $J756="", $K756="", $L756="", $M756=""),"",ROUND(($I756*Lists!$AN$2)+($J756*Lists!$AN$3)+($K756*Lists!$AN$4)+($L756*Lists!$AN$5)+($M756*Lists!$AN$6),2))</f>
        <v/>
      </c>
      <c r="O756" s="64" t="str">
        <f>IF($A756="","",IFERROR(VLOOKUP($A756,'Risk Register'!$B$2:$I$1000,8,FALSE()),""))</f>
        <v/>
      </c>
      <c r="P756" s="66"/>
      <c r="Q756" s="66"/>
      <c r="R756" s="66"/>
      <c r="S756" s="66"/>
      <c r="T756" s="64" t="str">
        <f>IF(OR($B756="", $P756="", $Q756="", $R756="", $S756=""),"",ROUND(($P756*Lists!$AN$7)+($Q756*Lists!$AN$8)+($R756*Lists!$AN$9)+($S756*Lists!$AN$10),2))</f>
        <v/>
      </c>
      <c r="U756" s="66"/>
      <c r="V756" s="66"/>
      <c r="W756" s="66"/>
      <c r="X756" s="66"/>
      <c r="Y756" s="66"/>
      <c r="Z756" s="64" t="str">
        <f>IF(OR($B756="", $U756="", $V756="", $W756="", $X756="", $Y756=""),"",ROUND(($U756*Lists!$AN$11)+($V756*Lists!$AN$12)+($W756*Lists!$AN$13)+($X756*Lists!$AN$14)+($Y756*Lists!$AN$15),2))</f>
        <v/>
      </c>
      <c r="AA756" s="64" t="str">
        <f>IF(OR($B756="", $N756="", $O756="", $T756="", $Z756=""),"",ROUND(($N756*Lists!$AN$16)-($O756*Lists!$AN$17)-($T756*Lists!$AN$18)+($Z756*Lists!$AN$19),2))</f>
        <v/>
      </c>
      <c r="AB756" s="63" t="str">
        <f t="shared" si="45"/>
        <v/>
      </c>
      <c r="AC756" s="63" t="str">
        <f t="shared" si="46"/>
        <v/>
      </c>
      <c r="AD756" s="63" t="str">
        <f>IF($A756="","",IFERROR(IF(VLOOKUP($A756,'Risk Register'!$B$2:$H$1000,4,FALSE())&gt;=4,"Yes",""),""))</f>
        <v/>
      </c>
      <c r="AE756" s="63" t="str">
        <f t="shared" si="47"/>
        <v/>
      </c>
      <c r="AF756" s="62"/>
      <c r="AG756" s="62"/>
      <c r="AH756" s="62"/>
      <c r="AI756" s="62"/>
      <c r="AJ756" s="62"/>
      <c r="AK756" s="62"/>
      <c r="AL756" s="62"/>
      <c r="AM756" s="62"/>
      <c r="AN756" s="62"/>
      <c r="AO756" s="62"/>
      <c r="AP756" s="62"/>
      <c r="AQ756" s="80"/>
    </row>
    <row r="757" spans="1:43" ht="15.75" customHeight="1" x14ac:dyDescent="0.2">
      <c r="A757" s="63" t="str">
        <f t="shared" si="44"/>
        <v/>
      </c>
      <c r="B757" s="62"/>
      <c r="C757" s="62"/>
      <c r="D757" s="62"/>
      <c r="E757" s="62"/>
      <c r="F757" s="62"/>
      <c r="G757" s="62"/>
      <c r="H757" s="62"/>
      <c r="I757" s="66"/>
      <c r="J757" s="66"/>
      <c r="K757" s="66"/>
      <c r="L757" s="66"/>
      <c r="M757" s="66"/>
      <c r="N757" s="64" t="str">
        <f>IF(OR($B757="", $I757="", $J757="", $K757="", $L757="", $M757=""),"",ROUND(($I757*Lists!$AN$2)+($J757*Lists!$AN$3)+($K757*Lists!$AN$4)+($L757*Lists!$AN$5)+($M757*Lists!$AN$6),2))</f>
        <v/>
      </c>
      <c r="O757" s="64" t="str">
        <f>IF($A757="","",IFERROR(VLOOKUP($A757,'Risk Register'!$B$2:$I$1000,8,FALSE()),""))</f>
        <v/>
      </c>
      <c r="P757" s="66"/>
      <c r="Q757" s="66"/>
      <c r="R757" s="66"/>
      <c r="S757" s="66"/>
      <c r="T757" s="64" t="str">
        <f>IF(OR($B757="", $P757="", $Q757="", $R757="", $S757=""),"",ROUND(($P757*Lists!$AN$7)+($Q757*Lists!$AN$8)+($R757*Lists!$AN$9)+($S757*Lists!$AN$10),2))</f>
        <v/>
      </c>
      <c r="U757" s="66"/>
      <c r="V757" s="66"/>
      <c r="W757" s="66"/>
      <c r="X757" s="66"/>
      <c r="Y757" s="66"/>
      <c r="Z757" s="64" t="str">
        <f>IF(OR($B757="", $U757="", $V757="", $W757="", $X757="", $Y757=""),"",ROUND(($U757*Lists!$AN$11)+($V757*Lists!$AN$12)+($W757*Lists!$AN$13)+($X757*Lists!$AN$14)+($Y757*Lists!$AN$15),2))</f>
        <v/>
      </c>
      <c r="AA757" s="64" t="str">
        <f>IF(OR($B757="", $N757="", $O757="", $T757="", $Z757=""),"",ROUND(($N757*Lists!$AN$16)-($O757*Lists!$AN$17)-($T757*Lists!$AN$18)+($Z757*Lists!$AN$19),2))</f>
        <v/>
      </c>
      <c r="AB757" s="63" t="str">
        <f t="shared" si="45"/>
        <v/>
      </c>
      <c r="AC757" s="63" t="str">
        <f t="shared" si="46"/>
        <v/>
      </c>
      <c r="AD757" s="63" t="str">
        <f>IF($A757="","",IFERROR(IF(VLOOKUP($A757,'Risk Register'!$B$2:$H$1000,4,FALSE())&gt;=4,"Yes",""),""))</f>
        <v/>
      </c>
      <c r="AE757" s="63" t="str">
        <f t="shared" si="47"/>
        <v/>
      </c>
      <c r="AF757" s="62"/>
      <c r="AG757" s="62"/>
      <c r="AH757" s="62"/>
      <c r="AI757" s="62"/>
      <c r="AJ757" s="62"/>
      <c r="AK757" s="62"/>
      <c r="AL757" s="62"/>
      <c r="AM757" s="62"/>
      <c r="AN757" s="62"/>
      <c r="AO757" s="62"/>
      <c r="AP757" s="62"/>
      <c r="AQ757" s="80"/>
    </row>
    <row r="758" spans="1:43" ht="15.75" customHeight="1" x14ac:dyDescent="0.2">
      <c r="A758" s="63" t="str">
        <f t="shared" si="44"/>
        <v/>
      </c>
      <c r="B758" s="62"/>
      <c r="C758" s="62"/>
      <c r="D758" s="62"/>
      <c r="E758" s="62"/>
      <c r="F758" s="62"/>
      <c r="G758" s="62"/>
      <c r="H758" s="62"/>
      <c r="I758" s="66"/>
      <c r="J758" s="66"/>
      <c r="K758" s="66"/>
      <c r="L758" s="66"/>
      <c r="M758" s="66"/>
      <c r="N758" s="64" t="str">
        <f>IF(OR($B758="", $I758="", $J758="", $K758="", $L758="", $M758=""),"",ROUND(($I758*Lists!$AN$2)+($J758*Lists!$AN$3)+($K758*Lists!$AN$4)+($L758*Lists!$AN$5)+($M758*Lists!$AN$6),2))</f>
        <v/>
      </c>
      <c r="O758" s="64" t="str">
        <f>IF($A758="","",IFERROR(VLOOKUP($A758,'Risk Register'!$B$2:$I$1000,8,FALSE()),""))</f>
        <v/>
      </c>
      <c r="P758" s="66"/>
      <c r="Q758" s="66"/>
      <c r="R758" s="66"/>
      <c r="S758" s="66"/>
      <c r="T758" s="64" t="str">
        <f>IF(OR($B758="", $P758="", $Q758="", $R758="", $S758=""),"",ROUND(($P758*Lists!$AN$7)+($Q758*Lists!$AN$8)+($R758*Lists!$AN$9)+($S758*Lists!$AN$10),2))</f>
        <v/>
      </c>
      <c r="U758" s="66"/>
      <c r="V758" s="66"/>
      <c r="W758" s="66"/>
      <c r="X758" s="66"/>
      <c r="Y758" s="66"/>
      <c r="Z758" s="64" t="str">
        <f>IF(OR($B758="", $U758="", $V758="", $W758="", $X758="", $Y758=""),"",ROUND(($U758*Lists!$AN$11)+($V758*Lists!$AN$12)+($W758*Lists!$AN$13)+($X758*Lists!$AN$14)+($Y758*Lists!$AN$15),2))</f>
        <v/>
      </c>
      <c r="AA758" s="64" t="str">
        <f>IF(OR($B758="", $N758="", $O758="", $T758="", $Z758=""),"",ROUND(($N758*Lists!$AN$16)-($O758*Lists!$AN$17)-($T758*Lists!$AN$18)+($Z758*Lists!$AN$19),2))</f>
        <v/>
      </c>
      <c r="AB758" s="63" t="str">
        <f t="shared" si="45"/>
        <v/>
      </c>
      <c r="AC758" s="63" t="str">
        <f t="shared" si="46"/>
        <v/>
      </c>
      <c r="AD758" s="63" t="str">
        <f>IF($A758="","",IFERROR(IF(VLOOKUP($A758,'Risk Register'!$B$2:$H$1000,4,FALSE())&gt;=4,"Yes",""),""))</f>
        <v/>
      </c>
      <c r="AE758" s="63" t="str">
        <f t="shared" si="47"/>
        <v/>
      </c>
      <c r="AF758" s="62"/>
      <c r="AG758" s="62"/>
      <c r="AH758" s="62"/>
      <c r="AI758" s="62"/>
      <c r="AJ758" s="62"/>
      <c r="AK758" s="62"/>
      <c r="AL758" s="62"/>
      <c r="AM758" s="62"/>
      <c r="AN758" s="62"/>
      <c r="AO758" s="62"/>
      <c r="AP758" s="62"/>
      <c r="AQ758" s="80"/>
    </row>
    <row r="759" spans="1:43" ht="15.75" customHeight="1" x14ac:dyDescent="0.2">
      <c r="A759" s="63" t="str">
        <f t="shared" si="44"/>
        <v/>
      </c>
      <c r="B759" s="62"/>
      <c r="C759" s="62"/>
      <c r="D759" s="62"/>
      <c r="E759" s="62"/>
      <c r="F759" s="62"/>
      <c r="G759" s="62"/>
      <c r="H759" s="62"/>
      <c r="I759" s="66"/>
      <c r="J759" s="66"/>
      <c r="K759" s="66"/>
      <c r="L759" s="66"/>
      <c r="M759" s="66"/>
      <c r="N759" s="64" t="str">
        <f>IF(OR($B759="", $I759="", $J759="", $K759="", $L759="", $M759=""),"",ROUND(($I759*Lists!$AN$2)+($J759*Lists!$AN$3)+($K759*Lists!$AN$4)+($L759*Lists!$AN$5)+($M759*Lists!$AN$6),2))</f>
        <v/>
      </c>
      <c r="O759" s="64" t="str">
        <f>IF($A759="","",IFERROR(VLOOKUP($A759,'Risk Register'!$B$2:$I$1000,8,FALSE()),""))</f>
        <v/>
      </c>
      <c r="P759" s="66"/>
      <c r="Q759" s="66"/>
      <c r="R759" s="66"/>
      <c r="S759" s="66"/>
      <c r="T759" s="64" t="str">
        <f>IF(OR($B759="", $P759="", $Q759="", $R759="", $S759=""),"",ROUND(($P759*Lists!$AN$7)+($Q759*Lists!$AN$8)+($R759*Lists!$AN$9)+($S759*Lists!$AN$10),2))</f>
        <v/>
      </c>
      <c r="U759" s="66"/>
      <c r="V759" s="66"/>
      <c r="W759" s="66"/>
      <c r="X759" s="66"/>
      <c r="Y759" s="66"/>
      <c r="Z759" s="64" t="str">
        <f>IF(OR($B759="", $U759="", $V759="", $W759="", $X759="", $Y759=""),"",ROUND(($U759*Lists!$AN$11)+($V759*Lists!$AN$12)+($W759*Lists!$AN$13)+($X759*Lists!$AN$14)+($Y759*Lists!$AN$15),2))</f>
        <v/>
      </c>
      <c r="AA759" s="64" t="str">
        <f>IF(OR($B759="", $N759="", $O759="", $T759="", $Z759=""),"",ROUND(($N759*Lists!$AN$16)-($O759*Lists!$AN$17)-($T759*Lists!$AN$18)+($Z759*Lists!$AN$19),2))</f>
        <v/>
      </c>
      <c r="AB759" s="63" t="str">
        <f t="shared" si="45"/>
        <v/>
      </c>
      <c r="AC759" s="63" t="str">
        <f t="shared" si="46"/>
        <v/>
      </c>
      <c r="AD759" s="63" t="str">
        <f>IF($A759="","",IFERROR(IF(VLOOKUP($A759,'Risk Register'!$B$2:$H$1000,4,FALSE())&gt;=4,"Yes",""),""))</f>
        <v/>
      </c>
      <c r="AE759" s="63" t="str">
        <f t="shared" si="47"/>
        <v/>
      </c>
      <c r="AF759" s="62"/>
      <c r="AG759" s="62"/>
      <c r="AH759" s="62"/>
      <c r="AI759" s="62"/>
      <c r="AJ759" s="62"/>
      <c r="AK759" s="62"/>
      <c r="AL759" s="62"/>
      <c r="AM759" s="62"/>
      <c r="AN759" s="62"/>
      <c r="AO759" s="62"/>
      <c r="AP759" s="62"/>
      <c r="AQ759" s="80"/>
    </row>
    <row r="760" spans="1:43" ht="15.75" customHeight="1" x14ac:dyDescent="0.2">
      <c r="A760" s="63" t="str">
        <f t="shared" si="44"/>
        <v/>
      </c>
      <c r="B760" s="62"/>
      <c r="C760" s="62"/>
      <c r="D760" s="62"/>
      <c r="E760" s="62"/>
      <c r="F760" s="62"/>
      <c r="G760" s="62"/>
      <c r="H760" s="62"/>
      <c r="I760" s="66"/>
      <c r="J760" s="66"/>
      <c r="K760" s="66"/>
      <c r="L760" s="66"/>
      <c r="M760" s="66"/>
      <c r="N760" s="64" t="str">
        <f>IF(OR($B760="", $I760="", $J760="", $K760="", $L760="", $M760=""),"",ROUND(($I760*Lists!$AN$2)+($J760*Lists!$AN$3)+($K760*Lists!$AN$4)+($L760*Lists!$AN$5)+($M760*Lists!$AN$6),2))</f>
        <v/>
      </c>
      <c r="O760" s="64" t="str">
        <f>IF($A760="","",IFERROR(VLOOKUP($A760,'Risk Register'!$B$2:$I$1000,8,FALSE()),""))</f>
        <v/>
      </c>
      <c r="P760" s="66"/>
      <c r="Q760" s="66"/>
      <c r="R760" s="66"/>
      <c r="S760" s="66"/>
      <c r="T760" s="64" t="str">
        <f>IF(OR($B760="", $P760="", $Q760="", $R760="", $S760=""),"",ROUND(($P760*Lists!$AN$7)+($Q760*Lists!$AN$8)+($R760*Lists!$AN$9)+($S760*Lists!$AN$10),2))</f>
        <v/>
      </c>
      <c r="U760" s="66"/>
      <c r="V760" s="66"/>
      <c r="W760" s="66"/>
      <c r="X760" s="66"/>
      <c r="Y760" s="66"/>
      <c r="Z760" s="64" t="str">
        <f>IF(OR($B760="", $U760="", $V760="", $W760="", $X760="", $Y760=""),"",ROUND(($U760*Lists!$AN$11)+($V760*Lists!$AN$12)+($W760*Lists!$AN$13)+($X760*Lists!$AN$14)+($Y760*Lists!$AN$15),2))</f>
        <v/>
      </c>
      <c r="AA760" s="64" t="str">
        <f>IF(OR($B760="", $N760="", $O760="", $T760="", $Z760=""),"",ROUND(($N760*Lists!$AN$16)-($O760*Lists!$AN$17)-($T760*Lists!$AN$18)+($Z760*Lists!$AN$19),2))</f>
        <v/>
      </c>
      <c r="AB760" s="63" t="str">
        <f t="shared" si="45"/>
        <v/>
      </c>
      <c r="AC760" s="63" t="str">
        <f t="shared" si="46"/>
        <v/>
      </c>
      <c r="AD760" s="63" t="str">
        <f>IF($A760="","",IFERROR(IF(VLOOKUP($A760,'Risk Register'!$B$2:$H$1000,4,FALSE())&gt;=4,"Yes",""),""))</f>
        <v/>
      </c>
      <c r="AE760" s="63" t="str">
        <f t="shared" si="47"/>
        <v/>
      </c>
      <c r="AF760" s="62"/>
      <c r="AG760" s="62"/>
      <c r="AH760" s="62"/>
      <c r="AI760" s="62"/>
      <c r="AJ760" s="62"/>
      <c r="AK760" s="62"/>
      <c r="AL760" s="62"/>
      <c r="AM760" s="62"/>
      <c r="AN760" s="62"/>
      <c r="AO760" s="62"/>
      <c r="AP760" s="62"/>
      <c r="AQ760" s="80"/>
    </row>
    <row r="761" spans="1:43" ht="15.75" customHeight="1" x14ac:dyDescent="0.2">
      <c r="A761" s="63" t="str">
        <f t="shared" si="44"/>
        <v/>
      </c>
      <c r="B761" s="62"/>
      <c r="C761" s="62"/>
      <c r="D761" s="62"/>
      <c r="E761" s="62"/>
      <c r="F761" s="62"/>
      <c r="G761" s="62"/>
      <c r="H761" s="62"/>
      <c r="I761" s="66"/>
      <c r="J761" s="66"/>
      <c r="K761" s="66"/>
      <c r="L761" s="66"/>
      <c r="M761" s="66"/>
      <c r="N761" s="64" t="str">
        <f>IF(OR($B761="", $I761="", $J761="", $K761="", $L761="", $M761=""),"",ROUND(($I761*Lists!$AN$2)+($J761*Lists!$AN$3)+($K761*Lists!$AN$4)+($L761*Lists!$AN$5)+($M761*Lists!$AN$6),2))</f>
        <v/>
      </c>
      <c r="O761" s="64" t="str">
        <f>IF($A761="","",IFERROR(VLOOKUP($A761,'Risk Register'!$B$2:$I$1000,8,FALSE()),""))</f>
        <v/>
      </c>
      <c r="P761" s="66"/>
      <c r="Q761" s="66"/>
      <c r="R761" s="66"/>
      <c r="S761" s="66"/>
      <c r="T761" s="64" t="str">
        <f>IF(OR($B761="", $P761="", $Q761="", $R761="", $S761=""),"",ROUND(($P761*Lists!$AN$7)+($Q761*Lists!$AN$8)+($R761*Lists!$AN$9)+($S761*Lists!$AN$10),2))</f>
        <v/>
      </c>
      <c r="U761" s="66"/>
      <c r="V761" s="66"/>
      <c r="W761" s="66"/>
      <c r="X761" s="66"/>
      <c r="Y761" s="66"/>
      <c r="Z761" s="64" t="str">
        <f>IF(OR($B761="", $U761="", $V761="", $W761="", $X761="", $Y761=""),"",ROUND(($U761*Lists!$AN$11)+($V761*Lists!$AN$12)+($W761*Lists!$AN$13)+($X761*Lists!$AN$14)+($Y761*Lists!$AN$15),2))</f>
        <v/>
      </c>
      <c r="AA761" s="64" t="str">
        <f>IF(OR($B761="", $N761="", $O761="", $T761="", $Z761=""),"",ROUND(($N761*Lists!$AN$16)-($O761*Lists!$AN$17)-($T761*Lists!$AN$18)+($Z761*Lists!$AN$19),2))</f>
        <v/>
      </c>
      <c r="AB761" s="63" t="str">
        <f t="shared" si="45"/>
        <v/>
      </c>
      <c r="AC761" s="63" t="str">
        <f t="shared" si="46"/>
        <v/>
      </c>
      <c r="AD761" s="63" t="str">
        <f>IF($A761="","",IFERROR(IF(VLOOKUP($A761,'Risk Register'!$B$2:$H$1000,4,FALSE())&gt;=4,"Yes",""),""))</f>
        <v/>
      </c>
      <c r="AE761" s="63" t="str">
        <f t="shared" si="47"/>
        <v/>
      </c>
      <c r="AF761" s="62"/>
      <c r="AG761" s="62"/>
      <c r="AH761" s="62"/>
      <c r="AI761" s="62"/>
      <c r="AJ761" s="62"/>
      <c r="AK761" s="62"/>
      <c r="AL761" s="62"/>
      <c r="AM761" s="62"/>
      <c r="AN761" s="62"/>
      <c r="AO761" s="62"/>
      <c r="AP761" s="62"/>
      <c r="AQ761" s="80"/>
    </row>
    <row r="762" spans="1:43" ht="15.75" customHeight="1" x14ac:dyDescent="0.2">
      <c r="A762" s="63" t="str">
        <f t="shared" si="44"/>
        <v/>
      </c>
      <c r="B762" s="62"/>
      <c r="C762" s="62"/>
      <c r="D762" s="62"/>
      <c r="E762" s="62"/>
      <c r="F762" s="62"/>
      <c r="G762" s="62"/>
      <c r="H762" s="62"/>
      <c r="I762" s="66"/>
      <c r="J762" s="66"/>
      <c r="K762" s="66"/>
      <c r="L762" s="66"/>
      <c r="M762" s="66"/>
      <c r="N762" s="64" t="str">
        <f>IF(OR($B762="", $I762="", $J762="", $K762="", $L762="", $M762=""),"",ROUND(($I762*Lists!$AN$2)+($J762*Lists!$AN$3)+($K762*Lists!$AN$4)+($L762*Lists!$AN$5)+($M762*Lists!$AN$6),2))</f>
        <v/>
      </c>
      <c r="O762" s="64" t="str">
        <f>IF($A762="","",IFERROR(VLOOKUP($A762,'Risk Register'!$B$2:$I$1000,8,FALSE()),""))</f>
        <v/>
      </c>
      <c r="P762" s="66"/>
      <c r="Q762" s="66"/>
      <c r="R762" s="66"/>
      <c r="S762" s="66"/>
      <c r="T762" s="64" t="str">
        <f>IF(OR($B762="", $P762="", $Q762="", $R762="", $S762=""),"",ROUND(($P762*Lists!$AN$7)+($Q762*Lists!$AN$8)+($R762*Lists!$AN$9)+($S762*Lists!$AN$10),2))</f>
        <v/>
      </c>
      <c r="U762" s="66"/>
      <c r="V762" s="66"/>
      <c r="W762" s="66"/>
      <c r="X762" s="66"/>
      <c r="Y762" s="66"/>
      <c r="Z762" s="64" t="str">
        <f>IF(OR($B762="", $U762="", $V762="", $W762="", $X762="", $Y762=""),"",ROUND(($U762*Lists!$AN$11)+($V762*Lists!$AN$12)+($W762*Lists!$AN$13)+($X762*Lists!$AN$14)+($Y762*Lists!$AN$15),2))</f>
        <v/>
      </c>
      <c r="AA762" s="64" t="str">
        <f>IF(OR($B762="", $N762="", $O762="", $T762="", $Z762=""),"",ROUND(($N762*Lists!$AN$16)-($O762*Lists!$AN$17)-($T762*Lists!$AN$18)+($Z762*Lists!$AN$19),2))</f>
        <v/>
      </c>
      <c r="AB762" s="63" t="str">
        <f t="shared" si="45"/>
        <v/>
      </c>
      <c r="AC762" s="63" t="str">
        <f t="shared" si="46"/>
        <v/>
      </c>
      <c r="AD762" s="63" t="str">
        <f>IF($A762="","",IFERROR(IF(VLOOKUP($A762,'Risk Register'!$B$2:$H$1000,4,FALSE())&gt;=4,"Yes",""),""))</f>
        <v/>
      </c>
      <c r="AE762" s="63" t="str">
        <f t="shared" si="47"/>
        <v/>
      </c>
      <c r="AF762" s="62"/>
      <c r="AG762" s="62"/>
      <c r="AH762" s="62"/>
      <c r="AI762" s="62"/>
      <c r="AJ762" s="62"/>
      <c r="AK762" s="62"/>
      <c r="AL762" s="62"/>
      <c r="AM762" s="62"/>
      <c r="AN762" s="62"/>
      <c r="AO762" s="62"/>
      <c r="AP762" s="62"/>
      <c r="AQ762" s="80"/>
    </row>
    <row r="763" spans="1:43" ht="15.75" customHeight="1" x14ac:dyDescent="0.2">
      <c r="A763" s="63" t="str">
        <f t="shared" si="44"/>
        <v/>
      </c>
      <c r="B763" s="62"/>
      <c r="C763" s="62"/>
      <c r="D763" s="62"/>
      <c r="E763" s="62"/>
      <c r="F763" s="62"/>
      <c r="G763" s="62"/>
      <c r="H763" s="62"/>
      <c r="I763" s="66"/>
      <c r="J763" s="66"/>
      <c r="K763" s="66"/>
      <c r="L763" s="66"/>
      <c r="M763" s="66"/>
      <c r="N763" s="64" t="str">
        <f>IF(OR($B763="", $I763="", $J763="", $K763="", $L763="", $M763=""),"",ROUND(($I763*Lists!$AN$2)+($J763*Lists!$AN$3)+($K763*Lists!$AN$4)+($L763*Lists!$AN$5)+($M763*Lists!$AN$6),2))</f>
        <v/>
      </c>
      <c r="O763" s="64" t="str">
        <f>IF($A763="","",IFERROR(VLOOKUP($A763,'Risk Register'!$B$2:$I$1000,8,FALSE()),""))</f>
        <v/>
      </c>
      <c r="P763" s="66"/>
      <c r="Q763" s="66"/>
      <c r="R763" s="66"/>
      <c r="S763" s="66"/>
      <c r="T763" s="64" t="str">
        <f>IF(OR($B763="", $P763="", $Q763="", $R763="", $S763=""),"",ROUND(($P763*Lists!$AN$7)+($Q763*Lists!$AN$8)+($R763*Lists!$AN$9)+($S763*Lists!$AN$10),2))</f>
        <v/>
      </c>
      <c r="U763" s="66"/>
      <c r="V763" s="66"/>
      <c r="W763" s="66"/>
      <c r="X763" s="66"/>
      <c r="Y763" s="66"/>
      <c r="Z763" s="64" t="str">
        <f>IF(OR($B763="", $U763="", $V763="", $W763="", $X763="", $Y763=""),"",ROUND(($U763*Lists!$AN$11)+($V763*Lists!$AN$12)+($W763*Lists!$AN$13)+($X763*Lists!$AN$14)+($Y763*Lists!$AN$15),2))</f>
        <v/>
      </c>
      <c r="AA763" s="64" t="str">
        <f>IF(OR($B763="", $N763="", $O763="", $T763="", $Z763=""),"",ROUND(($N763*Lists!$AN$16)-($O763*Lists!$AN$17)-($T763*Lists!$AN$18)+($Z763*Lists!$AN$19),2))</f>
        <v/>
      </c>
      <c r="AB763" s="63" t="str">
        <f t="shared" si="45"/>
        <v/>
      </c>
      <c r="AC763" s="63" t="str">
        <f t="shared" si="46"/>
        <v/>
      </c>
      <c r="AD763" s="63" t="str">
        <f>IF($A763="","",IFERROR(IF(VLOOKUP($A763,'Risk Register'!$B$2:$H$1000,4,FALSE())&gt;=4,"Yes",""),""))</f>
        <v/>
      </c>
      <c r="AE763" s="63" t="str">
        <f t="shared" si="47"/>
        <v/>
      </c>
      <c r="AF763" s="62"/>
      <c r="AG763" s="62"/>
      <c r="AH763" s="62"/>
      <c r="AI763" s="62"/>
      <c r="AJ763" s="62"/>
      <c r="AK763" s="62"/>
      <c r="AL763" s="62"/>
      <c r="AM763" s="62"/>
      <c r="AN763" s="62"/>
      <c r="AO763" s="62"/>
      <c r="AP763" s="62"/>
      <c r="AQ763" s="80"/>
    </row>
    <row r="764" spans="1:43" ht="15.75" customHeight="1" x14ac:dyDescent="0.2">
      <c r="A764" s="63" t="str">
        <f t="shared" si="44"/>
        <v/>
      </c>
      <c r="B764" s="62"/>
      <c r="C764" s="62"/>
      <c r="D764" s="62"/>
      <c r="E764" s="62"/>
      <c r="F764" s="62"/>
      <c r="G764" s="62"/>
      <c r="H764" s="62"/>
      <c r="I764" s="66"/>
      <c r="J764" s="66"/>
      <c r="K764" s="66"/>
      <c r="L764" s="66"/>
      <c r="M764" s="66"/>
      <c r="N764" s="64" t="str">
        <f>IF(OR($B764="", $I764="", $J764="", $K764="", $L764="", $M764=""),"",ROUND(($I764*Lists!$AN$2)+($J764*Lists!$AN$3)+($K764*Lists!$AN$4)+($L764*Lists!$AN$5)+($M764*Lists!$AN$6),2))</f>
        <v/>
      </c>
      <c r="O764" s="64" t="str">
        <f>IF($A764="","",IFERROR(VLOOKUP($A764,'Risk Register'!$B$2:$I$1000,8,FALSE()),""))</f>
        <v/>
      </c>
      <c r="P764" s="66"/>
      <c r="Q764" s="66"/>
      <c r="R764" s="66"/>
      <c r="S764" s="66"/>
      <c r="T764" s="64" t="str">
        <f>IF(OR($B764="", $P764="", $Q764="", $R764="", $S764=""),"",ROUND(($P764*Lists!$AN$7)+($Q764*Lists!$AN$8)+($R764*Lists!$AN$9)+($S764*Lists!$AN$10),2))</f>
        <v/>
      </c>
      <c r="U764" s="66"/>
      <c r="V764" s="66"/>
      <c r="W764" s="66"/>
      <c r="X764" s="66"/>
      <c r="Y764" s="66"/>
      <c r="Z764" s="64" t="str">
        <f>IF(OR($B764="", $U764="", $V764="", $W764="", $X764="", $Y764=""),"",ROUND(($U764*Lists!$AN$11)+($V764*Lists!$AN$12)+($W764*Lists!$AN$13)+($X764*Lists!$AN$14)+($Y764*Lists!$AN$15),2))</f>
        <v/>
      </c>
      <c r="AA764" s="64" t="str">
        <f>IF(OR($B764="", $N764="", $O764="", $T764="", $Z764=""),"",ROUND(($N764*Lists!$AN$16)-($O764*Lists!$AN$17)-($T764*Lists!$AN$18)+($Z764*Lists!$AN$19),2))</f>
        <v/>
      </c>
      <c r="AB764" s="63" t="str">
        <f t="shared" si="45"/>
        <v/>
      </c>
      <c r="AC764" s="63" t="str">
        <f t="shared" si="46"/>
        <v/>
      </c>
      <c r="AD764" s="63" t="str">
        <f>IF($A764="","",IFERROR(IF(VLOOKUP($A764,'Risk Register'!$B$2:$H$1000,4,FALSE())&gt;=4,"Yes",""),""))</f>
        <v/>
      </c>
      <c r="AE764" s="63" t="str">
        <f t="shared" si="47"/>
        <v/>
      </c>
      <c r="AF764" s="62"/>
      <c r="AG764" s="62"/>
      <c r="AH764" s="62"/>
      <c r="AI764" s="62"/>
      <c r="AJ764" s="62"/>
      <c r="AK764" s="62"/>
      <c r="AL764" s="62"/>
      <c r="AM764" s="62"/>
      <c r="AN764" s="62"/>
      <c r="AO764" s="62"/>
      <c r="AP764" s="62"/>
      <c r="AQ764" s="80"/>
    </row>
    <row r="765" spans="1:43" ht="15.75" customHeight="1" x14ac:dyDescent="0.2">
      <c r="A765" s="63" t="str">
        <f t="shared" si="44"/>
        <v/>
      </c>
      <c r="B765" s="62"/>
      <c r="C765" s="62"/>
      <c r="D765" s="62"/>
      <c r="E765" s="62"/>
      <c r="F765" s="62"/>
      <c r="G765" s="62"/>
      <c r="H765" s="62"/>
      <c r="I765" s="66"/>
      <c r="J765" s="66"/>
      <c r="K765" s="66"/>
      <c r="L765" s="66"/>
      <c r="M765" s="66"/>
      <c r="N765" s="64" t="str">
        <f>IF(OR($B765="", $I765="", $J765="", $K765="", $L765="", $M765=""),"",ROUND(($I765*Lists!$AN$2)+($J765*Lists!$AN$3)+($K765*Lists!$AN$4)+($L765*Lists!$AN$5)+($M765*Lists!$AN$6),2))</f>
        <v/>
      </c>
      <c r="O765" s="64" t="str">
        <f>IF($A765="","",IFERROR(VLOOKUP($A765,'Risk Register'!$B$2:$I$1000,8,FALSE()),""))</f>
        <v/>
      </c>
      <c r="P765" s="66"/>
      <c r="Q765" s="66"/>
      <c r="R765" s="66"/>
      <c r="S765" s="66"/>
      <c r="T765" s="64" t="str">
        <f>IF(OR($B765="", $P765="", $Q765="", $R765="", $S765=""),"",ROUND(($P765*Lists!$AN$7)+($Q765*Lists!$AN$8)+($R765*Lists!$AN$9)+($S765*Lists!$AN$10),2))</f>
        <v/>
      </c>
      <c r="U765" s="66"/>
      <c r="V765" s="66"/>
      <c r="W765" s="66"/>
      <c r="X765" s="66"/>
      <c r="Y765" s="66"/>
      <c r="Z765" s="64" t="str">
        <f>IF(OR($B765="", $U765="", $V765="", $W765="", $X765="", $Y765=""),"",ROUND(($U765*Lists!$AN$11)+($V765*Lists!$AN$12)+($W765*Lists!$AN$13)+($X765*Lists!$AN$14)+($Y765*Lists!$AN$15),2))</f>
        <v/>
      </c>
      <c r="AA765" s="64" t="str">
        <f>IF(OR($B765="", $N765="", $O765="", $T765="", $Z765=""),"",ROUND(($N765*Lists!$AN$16)-($O765*Lists!$AN$17)-($T765*Lists!$AN$18)+($Z765*Lists!$AN$19),2))</f>
        <v/>
      </c>
      <c r="AB765" s="63" t="str">
        <f t="shared" si="45"/>
        <v/>
      </c>
      <c r="AC765" s="63" t="str">
        <f t="shared" si="46"/>
        <v/>
      </c>
      <c r="AD765" s="63" t="str">
        <f>IF($A765="","",IFERROR(IF(VLOOKUP($A765,'Risk Register'!$B$2:$H$1000,4,FALSE())&gt;=4,"Yes",""),""))</f>
        <v/>
      </c>
      <c r="AE765" s="63" t="str">
        <f t="shared" si="47"/>
        <v/>
      </c>
      <c r="AF765" s="62"/>
      <c r="AG765" s="62"/>
      <c r="AH765" s="62"/>
      <c r="AI765" s="62"/>
      <c r="AJ765" s="62"/>
      <c r="AK765" s="62"/>
      <c r="AL765" s="62"/>
      <c r="AM765" s="62"/>
      <c r="AN765" s="62"/>
      <c r="AO765" s="62"/>
      <c r="AP765" s="62"/>
      <c r="AQ765" s="80"/>
    </row>
    <row r="766" spans="1:43" ht="15.75" customHeight="1" x14ac:dyDescent="0.2">
      <c r="A766" s="63" t="str">
        <f t="shared" si="44"/>
        <v/>
      </c>
      <c r="B766" s="62"/>
      <c r="C766" s="62"/>
      <c r="D766" s="62"/>
      <c r="E766" s="62"/>
      <c r="F766" s="62"/>
      <c r="G766" s="62"/>
      <c r="H766" s="62"/>
      <c r="I766" s="66"/>
      <c r="J766" s="66"/>
      <c r="K766" s="66"/>
      <c r="L766" s="66"/>
      <c r="M766" s="66"/>
      <c r="N766" s="64" t="str">
        <f>IF(OR($B766="", $I766="", $J766="", $K766="", $L766="", $M766=""),"",ROUND(($I766*Lists!$AN$2)+($J766*Lists!$AN$3)+($K766*Lists!$AN$4)+($L766*Lists!$AN$5)+($M766*Lists!$AN$6),2))</f>
        <v/>
      </c>
      <c r="O766" s="64" t="str">
        <f>IF($A766="","",IFERROR(VLOOKUP($A766,'Risk Register'!$B$2:$I$1000,8,FALSE()),""))</f>
        <v/>
      </c>
      <c r="P766" s="66"/>
      <c r="Q766" s="66"/>
      <c r="R766" s="66"/>
      <c r="S766" s="66"/>
      <c r="T766" s="64" t="str">
        <f>IF(OR($B766="", $P766="", $Q766="", $R766="", $S766=""),"",ROUND(($P766*Lists!$AN$7)+($Q766*Lists!$AN$8)+($R766*Lists!$AN$9)+($S766*Lists!$AN$10),2))</f>
        <v/>
      </c>
      <c r="U766" s="66"/>
      <c r="V766" s="66"/>
      <c r="W766" s="66"/>
      <c r="X766" s="66"/>
      <c r="Y766" s="66"/>
      <c r="Z766" s="64" t="str">
        <f>IF(OR($B766="", $U766="", $V766="", $W766="", $X766="", $Y766=""),"",ROUND(($U766*Lists!$AN$11)+($V766*Lists!$AN$12)+($W766*Lists!$AN$13)+($X766*Lists!$AN$14)+($Y766*Lists!$AN$15),2))</f>
        <v/>
      </c>
      <c r="AA766" s="64" t="str">
        <f>IF(OR($B766="", $N766="", $O766="", $T766="", $Z766=""),"",ROUND(($N766*Lists!$AN$16)-($O766*Lists!$AN$17)-($T766*Lists!$AN$18)+($Z766*Lists!$AN$19),2))</f>
        <v/>
      </c>
      <c r="AB766" s="63" t="str">
        <f t="shared" si="45"/>
        <v/>
      </c>
      <c r="AC766" s="63" t="str">
        <f t="shared" si="46"/>
        <v/>
      </c>
      <c r="AD766" s="63" t="str">
        <f>IF($A766="","",IFERROR(IF(VLOOKUP($A766,'Risk Register'!$B$2:$H$1000,4,FALSE())&gt;=4,"Yes",""),""))</f>
        <v/>
      </c>
      <c r="AE766" s="63" t="str">
        <f t="shared" si="47"/>
        <v/>
      </c>
      <c r="AF766" s="62"/>
      <c r="AG766" s="62"/>
      <c r="AH766" s="62"/>
      <c r="AI766" s="62"/>
      <c r="AJ766" s="62"/>
      <c r="AK766" s="62"/>
      <c r="AL766" s="62"/>
      <c r="AM766" s="62"/>
      <c r="AN766" s="62"/>
      <c r="AO766" s="62"/>
      <c r="AP766" s="62"/>
      <c r="AQ766" s="80"/>
    </row>
    <row r="767" spans="1:43" ht="15.75" customHeight="1" x14ac:dyDescent="0.2">
      <c r="A767" s="63" t="str">
        <f t="shared" si="44"/>
        <v/>
      </c>
      <c r="B767" s="62"/>
      <c r="C767" s="62"/>
      <c r="D767" s="62"/>
      <c r="E767" s="62"/>
      <c r="F767" s="62"/>
      <c r="G767" s="62"/>
      <c r="H767" s="62"/>
      <c r="I767" s="66"/>
      <c r="J767" s="66"/>
      <c r="K767" s="66"/>
      <c r="L767" s="66"/>
      <c r="M767" s="66"/>
      <c r="N767" s="64" t="str">
        <f>IF(OR($B767="", $I767="", $J767="", $K767="", $L767="", $M767=""),"",ROUND(($I767*Lists!$AN$2)+($J767*Lists!$AN$3)+($K767*Lists!$AN$4)+($L767*Lists!$AN$5)+($M767*Lists!$AN$6),2))</f>
        <v/>
      </c>
      <c r="O767" s="64" t="str">
        <f>IF($A767="","",IFERROR(VLOOKUP($A767,'Risk Register'!$B$2:$I$1000,8,FALSE()),""))</f>
        <v/>
      </c>
      <c r="P767" s="66"/>
      <c r="Q767" s="66"/>
      <c r="R767" s="66"/>
      <c r="S767" s="66"/>
      <c r="T767" s="64" t="str">
        <f>IF(OR($B767="", $P767="", $Q767="", $R767="", $S767=""),"",ROUND(($P767*Lists!$AN$7)+($Q767*Lists!$AN$8)+($R767*Lists!$AN$9)+($S767*Lists!$AN$10),2))</f>
        <v/>
      </c>
      <c r="U767" s="66"/>
      <c r="V767" s="66"/>
      <c r="W767" s="66"/>
      <c r="X767" s="66"/>
      <c r="Y767" s="66"/>
      <c r="Z767" s="64" t="str">
        <f>IF(OR($B767="", $U767="", $V767="", $W767="", $X767="", $Y767=""),"",ROUND(($U767*Lists!$AN$11)+($V767*Lists!$AN$12)+($W767*Lists!$AN$13)+($X767*Lists!$AN$14)+($Y767*Lists!$AN$15),2))</f>
        <v/>
      </c>
      <c r="AA767" s="64" t="str">
        <f>IF(OR($B767="", $N767="", $O767="", $T767="", $Z767=""),"",ROUND(($N767*Lists!$AN$16)-($O767*Lists!$AN$17)-($T767*Lists!$AN$18)+($Z767*Lists!$AN$19),2))</f>
        <v/>
      </c>
      <c r="AB767" s="63" t="str">
        <f t="shared" si="45"/>
        <v/>
      </c>
      <c r="AC767" s="63" t="str">
        <f t="shared" si="46"/>
        <v/>
      </c>
      <c r="AD767" s="63" t="str">
        <f>IF($A767="","",IFERROR(IF(VLOOKUP($A767,'Risk Register'!$B$2:$H$1000,4,FALSE())&gt;=4,"Yes",""),""))</f>
        <v/>
      </c>
      <c r="AE767" s="63" t="str">
        <f t="shared" si="47"/>
        <v/>
      </c>
      <c r="AF767" s="62"/>
      <c r="AG767" s="62"/>
      <c r="AH767" s="62"/>
      <c r="AI767" s="62"/>
      <c r="AJ767" s="62"/>
      <c r="AK767" s="62"/>
      <c r="AL767" s="62"/>
      <c r="AM767" s="62"/>
      <c r="AN767" s="62"/>
      <c r="AO767" s="62"/>
      <c r="AP767" s="62"/>
      <c r="AQ767" s="80"/>
    </row>
    <row r="768" spans="1:43" ht="15.75" customHeight="1" x14ac:dyDescent="0.2">
      <c r="A768" s="63" t="str">
        <f t="shared" si="44"/>
        <v/>
      </c>
      <c r="B768" s="62"/>
      <c r="C768" s="62"/>
      <c r="D768" s="62"/>
      <c r="E768" s="62"/>
      <c r="F768" s="62"/>
      <c r="G768" s="62"/>
      <c r="H768" s="62"/>
      <c r="I768" s="66"/>
      <c r="J768" s="66"/>
      <c r="K768" s="66"/>
      <c r="L768" s="66"/>
      <c r="M768" s="66"/>
      <c r="N768" s="64" t="str">
        <f>IF(OR($B768="", $I768="", $J768="", $K768="", $L768="", $M768=""),"",ROUND(($I768*Lists!$AN$2)+($J768*Lists!$AN$3)+($K768*Lists!$AN$4)+($L768*Lists!$AN$5)+($M768*Lists!$AN$6),2))</f>
        <v/>
      </c>
      <c r="O768" s="64" t="str">
        <f>IF($A768="","",IFERROR(VLOOKUP($A768,'Risk Register'!$B$2:$I$1000,8,FALSE()),""))</f>
        <v/>
      </c>
      <c r="P768" s="66"/>
      <c r="Q768" s="66"/>
      <c r="R768" s="66"/>
      <c r="S768" s="66"/>
      <c r="T768" s="64" t="str">
        <f>IF(OR($B768="", $P768="", $Q768="", $R768="", $S768=""),"",ROUND(($P768*Lists!$AN$7)+($Q768*Lists!$AN$8)+($R768*Lists!$AN$9)+($S768*Lists!$AN$10),2))</f>
        <v/>
      </c>
      <c r="U768" s="66"/>
      <c r="V768" s="66"/>
      <c r="W768" s="66"/>
      <c r="X768" s="66"/>
      <c r="Y768" s="66"/>
      <c r="Z768" s="64" t="str">
        <f>IF(OR($B768="", $U768="", $V768="", $W768="", $X768="", $Y768=""),"",ROUND(($U768*Lists!$AN$11)+($V768*Lists!$AN$12)+($W768*Lists!$AN$13)+($X768*Lists!$AN$14)+($Y768*Lists!$AN$15),2))</f>
        <v/>
      </c>
      <c r="AA768" s="64" t="str">
        <f>IF(OR($B768="", $N768="", $O768="", $T768="", $Z768=""),"",ROUND(($N768*Lists!$AN$16)-($O768*Lists!$AN$17)-($T768*Lists!$AN$18)+($Z768*Lists!$AN$19),2))</f>
        <v/>
      </c>
      <c r="AB768" s="63" t="str">
        <f t="shared" si="45"/>
        <v/>
      </c>
      <c r="AC768" s="63" t="str">
        <f t="shared" si="46"/>
        <v/>
      </c>
      <c r="AD768" s="63" t="str">
        <f>IF($A768="","",IFERROR(IF(VLOOKUP($A768,'Risk Register'!$B$2:$H$1000,4,FALSE())&gt;=4,"Yes",""),""))</f>
        <v/>
      </c>
      <c r="AE768" s="63" t="str">
        <f t="shared" si="47"/>
        <v/>
      </c>
      <c r="AF768" s="62"/>
      <c r="AG768" s="62"/>
      <c r="AH768" s="62"/>
      <c r="AI768" s="62"/>
      <c r="AJ768" s="62"/>
      <c r="AK768" s="62"/>
      <c r="AL768" s="62"/>
      <c r="AM768" s="62"/>
      <c r="AN768" s="62"/>
      <c r="AO768" s="62"/>
      <c r="AP768" s="62"/>
      <c r="AQ768" s="80"/>
    </row>
    <row r="769" spans="1:43" ht="15.75" customHeight="1" x14ac:dyDescent="0.2">
      <c r="A769" s="63" t="str">
        <f t="shared" si="44"/>
        <v/>
      </c>
      <c r="B769" s="62"/>
      <c r="C769" s="62"/>
      <c r="D769" s="62"/>
      <c r="E769" s="62"/>
      <c r="F769" s="62"/>
      <c r="G769" s="62"/>
      <c r="H769" s="62"/>
      <c r="I769" s="66"/>
      <c r="J769" s="66"/>
      <c r="K769" s="66"/>
      <c r="L769" s="66"/>
      <c r="M769" s="66"/>
      <c r="N769" s="64" t="str">
        <f>IF(OR($B769="", $I769="", $J769="", $K769="", $L769="", $M769=""),"",ROUND(($I769*Lists!$AN$2)+($J769*Lists!$AN$3)+($K769*Lists!$AN$4)+($L769*Lists!$AN$5)+($M769*Lists!$AN$6),2))</f>
        <v/>
      </c>
      <c r="O769" s="64" t="str">
        <f>IF($A769="","",IFERROR(VLOOKUP($A769,'Risk Register'!$B$2:$I$1000,8,FALSE()),""))</f>
        <v/>
      </c>
      <c r="P769" s="66"/>
      <c r="Q769" s="66"/>
      <c r="R769" s="66"/>
      <c r="S769" s="66"/>
      <c r="T769" s="64" t="str">
        <f>IF(OR($B769="", $P769="", $Q769="", $R769="", $S769=""),"",ROUND(($P769*Lists!$AN$7)+($Q769*Lists!$AN$8)+($R769*Lists!$AN$9)+($S769*Lists!$AN$10),2))</f>
        <v/>
      </c>
      <c r="U769" s="66"/>
      <c r="V769" s="66"/>
      <c r="W769" s="66"/>
      <c r="X769" s="66"/>
      <c r="Y769" s="66"/>
      <c r="Z769" s="64" t="str">
        <f>IF(OR($B769="", $U769="", $V769="", $W769="", $X769="", $Y769=""),"",ROUND(($U769*Lists!$AN$11)+($V769*Lists!$AN$12)+($W769*Lists!$AN$13)+($X769*Lists!$AN$14)+($Y769*Lists!$AN$15),2))</f>
        <v/>
      </c>
      <c r="AA769" s="64" t="str">
        <f>IF(OR($B769="", $N769="", $O769="", $T769="", $Z769=""),"",ROUND(($N769*Lists!$AN$16)-($O769*Lists!$AN$17)-($T769*Lists!$AN$18)+($Z769*Lists!$AN$19),2))</f>
        <v/>
      </c>
      <c r="AB769" s="63" t="str">
        <f t="shared" si="45"/>
        <v/>
      </c>
      <c r="AC769" s="63" t="str">
        <f t="shared" si="46"/>
        <v/>
      </c>
      <c r="AD769" s="63" t="str">
        <f>IF($A769="","",IFERROR(IF(VLOOKUP($A769,'Risk Register'!$B$2:$H$1000,4,FALSE())&gt;=4,"Yes",""),""))</f>
        <v/>
      </c>
      <c r="AE769" s="63" t="str">
        <f t="shared" si="47"/>
        <v/>
      </c>
      <c r="AF769" s="62"/>
      <c r="AG769" s="62"/>
      <c r="AH769" s="62"/>
      <c r="AI769" s="62"/>
      <c r="AJ769" s="62"/>
      <c r="AK769" s="62"/>
      <c r="AL769" s="62"/>
      <c r="AM769" s="62"/>
      <c r="AN769" s="62"/>
      <c r="AO769" s="62"/>
      <c r="AP769" s="62"/>
      <c r="AQ769" s="80"/>
    </row>
    <row r="770" spans="1:43" ht="15.75" customHeight="1" x14ac:dyDescent="0.2">
      <c r="A770" s="63" t="str">
        <f t="shared" si="44"/>
        <v/>
      </c>
      <c r="B770" s="62"/>
      <c r="C770" s="62"/>
      <c r="D770" s="62"/>
      <c r="E770" s="62"/>
      <c r="F770" s="62"/>
      <c r="G770" s="62"/>
      <c r="H770" s="62"/>
      <c r="I770" s="66"/>
      <c r="J770" s="66"/>
      <c r="K770" s="66"/>
      <c r="L770" s="66"/>
      <c r="M770" s="66"/>
      <c r="N770" s="64" t="str">
        <f>IF(OR($B770="", $I770="", $J770="", $K770="", $L770="", $M770=""),"",ROUND(($I770*Lists!$AN$2)+($J770*Lists!$AN$3)+($K770*Lists!$AN$4)+($L770*Lists!$AN$5)+($M770*Lists!$AN$6),2))</f>
        <v/>
      </c>
      <c r="O770" s="64" t="str">
        <f>IF($A770="","",IFERROR(VLOOKUP($A770,'Risk Register'!$B$2:$I$1000,8,FALSE()),""))</f>
        <v/>
      </c>
      <c r="P770" s="66"/>
      <c r="Q770" s="66"/>
      <c r="R770" s="66"/>
      <c r="S770" s="66"/>
      <c r="T770" s="64" t="str">
        <f>IF(OR($B770="", $P770="", $Q770="", $R770="", $S770=""),"",ROUND(($P770*Lists!$AN$7)+($Q770*Lists!$AN$8)+($R770*Lists!$AN$9)+($S770*Lists!$AN$10),2))</f>
        <v/>
      </c>
      <c r="U770" s="66"/>
      <c r="V770" s="66"/>
      <c r="W770" s="66"/>
      <c r="X770" s="66"/>
      <c r="Y770" s="66"/>
      <c r="Z770" s="64" t="str">
        <f>IF(OR($B770="", $U770="", $V770="", $W770="", $X770="", $Y770=""),"",ROUND(($U770*Lists!$AN$11)+($V770*Lists!$AN$12)+($W770*Lists!$AN$13)+($X770*Lists!$AN$14)+($Y770*Lists!$AN$15),2))</f>
        <v/>
      </c>
      <c r="AA770" s="64" t="str">
        <f>IF(OR($B770="", $N770="", $O770="", $T770="", $Z770=""),"",ROUND(($N770*Lists!$AN$16)-($O770*Lists!$AN$17)-($T770*Lists!$AN$18)+($Z770*Lists!$AN$19),2))</f>
        <v/>
      </c>
      <c r="AB770" s="63" t="str">
        <f t="shared" si="45"/>
        <v/>
      </c>
      <c r="AC770" s="63" t="str">
        <f t="shared" si="46"/>
        <v/>
      </c>
      <c r="AD770" s="63" t="str">
        <f>IF($A770="","",IFERROR(IF(VLOOKUP($A770,'Risk Register'!$B$2:$H$1000,4,FALSE())&gt;=4,"Yes",""),""))</f>
        <v/>
      </c>
      <c r="AE770" s="63" t="str">
        <f t="shared" si="47"/>
        <v/>
      </c>
      <c r="AF770" s="62"/>
      <c r="AG770" s="62"/>
      <c r="AH770" s="62"/>
      <c r="AI770" s="62"/>
      <c r="AJ770" s="62"/>
      <c r="AK770" s="62"/>
      <c r="AL770" s="62"/>
      <c r="AM770" s="62"/>
      <c r="AN770" s="62"/>
      <c r="AO770" s="62"/>
      <c r="AP770" s="62"/>
      <c r="AQ770" s="80"/>
    </row>
    <row r="771" spans="1:43" ht="15.75" customHeight="1" x14ac:dyDescent="0.2">
      <c r="A771" s="63" t="str">
        <f t="shared" si="44"/>
        <v/>
      </c>
      <c r="B771" s="62"/>
      <c r="C771" s="62"/>
      <c r="D771" s="62"/>
      <c r="E771" s="62"/>
      <c r="F771" s="62"/>
      <c r="G771" s="62"/>
      <c r="H771" s="62"/>
      <c r="I771" s="66"/>
      <c r="J771" s="66"/>
      <c r="K771" s="66"/>
      <c r="L771" s="66"/>
      <c r="M771" s="66"/>
      <c r="N771" s="64" t="str">
        <f>IF(OR($B771="", $I771="", $J771="", $K771="", $L771="", $M771=""),"",ROUND(($I771*Lists!$AN$2)+($J771*Lists!$AN$3)+($K771*Lists!$AN$4)+($L771*Lists!$AN$5)+($M771*Lists!$AN$6),2))</f>
        <v/>
      </c>
      <c r="O771" s="64" t="str">
        <f>IF($A771="","",IFERROR(VLOOKUP($A771,'Risk Register'!$B$2:$I$1000,8,FALSE()),""))</f>
        <v/>
      </c>
      <c r="P771" s="66"/>
      <c r="Q771" s="66"/>
      <c r="R771" s="66"/>
      <c r="S771" s="66"/>
      <c r="T771" s="64" t="str">
        <f>IF(OR($B771="", $P771="", $Q771="", $R771="", $S771=""),"",ROUND(($P771*Lists!$AN$7)+($Q771*Lists!$AN$8)+($R771*Lists!$AN$9)+($S771*Lists!$AN$10),2))</f>
        <v/>
      </c>
      <c r="U771" s="66"/>
      <c r="V771" s="66"/>
      <c r="W771" s="66"/>
      <c r="X771" s="66"/>
      <c r="Y771" s="66"/>
      <c r="Z771" s="64" t="str">
        <f>IF(OR($B771="", $U771="", $V771="", $W771="", $X771="", $Y771=""),"",ROUND(($U771*Lists!$AN$11)+($V771*Lists!$AN$12)+($W771*Lists!$AN$13)+($X771*Lists!$AN$14)+($Y771*Lists!$AN$15),2))</f>
        <v/>
      </c>
      <c r="AA771" s="64" t="str">
        <f>IF(OR($B771="", $N771="", $O771="", $T771="", $Z771=""),"",ROUND(($N771*Lists!$AN$16)-($O771*Lists!$AN$17)-($T771*Lists!$AN$18)+($Z771*Lists!$AN$19),2))</f>
        <v/>
      </c>
      <c r="AB771" s="63" t="str">
        <f t="shared" si="45"/>
        <v/>
      </c>
      <c r="AC771" s="63" t="str">
        <f t="shared" si="46"/>
        <v/>
      </c>
      <c r="AD771" s="63" t="str">
        <f>IF($A771="","",IFERROR(IF(VLOOKUP($A771,'Risk Register'!$B$2:$H$1000,4,FALSE())&gt;=4,"Yes",""),""))</f>
        <v/>
      </c>
      <c r="AE771" s="63" t="str">
        <f t="shared" si="47"/>
        <v/>
      </c>
      <c r="AF771" s="62"/>
      <c r="AG771" s="62"/>
      <c r="AH771" s="62"/>
      <c r="AI771" s="62"/>
      <c r="AJ771" s="62"/>
      <c r="AK771" s="62"/>
      <c r="AL771" s="62"/>
      <c r="AM771" s="62"/>
      <c r="AN771" s="62"/>
      <c r="AO771" s="62"/>
      <c r="AP771" s="62"/>
      <c r="AQ771" s="80"/>
    </row>
    <row r="772" spans="1:43" ht="15.75" customHeight="1" x14ac:dyDescent="0.2">
      <c r="A772" s="63" t="str">
        <f t="shared" si="44"/>
        <v/>
      </c>
      <c r="B772" s="62"/>
      <c r="C772" s="62"/>
      <c r="D772" s="62"/>
      <c r="E772" s="62"/>
      <c r="F772" s="62"/>
      <c r="G772" s="62"/>
      <c r="H772" s="62"/>
      <c r="I772" s="66"/>
      <c r="J772" s="66"/>
      <c r="K772" s="66"/>
      <c r="L772" s="66"/>
      <c r="M772" s="66"/>
      <c r="N772" s="64" t="str">
        <f>IF(OR($B772="", $I772="", $J772="", $K772="", $L772="", $M772=""),"",ROUND(($I772*Lists!$AN$2)+($J772*Lists!$AN$3)+($K772*Lists!$AN$4)+($L772*Lists!$AN$5)+($M772*Lists!$AN$6),2))</f>
        <v/>
      </c>
      <c r="O772" s="64" t="str">
        <f>IF($A772="","",IFERROR(VLOOKUP($A772,'Risk Register'!$B$2:$I$1000,8,FALSE()),""))</f>
        <v/>
      </c>
      <c r="P772" s="66"/>
      <c r="Q772" s="66"/>
      <c r="R772" s="66"/>
      <c r="S772" s="66"/>
      <c r="T772" s="64" t="str">
        <f>IF(OR($B772="", $P772="", $Q772="", $R772="", $S772=""),"",ROUND(($P772*Lists!$AN$7)+($Q772*Lists!$AN$8)+($R772*Lists!$AN$9)+($S772*Lists!$AN$10),2))</f>
        <v/>
      </c>
      <c r="U772" s="66"/>
      <c r="V772" s="66"/>
      <c r="W772" s="66"/>
      <c r="X772" s="66"/>
      <c r="Y772" s="66"/>
      <c r="Z772" s="64" t="str">
        <f>IF(OR($B772="", $U772="", $V772="", $W772="", $X772="", $Y772=""),"",ROUND(($U772*Lists!$AN$11)+($V772*Lists!$AN$12)+($W772*Lists!$AN$13)+($X772*Lists!$AN$14)+($Y772*Lists!$AN$15),2))</f>
        <v/>
      </c>
      <c r="AA772" s="64" t="str">
        <f>IF(OR($B772="", $N772="", $O772="", $T772="", $Z772=""),"",ROUND(($N772*Lists!$AN$16)-($O772*Lists!$AN$17)-($T772*Lists!$AN$18)+($Z772*Lists!$AN$19),2))</f>
        <v/>
      </c>
      <c r="AB772" s="63" t="str">
        <f t="shared" si="45"/>
        <v/>
      </c>
      <c r="AC772" s="63" t="str">
        <f t="shared" si="46"/>
        <v/>
      </c>
      <c r="AD772" s="63" t="str">
        <f>IF($A772="","",IFERROR(IF(VLOOKUP($A772,'Risk Register'!$B$2:$H$1000,4,FALSE())&gt;=4,"Yes",""),""))</f>
        <v/>
      </c>
      <c r="AE772" s="63" t="str">
        <f t="shared" si="47"/>
        <v/>
      </c>
      <c r="AF772" s="62"/>
      <c r="AG772" s="62"/>
      <c r="AH772" s="62"/>
      <c r="AI772" s="62"/>
      <c r="AJ772" s="62"/>
      <c r="AK772" s="62"/>
      <c r="AL772" s="62"/>
      <c r="AM772" s="62"/>
      <c r="AN772" s="62"/>
      <c r="AO772" s="62"/>
      <c r="AP772" s="62"/>
      <c r="AQ772" s="80"/>
    </row>
    <row r="773" spans="1:43" ht="15.75" customHeight="1" x14ac:dyDescent="0.2">
      <c r="A773" s="63" t="str">
        <f t="shared" si="44"/>
        <v/>
      </c>
      <c r="B773" s="62"/>
      <c r="C773" s="62"/>
      <c r="D773" s="62"/>
      <c r="E773" s="62"/>
      <c r="F773" s="62"/>
      <c r="G773" s="62"/>
      <c r="H773" s="62"/>
      <c r="I773" s="66"/>
      <c r="J773" s="66"/>
      <c r="K773" s="66"/>
      <c r="L773" s="66"/>
      <c r="M773" s="66"/>
      <c r="N773" s="64" t="str">
        <f>IF(OR($B773="", $I773="", $J773="", $K773="", $L773="", $M773=""),"",ROUND(($I773*Lists!$AN$2)+($J773*Lists!$AN$3)+($K773*Lists!$AN$4)+($L773*Lists!$AN$5)+($M773*Lists!$AN$6),2))</f>
        <v/>
      </c>
      <c r="O773" s="64" t="str">
        <f>IF($A773="","",IFERROR(VLOOKUP($A773,'Risk Register'!$B$2:$I$1000,8,FALSE()),""))</f>
        <v/>
      </c>
      <c r="P773" s="66"/>
      <c r="Q773" s="66"/>
      <c r="R773" s="66"/>
      <c r="S773" s="66"/>
      <c r="T773" s="64" t="str">
        <f>IF(OR($B773="", $P773="", $Q773="", $R773="", $S773=""),"",ROUND(($P773*Lists!$AN$7)+($Q773*Lists!$AN$8)+($R773*Lists!$AN$9)+($S773*Lists!$AN$10),2))</f>
        <v/>
      </c>
      <c r="U773" s="66"/>
      <c r="V773" s="66"/>
      <c r="W773" s="66"/>
      <c r="X773" s="66"/>
      <c r="Y773" s="66"/>
      <c r="Z773" s="64" t="str">
        <f>IF(OR($B773="", $U773="", $V773="", $W773="", $X773="", $Y773=""),"",ROUND(($U773*Lists!$AN$11)+($V773*Lists!$AN$12)+($W773*Lists!$AN$13)+($X773*Lists!$AN$14)+($Y773*Lists!$AN$15),2))</f>
        <v/>
      </c>
      <c r="AA773" s="64" t="str">
        <f>IF(OR($B773="", $N773="", $O773="", $T773="", $Z773=""),"",ROUND(($N773*Lists!$AN$16)-($O773*Lists!$AN$17)-($T773*Lists!$AN$18)+($Z773*Lists!$AN$19),2))</f>
        <v/>
      </c>
      <c r="AB773" s="63" t="str">
        <f t="shared" si="45"/>
        <v/>
      </c>
      <c r="AC773" s="63" t="str">
        <f t="shared" si="46"/>
        <v/>
      </c>
      <c r="AD773" s="63" t="str">
        <f>IF($A773="","",IFERROR(IF(VLOOKUP($A773,'Risk Register'!$B$2:$H$1000,4,FALSE())&gt;=4,"Yes",""),""))</f>
        <v/>
      </c>
      <c r="AE773" s="63" t="str">
        <f t="shared" si="47"/>
        <v/>
      </c>
      <c r="AF773" s="62"/>
      <c r="AG773" s="62"/>
      <c r="AH773" s="62"/>
      <c r="AI773" s="62"/>
      <c r="AJ773" s="62"/>
      <c r="AK773" s="62"/>
      <c r="AL773" s="62"/>
      <c r="AM773" s="62"/>
      <c r="AN773" s="62"/>
      <c r="AO773" s="62"/>
      <c r="AP773" s="62"/>
      <c r="AQ773" s="80"/>
    </row>
    <row r="774" spans="1:43" ht="15.75" customHeight="1" x14ac:dyDescent="0.2">
      <c r="A774" s="63" t="str">
        <f t="shared" si="44"/>
        <v/>
      </c>
      <c r="B774" s="62"/>
      <c r="C774" s="62"/>
      <c r="D774" s="62"/>
      <c r="E774" s="62"/>
      <c r="F774" s="62"/>
      <c r="G774" s="62"/>
      <c r="H774" s="62"/>
      <c r="I774" s="66"/>
      <c r="J774" s="66"/>
      <c r="K774" s="66"/>
      <c r="L774" s="66"/>
      <c r="M774" s="66"/>
      <c r="N774" s="64" t="str">
        <f>IF(OR($B774="", $I774="", $J774="", $K774="", $L774="", $M774=""),"",ROUND(($I774*Lists!$AN$2)+($J774*Lists!$AN$3)+($K774*Lists!$AN$4)+($L774*Lists!$AN$5)+($M774*Lists!$AN$6),2))</f>
        <v/>
      </c>
      <c r="O774" s="64" t="str">
        <f>IF($A774="","",IFERROR(VLOOKUP($A774,'Risk Register'!$B$2:$I$1000,8,FALSE()),""))</f>
        <v/>
      </c>
      <c r="P774" s="66"/>
      <c r="Q774" s="66"/>
      <c r="R774" s="66"/>
      <c r="S774" s="66"/>
      <c r="T774" s="64" t="str">
        <f>IF(OR($B774="", $P774="", $Q774="", $R774="", $S774=""),"",ROUND(($P774*Lists!$AN$7)+($Q774*Lists!$AN$8)+($R774*Lists!$AN$9)+($S774*Lists!$AN$10),2))</f>
        <v/>
      </c>
      <c r="U774" s="66"/>
      <c r="V774" s="66"/>
      <c r="W774" s="66"/>
      <c r="X774" s="66"/>
      <c r="Y774" s="66"/>
      <c r="Z774" s="64" t="str">
        <f>IF(OR($B774="", $U774="", $V774="", $W774="", $X774="", $Y774=""),"",ROUND(($U774*Lists!$AN$11)+($V774*Lists!$AN$12)+($W774*Lists!$AN$13)+($X774*Lists!$AN$14)+($Y774*Lists!$AN$15),2))</f>
        <v/>
      </c>
      <c r="AA774" s="64" t="str">
        <f>IF(OR($B774="", $N774="", $O774="", $T774="", $Z774=""),"",ROUND(($N774*Lists!$AN$16)-($O774*Lists!$AN$17)-($T774*Lists!$AN$18)+($Z774*Lists!$AN$19),2))</f>
        <v/>
      </c>
      <c r="AB774" s="63" t="str">
        <f t="shared" si="45"/>
        <v/>
      </c>
      <c r="AC774" s="63" t="str">
        <f t="shared" si="46"/>
        <v/>
      </c>
      <c r="AD774" s="63" t="str">
        <f>IF($A774="","",IFERROR(IF(VLOOKUP($A774,'Risk Register'!$B$2:$H$1000,4,FALSE())&gt;=4,"Yes",""),""))</f>
        <v/>
      </c>
      <c r="AE774" s="63" t="str">
        <f t="shared" si="47"/>
        <v/>
      </c>
      <c r="AF774" s="62"/>
      <c r="AG774" s="62"/>
      <c r="AH774" s="62"/>
      <c r="AI774" s="62"/>
      <c r="AJ774" s="62"/>
      <c r="AK774" s="62"/>
      <c r="AL774" s="62"/>
      <c r="AM774" s="62"/>
      <c r="AN774" s="62"/>
      <c r="AO774" s="62"/>
      <c r="AP774" s="62"/>
      <c r="AQ774" s="80"/>
    </row>
    <row r="775" spans="1:43" ht="15.75" customHeight="1" x14ac:dyDescent="0.2">
      <c r="A775" s="63" t="str">
        <f t="shared" si="44"/>
        <v/>
      </c>
      <c r="B775" s="62"/>
      <c r="C775" s="62"/>
      <c r="D775" s="62"/>
      <c r="E775" s="62"/>
      <c r="F775" s="62"/>
      <c r="G775" s="62"/>
      <c r="H775" s="62"/>
      <c r="I775" s="66"/>
      <c r="J775" s="66"/>
      <c r="K775" s="66"/>
      <c r="L775" s="66"/>
      <c r="M775" s="66"/>
      <c r="N775" s="64" t="str">
        <f>IF(OR($B775="", $I775="", $J775="", $K775="", $L775="", $M775=""),"",ROUND(($I775*Lists!$AN$2)+($J775*Lists!$AN$3)+($K775*Lists!$AN$4)+($L775*Lists!$AN$5)+($M775*Lists!$AN$6),2))</f>
        <v/>
      </c>
      <c r="O775" s="64" t="str">
        <f>IF($A775="","",IFERROR(VLOOKUP($A775,'Risk Register'!$B$2:$I$1000,8,FALSE()),""))</f>
        <v/>
      </c>
      <c r="P775" s="66"/>
      <c r="Q775" s="66"/>
      <c r="R775" s="66"/>
      <c r="S775" s="66"/>
      <c r="T775" s="64" t="str">
        <f>IF(OR($B775="", $P775="", $Q775="", $R775="", $S775=""),"",ROUND(($P775*Lists!$AN$7)+($Q775*Lists!$AN$8)+($R775*Lists!$AN$9)+($S775*Lists!$AN$10),2))</f>
        <v/>
      </c>
      <c r="U775" s="66"/>
      <c r="V775" s="66"/>
      <c r="W775" s="66"/>
      <c r="X775" s="66"/>
      <c r="Y775" s="66"/>
      <c r="Z775" s="64" t="str">
        <f>IF(OR($B775="", $U775="", $V775="", $W775="", $X775="", $Y775=""),"",ROUND(($U775*Lists!$AN$11)+($V775*Lists!$AN$12)+($W775*Lists!$AN$13)+($X775*Lists!$AN$14)+($Y775*Lists!$AN$15),2))</f>
        <v/>
      </c>
      <c r="AA775" s="64" t="str">
        <f>IF(OR($B775="", $N775="", $O775="", $T775="", $Z775=""),"",ROUND(($N775*Lists!$AN$16)-($O775*Lists!$AN$17)-($T775*Lists!$AN$18)+($Z775*Lists!$AN$19),2))</f>
        <v/>
      </c>
      <c r="AB775" s="63" t="str">
        <f t="shared" si="45"/>
        <v/>
      </c>
      <c r="AC775" s="63" t="str">
        <f t="shared" si="46"/>
        <v/>
      </c>
      <c r="AD775" s="63" t="str">
        <f>IF($A775="","",IFERROR(IF(VLOOKUP($A775,'Risk Register'!$B$2:$H$1000,4,FALSE())&gt;=4,"Yes",""),""))</f>
        <v/>
      </c>
      <c r="AE775" s="63" t="str">
        <f t="shared" si="47"/>
        <v/>
      </c>
      <c r="AF775" s="62"/>
      <c r="AG775" s="62"/>
      <c r="AH775" s="62"/>
      <c r="AI775" s="62"/>
      <c r="AJ775" s="62"/>
      <c r="AK775" s="62"/>
      <c r="AL775" s="62"/>
      <c r="AM775" s="62"/>
      <c r="AN775" s="62"/>
      <c r="AO775" s="62"/>
      <c r="AP775" s="62"/>
      <c r="AQ775" s="80"/>
    </row>
    <row r="776" spans="1:43" ht="15.75" customHeight="1" x14ac:dyDescent="0.2">
      <c r="A776" s="63" t="str">
        <f t="shared" si="44"/>
        <v/>
      </c>
      <c r="B776" s="62"/>
      <c r="C776" s="62"/>
      <c r="D776" s="62"/>
      <c r="E776" s="62"/>
      <c r="F776" s="62"/>
      <c r="G776" s="62"/>
      <c r="H776" s="62"/>
      <c r="I776" s="66"/>
      <c r="J776" s="66"/>
      <c r="K776" s="66"/>
      <c r="L776" s="66"/>
      <c r="M776" s="66"/>
      <c r="N776" s="64" t="str">
        <f>IF(OR($B776="", $I776="", $J776="", $K776="", $L776="", $M776=""),"",ROUND(($I776*Lists!$AN$2)+($J776*Lists!$AN$3)+($K776*Lists!$AN$4)+($L776*Lists!$AN$5)+($M776*Lists!$AN$6),2))</f>
        <v/>
      </c>
      <c r="O776" s="64" t="str">
        <f>IF($A776="","",IFERROR(VLOOKUP($A776,'Risk Register'!$B$2:$I$1000,8,FALSE()),""))</f>
        <v/>
      </c>
      <c r="P776" s="66"/>
      <c r="Q776" s="66"/>
      <c r="R776" s="66"/>
      <c r="S776" s="66"/>
      <c r="T776" s="64" t="str">
        <f>IF(OR($B776="", $P776="", $Q776="", $R776="", $S776=""),"",ROUND(($P776*Lists!$AN$7)+($Q776*Lists!$AN$8)+($R776*Lists!$AN$9)+($S776*Lists!$AN$10),2))</f>
        <v/>
      </c>
      <c r="U776" s="66"/>
      <c r="V776" s="66"/>
      <c r="W776" s="66"/>
      <c r="X776" s="66"/>
      <c r="Y776" s="66"/>
      <c r="Z776" s="64" t="str">
        <f>IF(OR($B776="", $U776="", $V776="", $W776="", $X776="", $Y776=""),"",ROUND(($U776*Lists!$AN$11)+($V776*Lists!$AN$12)+($W776*Lists!$AN$13)+($X776*Lists!$AN$14)+($Y776*Lists!$AN$15),2))</f>
        <v/>
      </c>
      <c r="AA776" s="64" t="str">
        <f>IF(OR($B776="", $N776="", $O776="", $T776="", $Z776=""),"",ROUND(($N776*Lists!$AN$16)-($O776*Lists!$AN$17)-($T776*Lists!$AN$18)+($Z776*Lists!$AN$19),2))</f>
        <v/>
      </c>
      <c r="AB776" s="63" t="str">
        <f t="shared" si="45"/>
        <v/>
      </c>
      <c r="AC776" s="63" t="str">
        <f t="shared" si="46"/>
        <v/>
      </c>
      <c r="AD776" s="63" t="str">
        <f>IF($A776="","",IFERROR(IF(VLOOKUP($A776,'Risk Register'!$B$2:$H$1000,4,FALSE())&gt;=4,"Yes",""),""))</f>
        <v/>
      </c>
      <c r="AE776" s="63" t="str">
        <f t="shared" si="47"/>
        <v/>
      </c>
      <c r="AF776" s="62"/>
      <c r="AG776" s="62"/>
      <c r="AH776" s="62"/>
      <c r="AI776" s="62"/>
      <c r="AJ776" s="62"/>
      <c r="AK776" s="62"/>
      <c r="AL776" s="62"/>
      <c r="AM776" s="62"/>
      <c r="AN776" s="62"/>
      <c r="AO776" s="62"/>
      <c r="AP776" s="62"/>
      <c r="AQ776" s="80"/>
    </row>
    <row r="777" spans="1:43" ht="15.75" customHeight="1" x14ac:dyDescent="0.2">
      <c r="A777" s="63" t="str">
        <f t="shared" si="44"/>
        <v/>
      </c>
      <c r="B777" s="62"/>
      <c r="C777" s="62"/>
      <c r="D777" s="62"/>
      <c r="E777" s="62"/>
      <c r="F777" s="62"/>
      <c r="G777" s="62"/>
      <c r="H777" s="62"/>
      <c r="I777" s="66"/>
      <c r="J777" s="66"/>
      <c r="K777" s="66"/>
      <c r="L777" s="66"/>
      <c r="M777" s="66"/>
      <c r="N777" s="64" t="str">
        <f>IF(OR($B777="", $I777="", $J777="", $K777="", $L777="", $M777=""),"",ROUND(($I777*Lists!$AN$2)+($J777*Lists!$AN$3)+($K777*Lists!$AN$4)+($L777*Lists!$AN$5)+($M777*Lists!$AN$6),2))</f>
        <v/>
      </c>
      <c r="O777" s="64" t="str">
        <f>IF($A777="","",IFERROR(VLOOKUP($A777,'Risk Register'!$B$2:$I$1000,8,FALSE()),""))</f>
        <v/>
      </c>
      <c r="P777" s="66"/>
      <c r="Q777" s="66"/>
      <c r="R777" s="66"/>
      <c r="S777" s="66"/>
      <c r="T777" s="64" t="str">
        <f>IF(OR($B777="", $P777="", $Q777="", $R777="", $S777=""),"",ROUND(($P777*Lists!$AN$7)+($Q777*Lists!$AN$8)+($R777*Lists!$AN$9)+($S777*Lists!$AN$10),2))</f>
        <v/>
      </c>
      <c r="U777" s="66"/>
      <c r="V777" s="66"/>
      <c r="W777" s="66"/>
      <c r="X777" s="66"/>
      <c r="Y777" s="66"/>
      <c r="Z777" s="64" t="str">
        <f>IF(OR($B777="", $U777="", $V777="", $W777="", $X777="", $Y777=""),"",ROUND(($U777*Lists!$AN$11)+($V777*Lists!$AN$12)+($W777*Lists!$AN$13)+($X777*Lists!$AN$14)+($Y777*Lists!$AN$15),2))</f>
        <v/>
      </c>
      <c r="AA777" s="64" t="str">
        <f>IF(OR($B777="", $N777="", $O777="", $T777="", $Z777=""),"",ROUND(($N777*Lists!$AN$16)-($O777*Lists!$AN$17)-($T777*Lists!$AN$18)+($Z777*Lists!$AN$19),2))</f>
        <v/>
      </c>
      <c r="AB777" s="63" t="str">
        <f t="shared" si="45"/>
        <v/>
      </c>
      <c r="AC777" s="63" t="str">
        <f t="shared" si="46"/>
        <v/>
      </c>
      <c r="AD777" s="63" t="str">
        <f>IF($A777="","",IFERROR(IF(VLOOKUP($A777,'Risk Register'!$B$2:$H$1000,4,FALSE())&gt;=4,"Yes",""),""))</f>
        <v/>
      </c>
      <c r="AE777" s="63" t="str">
        <f t="shared" si="47"/>
        <v/>
      </c>
      <c r="AF777" s="62"/>
      <c r="AG777" s="62"/>
      <c r="AH777" s="62"/>
      <c r="AI777" s="62"/>
      <c r="AJ777" s="62"/>
      <c r="AK777" s="62"/>
      <c r="AL777" s="62"/>
      <c r="AM777" s="62"/>
      <c r="AN777" s="62"/>
      <c r="AO777" s="62"/>
      <c r="AP777" s="62"/>
      <c r="AQ777" s="80"/>
    </row>
    <row r="778" spans="1:43" ht="15.75" customHeight="1" x14ac:dyDescent="0.2">
      <c r="A778" s="63" t="str">
        <f t="shared" si="44"/>
        <v/>
      </c>
      <c r="B778" s="62"/>
      <c r="C778" s="62"/>
      <c r="D778" s="62"/>
      <c r="E778" s="62"/>
      <c r="F778" s="62"/>
      <c r="G778" s="62"/>
      <c r="H778" s="62"/>
      <c r="I778" s="66"/>
      <c r="J778" s="66"/>
      <c r="K778" s="66"/>
      <c r="L778" s="66"/>
      <c r="M778" s="66"/>
      <c r="N778" s="64" t="str">
        <f>IF(OR($B778="", $I778="", $J778="", $K778="", $L778="", $M778=""),"",ROUND(($I778*Lists!$AN$2)+($J778*Lists!$AN$3)+($K778*Lists!$AN$4)+($L778*Lists!$AN$5)+($M778*Lists!$AN$6),2))</f>
        <v/>
      </c>
      <c r="O778" s="64" t="str">
        <f>IF($A778="","",IFERROR(VLOOKUP($A778,'Risk Register'!$B$2:$I$1000,8,FALSE()),""))</f>
        <v/>
      </c>
      <c r="P778" s="66"/>
      <c r="Q778" s="66"/>
      <c r="R778" s="66"/>
      <c r="S778" s="66"/>
      <c r="T778" s="64" t="str">
        <f>IF(OR($B778="", $P778="", $Q778="", $R778="", $S778=""),"",ROUND(($P778*Lists!$AN$7)+($Q778*Lists!$AN$8)+($R778*Lists!$AN$9)+($S778*Lists!$AN$10),2))</f>
        <v/>
      </c>
      <c r="U778" s="66"/>
      <c r="V778" s="66"/>
      <c r="W778" s="66"/>
      <c r="X778" s="66"/>
      <c r="Y778" s="66"/>
      <c r="Z778" s="64" t="str">
        <f>IF(OR($B778="", $U778="", $V778="", $W778="", $X778="", $Y778=""),"",ROUND(($U778*Lists!$AN$11)+($V778*Lists!$AN$12)+($W778*Lists!$AN$13)+($X778*Lists!$AN$14)+($Y778*Lists!$AN$15),2))</f>
        <v/>
      </c>
      <c r="AA778" s="64" t="str">
        <f>IF(OR($B778="", $N778="", $O778="", $T778="", $Z778=""),"",ROUND(($N778*Lists!$AN$16)-($O778*Lists!$AN$17)-($T778*Lists!$AN$18)+($Z778*Lists!$AN$19),2))</f>
        <v/>
      </c>
      <c r="AB778" s="63" t="str">
        <f t="shared" si="45"/>
        <v/>
      </c>
      <c r="AC778" s="63" t="str">
        <f t="shared" si="46"/>
        <v/>
      </c>
      <c r="AD778" s="63" t="str">
        <f>IF($A778="","",IFERROR(IF(VLOOKUP($A778,'Risk Register'!$B$2:$H$1000,4,FALSE())&gt;=4,"Yes",""),""))</f>
        <v/>
      </c>
      <c r="AE778" s="63" t="str">
        <f t="shared" si="47"/>
        <v/>
      </c>
      <c r="AF778" s="62"/>
      <c r="AG778" s="62"/>
      <c r="AH778" s="62"/>
      <c r="AI778" s="62"/>
      <c r="AJ778" s="62"/>
      <c r="AK778" s="62"/>
      <c r="AL778" s="62"/>
      <c r="AM778" s="62"/>
      <c r="AN778" s="62"/>
      <c r="AO778" s="62"/>
      <c r="AP778" s="62"/>
      <c r="AQ778" s="80"/>
    </row>
    <row r="779" spans="1:43" ht="15.75" customHeight="1" x14ac:dyDescent="0.2">
      <c r="A779" s="63" t="str">
        <f t="shared" si="44"/>
        <v/>
      </c>
      <c r="B779" s="62"/>
      <c r="C779" s="62"/>
      <c r="D779" s="62"/>
      <c r="E779" s="62"/>
      <c r="F779" s="62"/>
      <c r="G779" s="62"/>
      <c r="H779" s="62"/>
      <c r="I779" s="66"/>
      <c r="J779" s="66"/>
      <c r="K779" s="66"/>
      <c r="L779" s="66"/>
      <c r="M779" s="66"/>
      <c r="N779" s="64" t="str">
        <f>IF(OR($B779="", $I779="", $J779="", $K779="", $L779="", $M779=""),"",ROUND(($I779*Lists!$AN$2)+($J779*Lists!$AN$3)+($K779*Lists!$AN$4)+($L779*Lists!$AN$5)+($M779*Lists!$AN$6),2))</f>
        <v/>
      </c>
      <c r="O779" s="64" t="str">
        <f>IF($A779="","",IFERROR(VLOOKUP($A779,'Risk Register'!$B$2:$I$1000,8,FALSE()),""))</f>
        <v/>
      </c>
      <c r="P779" s="66"/>
      <c r="Q779" s="66"/>
      <c r="R779" s="66"/>
      <c r="S779" s="66"/>
      <c r="T779" s="64" t="str">
        <f>IF(OR($B779="", $P779="", $Q779="", $R779="", $S779=""),"",ROUND(($P779*Lists!$AN$7)+($Q779*Lists!$AN$8)+($R779*Lists!$AN$9)+($S779*Lists!$AN$10),2))</f>
        <v/>
      </c>
      <c r="U779" s="66"/>
      <c r="V779" s="66"/>
      <c r="W779" s="66"/>
      <c r="X779" s="66"/>
      <c r="Y779" s="66"/>
      <c r="Z779" s="64" t="str">
        <f>IF(OR($B779="", $U779="", $V779="", $W779="", $X779="", $Y779=""),"",ROUND(($U779*Lists!$AN$11)+($V779*Lists!$AN$12)+($W779*Lists!$AN$13)+($X779*Lists!$AN$14)+($Y779*Lists!$AN$15),2))</f>
        <v/>
      </c>
      <c r="AA779" s="64" t="str">
        <f>IF(OR($B779="", $N779="", $O779="", $T779="", $Z779=""),"",ROUND(($N779*Lists!$AN$16)-($O779*Lists!$AN$17)-($T779*Lists!$AN$18)+($Z779*Lists!$AN$19),2))</f>
        <v/>
      </c>
      <c r="AB779" s="63" t="str">
        <f t="shared" si="45"/>
        <v/>
      </c>
      <c r="AC779" s="63" t="str">
        <f t="shared" si="46"/>
        <v/>
      </c>
      <c r="AD779" s="63" t="str">
        <f>IF($A779="","",IFERROR(IF(VLOOKUP($A779,'Risk Register'!$B$2:$H$1000,4,FALSE())&gt;=4,"Yes",""),""))</f>
        <v/>
      </c>
      <c r="AE779" s="63" t="str">
        <f t="shared" si="47"/>
        <v/>
      </c>
      <c r="AF779" s="62"/>
      <c r="AG779" s="62"/>
      <c r="AH779" s="62"/>
      <c r="AI779" s="62"/>
      <c r="AJ779" s="62"/>
      <c r="AK779" s="62"/>
      <c r="AL779" s="62"/>
      <c r="AM779" s="62"/>
      <c r="AN779" s="62"/>
      <c r="AO779" s="62"/>
      <c r="AP779" s="62"/>
      <c r="AQ779" s="80"/>
    </row>
    <row r="780" spans="1:43" ht="15.75" customHeight="1" x14ac:dyDescent="0.2">
      <c r="A780" s="63" t="str">
        <f t="shared" si="44"/>
        <v/>
      </c>
      <c r="B780" s="62"/>
      <c r="C780" s="62"/>
      <c r="D780" s="62"/>
      <c r="E780" s="62"/>
      <c r="F780" s="62"/>
      <c r="G780" s="62"/>
      <c r="H780" s="62"/>
      <c r="I780" s="66"/>
      <c r="J780" s="66"/>
      <c r="K780" s="66"/>
      <c r="L780" s="66"/>
      <c r="M780" s="66"/>
      <c r="N780" s="64" t="str">
        <f>IF(OR($B780="", $I780="", $J780="", $K780="", $L780="", $M780=""),"",ROUND(($I780*Lists!$AN$2)+($J780*Lists!$AN$3)+($K780*Lists!$AN$4)+($L780*Lists!$AN$5)+($M780*Lists!$AN$6),2))</f>
        <v/>
      </c>
      <c r="O780" s="64" t="str">
        <f>IF($A780="","",IFERROR(VLOOKUP($A780,'Risk Register'!$B$2:$I$1000,8,FALSE()),""))</f>
        <v/>
      </c>
      <c r="P780" s="66"/>
      <c r="Q780" s="66"/>
      <c r="R780" s="66"/>
      <c r="S780" s="66"/>
      <c r="T780" s="64" t="str">
        <f>IF(OR($B780="", $P780="", $Q780="", $R780="", $S780=""),"",ROUND(($P780*Lists!$AN$7)+($Q780*Lists!$AN$8)+($R780*Lists!$AN$9)+($S780*Lists!$AN$10),2))</f>
        <v/>
      </c>
      <c r="U780" s="66"/>
      <c r="V780" s="66"/>
      <c r="W780" s="66"/>
      <c r="X780" s="66"/>
      <c r="Y780" s="66"/>
      <c r="Z780" s="64" t="str">
        <f>IF(OR($B780="", $U780="", $V780="", $W780="", $X780="", $Y780=""),"",ROUND(($U780*Lists!$AN$11)+($V780*Lists!$AN$12)+($W780*Lists!$AN$13)+($X780*Lists!$AN$14)+($Y780*Lists!$AN$15),2))</f>
        <v/>
      </c>
      <c r="AA780" s="64" t="str">
        <f>IF(OR($B780="", $N780="", $O780="", $T780="", $Z780=""),"",ROUND(($N780*Lists!$AN$16)-($O780*Lists!$AN$17)-($T780*Lists!$AN$18)+($Z780*Lists!$AN$19),2))</f>
        <v/>
      </c>
      <c r="AB780" s="63" t="str">
        <f t="shared" si="45"/>
        <v/>
      </c>
      <c r="AC780" s="63" t="str">
        <f t="shared" si="46"/>
        <v/>
      </c>
      <c r="AD780" s="63" t="str">
        <f>IF($A780="","",IFERROR(IF(VLOOKUP($A780,'Risk Register'!$B$2:$H$1000,4,FALSE())&gt;=4,"Yes",""),""))</f>
        <v/>
      </c>
      <c r="AE780" s="63" t="str">
        <f t="shared" si="47"/>
        <v/>
      </c>
      <c r="AF780" s="62"/>
      <c r="AG780" s="62"/>
      <c r="AH780" s="62"/>
      <c r="AI780" s="62"/>
      <c r="AJ780" s="62"/>
      <c r="AK780" s="62"/>
      <c r="AL780" s="62"/>
      <c r="AM780" s="62"/>
      <c r="AN780" s="62"/>
      <c r="AO780" s="62"/>
      <c r="AP780" s="62"/>
      <c r="AQ780" s="80"/>
    </row>
    <row r="781" spans="1:43" ht="15.75" customHeight="1" x14ac:dyDescent="0.2">
      <c r="A781" s="63" t="str">
        <f t="shared" si="44"/>
        <v/>
      </c>
      <c r="B781" s="62"/>
      <c r="C781" s="62"/>
      <c r="D781" s="62"/>
      <c r="E781" s="62"/>
      <c r="F781" s="62"/>
      <c r="G781" s="62"/>
      <c r="H781" s="62"/>
      <c r="I781" s="66"/>
      <c r="J781" s="66"/>
      <c r="K781" s="66"/>
      <c r="L781" s="66"/>
      <c r="M781" s="66"/>
      <c r="N781" s="64" t="str">
        <f>IF(OR($B781="", $I781="", $J781="", $K781="", $L781="", $M781=""),"",ROUND(($I781*Lists!$AN$2)+($J781*Lists!$AN$3)+($K781*Lists!$AN$4)+($L781*Lists!$AN$5)+($M781*Lists!$AN$6),2))</f>
        <v/>
      </c>
      <c r="O781" s="64" t="str">
        <f>IF($A781="","",IFERROR(VLOOKUP($A781,'Risk Register'!$B$2:$I$1000,8,FALSE()),""))</f>
        <v/>
      </c>
      <c r="P781" s="66"/>
      <c r="Q781" s="66"/>
      <c r="R781" s="66"/>
      <c r="S781" s="66"/>
      <c r="T781" s="64" t="str">
        <f>IF(OR($B781="", $P781="", $Q781="", $R781="", $S781=""),"",ROUND(($P781*Lists!$AN$7)+($Q781*Lists!$AN$8)+($R781*Lists!$AN$9)+($S781*Lists!$AN$10),2))</f>
        <v/>
      </c>
      <c r="U781" s="66"/>
      <c r="V781" s="66"/>
      <c r="W781" s="66"/>
      <c r="X781" s="66"/>
      <c r="Y781" s="66"/>
      <c r="Z781" s="64" t="str">
        <f>IF(OR($B781="", $U781="", $V781="", $W781="", $X781="", $Y781=""),"",ROUND(($U781*Lists!$AN$11)+($V781*Lists!$AN$12)+($W781*Lists!$AN$13)+($X781*Lists!$AN$14)+($Y781*Lists!$AN$15),2))</f>
        <v/>
      </c>
      <c r="AA781" s="64" t="str">
        <f>IF(OR($B781="", $N781="", $O781="", $T781="", $Z781=""),"",ROUND(($N781*Lists!$AN$16)-($O781*Lists!$AN$17)-($T781*Lists!$AN$18)+($Z781*Lists!$AN$19),2))</f>
        <v/>
      </c>
      <c r="AB781" s="63" t="str">
        <f t="shared" si="45"/>
        <v/>
      </c>
      <c r="AC781" s="63" t="str">
        <f t="shared" si="46"/>
        <v/>
      </c>
      <c r="AD781" s="63" t="str">
        <f>IF($A781="","",IFERROR(IF(VLOOKUP($A781,'Risk Register'!$B$2:$H$1000,4,FALSE())&gt;=4,"Yes",""),""))</f>
        <v/>
      </c>
      <c r="AE781" s="63" t="str">
        <f t="shared" si="47"/>
        <v/>
      </c>
      <c r="AF781" s="62"/>
      <c r="AG781" s="62"/>
      <c r="AH781" s="62"/>
      <c r="AI781" s="62"/>
      <c r="AJ781" s="62"/>
      <c r="AK781" s="62"/>
      <c r="AL781" s="62"/>
      <c r="AM781" s="62"/>
      <c r="AN781" s="62"/>
      <c r="AO781" s="62"/>
      <c r="AP781" s="62"/>
      <c r="AQ781" s="80"/>
    </row>
    <row r="782" spans="1:43" ht="15.75" customHeight="1" x14ac:dyDescent="0.2">
      <c r="A782" s="63" t="str">
        <f t="shared" si="44"/>
        <v/>
      </c>
      <c r="B782" s="62"/>
      <c r="C782" s="62"/>
      <c r="D782" s="62"/>
      <c r="E782" s="62"/>
      <c r="F782" s="62"/>
      <c r="G782" s="62"/>
      <c r="H782" s="62"/>
      <c r="I782" s="66"/>
      <c r="J782" s="66"/>
      <c r="K782" s="66"/>
      <c r="L782" s="66"/>
      <c r="M782" s="66"/>
      <c r="N782" s="64" t="str">
        <f>IF(OR($B782="", $I782="", $J782="", $K782="", $L782="", $M782=""),"",ROUND(($I782*Lists!$AN$2)+($J782*Lists!$AN$3)+($K782*Lists!$AN$4)+($L782*Lists!$AN$5)+($M782*Lists!$AN$6),2))</f>
        <v/>
      </c>
      <c r="O782" s="64" t="str">
        <f>IF($A782="","",IFERROR(VLOOKUP($A782,'Risk Register'!$B$2:$I$1000,8,FALSE()),""))</f>
        <v/>
      </c>
      <c r="P782" s="66"/>
      <c r="Q782" s="66"/>
      <c r="R782" s="66"/>
      <c r="S782" s="66"/>
      <c r="T782" s="64" t="str">
        <f>IF(OR($B782="", $P782="", $Q782="", $R782="", $S782=""),"",ROUND(($P782*Lists!$AN$7)+($Q782*Lists!$AN$8)+($R782*Lists!$AN$9)+($S782*Lists!$AN$10),2))</f>
        <v/>
      </c>
      <c r="U782" s="66"/>
      <c r="V782" s="66"/>
      <c r="W782" s="66"/>
      <c r="X782" s="66"/>
      <c r="Y782" s="66"/>
      <c r="Z782" s="64" t="str">
        <f>IF(OR($B782="", $U782="", $V782="", $W782="", $X782="", $Y782=""),"",ROUND(($U782*Lists!$AN$11)+($V782*Lists!$AN$12)+($W782*Lists!$AN$13)+($X782*Lists!$AN$14)+($Y782*Lists!$AN$15),2))</f>
        <v/>
      </c>
      <c r="AA782" s="64" t="str">
        <f>IF(OR($B782="", $N782="", $O782="", $T782="", $Z782=""),"",ROUND(($N782*Lists!$AN$16)-($O782*Lists!$AN$17)-($T782*Lists!$AN$18)+($Z782*Lists!$AN$19),2))</f>
        <v/>
      </c>
      <c r="AB782" s="63" t="str">
        <f t="shared" si="45"/>
        <v/>
      </c>
      <c r="AC782" s="63" t="str">
        <f t="shared" si="46"/>
        <v/>
      </c>
      <c r="AD782" s="63" t="str">
        <f>IF($A782="","",IFERROR(IF(VLOOKUP($A782,'Risk Register'!$B$2:$H$1000,4,FALSE())&gt;=4,"Yes",""),""))</f>
        <v/>
      </c>
      <c r="AE782" s="63" t="str">
        <f t="shared" si="47"/>
        <v/>
      </c>
      <c r="AF782" s="62"/>
      <c r="AG782" s="62"/>
      <c r="AH782" s="62"/>
      <c r="AI782" s="62"/>
      <c r="AJ782" s="62"/>
      <c r="AK782" s="62"/>
      <c r="AL782" s="62"/>
      <c r="AM782" s="62"/>
      <c r="AN782" s="62"/>
      <c r="AO782" s="62"/>
      <c r="AP782" s="62"/>
      <c r="AQ782" s="80"/>
    </row>
    <row r="783" spans="1:43" ht="15.75" customHeight="1" x14ac:dyDescent="0.2">
      <c r="A783" s="63" t="str">
        <f t="shared" si="44"/>
        <v/>
      </c>
      <c r="B783" s="62"/>
      <c r="C783" s="62"/>
      <c r="D783" s="62"/>
      <c r="E783" s="62"/>
      <c r="F783" s="62"/>
      <c r="G783" s="62"/>
      <c r="H783" s="62"/>
      <c r="I783" s="66"/>
      <c r="J783" s="66"/>
      <c r="K783" s="66"/>
      <c r="L783" s="66"/>
      <c r="M783" s="66"/>
      <c r="N783" s="64" t="str">
        <f>IF(OR($B783="", $I783="", $J783="", $K783="", $L783="", $M783=""),"",ROUND(($I783*Lists!$AN$2)+($J783*Lists!$AN$3)+($K783*Lists!$AN$4)+($L783*Lists!$AN$5)+($M783*Lists!$AN$6),2))</f>
        <v/>
      </c>
      <c r="O783" s="64" t="str">
        <f>IF($A783="","",IFERROR(VLOOKUP($A783,'Risk Register'!$B$2:$I$1000,8,FALSE()),""))</f>
        <v/>
      </c>
      <c r="P783" s="66"/>
      <c r="Q783" s="66"/>
      <c r="R783" s="66"/>
      <c r="S783" s="66"/>
      <c r="T783" s="64" t="str">
        <f>IF(OR($B783="", $P783="", $Q783="", $R783="", $S783=""),"",ROUND(($P783*Lists!$AN$7)+($Q783*Lists!$AN$8)+($R783*Lists!$AN$9)+($S783*Lists!$AN$10),2))</f>
        <v/>
      </c>
      <c r="U783" s="66"/>
      <c r="V783" s="66"/>
      <c r="W783" s="66"/>
      <c r="X783" s="66"/>
      <c r="Y783" s="66"/>
      <c r="Z783" s="64" t="str">
        <f>IF(OR($B783="", $U783="", $V783="", $W783="", $X783="", $Y783=""),"",ROUND(($U783*Lists!$AN$11)+($V783*Lists!$AN$12)+($W783*Lists!$AN$13)+($X783*Lists!$AN$14)+($Y783*Lists!$AN$15),2))</f>
        <v/>
      </c>
      <c r="AA783" s="64" t="str">
        <f>IF(OR($B783="", $N783="", $O783="", $T783="", $Z783=""),"",ROUND(($N783*Lists!$AN$16)-($O783*Lists!$AN$17)-($T783*Lists!$AN$18)+($Z783*Lists!$AN$19),2))</f>
        <v/>
      </c>
      <c r="AB783" s="63" t="str">
        <f t="shared" si="45"/>
        <v/>
      </c>
      <c r="AC783" s="63" t="str">
        <f t="shared" si="46"/>
        <v/>
      </c>
      <c r="AD783" s="63" t="str">
        <f>IF($A783="","",IFERROR(IF(VLOOKUP($A783,'Risk Register'!$B$2:$H$1000,4,FALSE())&gt;=4,"Yes",""),""))</f>
        <v/>
      </c>
      <c r="AE783" s="63" t="str">
        <f t="shared" si="47"/>
        <v/>
      </c>
      <c r="AF783" s="62"/>
      <c r="AG783" s="62"/>
      <c r="AH783" s="62"/>
      <c r="AI783" s="62"/>
      <c r="AJ783" s="62"/>
      <c r="AK783" s="62"/>
      <c r="AL783" s="62"/>
      <c r="AM783" s="62"/>
      <c r="AN783" s="62"/>
      <c r="AO783" s="62"/>
      <c r="AP783" s="62"/>
      <c r="AQ783" s="80"/>
    </row>
    <row r="784" spans="1:43" ht="15.75" customHeight="1" x14ac:dyDescent="0.2">
      <c r="A784" s="63" t="str">
        <f t="shared" si="44"/>
        <v/>
      </c>
      <c r="B784" s="62"/>
      <c r="C784" s="62"/>
      <c r="D784" s="62"/>
      <c r="E784" s="62"/>
      <c r="F784" s="62"/>
      <c r="G784" s="62"/>
      <c r="H784" s="62"/>
      <c r="I784" s="66"/>
      <c r="J784" s="66"/>
      <c r="K784" s="66"/>
      <c r="L784" s="66"/>
      <c r="M784" s="66"/>
      <c r="N784" s="64" t="str">
        <f>IF(OR($B784="", $I784="", $J784="", $K784="", $L784="", $M784=""),"",ROUND(($I784*Lists!$AN$2)+($J784*Lists!$AN$3)+($K784*Lists!$AN$4)+($L784*Lists!$AN$5)+($M784*Lists!$AN$6),2))</f>
        <v/>
      </c>
      <c r="O784" s="64" t="str">
        <f>IF($A784="","",IFERROR(VLOOKUP($A784,'Risk Register'!$B$2:$I$1000,8,FALSE()),""))</f>
        <v/>
      </c>
      <c r="P784" s="66"/>
      <c r="Q784" s="66"/>
      <c r="R784" s="66"/>
      <c r="S784" s="66"/>
      <c r="T784" s="64" t="str">
        <f>IF(OR($B784="", $P784="", $Q784="", $R784="", $S784=""),"",ROUND(($P784*Lists!$AN$7)+($Q784*Lists!$AN$8)+($R784*Lists!$AN$9)+($S784*Lists!$AN$10),2))</f>
        <v/>
      </c>
      <c r="U784" s="66"/>
      <c r="V784" s="66"/>
      <c r="W784" s="66"/>
      <c r="X784" s="66"/>
      <c r="Y784" s="66"/>
      <c r="Z784" s="64" t="str">
        <f>IF(OR($B784="", $U784="", $V784="", $W784="", $X784="", $Y784=""),"",ROUND(($U784*Lists!$AN$11)+($V784*Lists!$AN$12)+($W784*Lists!$AN$13)+($X784*Lists!$AN$14)+($Y784*Lists!$AN$15),2))</f>
        <v/>
      </c>
      <c r="AA784" s="64" t="str">
        <f>IF(OR($B784="", $N784="", $O784="", $T784="", $Z784=""),"",ROUND(($N784*Lists!$AN$16)-($O784*Lists!$AN$17)-($T784*Lists!$AN$18)+($Z784*Lists!$AN$19),2))</f>
        <v/>
      </c>
      <c r="AB784" s="63" t="str">
        <f t="shared" si="45"/>
        <v/>
      </c>
      <c r="AC784" s="63" t="str">
        <f t="shared" si="46"/>
        <v/>
      </c>
      <c r="AD784" s="63" t="str">
        <f>IF($A784="","",IFERROR(IF(VLOOKUP($A784,'Risk Register'!$B$2:$H$1000,4,FALSE())&gt;=4,"Yes",""),""))</f>
        <v/>
      </c>
      <c r="AE784" s="63" t="str">
        <f t="shared" si="47"/>
        <v/>
      </c>
      <c r="AF784" s="62"/>
      <c r="AG784" s="62"/>
      <c r="AH784" s="62"/>
      <c r="AI784" s="62"/>
      <c r="AJ784" s="62"/>
      <c r="AK784" s="62"/>
      <c r="AL784" s="62"/>
      <c r="AM784" s="62"/>
      <c r="AN784" s="62"/>
      <c r="AO784" s="62"/>
      <c r="AP784" s="62"/>
      <c r="AQ784" s="80"/>
    </row>
    <row r="785" spans="1:43" ht="15.75" customHeight="1" x14ac:dyDescent="0.2">
      <c r="A785" s="63" t="str">
        <f t="shared" si="44"/>
        <v/>
      </c>
      <c r="B785" s="62"/>
      <c r="C785" s="62"/>
      <c r="D785" s="62"/>
      <c r="E785" s="62"/>
      <c r="F785" s="62"/>
      <c r="G785" s="62"/>
      <c r="H785" s="62"/>
      <c r="I785" s="66"/>
      <c r="J785" s="66"/>
      <c r="K785" s="66"/>
      <c r="L785" s="66"/>
      <c r="M785" s="66"/>
      <c r="N785" s="64" t="str">
        <f>IF(OR($B785="", $I785="", $J785="", $K785="", $L785="", $M785=""),"",ROUND(($I785*Lists!$AN$2)+($J785*Lists!$AN$3)+($K785*Lists!$AN$4)+($L785*Lists!$AN$5)+($M785*Lists!$AN$6),2))</f>
        <v/>
      </c>
      <c r="O785" s="64" t="str">
        <f>IF($A785="","",IFERROR(VLOOKUP($A785,'Risk Register'!$B$2:$I$1000,8,FALSE()),""))</f>
        <v/>
      </c>
      <c r="P785" s="66"/>
      <c r="Q785" s="66"/>
      <c r="R785" s="66"/>
      <c r="S785" s="66"/>
      <c r="T785" s="64" t="str">
        <f>IF(OR($B785="", $P785="", $Q785="", $R785="", $S785=""),"",ROUND(($P785*Lists!$AN$7)+($Q785*Lists!$AN$8)+($R785*Lists!$AN$9)+($S785*Lists!$AN$10),2))</f>
        <v/>
      </c>
      <c r="U785" s="66"/>
      <c r="V785" s="66"/>
      <c r="W785" s="66"/>
      <c r="X785" s="66"/>
      <c r="Y785" s="66"/>
      <c r="Z785" s="64" t="str">
        <f>IF(OR($B785="", $U785="", $V785="", $W785="", $X785="", $Y785=""),"",ROUND(($U785*Lists!$AN$11)+($V785*Lists!$AN$12)+($W785*Lists!$AN$13)+($X785*Lists!$AN$14)+($Y785*Lists!$AN$15),2))</f>
        <v/>
      </c>
      <c r="AA785" s="64" t="str">
        <f>IF(OR($B785="", $N785="", $O785="", $T785="", $Z785=""),"",ROUND(($N785*Lists!$AN$16)-($O785*Lists!$AN$17)-($T785*Lists!$AN$18)+($Z785*Lists!$AN$19),2))</f>
        <v/>
      </c>
      <c r="AB785" s="63" t="str">
        <f t="shared" si="45"/>
        <v/>
      </c>
      <c r="AC785" s="63" t="str">
        <f t="shared" si="46"/>
        <v/>
      </c>
      <c r="AD785" s="63" t="str">
        <f>IF($A785="","",IFERROR(IF(VLOOKUP($A785,'Risk Register'!$B$2:$H$1000,4,FALSE())&gt;=4,"Yes",""),""))</f>
        <v/>
      </c>
      <c r="AE785" s="63" t="str">
        <f t="shared" si="47"/>
        <v/>
      </c>
      <c r="AF785" s="62"/>
      <c r="AG785" s="62"/>
      <c r="AH785" s="62"/>
      <c r="AI785" s="62"/>
      <c r="AJ785" s="62"/>
      <c r="AK785" s="62"/>
      <c r="AL785" s="62"/>
      <c r="AM785" s="62"/>
      <c r="AN785" s="62"/>
      <c r="AO785" s="62"/>
      <c r="AP785" s="62"/>
      <c r="AQ785" s="80"/>
    </row>
    <row r="786" spans="1:43" ht="15.75" customHeight="1" x14ac:dyDescent="0.2">
      <c r="A786" s="63" t="str">
        <f t="shared" si="44"/>
        <v/>
      </c>
      <c r="B786" s="62"/>
      <c r="C786" s="62"/>
      <c r="D786" s="62"/>
      <c r="E786" s="62"/>
      <c r="F786" s="62"/>
      <c r="G786" s="62"/>
      <c r="H786" s="62"/>
      <c r="I786" s="66"/>
      <c r="J786" s="66"/>
      <c r="K786" s="66"/>
      <c r="L786" s="66"/>
      <c r="M786" s="66"/>
      <c r="N786" s="64" t="str">
        <f>IF(OR($B786="", $I786="", $J786="", $K786="", $L786="", $M786=""),"",ROUND(($I786*Lists!$AN$2)+($J786*Lists!$AN$3)+($K786*Lists!$AN$4)+($L786*Lists!$AN$5)+($M786*Lists!$AN$6),2))</f>
        <v/>
      </c>
      <c r="O786" s="64" t="str">
        <f>IF($A786="","",IFERROR(VLOOKUP($A786,'Risk Register'!$B$2:$I$1000,8,FALSE()),""))</f>
        <v/>
      </c>
      <c r="P786" s="66"/>
      <c r="Q786" s="66"/>
      <c r="R786" s="66"/>
      <c r="S786" s="66"/>
      <c r="T786" s="64" t="str">
        <f>IF(OR($B786="", $P786="", $Q786="", $R786="", $S786=""),"",ROUND(($P786*Lists!$AN$7)+($Q786*Lists!$AN$8)+($R786*Lists!$AN$9)+($S786*Lists!$AN$10),2))</f>
        <v/>
      </c>
      <c r="U786" s="66"/>
      <c r="V786" s="66"/>
      <c r="W786" s="66"/>
      <c r="X786" s="66"/>
      <c r="Y786" s="66"/>
      <c r="Z786" s="64" t="str">
        <f>IF(OR($B786="", $U786="", $V786="", $W786="", $X786="", $Y786=""),"",ROUND(($U786*Lists!$AN$11)+($V786*Lists!$AN$12)+($W786*Lists!$AN$13)+($X786*Lists!$AN$14)+($Y786*Lists!$AN$15),2))</f>
        <v/>
      </c>
      <c r="AA786" s="64" t="str">
        <f>IF(OR($B786="", $N786="", $O786="", $T786="", $Z786=""),"",ROUND(($N786*Lists!$AN$16)-($O786*Lists!$AN$17)-($T786*Lists!$AN$18)+($Z786*Lists!$AN$19),2))</f>
        <v/>
      </c>
      <c r="AB786" s="63" t="str">
        <f t="shared" si="45"/>
        <v/>
      </c>
      <c r="AC786" s="63" t="str">
        <f t="shared" si="46"/>
        <v/>
      </c>
      <c r="AD786" s="63" t="str">
        <f>IF($A786="","",IFERROR(IF(VLOOKUP($A786,'Risk Register'!$B$2:$H$1000,4,FALSE())&gt;=4,"Yes",""),""))</f>
        <v/>
      </c>
      <c r="AE786" s="63" t="str">
        <f t="shared" si="47"/>
        <v/>
      </c>
      <c r="AF786" s="62"/>
      <c r="AG786" s="62"/>
      <c r="AH786" s="62"/>
      <c r="AI786" s="62"/>
      <c r="AJ786" s="62"/>
      <c r="AK786" s="62"/>
      <c r="AL786" s="62"/>
      <c r="AM786" s="62"/>
      <c r="AN786" s="62"/>
      <c r="AO786" s="62"/>
      <c r="AP786" s="62"/>
      <c r="AQ786" s="80"/>
    </row>
    <row r="787" spans="1:43" ht="15.75" customHeight="1" x14ac:dyDescent="0.2">
      <c r="A787" s="63" t="str">
        <f t="shared" si="44"/>
        <v/>
      </c>
      <c r="B787" s="62"/>
      <c r="C787" s="62"/>
      <c r="D787" s="62"/>
      <c r="E787" s="62"/>
      <c r="F787" s="62"/>
      <c r="G787" s="62"/>
      <c r="H787" s="62"/>
      <c r="I787" s="66"/>
      <c r="J787" s="66"/>
      <c r="K787" s="66"/>
      <c r="L787" s="66"/>
      <c r="M787" s="66"/>
      <c r="N787" s="64" t="str">
        <f>IF(OR($B787="", $I787="", $J787="", $K787="", $L787="", $M787=""),"",ROUND(($I787*Lists!$AN$2)+($J787*Lists!$AN$3)+($K787*Lists!$AN$4)+($L787*Lists!$AN$5)+($M787*Lists!$AN$6),2))</f>
        <v/>
      </c>
      <c r="O787" s="64" t="str">
        <f>IF($A787="","",IFERROR(VLOOKUP($A787,'Risk Register'!$B$2:$I$1000,8,FALSE()),""))</f>
        <v/>
      </c>
      <c r="P787" s="66"/>
      <c r="Q787" s="66"/>
      <c r="R787" s="66"/>
      <c r="S787" s="66"/>
      <c r="T787" s="64" t="str">
        <f>IF(OR($B787="", $P787="", $Q787="", $R787="", $S787=""),"",ROUND(($P787*Lists!$AN$7)+($Q787*Lists!$AN$8)+($R787*Lists!$AN$9)+($S787*Lists!$AN$10),2))</f>
        <v/>
      </c>
      <c r="U787" s="66"/>
      <c r="V787" s="66"/>
      <c r="W787" s="66"/>
      <c r="X787" s="66"/>
      <c r="Y787" s="66"/>
      <c r="Z787" s="64" t="str">
        <f>IF(OR($B787="", $U787="", $V787="", $W787="", $X787="", $Y787=""),"",ROUND(($U787*Lists!$AN$11)+($V787*Lists!$AN$12)+($W787*Lists!$AN$13)+($X787*Lists!$AN$14)+($Y787*Lists!$AN$15),2))</f>
        <v/>
      </c>
      <c r="AA787" s="64" t="str">
        <f>IF(OR($B787="", $N787="", $O787="", $T787="", $Z787=""),"",ROUND(($N787*Lists!$AN$16)-($O787*Lists!$AN$17)-($T787*Lists!$AN$18)+($Z787*Lists!$AN$19),2))</f>
        <v/>
      </c>
      <c r="AB787" s="63" t="str">
        <f t="shared" si="45"/>
        <v/>
      </c>
      <c r="AC787" s="63" t="str">
        <f t="shared" si="46"/>
        <v/>
      </c>
      <c r="AD787" s="63" t="str">
        <f>IF($A787="","",IFERROR(IF(VLOOKUP($A787,'Risk Register'!$B$2:$H$1000,4,FALSE())&gt;=4,"Yes",""),""))</f>
        <v/>
      </c>
      <c r="AE787" s="63" t="str">
        <f t="shared" si="47"/>
        <v/>
      </c>
      <c r="AF787" s="62"/>
      <c r="AG787" s="62"/>
      <c r="AH787" s="62"/>
      <c r="AI787" s="62"/>
      <c r="AJ787" s="62"/>
      <c r="AK787" s="62"/>
      <c r="AL787" s="62"/>
      <c r="AM787" s="62"/>
      <c r="AN787" s="62"/>
      <c r="AO787" s="62"/>
      <c r="AP787" s="62"/>
      <c r="AQ787" s="80"/>
    </row>
    <row r="788" spans="1:43" ht="15.75" customHeight="1" x14ac:dyDescent="0.2">
      <c r="A788" s="63" t="str">
        <f t="shared" si="44"/>
        <v/>
      </c>
      <c r="B788" s="62"/>
      <c r="C788" s="62"/>
      <c r="D788" s="62"/>
      <c r="E788" s="62"/>
      <c r="F788" s="62"/>
      <c r="G788" s="62"/>
      <c r="H788" s="62"/>
      <c r="I788" s="66"/>
      <c r="J788" s="66"/>
      <c r="K788" s="66"/>
      <c r="L788" s="66"/>
      <c r="M788" s="66"/>
      <c r="N788" s="64" t="str">
        <f>IF(OR($B788="", $I788="", $J788="", $K788="", $L788="", $M788=""),"",ROUND(($I788*Lists!$AN$2)+($J788*Lists!$AN$3)+($K788*Lists!$AN$4)+($L788*Lists!$AN$5)+($M788*Lists!$AN$6),2))</f>
        <v/>
      </c>
      <c r="O788" s="64" t="str">
        <f>IF($A788="","",IFERROR(VLOOKUP($A788,'Risk Register'!$B$2:$I$1000,8,FALSE()),""))</f>
        <v/>
      </c>
      <c r="P788" s="66"/>
      <c r="Q788" s="66"/>
      <c r="R788" s="66"/>
      <c r="S788" s="66"/>
      <c r="T788" s="64" t="str">
        <f>IF(OR($B788="", $P788="", $Q788="", $R788="", $S788=""),"",ROUND(($P788*Lists!$AN$7)+($Q788*Lists!$AN$8)+($R788*Lists!$AN$9)+($S788*Lists!$AN$10),2))</f>
        <v/>
      </c>
      <c r="U788" s="66"/>
      <c r="V788" s="66"/>
      <c r="W788" s="66"/>
      <c r="X788" s="66"/>
      <c r="Y788" s="66"/>
      <c r="Z788" s="64" t="str">
        <f>IF(OR($B788="", $U788="", $V788="", $W788="", $X788="", $Y788=""),"",ROUND(($U788*Lists!$AN$11)+($V788*Lists!$AN$12)+($W788*Lists!$AN$13)+($X788*Lists!$AN$14)+($Y788*Lists!$AN$15),2))</f>
        <v/>
      </c>
      <c r="AA788" s="64" t="str">
        <f>IF(OR($B788="", $N788="", $O788="", $T788="", $Z788=""),"",ROUND(($N788*Lists!$AN$16)-($O788*Lists!$AN$17)-($T788*Lists!$AN$18)+($Z788*Lists!$AN$19),2))</f>
        <v/>
      </c>
      <c r="AB788" s="63" t="str">
        <f t="shared" si="45"/>
        <v/>
      </c>
      <c r="AC788" s="63" t="str">
        <f t="shared" si="46"/>
        <v/>
      </c>
      <c r="AD788" s="63" t="str">
        <f>IF($A788="","",IFERROR(IF(VLOOKUP($A788,'Risk Register'!$B$2:$H$1000,4,FALSE())&gt;=4,"Yes",""),""))</f>
        <v/>
      </c>
      <c r="AE788" s="63" t="str">
        <f t="shared" si="47"/>
        <v/>
      </c>
      <c r="AF788" s="62"/>
      <c r="AG788" s="62"/>
      <c r="AH788" s="62"/>
      <c r="AI788" s="62"/>
      <c r="AJ788" s="62"/>
      <c r="AK788" s="62"/>
      <c r="AL788" s="62"/>
      <c r="AM788" s="62"/>
      <c r="AN788" s="62"/>
      <c r="AO788" s="62"/>
      <c r="AP788" s="62"/>
      <c r="AQ788" s="80"/>
    </row>
    <row r="789" spans="1:43" ht="15.75" customHeight="1" x14ac:dyDescent="0.2">
      <c r="A789" s="63" t="str">
        <f t="shared" si="44"/>
        <v/>
      </c>
      <c r="B789" s="62"/>
      <c r="C789" s="62"/>
      <c r="D789" s="62"/>
      <c r="E789" s="62"/>
      <c r="F789" s="62"/>
      <c r="G789" s="62"/>
      <c r="H789" s="62"/>
      <c r="I789" s="66"/>
      <c r="J789" s="66"/>
      <c r="K789" s="66"/>
      <c r="L789" s="66"/>
      <c r="M789" s="66"/>
      <c r="N789" s="64" t="str">
        <f>IF(OR($B789="", $I789="", $J789="", $K789="", $L789="", $M789=""),"",ROUND(($I789*Lists!$AN$2)+($J789*Lists!$AN$3)+($K789*Lists!$AN$4)+($L789*Lists!$AN$5)+($M789*Lists!$AN$6),2))</f>
        <v/>
      </c>
      <c r="O789" s="64" t="str">
        <f>IF($A789="","",IFERROR(VLOOKUP($A789,'Risk Register'!$B$2:$I$1000,8,FALSE()),""))</f>
        <v/>
      </c>
      <c r="P789" s="66"/>
      <c r="Q789" s="66"/>
      <c r="R789" s="66"/>
      <c r="S789" s="66"/>
      <c r="T789" s="64" t="str">
        <f>IF(OR($B789="", $P789="", $Q789="", $R789="", $S789=""),"",ROUND(($P789*Lists!$AN$7)+($Q789*Lists!$AN$8)+($R789*Lists!$AN$9)+($S789*Lists!$AN$10),2))</f>
        <v/>
      </c>
      <c r="U789" s="66"/>
      <c r="V789" s="66"/>
      <c r="W789" s="66"/>
      <c r="X789" s="66"/>
      <c r="Y789" s="66"/>
      <c r="Z789" s="64" t="str">
        <f>IF(OR($B789="", $U789="", $V789="", $W789="", $X789="", $Y789=""),"",ROUND(($U789*Lists!$AN$11)+($V789*Lists!$AN$12)+($W789*Lists!$AN$13)+($X789*Lists!$AN$14)+($Y789*Lists!$AN$15),2))</f>
        <v/>
      </c>
      <c r="AA789" s="64" t="str">
        <f>IF(OR($B789="", $N789="", $O789="", $T789="", $Z789=""),"",ROUND(($N789*Lists!$AN$16)-($O789*Lists!$AN$17)-($T789*Lists!$AN$18)+($Z789*Lists!$AN$19),2))</f>
        <v/>
      </c>
      <c r="AB789" s="63" t="str">
        <f t="shared" si="45"/>
        <v/>
      </c>
      <c r="AC789" s="63" t="str">
        <f t="shared" si="46"/>
        <v/>
      </c>
      <c r="AD789" s="63" t="str">
        <f>IF($A789="","",IFERROR(IF(VLOOKUP($A789,'Risk Register'!$B$2:$H$1000,4,FALSE())&gt;=4,"Yes",""),""))</f>
        <v/>
      </c>
      <c r="AE789" s="63" t="str">
        <f t="shared" si="47"/>
        <v/>
      </c>
      <c r="AF789" s="62"/>
      <c r="AG789" s="62"/>
      <c r="AH789" s="62"/>
      <c r="AI789" s="62"/>
      <c r="AJ789" s="62"/>
      <c r="AK789" s="62"/>
      <c r="AL789" s="62"/>
      <c r="AM789" s="62"/>
      <c r="AN789" s="62"/>
      <c r="AO789" s="62"/>
      <c r="AP789" s="62"/>
      <c r="AQ789" s="80"/>
    </row>
    <row r="790" spans="1:43" ht="15.75" customHeight="1" x14ac:dyDescent="0.2">
      <c r="A790" s="63" t="str">
        <f t="shared" si="44"/>
        <v/>
      </c>
      <c r="B790" s="62"/>
      <c r="C790" s="62"/>
      <c r="D790" s="62"/>
      <c r="E790" s="62"/>
      <c r="F790" s="62"/>
      <c r="G790" s="62"/>
      <c r="H790" s="62"/>
      <c r="I790" s="66"/>
      <c r="J790" s="66"/>
      <c r="K790" s="66"/>
      <c r="L790" s="66"/>
      <c r="M790" s="66"/>
      <c r="N790" s="64" t="str">
        <f>IF(OR($B790="", $I790="", $J790="", $K790="", $L790="", $M790=""),"",ROUND(($I790*Lists!$AN$2)+($J790*Lists!$AN$3)+($K790*Lists!$AN$4)+($L790*Lists!$AN$5)+($M790*Lists!$AN$6),2))</f>
        <v/>
      </c>
      <c r="O790" s="64" t="str">
        <f>IF($A790="","",IFERROR(VLOOKUP($A790,'Risk Register'!$B$2:$I$1000,8,FALSE()),""))</f>
        <v/>
      </c>
      <c r="P790" s="66"/>
      <c r="Q790" s="66"/>
      <c r="R790" s="66"/>
      <c r="S790" s="66"/>
      <c r="T790" s="64" t="str">
        <f>IF(OR($B790="", $P790="", $Q790="", $R790="", $S790=""),"",ROUND(($P790*Lists!$AN$7)+($Q790*Lists!$AN$8)+($R790*Lists!$AN$9)+($S790*Lists!$AN$10),2))</f>
        <v/>
      </c>
      <c r="U790" s="66"/>
      <c r="V790" s="66"/>
      <c r="W790" s="66"/>
      <c r="X790" s="66"/>
      <c r="Y790" s="66"/>
      <c r="Z790" s="64" t="str">
        <f>IF(OR($B790="", $U790="", $V790="", $W790="", $X790="", $Y790=""),"",ROUND(($U790*Lists!$AN$11)+($V790*Lists!$AN$12)+($W790*Lists!$AN$13)+($X790*Lists!$AN$14)+($Y790*Lists!$AN$15),2))</f>
        <v/>
      </c>
      <c r="AA790" s="64" t="str">
        <f>IF(OR($B790="", $N790="", $O790="", $T790="", $Z790=""),"",ROUND(($N790*Lists!$AN$16)-($O790*Lists!$AN$17)-($T790*Lists!$AN$18)+($Z790*Lists!$AN$19),2))</f>
        <v/>
      </c>
      <c r="AB790" s="63" t="str">
        <f t="shared" si="45"/>
        <v/>
      </c>
      <c r="AC790" s="63" t="str">
        <f t="shared" si="46"/>
        <v/>
      </c>
      <c r="AD790" s="63" t="str">
        <f>IF($A790="","",IFERROR(IF(VLOOKUP($A790,'Risk Register'!$B$2:$H$1000,4,FALSE())&gt;=4,"Yes",""),""))</f>
        <v/>
      </c>
      <c r="AE790" s="63" t="str">
        <f t="shared" si="47"/>
        <v/>
      </c>
      <c r="AF790" s="62"/>
      <c r="AG790" s="62"/>
      <c r="AH790" s="62"/>
      <c r="AI790" s="62"/>
      <c r="AJ790" s="62"/>
      <c r="AK790" s="62"/>
      <c r="AL790" s="62"/>
      <c r="AM790" s="62"/>
      <c r="AN790" s="62"/>
      <c r="AO790" s="62"/>
      <c r="AP790" s="62"/>
      <c r="AQ790" s="80"/>
    </row>
    <row r="791" spans="1:43" ht="15.75" customHeight="1" x14ac:dyDescent="0.2">
      <c r="A791" s="63" t="str">
        <f t="shared" ref="A791:A854" si="48">IF($B791="","", "APM-" &amp; RIGHT("0000"&amp;ROW()-1,4))</f>
        <v/>
      </c>
      <c r="B791" s="62"/>
      <c r="C791" s="62"/>
      <c r="D791" s="62"/>
      <c r="E791" s="62"/>
      <c r="F791" s="62"/>
      <c r="G791" s="62"/>
      <c r="H791" s="62"/>
      <c r="I791" s="66"/>
      <c r="J791" s="66"/>
      <c r="K791" s="66"/>
      <c r="L791" s="66"/>
      <c r="M791" s="66"/>
      <c r="N791" s="64" t="str">
        <f>IF(OR($B791="", $I791="", $J791="", $K791="", $L791="", $M791=""),"",ROUND(($I791*Lists!$AN$2)+($J791*Lists!$AN$3)+($K791*Lists!$AN$4)+($L791*Lists!$AN$5)+($M791*Lists!$AN$6),2))</f>
        <v/>
      </c>
      <c r="O791" s="64" t="str">
        <f>IF($A791="","",IFERROR(VLOOKUP($A791,'Risk Register'!$B$2:$I$1000,8,FALSE()),""))</f>
        <v/>
      </c>
      <c r="P791" s="66"/>
      <c r="Q791" s="66"/>
      <c r="R791" s="66"/>
      <c r="S791" s="66"/>
      <c r="T791" s="64" t="str">
        <f>IF(OR($B791="", $P791="", $Q791="", $R791="", $S791=""),"",ROUND(($P791*Lists!$AN$7)+($Q791*Lists!$AN$8)+($R791*Lists!$AN$9)+($S791*Lists!$AN$10),2))</f>
        <v/>
      </c>
      <c r="U791" s="66"/>
      <c r="V791" s="66"/>
      <c r="W791" s="66"/>
      <c r="X791" s="66"/>
      <c r="Y791" s="66"/>
      <c r="Z791" s="64" t="str">
        <f>IF(OR($B791="", $U791="", $V791="", $W791="", $X791="", $Y791=""),"",ROUND(($U791*Lists!$AN$11)+($V791*Lists!$AN$12)+($W791*Lists!$AN$13)+($X791*Lists!$AN$14)+($Y791*Lists!$AN$15),2))</f>
        <v/>
      </c>
      <c r="AA791" s="64" t="str">
        <f>IF(OR($B791="", $N791="", $O791="", $T791="", $Z791=""),"",ROUND(($N791*Lists!$AN$16)-($O791*Lists!$AN$17)-($T791*Lists!$AN$18)+($Z791*Lists!$AN$19),2))</f>
        <v/>
      </c>
      <c r="AB791" s="63" t="str">
        <f t="shared" ref="AB791:AB854" si="49">IF($AA791="","",IF($AA791&gt;=3.5,"INVEST",IF($AA791&gt;=2.5,"TOLERATE",IF($AA791&gt;=1.5,"MIGRATE / MODERNIZE","RETIRE"))))</f>
        <v/>
      </c>
      <c r="AC791" s="63" t="str">
        <f t="shared" ref="AC791:AC854" si="50">IF($B791="","",IF($J791&gt;=4,"Yes",""))</f>
        <v/>
      </c>
      <c r="AD791" s="63" t="str">
        <f>IF($A791="","",IFERROR(IF(VLOOKUP($A791,'Risk Register'!$B$2:$H$1000,4,FALSE())&gt;=4,"Yes",""),""))</f>
        <v/>
      </c>
      <c r="AE791" s="63" t="str">
        <f t="shared" ref="AE791:AE854" si="51">IF(OR($N791="", $O791=""),"",IF($N791&gt;=3.5,IF($O791&gt;=3.5,"High Value / High Risk","High Value / Low Risk"),IF($O791&gt;=3.5,"Low Value / High Risk","Low Value / Low Risk")))</f>
        <v/>
      </c>
      <c r="AF791" s="62"/>
      <c r="AG791" s="62"/>
      <c r="AH791" s="62"/>
      <c r="AI791" s="62"/>
      <c r="AJ791" s="62"/>
      <c r="AK791" s="62"/>
      <c r="AL791" s="62"/>
      <c r="AM791" s="62"/>
      <c r="AN791" s="62"/>
      <c r="AO791" s="62"/>
      <c r="AP791" s="62"/>
      <c r="AQ791" s="80"/>
    </row>
    <row r="792" spans="1:43" ht="15.75" customHeight="1" x14ac:dyDescent="0.2">
      <c r="A792" s="63" t="str">
        <f t="shared" si="48"/>
        <v/>
      </c>
      <c r="B792" s="62"/>
      <c r="C792" s="62"/>
      <c r="D792" s="62"/>
      <c r="E792" s="62"/>
      <c r="F792" s="62"/>
      <c r="G792" s="62"/>
      <c r="H792" s="62"/>
      <c r="I792" s="66"/>
      <c r="J792" s="66"/>
      <c r="K792" s="66"/>
      <c r="L792" s="66"/>
      <c r="M792" s="66"/>
      <c r="N792" s="64" t="str">
        <f>IF(OR($B792="", $I792="", $J792="", $K792="", $L792="", $M792=""),"",ROUND(($I792*Lists!$AN$2)+($J792*Lists!$AN$3)+($K792*Lists!$AN$4)+($L792*Lists!$AN$5)+($M792*Lists!$AN$6),2))</f>
        <v/>
      </c>
      <c r="O792" s="64" t="str">
        <f>IF($A792="","",IFERROR(VLOOKUP($A792,'Risk Register'!$B$2:$I$1000,8,FALSE()),""))</f>
        <v/>
      </c>
      <c r="P792" s="66"/>
      <c r="Q792" s="66"/>
      <c r="R792" s="66"/>
      <c r="S792" s="66"/>
      <c r="T792" s="64" t="str">
        <f>IF(OR($B792="", $P792="", $Q792="", $R792="", $S792=""),"",ROUND(($P792*Lists!$AN$7)+($Q792*Lists!$AN$8)+($R792*Lists!$AN$9)+($S792*Lists!$AN$10),2))</f>
        <v/>
      </c>
      <c r="U792" s="66"/>
      <c r="V792" s="66"/>
      <c r="W792" s="66"/>
      <c r="X792" s="66"/>
      <c r="Y792" s="66"/>
      <c r="Z792" s="64" t="str">
        <f>IF(OR($B792="", $U792="", $V792="", $W792="", $X792="", $Y792=""),"",ROUND(($U792*Lists!$AN$11)+($V792*Lists!$AN$12)+($W792*Lists!$AN$13)+($X792*Lists!$AN$14)+($Y792*Lists!$AN$15),2))</f>
        <v/>
      </c>
      <c r="AA792" s="64" t="str">
        <f>IF(OR($B792="", $N792="", $O792="", $T792="", $Z792=""),"",ROUND(($N792*Lists!$AN$16)-($O792*Lists!$AN$17)-($T792*Lists!$AN$18)+($Z792*Lists!$AN$19),2))</f>
        <v/>
      </c>
      <c r="AB792" s="63" t="str">
        <f t="shared" si="49"/>
        <v/>
      </c>
      <c r="AC792" s="63" t="str">
        <f t="shared" si="50"/>
        <v/>
      </c>
      <c r="AD792" s="63" t="str">
        <f>IF($A792="","",IFERROR(IF(VLOOKUP($A792,'Risk Register'!$B$2:$H$1000,4,FALSE())&gt;=4,"Yes",""),""))</f>
        <v/>
      </c>
      <c r="AE792" s="63" t="str">
        <f t="shared" si="51"/>
        <v/>
      </c>
      <c r="AF792" s="62"/>
      <c r="AG792" s="62"/>
      <c r="AH792" s="62"/>
      <c r="AI792" s="62"/>
      <c r="AJ792" s="62"/>
      <c r="AK792" s="62"/>
      <c r="AL792" s="62"/>
      <c r="AM792" s="62"/>
      <c r="AN792" s="62"/>
      <c r="AO792" s="62"/>
      <c r="AP792" s="62"/>
      <c r="AQ792" s="80"/>
    </row>
    <row r="793" spans="1:43" ht="15.75" customHeight="1" x14ac:dyDescent="0.2">
      <c r="A793" s="63" t="str">
        <f t="shared" si="48"/>
        <v/>
      </c>
      <c r="B793" s="62"/>
      <c r="C793" s="62"/>
      <c r="D793" s="62"/>
      <c r="E793" s="62"/>
      <c r="F793" s="62"/>
      <c r="G793" s="62"/>
      <c r="H793" s="62"/>
      <c r="I793" s="66"/>
      <c r="J793" s="66"/>
      <c r="K793" s="66"/>
      <c r="L793" s="66"/>
      <c r="M793" s="66"/>
      <c r="N793" s="64" t="str">
        <f>IF(OR($B793="", $I793="", $J793="", $K793="", $L793="", $M793=""),"",ROUND(($I793*Lists!$AN$2)+($J793*Lists!$AN$3)+($K793*Lists!$AN$4)+($L793*Lists!$AN$5)+($M793*Lists!$AN$6),2))</f>
        <v/>
      </c>
      <c r="O793" s="64" t="str">
        <f>IF($A793="","",IFERROR(VLOOKUP($A793,'Risk Register'!$B$2:$I$1000,8,FALSE()),""))</f>
        <v/>
      </c>
      <c r="P793" s="66"/>
      <c r="Q793" s="66"/>
      <c r="R793" s="66"/>
      <c r="S793" s="66"/>
      <c r="T793" s="64" t="str">
        <f>IF(OR($B793="", $P793="", $Q793="", $R793="", $S793=""),"",ROUND(($P793*Lists!$AN$7)+($Q793*Lists!$AN$8)+($R793*Lists!$AN$9)+($S793*Lists!$AN$10),2))</f>
        <v/>
      </c>
      <c r="U793" s="66"/>
      <c r="V793" s="66"/>
      <c r="W793" s="66"/>
      <c r="X793" s="66"/>
      <c r="Y793" s="66"/>
      <c r="Z793" s="64" t="str">
        <f>IF(OR($B793="", $U793="", $V793="", $W793="", $X793="", $Y793=""),"",ROUND(($U793*Lists!$AN$11)+($V793*Lists!$AN$12)+($W793*Lists!$AN$13)+($X793*Lists!$AN$14)+($Y793*Lists!$AN$15),2))</f>
        <v/>
      </c>
      <c r="AA793" s="64" t="str">
        <f>IF(OR($B793="", $N793="", $O793="", $T793="", $Z793=""),"",ROUND(($N793*Lists!$AN$16)-($O793*Lists!$AN$17)-($T793*Lists!$AN$18)+($Z793*Lists!$AN$19),2))</f>
        <v/>
      </c>
      <c r="AB793" s="63" t="str">
        <f t="shared" si="49"/>
        <v/>
      </c>
      <c r="AC793" s="63" t="str">
        <f t="shared" si="50"/>
        <v/>
      </c>
      <c r="AD793" s="63" t="str">
        <f>IF($A793="","",IFERROR(IF(VLOOKUP($A793,'Risk Register'!$B$2:$H$1000,4,FALSE())&gt;=4,"Yes",""),""))</f>
        <v/>
      </c>
      <c r="AE793" s="63" t="str">
        <f t="shared" si="51"/>
        <v/>
      </c>
      <c r="AF793" s="62"/>
      <c r="AG793" s="62"/>
      <c r="AH793" s="62"/>
      <c r="AI793" s="62"/>
      <c r="AJ793" s="62"/>
      <c r="AK793" s="62"/>
      <c r="AL793" s="62"/>
      <c r="AM793" s="62"/>
      <c r="AN793" s="62"/>
      <c r="AO793" s="62"/>
      <c r="AP793" s="62"/>
      <c r="AQ793" s="80"/>
    </row>
    <row r="794" spans="1:43" ht="15.75" customHeight="1" x14ac:dyDescent="0.2">
      <c r="A794" s="63" t="str">
        <f t="shared" si="48"/>
        <v/>
      </c>
      <c r="B794" s="62"/>
      <c r="C794" s="62"/>
      <c r="D794" s="62"/>
      <c r="E794" s="62"/>
      <c r="F794" s="62"/>
      <c r="G794" s="62"/>
      <c r="H794" s="62"/>
      <c r="I794" s="66"/>
      <c r="J794" s="66"/>
      <c r="K794" s="66"/>
      <c r="L794" s="66"/>
      <c r="M794" s="66"/>
      <c r="N794" s="64" t="str">
        <f>IF(OR($B794="", $I794="", $J794="", $K794="", $L794="", $M794=""),"",ROUND(($I794*Lists!$AN$2)+($J794*Lists!$AN$3)+($K794*Lists!$AN$4)+($L794*Lists!$AN$5)+($M794*Lists!$AN$6),2))</f>
        <v/>
      </c>
      <c r="O794" s="64" t="str">
        <f>IF($A794="","",IFERROR(VLOOKUP($A794,'Risk Register'!$B$2:$I$1000,8,FALSE()),""))</f>
        <v/>
      </c>
      <c r="P794" s="66"/>
      <c r="Q794" s="66"/>
      <c r="R794" s="66"/>
      <c r="S794" s="66"/>
      <c r="T794" s="64" t="str">
        <f>IF(OR($B794="", $P794="", $Q794="", $R794="", $S794=""),"",ROUND(($P794*Lists!$AN$7)+($Q794*Lists!$AN$8)+($R794*Lists!$AN$9)+($S794*Lists!$AN$10),2))</f>
        <v/>
      </c>
      <c r="U794" s="66"/>
      <c r="V794" s="66"/>
      <c r="W794" s="66"/>
      <c r="X794" s="66"/>
      <c r="Y794" s="66"/>
      <c r="Z794" s="64" t="str">
        <f>IF(OR($B794="", $U794="", $V794="", $W794="", $X794="", $Y794=""),"",ROUND(($U794*Lists!$AN$11)+($V794*Lists!$AN$12)+($W794*Lists!$AN$13)+($X794*Lists!$AN$14)+($Y794*Lists!$AN$15),2))</f>
        <v/>
      </c>
      <c r="AA794" s="64" t="str">
        <f>IF(OR($B794="", $N794="", $O794="", $T794="", $Z794=""),"",ROUND(($N794*Lists!$AN$16)-($O794*Lists!$AN$17)-($T794*Lists!$AN$18)+($Z794*Lists!$AN$19),2))</f>
        <v/>
      </c>
      <c r="AB794" s="63" t="str">
        <f t="shared" si="49"/>
        <v/>
      </c>
      <c r="AC794" s="63" t="str">
        <f t="shared" si="50"/>
        <v/>
      </c>
      <c r="AD794" s="63" t="str">
        <f>IF($A794="","",IFERROR(IF(VLOOKUP($A794,'Risk Register'!$B$2:$H$1000,4,FALSE())&gt;=4,"Yes",""),""))</f>
        <v/>
      </c>
      <c r="AE794" s="63" t="str">
        <f t="shared" si="51"/>
        <v/>
      </c>
      <c r="AF794" s="62"/>
      <c r="AG794" s="62"/>
      <c r="AH794" s="62"/>
      <c r="AI794" s="62"/>
      <c r="AJ794" s="62"/>
      <c r="AK794" s="62"/>
      <c r="AL794" s="62"/>
      <c r="AM794" s="62"/>
      <c r="AN794" s="62"/>
      <c r="AO794" s="62"/>
      <c r="AP794" s="62"/>
      <c r="AQ794" s="80"/>
    </row>
    <row r="795" spans="1:43" ht="15.75" customHeight="1" x14ac:dyDescent="0.2">
      <c r="A795" s="63" t="str">
        <f t="shared" si="48"/>
        <v/>
      </c>
      <c r="B795" s="62"/>
      <c r="C795" s="62"/>
      <c r="D795" s="62"/>
      <c r="E795" s="62"/>
      <c r="F795" s="62"/>
      <c r="G795" s="62"/>
      <c r="H795" s="62"/>
      <c r="I795" s="66"/>
      <c r="J795" s="66"/>
      <c r="K795" s="66"/>
      <c r="L795" s="66"/>
      <c r="M795" s="66"/>
      <c r="N795" s="64" t="str">
        <f>IF(OR($B795="", $I795="", $J795="", $K795="", $L795="", $M795=""),"",ROUND(($I795*Lists!$AN$2)+($J795*Lists!$AN$3)+($K795*Lists!$AN$4)+($L795*Lists!$AN$5)+($M795*Lists!$AN$6),2))</f>
        <v/>
      </c>
      <c r="O795" s="64" t="str">
        <f>IF($A795="","",IFERROR(VLOOKUP($A795,'Risk Register'!$B$2:$I$1000,8,FALSE()),""))</f>
        <v/>
      </c>
      <c r="P795" s="66"/>
      <c r="Q795" s="66"/>
      <c r="R795" s="66"/>
      <c r="S795" s="66"/>
      <c r="T795" s="64" t="str">
        <f>IF(OR($B795="", $P795="", $Q795="", $R795="", $S795=""),"",ROUND(($P795*Lists!$AN$7)+($Q795*Lists!$AN$8)+($R795*Lists!$AN$9)+($S795*Lists!$AN$10),2))</f>
        <v/>
      </c>
      <c r="U795" s="66"/>
      <c r="V795" s="66"/>
      <c r="W795" s="66"/>
      <c r="X795" s="66"/>
      <c r="Y795" s="66"/>
      <c r="Z795" s="64" t="str">
        <f>IF(OR($B795="", $U795="", $V795="", $W795="", $X795="", $Y795=""),"",ROUND(($U795*Lists!$AN$11)+($V795*Lists!$AN$12)+($W795*Lists!$AN$13)+($X795*Lists!$AN$14)+($Y795*Lists!$AN$15),2))</f>
        <v/>
      </c>
      <c r="AA795" s="64" t="str">
        <f>IF(OR($B795="", $N795="", $O795="", $T795="", $Z795=""),"",ROUND(($N795*Lists!$AN$16)-($O795*Lists!$AN$17)-($T795*Lists!$AN$18)+($Z795*Lists!$AN$19),2))</f>
        <v/>
      </c>
      <c r="AB795" s="63" t="str">
        <f t="shared" si="49"/>
        <v/>
      </c>
      <c r="AC795" s="63" t="str">
        <f t="shared" si="50"/>
        <v/>
      </c>
      <c r="AD795" s="63" t="str">
        <f>IF($A795="","",IFERROR(IF(VLOOKUP($A795,'Risk Register'!$B$2:$H$1000,4,FALSE())&gt;=4,"Yes",""),""))</f>
        <v/>
      </c>
      <c r="AE795" s="63" t="str">
        <f t="shared" si="51"/>
        <v/>
      </c>
      <c r="AF795" s="62"/>
      <c r="AG795" s="62"/>
      <c r="AH795" s="62"/>
      <c r="AI795" s="62"/>
      <c r="AJ795" s="62"/>
      <c r="AK795" s="62"/>
      <c r="AL795" s="62"/>
      <c r="AM795" s="62"/>
      <c r="AN795" s="62"/>
      <c r="AO795" s="62"/>
      <c r="AP795" s="62"/>
      <c r="AQ795" s="80"/>
    </row>
    <row r="796" spans="1:43" ht="15.75" customHeight="1" x14ac:dyDescent="0.2">
      <c r="A796" s="63" t="str">
        <f t="shared" si="48"/>
        <v/>
      </c>
      <c r="B796" s="62"/>
      <c r="C796" s="62"/>
      <c r="D796" s="62"/>
      <c r="E796" s="62"/>
      <c r="F796" s="62"/>
      <c r="G796" s="62"/>
      <c r="H796" s="62"/>
      <c r="I796" s="66"/>
      <c r="J796" s="66"/>
      <c r="K796" s="66"/>
      <c r="L796" s="66"/>
      <c r="M796" s="66"/>
      <c r="N796" s="64" t="str">
        <f>IF(OR($B796="", $I796="", $J796="", $K796="", $L796="", $M796=""),"",ROUND(($I796*Lists!$AN$2)+($J796*Lists!$AN$3)+($K796*Lists!$AN$4)+($L796*Lists!$AN$5)+($M796*Lists!$AN$6),2))</f>
        <v/>
      </c>
      <c r="O796" s="64" t="str">
        <f>IF($A796="","",IFERROR(VLOOKUP($A796,'Risk Register'!$B$2:$I$1000,8,FALSE()),""))</f>
        <v/>
      </c>
      <c r="P796" s="66"/>
      <c r="Q796" s="66"/>
      <c r="R796" s="66"/>
      <c r="S796" s="66"/>
      <c r="T796" s="64" t="str">
        <f>IF(OR($B796="", $P796="", $Q796="", $R796="", $S796=""),"",ROUND(($P796*Lists!$AN$7)+($Q796*Lists!$AN$8)+($R796*Lists!$AN$9)+($S796*Lists!$AN$10),2))</f>
        <v/>
      </c>
      <c r="U796" s="66"/>
      <c r="V796" s="66"/>
      <c r="W796" s="66"/>
      <c r="X796" s="66"/>
      <c r="Y796" s="66"/>
      <c r="Z796" s="64" t="str">
        <f>IF(OR($B796="", $U796="", $V796="", $W796="", $X796="", $Y796=""),"",ROUND(($U796*Lists!$AN$11)+($V796*Lists!$AN$12)+($W796*Lists!$AN$13)+($X796*Lists!$AN$14)+($Y796*Lists!$AN$15),2))</f>
        <v/>
      </c>
      <c r="AA796" s="64" t="str">
        <f>IF(OR($B796="", $N796="", $O796="", $T796="", $Z796=""),"",ROUND(($N796*Lists!$AN$16)-($O796*Lists!$AN$17)-($T796*Lists!$AN$18)+($Z796*Lists!$AN$19),2))</f>
        <v/>
      </c>
      <c r="AB796" s="63" t="str">
        <f t="shared" si="49"/>
        <v/>
      </c>
      <c r="AC796" s="63" t="str">
        <f t="shared" si="50"/>
        <v/>
      </c>
      <c r="AD796" s="63" t="str">
        <f>IF($A796="","",IFERROR(IF(VLOOKUP($A796,'Risk Register'!$B$2:$H$1000,4,FALSE())&gt;=4,"Yes",""),""))</f>
        <v/>
      </c>
      <c r="AE796" s="63" t="str">
        <f t="shared" si="51"/>
        <v/>
      </c>
      <c r="AF796" s="62"/>
      <c r="AG796" s="62"/>
      <c r="AH796" s="62"/>
      <c r="AI796" s="62"/>
      <c r="AJ796" s="62"/>
      <c r="AK796" s="62"/>
      <c r="AL796" s="62"/>
      <c r="AM796" s="62"/>
      <c r="AN796" s="62"/>
      <c r="AO796" s="62"/>
      <c r="AP796" s="62"/>
      <c r="AQ796" s="80"/>
    </row>
    <row r="797" spans="1:43" ht="15.75" customHeight="1" x14ac:dyDescent="0.2">
      <c r="A797" s="63" t="str">
        <f t="shared" si="48"/>
        <v/>
      </c>
      <c r="B797" s="62"/>
      <c r="C797" s="62"/>
      <c r="D797" s="62"/>
      <c r="E797" s="62"/>
      <c r="F797" s="62"/>
      <c r="G797" s="62"/>
      <c r="H797" s="62"/>
      <c r="I797" s="66"/>
      <c r="J797" s="66"/>
      <c r="K797" s="66"/>
      <c r="L797" s="66"/>
      <c r="M797" s="66"/>
      <c r="N797" s="64" t="str">
        <f>IF(OR($B797="", $I797="", $J797="", $K797="", $L797="", $M797=""),"",ROUND(($I797*Lists!$AN$2)+($J797*Lists!$AN$3)+($K797*Lists!$AN$4)+($L797*Lists!$AN$5)+($M797*Lists!$AN$6),2))</f>
        <v/>
      </c>
      <c r="O797" s="64" t="str">
        <f>IF($A797="","",IFERROR(VLOOKUP($A797,'Risk Register'!$B$2:$I$1000,8,FALSE()),""))</f>
        <v/>
      </c>
      <c r="P797" s="66"/>
      <c r="Q797" s="66"/>
      <c r="R797" s="66"/>
      <c r="S797" s="66"/>
      <c r="T797" s="64" t="str">
        <f>IF(OR($B797="", $P797="", $Q797="", $R797="", $S797=""),"",ROUND(($P797*Lists!$AN$7)+($Q797*Lists!$AN$8)+($R797*Lists!$AN$9)+($S797*Lists!$AN$10),2))</f>
        <v/>
      </c>
      <c r="U797" s="66"/>
      <c r="V797" s="66"/>
      <c r="W797" s="66"/>
      <c r="X797" s="66"/>
      <c r="Y797" s="66"/>
      <c r="Z797" s="64" t="str">
        <f>IF(OR($B797="", $U797="", $V797="", $W797="", $X797="", $Y797=""),"",ROUND(($U797*Lists!$AN$11)+($V797*Lists!$AN$12)+($W797*Lists!$AN$13)+($X797*Lists!$AN$14)+($Y797*Lists!$AN$15),2))</f>
        <v/>
      </c>
      <c r="AA797" s="64" t="str">
        <f>IF(OR($B797="", $N797="", $O797="", $T797="", $Z797=""),"",ROUND(($N797*Lists!$AN$16)-($O797*Lists!$AN$17)-($T797*Lists!$AN$18)+($Z797*Lists!$AN$19),2))</f>
        <v/>
      </c>
      <c r="AB797" s="63" t="str">
        <f t="shared" si="49"/>
        <v/>
      </c>
      <c r="AC797" s="63" t="str">
        <f t="shared" si="50"/>
        <v/>
      </c>
      <c r="AD797" s="63" t="str">
        <f>IF($A797="","",IFERROR(IF(VLOOKUP($A797,'Risk Register'!$B$2:$H$1000,4,FALSE())&gt;=4,"Yes",""),""))</f>
        <v/>
      </c>
      <c r="AE797" s="63" t="str">
        <f t="shared" si="51"/>
        <v/>
      </c>
      <c r="AF797" s="62"/>
      <c r="AG797" s="62"/>
      <c r="AH797" s="62"/>
      <c r="AI797" s="62"/>
      <c r="AJ797" s="62"/>
      <c r="AK797" s="62"/>
      <c r="AL797" s="62"/>
      <c r="AM797" s="62"/>
      <c r="AN797" s="62"/>
      <c r="AO797" s="62"/>
      <c r="AP797" s="62"/>
      <c r="AQ797" s="80"/>
    </row>
    <row r="798" spans="1:43" ht="15.75" customHeight="1" x14ac:dyDescent="0.2">
      <c r="A798" s="63" t="str">
        <f t="shared" si="48"/>
        <v/>
      </c>
      <c r="B798" s="62"/>
      <c r="C798" s="62"/>
      <c r="D798" s="62"/>
      <c r="E798" s="62"/>
      <c r="F798" s="62"/>
      <c r="G798" s="62"/>
      <c r="H798" s="62"/>
      <c r="I798" s="66"/>
      <c r="J798" s="66"/>
      <c r="K798" s="66"/>
      <c r="L798" s="66"/>
      <c r="M798" s="66"/>
      <c r="N798" s="64" t="str">
        <f>IF(OR($B798="", $I798="", $J798="", $K798="", $L798="", $M798=""),"",ROUND(($I798*Lists!$AN$2)+($J798*Lists!$AN$3)+($K798*Lists!$AN$4)+($L798*Lists!$AN$5)+($M798*Lists!$AN$6),2))</f>
        <v/>
      </c>
      <c r="O798" s="64" t="str">
        <f>IF($A798="","",IFERROR(VLOOKUP($A798,'Risk Register'!$B$2:$I$1000,8,FALSE()),""))</f>
        <v/>
      </c>
      <c r="P798" s="66"/>
      <c r="Q798" s="66"/>
      <c r="R798" s="66"/>
      <c r="S798" s="66"/>
      <c r="T798" s="64" t="str">
        <f>IF(OR($B798="", $P798="", $Q798="", $R798="", $S798=""),"",ROUND(($P798*Lists!$AN$7)+($Q798*Lists!$AN$8)+($R798*Lists!$AN$9)+($S798*Lists!$AN$10),2))</f>
        <v/>
      </c>
      <c r="U798" s="66"/>
      <c r="V798" s="66"/>
      <c r="W798" s="66"/>
      <c r="X798" s="66"/>
      <c r="Y798" s="66"/>
      <c r="Z798" s="64" t="str">
        <f>IF(OR($B798="", $U798="", $V798="", $W798="", $X798="", $Y798=""),"",ROUND(($U798*Lists!$AN$11)+($V798*Lists!$AN$12)+($W798*Lists!$AN$13)+($X798*Lists!$AN$14)+($Y798*Lists!$AN$15),2))</f>
        <v/>
      </c>
      <c r="AA798" s="64" t="str">
        <f>IF(OR($B798="", $N798="", $O798="", $T798="", $Z798=""),"",ROUND(($N798*Lists!$AN$16)-($O798*Lists!$AN$17)-($T798*Lists!$AN$18)+($Z798*Lists!$AN$19),2))</f>
        <v/>
      </c>
      <c r="AB798" s="63" t="str">
        <f t="shared" si="49"/>
        <v/>
      </c>
      <c r="AC798" s="63" t="str">
        <f t="shared" si="50"/>
        <v/>
      </c>
      <c r="AD798" s="63" t="str">
        <f>IF($A798="","",IFERROR(IF(VLOOKUP($A798,'Risk Register'!$B$2:$H$1000,4,FALSE())&gt;=4,"Yes",""),""))</f>
        <v/>
      </c>
      <c r="AE798" s="63" t="str">
        <f t="shared" si="51"/>
        <v/>
      </c>
      <c r="AF798" s="62"/>
      <c r="AG798" s="62"/>
      <c r="AH798" s="62"/>
      <c r="AI798" s="62"/>
      <c r="AJ798" s="62"/>
      <c r="AK798" s="62"/>
      <c r="AL798" s="62"/>
      <c r="AM798" s="62"/>
      <c r="AN798" s="62"/>
      <c r="AO798" s="62"/>
      <c r="AP798" s="62"/>
      <c r="AQ798" s="80"/>
    </row>
    <row r="799" spans="1:43" ht="15.75" customHeight="1" x14ac:dyDescent="0.2">
      <c r="A799" s="63" t="str">
        <f t="shared" si="48"/>
        <v/>
      </c>
      <c r="B799" s="62"/>
      <c r="C799" s="62"/>
      <c r="D799" s="62"/>
      <c r="E799" s="62"/>
      <c r="F799" s="62"/>
      <c r="G799" s="62"/>
      <c r="H799" s="62"/>
      <c r="I799" s="66"/>
      <c r="J799" s="66"/>
      <c r="K799" s="66"/>
      <c r="L799" s="66"/>
      <c r="M799" s="66"/>
      <c r="N799" s="64" t="str">
        <f>IF(OR($B799="", $I799="", $J799="", $K799="", $L799="", $M799=""),"",ROUND(($I799*Lists!$AN$2)+($J799*Lists!$AN$3)+($K799*Lists!$AN$4)+($L799*Lists!$AN$5)+($M799*Lists!$AN$6),2))</f>
        <v/>
      </c>
      <c r="O799" s="64" t="str">
        <f>IF($A799="","",IFERROR(VLOOKUP($A799,'Risk Register'!$B$2:$I$1000,8,FALSE()),""))</f>
        <v/>
      </c>
      <c r="P799" s="66"/>
      <c r="Q799" s="66"/>
      <c r="R799" s="66"/>
      <c r="S799" s="66"/>
      <c r="T799" s="64" t="str">
        <f>IF(OR($B799="", $P799="", $Q799="", $R799="", $S799=""),"",ROUND(($P799*Lists!$AN$7)+($Q799*Lists!$AN$8)+($R799*Lists!$AN$9)+($S799*Lists!$AN$10),2))</f>
        <v/>
      </c>
      <c r="U799" s="66"/>
      <c r="V799" s="66"/>
      <c r="W799" s="66"/>
      <c r="X799" s="66"/>
      <c r="Y799" s="66"/>
      <c r="Z799" s="64" t="str">
        <f>IF(OR($B799="", $U799="", $V799="", $W799="", $X799="", $Y799=""),"",ROUND(($U799*Lists!$AN$11)+($V799*Lists!$AN$12)+($W799*Lists!$AN$13)+($X799*Lists!$AN$14)+($Y799*Lists!$AN$15),2))</f>
        <v/>
      </c>
      <c r="AA799" s="64" t="str">
        <f>IF(OR($B799="", $N799="", $O799="", $T799="", $Z799=""),"",ROUND(($N799*Lists!$AN$16)-($O799*Lists!$AN$17)-($T799*Lists!$AN$18)+($Z799*Lists!$AN$19),2))</f>
        <v/>
      </c>
      <c r="AB799" s="63" t="str">
        <f t="shared" si="49"/>
        <v/>
      </c>
      <c r="AC799" s="63" t="str">
        <f t="shared" si="50"/>
        <v/>
      </c>
      <c r="AD799" s="63" t="str">
        <f>IF($A799="","",IFERROR(IF(VLOOKUP($A799,'Risk Register'!$B$2:$H$1000,4,FALSE())&gt;=4,"Yes",""),""))</f>
        <v/>
      </c>
      <c r="AE799" s="63" t="str">
        <f t="shared" si="51"/>
        <v/>
      </c>
      <c r="AF799" s="62"/>
      <c r="AG799" s="62"/>
      <c r="AH799" s="62"/>
      <c r="AI799" s="62"/>
      <c r="AJ799" s="62"/>
      <c r="AK799" s="62"/>
      <c r="AL799" s="62"/>
      <c r="AM799" s="62"/>
      <c r="AN799" s="62"/>
      <c r="AO799" s="62"/>
      <c r="AP799" s="62"/>
      <c r="AQ799" s="80"/>
    </row>
    <row r="800" spans="1:43" ht="15.75" customHeight="1" x14ac:dyDescent="0.2">
      <c r="A800" s="63" t="str">
        <f t="shared" si="48"/>
        <v/>
      </c>
      <c r="B800" s="62"/>
      <c r="C800" s="62"/>
      <c r="D800" s="62"/>
      <c r="E800" s="62"/>
      <c r="F800" s="62"/>
      <c r="G800" s="62"/>
      <c r="H800" s="62"/>
      <c r="I800" s="66"/>
      <c r="J800" s="66"/>
      <c r="K800" s="66"/>
      <c r="L800" s="66"/>
      <c r="M800" s="66"/>
      <c r="N800" s="64" t="str">
        <f>IF(OR($B800="", $I800="", $J800="", $K800="", $L800="", $M800=""),"",ROUND(($I800*Lists!$AN$2)+($J800*Lists!$AN$3)+($K800*Lists!$AN$4)+($L800*Lists!$AN$5)+($M800*Lists!$AN$6),2))</f>
        <v/>
      </c>
      <c r="O800" s="64" t="str">
        <f>IF($A800="","",IFERROR(VLOOKUP($A800,'Risk Register'!$B$2:$I$1000,8,FALSE()),""))</f>
        <v/>
      </c>
      <c r="P800" s="66"/>
      <c r="Q800" s="66"/>
      <c r="R800" s="66"/>
      <c r="S800" s="66"/>
      <c r="T800" s="64" t="str">
        <f>IF(OR($B800="", $P800="", $Q800="", $R800="", $S800=""),"",ROUND(($P800*Lists!$AN$7)+($Q800*Lists!$AN$8)+($R800*Lists!$AN$9)+($S800*Lists!$AN$10),2))</f>
        <v/>
      </c>
      <c r="U800" s="66"/>
      <c r="V800" s="66"/>
      <c r="W800" s="66"/>
      <c r="X800" s="66"/>
      <c r="Y800" s="66"/>
      <c r="Z800" s="64" t="str">
        <f>IF(OR($B800="", $U800="", $V800="", $W800="", $X800="", $Y800=""),"",ROUND(($U800*Lists!$AN$11)+($V800*Lists!$AN$12)+($W800*Lists!$AN$13)+($X800*Lists!$AN$14)+($Y800*Lists!$AN$15),2))</f>
        <v/>
      </c>
      <c r="AA800" s="64" t="str">
        <f>IF(OR($B800="", $N800="", $O800="", $T800="", $Z800=""),"",ROUND(($N800*Lists!$AN$16)-($O800*Lists!$AN$17)-($T800*Lists!$AN$18)+($Z800*Lists!$AN$19),2))</f>
        <v/>
      </c>
      <c r="AB800" s="63" t="str">
        <f t="shared" si="49"/>
        <v/>
      </c>
      <c r="AC800" s="63" t="str">
        <f t="shared" si="50"/>
        <v/>
      </c>
      <c r="AD800" s="63" t="str">
        <f>IF($A800="","",IFERROR(IF(VLOOKUP($A800,'Risk Register'!$B$2:$H$1000,4,FALSE())&gt;=4,"Yes",""),""))</f>
        <v/>
      </c>
      <c r="AE800" s="63" t="str">
        <f t="shared" si="51"/>
        <v/>
      </c>
      <c r="AF800" s="62"/>
      <c r="AG800" s="62"/>
      <c r="AH800" s="62"/>
      <c r="AI800" s="62"/>
      <c r="AJ800" s="62"/>
      <c r="AK800" s="62"/>
      <c r="AL800" s="62"/>
      <c r="AM800" s="62"/>
      <c r="AN800" s="62"/>
      <c r="AO800" s="62"/>
      <c r="AP800" s="62"/>
      <c r="AQ800" s="80"/>
    </row>
    <row r="801" spans="1:43" ht="15.75" customHeight="1" x14ac:dyDescent="0.2">
      <c r="A801" s="63" t="str">
        <f t="shared" si="48"/>
        <v/>
      </c>
      <c r="B801" s="62"/>
      <c r="C801" s="62"/>
      <c r="D801" s="62"/>
      <c r="E801" s="62"/>
      <c r="F801" s="62"/>
      <c r="G801" s="62"/>
      <c r="H801" s="62"/>
      <c r="I801" s="66"/>
      <c r="J801" s="66"/>
      <c r="K801" s="66"/>
      <c r="L801" s="66"/>
      <c r="M801" s="66"/>
      <c r="N801" s="64" t="str">
        <f>IF(OR($B801="", $I801="", $J801="", $K801="", $L801="", $M801=""),"",ROUND(($I801*Lists!$AN$2)+($J801*Lists!$AN$3)+($K801*Lists!$AN$4)+($L801*Lists!$AN$5)+($M801*Lists!$AN$6),2))</f>
        <v/>
      </c>
      <c r="O801" s="64" t="str">
        <f>IF($A801="","",IFERROR(VLOOKUP($A801,'Risk Register'!$B$2:$I$1000,8,FALSE()),""))</f>
        <v/>
      </c>
      <c r="P801" s="66"/>
      <c r="Q801" s="66"/>
      <c r="R801" s="66"/>
      <c r="S801" s="66"/>
      <c r="T801" s="64" t="str">
        <f>IF(OR($B801="", $P801="", $Q801="", $R801="", $S801=""),"",ROUND(($P801*Lists!$AN$7)+($Q801*Lists!$AN$8)+($R801*Lists!$AN$9)+($S801*Lists!$AN$10),2))</f>
        <v/>
      </c>
      <c r="U801" s="66"/>
      <c r="V801" s="66"/>
      <c r="W801" s="66"/>
      <c r="X801" s="66"/>
      <c r="Y801" s="66"/>
      <c r="Z801" s="64" t="str">
        <f>IF(OR($B801="", $U801="", $V801="", $W801="", $X801="", $Y801=""),"",ROUND(($U801*Lists!$AN$11)+($V801*Lists!$AN$12)+($W801*Lists!$AN$13)+($X801*Lists!$AN$14)+($Y801*Lists!$AN$15),2))</f>
        <v/>
      </c>
      <c r="AA801" s="64" t="str">
        <f>IF(OR($B801="", $N801="", $O801="", $T801="", $Z801=""),"",ROUND(($N801*Lists!$AN$16)-($O801*Lists!$AN$17)-($T801*Lists!$AN$18)+($Z801*Lists!$AN$19),2))</f>
        <v/>
      </c>
      <c r="AB801" s="63" t="str">
        <f t="shared" si="49"/>
        <v/>
      </c>
      <c r="AC801" s="63" t="str">
        <f t="shared" si="50"/>
        <v/>
      </c>
      <c r="AD801" s="63" t="str">
        <f>IF($A801="","",IFERROR(IF(VLOOKUP($A801,'Risk Register'!$B$2:$H$1000,4,FALSE())&gt;=4,"Yes",""),""))</f>
        <v/>
      </c>
      <c r="AE801" s="63" t="str">
        <f t="shared" si="51"/>
        <v/>
      </c>
      <c r="AF801" s="62"/>
      <c r="AG801" s="62"/>
      <c r="AH801" s="62"/>
      <c r="AI801" s="62"/>
      <c r="AJ801" s="62"/>
      <c r="AK801" s="62"/>
      <c r="AL801" s="62"/>
      <c r="AM801" s="62"/>
      <c r="AN801" s="62"/>
      <c r="AO801" s="62"/>
      <c r="AP801" s="62"/>
      <c r="AQ801" s="80"/>
    </row>
    <row r="802" spans="1:43" ht="15.75" customHeight="1" x14ac:dyDescent="0.2">
      <c r="A802" s="63" t="str">
        <f t="shared" si="48"/>
        <v/>
      </c>
      <c r="B802" s="62"/>
      <c r="C802" s="62"/>
      <c r="D802" s="62"/>
      <c r="E802" s="62"/>
      <c r="F802" s="62"/>
      <c r="G802" s="62"/>
      <c r="H802" s="62"/>
      <c r="I802" s="66"/>
      <c r="J802" s="66"/>
      <c r="K802" s="66"/>
      <c r="L802" s="66"/>
      <c r="M802" s="66"/>
      <c r="N802" s="64" t="str">
        <f>IF(OR($B802="", $I802="", $J802="", $K802="", $L802="", $M802=""),"",ROUND(($I802*Lists!$AN$2)+($J802*Lists!$AN$3)+($K802*Lists!$AN$4)+($L802*Lists!$AN$5)+($M802*Lists!$AN$6),2))</f>
        <v/>
      </c>
      <c r="O802" s="64" t="str">
        <f>IF($A802="","",IFERROR(VLOOKUP($A802,'Risk Register'!$B$2:$I$1000,8,FALSE()),""))</f>
        <v/>
      </c>
      <c r="P802" s="66"/>
      <c r="Q802" s="66"/>
      <c r="R802" s="66"/>
      <c r="S802" s="66"/>
      <c r="T802" s="64" t="str">
        <f>IF(OR($B802="", $P802="", $Q802="", $R802="", $S802=""),"",ROUND(($P802*Lists!$AN$7)+($Q802*Lists!$AN$8)+($R802*Lists!$AN$9)+($S802*Lists!$AN$10),2))</f>
        <v/>
      </c>
      <c r="U802" s="66"/>
      <c r="V802" s="66"/>
      <c r="W802" s="66"/>
      <c r="X802" s="66"/>
      <c r="Y802" s="66"/>
      <c r="Z802" s="64" t="str">
        <f>IF(OR($B802="", $U802="", $V802="", $W802="", $X802="", $Y802=""),"",ROUND(($U802*Lists!$AN$11)+($V802*Lists!$AN$12)+($W802*Lists!$AN$13)+($X802*Lists!$AN$14)+($Y802*Lists!$AN$15),2))</f>
        <v/>
      </c>
      <c r="AA802" s="64" t="str">
        <f>IF(OR($B802="", $N802="", $O802="", $T802="", $Z802=""),"",ROUND(($N802*Lists!$AN$16)-($O802*Lists!$AN$17)-($T802*Lists!$AN$18)+($Z802*Lists!$AN$19),2))</f>
        <v/>
      </c>
      <c r="AB802" s="63" t="str">
        <f t="shared" si="49"/>
        <v/>
      </c>
      <c r="AC802" s="63" t="str">
        <f t="shared" si="50"/>
        <v/>
      </c>
      <c r="AD802" s="63" t="str">
        <f>IF($A802="","",IFERROR(IF(VLOOKUP($A802,'Risk Register'!$B$2:$H$1000,4,FALSE())&gt;=4,"Yes",""),""))</f>
        <v/>
      </c>
      <c r="AE802" s="63" t="str">
        <f t="shared" si="51"/>
        <v/>
      </c>
      <c r="AF802" s="62"/>
      <c r="AG802" s="62"/>
      <c r="AH802" s="62"/>
      <c r="AI802" s="62"/>
      <c r="AJ802" s="62"/>
      <c r="AK802" s="62"/>
      <c r="AL802" s="62"/>
      <c r="AM802" s="62"/>
      <c r="AN802" s="62"/>
      <c r="AO802" s="62"/>
      <c r="AP802" s="62"/>
      <c r="AQ802" s="80"/>
    </row>
    <row r="803" spans="1:43" ht="15.75" customHeight="1" x14ac:dyDescent="0.2">
      <c r="A803" s="63" t="str">
        <f t="shared" si="48"/>
        <v/>
      </c>
      <c r="B803" s="62"/>
      <c r="C803" s="62"/>
      <c r="D803" s="62"/>
      <c r="E803" s="62"/>
      <c r="F803" s="62"/>
      <c r="G803" s="62"/>
      <c r="H803" s="62"/>
      <c r="I803" s="66"/>
      <c r="J803" s="66"/>
      <c r="K803" s="66"/>
      <c r="L803" s="66"/>
      <c r="M803" s="66"/>
      <c r="N803" s="64" t="str">
        <f>IF(OR($B803="", $I803="", $J803="", $K803="", $L803="", $M803=""),"",ROUND(($I803*Lists!$AN$2)+($J803*Lists!$AN$3)+($K803*Lists!$AN$4)+($L803*Lists!$AN$5)+($M803*Lists!$AN$6),2))</f>
        <v/>
      </c>
      <c r="O803" s="64" t="str">
        <f>IF($A803="","",IFERROR(VLOOKUP($A803,'Risk Register'!$B$2:$I$1000,8,FALSE()),""))</f>
        <v/>
      </c>
      <c r="P803" s="66"/>
      <c r="Q803" s="66"/>
      <c r="R803" s="66"/>
      <c r="S803" s="66"/>
      <c r="T803" s="64" t="str">
        <f>IF(OR($B803="", $P803="", $Q803="", $R803="", $S803=""),"",ROUND(($P803*Lists!$AN$7)+($Q803*Lists!$AN$8)+($R803*Lists!$AN$9)+($S803*Lists!$AN$10),2))</f>
        <v/>
      </c>
      <c r="U803" s="66"/>
      <c r="V803" s="66"/>
      <c r="W803" s="66"/>
      <c r="X803" s="66"/>
      <c r="Y803" s="66"/>
      <c r="Z803" s="64" t="str">
        <f>IF(OR($B803="", $U803="", $V803="", $W803="", $X803="", $Y803=""),"",ROUND(($U803*Lists!$AN$11)+($V803*Lists!$AN$12)+($W803*Lists!$AN$13)+($X803*Lists!$AN$14)+($Y803*Lists!$AN$15),2))</f>
        <v/>
      </c>
      <c r="AA803" s="64" t="str">
        <f>IF(OR($B803="", $N803="", $O803="", $T803="", $Z803=""),"",ROUND(($N803*Lists!$AN$16)-($O803*Lists!$AN$17)-($T803*Lists!$AN$18)+($Z803*Lists!$AN$19),2))</f>
        <v/>
      </c>
      <c r="AB803" s="63" t="str">
        <f t="shared" si="49"/>
        <v/>
      </c>
      <c r="AC803" s="63" t="str">
        <f t="shared" si="50"/>
        <v/>
      </c>
      <c r="AD803" s="63" t="str">
        <f>IF($A803="","",IFERROR(IF(VLOOKUP($A803,'Risk Register'!$B$2:$H$1000,4,FALSE())&gt;=4,"Yes",""),""))</f>
        <v/>
      </c>
      <c r="AE803" s="63" t="str">
        <f t="shared" si="51"/>
        <v/>
      </c>
      <c r="AF803" s="62"/>
      <c r="AG803" s="62"/>
      <c r="AH803" s="62"/>
      <c r="AI803" s="62"/>
      <c r="AJ803" s="62"/>
      <c r="AK803" s="62"/>
      <c r="AL803" s="62"/>
      <c r="AM803" s="62"/>
      <c r="AN803" s="62"/>
      <c r="AO803" s="62"/>
      <c r="AP803" s="62"/>
      <c r="AQ803" s="80"/>
    </row>
    <row r="804" spans="1:43" ht="15.75" customHeight="1" x14ac:dyDescent="0.2">
      <c r="A804" s="63" t="str">
        <f t="shared" si="48"/>
        <v/>
      </c>
      <c r="B804" s="62"/>
      <c r="C804" s="62"/>
      <c r="D804" s="62"/>
      <c r="E804" s="62"/>
      <c r="F804" s="62"/>
      <c r="G804" s="62"/>
      <c r="H804" s="62"/>
      <c r="I804" s="66"/>
      <c r="J804" s="66"/>
      <c r="K804" s="66"/>
      <c r="L804" s="66"/>
      <c r="M804" s="66"/>
      <c r="N804" s="64" t="str">
        <f>IF(OR($B804="", $I804="", $J804="", $K804="", $L804="", $M804=""),"",ROUND(($I804*Lists!$AN$2)+($J804*Lists!$AN$3)+($K804*Lists!$AN$4)+($L804*Lists!$AN$5)+($M804*Lists!$AN$6),2))</f>
        <v/>
      </c>
      <c r="O804" s="64" t="str">
        <f>IF($A804="","",IFERROR(VLOOKUP($A804,'Risk Register'!$B$2:$I$1000,8,FALSE()),""))</f>
        <v/>
      </c>
      <c r="P804" s="66"/>
      <c r="Q804" s="66"/>
      <c r="R804" s="66"/>
      <c r="S804" s="66"/>
      <c r="T804" s="64" t="str">
        <f>IF(OR($B804="", $P804="", $Q804="", $R804="", $S804=""),"",ROUND(($P804*Lists!$AN$7)+($Q804*Lists!$AN$8)+($R804*Lists!$AN$9)+($S804*Lists!$AN$10),2))</f>
        <v/>
      </c>
      <c r="U804" s="66"/>
      <c r="V804" s="66"/>
      <c r="W804" s="66"/>
      <c r="X804" s="66"/>
      <c r="Y804" s="66"/>
      <c r="Z804" s="64" t="str">
        <f>IF(OR($B804="", $U804="", $V804="", $W804="", $X804="", $Y804=""),"",ROUND(($U804*Lists!$AN$11)+($V804*Lists!$AN$12)+($W804*Lists!$AN$13)+($X804*Lists!$AN$14)+($Y804*Lists!$AN$15),2))</f>
        <v/>
      </c>
      <c r="AA804" s="64" t="str">
        <f>IF(OR($B804="", $N804="", $O804="", $T804="", $Z804=""),"",ROUND(($N804*Lists!$AN$16)-($O804*Lists!$AN$17)-($T804*Lists!$AN$18)+($Z804*Lists!$AN$19),2))</f>
        <v/>
      </c>
      <c r="AB804" s="63" t="str">
        <f t="shared" si="49"/>
        <v/>
      </c>
      <c r="AC804" s="63" t="str">
        <f t="shared" si="50"/>
        <v/>
      </c>
      <c r="AD804" s="63" t="str">
        <f>IF($A804="","",IFERROR(IF(VLOOKUP($A804,'Risk Register'!$B$2:$H$1000,4,FALSE())&gt;=4,"Yes",""),""))</f>
        <v/>
      </c>
      <c r="AE804" s="63" t="str">
        <f t="shared" si="51"/>
        <v/>
      </c>
      <c r="AF804" s="62"/>
      <c r="AG804" s="62"/>
      <c r="AH804" s="62"/>
      <c r="AI804" s="62"/>
      <c r="AJ804" s="62"/>
      <c r="AK804" s="62"/>
      <c r="AL804" s="62"/>
      <c r="AM804" s="62"/>
      <c r="AN804" s="62"/>
      <c r="AO804" s="62"/>
      <c r="AP804" s="62"/>
      <c r="AQ804" s="80"/>
    </row>
    <row r="805" spans="1:43" ht="15.75" customHeight="1" x14ac:dyDescent="0.2">
      <c r="A805" s="63" t="str">
        <f t="shared" si="48"/>
        <v/>
      </c>
      <c r="B805" s="62"/>
      <c r="C805" s="62"/>
      <c r="D805" s="62"/>
      <c r="E805" s="62"/>
      <c r="F805" s="62"/>
      <c r="G805" s="62"/>
      <c r="H805" s="62"/>
      <c r="I805" s="66"/>
      <c r="J805" s="66"/>
      <c r="K805" s="66"/>
      <c r="L805" s="66"/>
      <c r="M805" s="66"/>
      <c r="N805" s="64" t="str">
        <f>IF(OR($B805="", $I805="", $J805="", $K805="", $L805="", $M805=""),"",ROUND(($I805*Lists!$AN$2)+($J805*Lists!$AN$3)+($K805*Lists!$AN$4)+($L805*Lists!$AN$5)+($M805*Lists!$AN$6),2))</f>
        <v/>
      </c>
      <c r="O805" s="64" t="str">
        <f>IF($A805="","",IFERROR(VLOOKUP($A805,'Risk Register'!$B$2:$I$1000,8,FALSE()),""))</f>
        <v/>
      </c>
      <c r="P805" s="66"/>
      <c r="Q805" s="66"/>
      <c r="R805" s="66"/>
      <c r="S805" s="66"/>
      <c r="T805" s="64" t="str">
        <f>IF(OR($B805="", $P805="", $Q805="", $R805="", $S805=""),"",ROUND(($P805*Lists!$AN$7)+($Q805*Lists!$AN$8)+($R805*Lists!$AN$9)+($S805*Lists!$AN$10),2))</f>
        <v/>
      </c>
      <c r="U805" s="66"/>
      <c r="V805" s="66"/>
      <c r="W805" s="66"/>
      <c r="X805" s="66"/>
      <c r="Y805" s="66"/>
      <c r="Z805" s="64" t="str">
        <f>IF(OR($B805="", $U805="", $V805="", $W805="", $X805="", $Y805=""),"",ROUND(($U805*Lists!$AN$11)+($V805*Lists!$AN$12)+($W805*Lists!$AN$13)+($X805*Lists!$AN$14)+($Y805*Lists!$AN$15),2))</f>
        <v/>
      </c>
      <c r="AA805" s="64" t="str">
        <f>IF(OR($B805="", $N805="", $O805="", $T805="", $Z805=""),"",ROUND(($N805*Lists!$AN$16)-($O805*Lists!$AN$17)-($T805*Lists!$AN$18)+($Z805*Lists!$AN$19),2))</f>
        <v/>
      </c>
      <c r="AB805" s="63" t="str">
        <f t="shared" si="49"/>
        <v/>
      </c>
      <c r="AC805" s="63" t="str">
        <f t="shared" si="50"/>
        <v/>
      </c>
      <c r="AD805" s="63" t="str">
        <f>IF($A805="","",IFERROR(IF(VLOOKUP($A805,'Risk Register'!$B$2:$H$1000,4,FALSE())&gt;=4,"Yes",""),""))</f>
        <v/>
      </c>
      <c r="AE805" s="63" t="str">
        <f t="shared" si="51"/>
        <v/>
      </c>
      <c r="AF805" s="62"/>
      <c r="AG805" s="62"/>
      <c r="AH805" s="62"/>
      <c r="AI805" s="62"/>
      <c r="AJ805" s="62"/>
      <c r="AK805" s="62"/>
      <c r="AL805" s="62"/>
      <c r="AM805" s="62"/>
      <c r="AN805" s="62"/>
      <c r="AO805" s="62"/>
      <c r="AP805" s="62"/>
      <c r="AQ805" s="80"/>
    </row>
    <row r="806" spans="1:43" ht="15.75" customHeight="1" x14ac:dyDescent="0.2">
      <c r="A806" s="63" t="str">
        <f t="shared" si="48"/>
        <v/>
      </c>
      <c r="B806" s="62"/>
      <c r="C806" s="62"/>
      <c r="D806" s="62"/>
      <c r="E806" s="62"/>
      <c r="F806" s="62"/>
      <c r="G806" s="62"/>
      <c r="H806" s="62"/>
      <c r="I806" s="66"/>
      <c r="J806" s="66"/>
      <c r="K806" s="66"/>
      <c r="L806" s="66"/>
      <c r="M806" s="66"/>
      <c r="N806" s="64" t="str">
        <f>IF(OR($B806="", $I806="", $J806="", $K806="", $L806="", $M806=""),"",ROUND(($I806*Lists!$AN$2)+($J806*Lists!$AN$3)+($K806*Lists!$AN$4)+($L806*Lists!$AN$5)+($M806*Lists!$AN$6),2))</f>
        <v/>
      </c>
      <c r="O806" s="64" t="str">
        <f>IF($A806="","",IFERROR(VLOOKUP($A806,'Risk Register'!$B$2:$I$1000,8,FALSE()),""))</f>
        <v/>
      </c>
      <c r="P806" s="66"/>
      <c r="Q806" s="66"/>
      <c r="R806" s="66"/>
      <c r="S806" s="66"/>
      <c r="T806" s="64" t="str">
        <f>IF(OR($B806="", $P806="", $Q806="", $R806="", $S806=""),"",ROUND(($P806*Lists!$AN$7)+($Q806*Lists!$AN$8)+($R806*Lists!$AN$9)+($S806*Lists!$AN$10),2))</f>
        <v/>
      </c>
      <c r="U806" s="66"/>
      <c r="V806" s="66"/>
      <c r="W806" s="66"/>
      <c r="X806" s="66"/>
      <c r="Y806" s="66"/>
      <c r="Z806" s="64" t="str">
        <f>IF(OR($B806="", $U806="", $V806="", $W806="", $X806="", $Y806=""),"",ROUND(($U806*Lists!$AN$11)+($V806*Lists!$AN$12)+($W806*Lists!$AN$13)+($X806*Lists!$AN$14)+($Y806*Lists!$AN$15),2))</f>
        <v/>
      </c>
      <c r="AA806" s="64" t="str">
        <f>IF(OR($B806="", $N806="", $O806="", $T806="", $Z806=""),"",ROUND(($N806*Lists!$AN$16)-($O806*Lists!$AN$17)-($T806*Lists!$AN$18)+($Z806*Lists!$AN$19),2))</f>
        <v/>
      </c>
      <c r="AB806" s="63" t="str">
        <f t="shared" si="49"/>
        <v/>
      </c>
      <c r="AC806" s="63" t="str">
        <f t="shared" si="50"/>
        <v/>
      </c>
      <c r="AD806" s="63" t="str">
        <f>IF($A806="","",IFERROR(IF(VLOOKUP($A806,'Risk Register'!$B$2:$H$1000,4,FALSE())&gt;=4,"Yes",""),""))</f>
        <v/>
      </c>
      <c r="AE806" s="63" t="str">
        <f t="shared" si="51"/>
        <v/>
      </c>
      <c r="AF806" s="62"/>
      <c r="AG806" s="62"/>
      <c r="AH806" s="62"/>
      <c r="AI806" s="62"/>
      <c r="AJ806" s="62"/>
      <c r="AK806" s="62"/>
      <c r="AL806" s="62"/>
      <c r="AM806" s="62"/>
      <c r="AN806" s="62"/>
      <c r="AO806" s="62"/>
      <c r="AP806" s="62"/>
      <c r="AQ806" s="80"/>
    </row>
    <row r="807" spans="1:43" ht="15.75" customHeight="1" x14ac:dyDescent="0.2">
      <c r="A807" s="63" t="str">
        <f t="shared" si="48"/>
        <v/>
      </c>
      <c r="B807" s="62"/>
      <c r="C807" s="62"/>
      <c r="D807" s="62"/>
      <c r="E807" s="62"/>
      <c r="F807" s="62"/>
      <c r="G807" s="62"/>
      <c r="H807" s="62"/>
      <c r="I807" s="66"/>
      <c r="J807" s="66"/>
      <c r="K807" s="66"/>
      <c r="L807" s="66"/>
      <c r="M807" s="66"/>
      <c r="N807" s="64" t="str">
        <f>IF(OR($B807="", $I807="", $J807="", $K807="", $L807="", $M807=""),"",ROUND(($I807*Lists!$AN$2)+($J807*Lists!$AN$3)+($K807*Lists!$AN$4)+($L807*Lists!$AN$5)+($M807*Lists!$AN$6),2))</f>
        <v/>
      </c>
      <c r="O807" s="64" t="str">
        <f>IF($A807="","",IFERROR(VLOOKUP($A807,'Risk Register'!$B$2:$I$1000,8,FALSE()),""))</f>
        <v/>
      </c>
      <c r="P807" s="66"/>
      <c r="Q807" s="66"/>
      <c r="R807" s="66"/>
      <c r="S807" s="66"/>
      <c r="T807" s="64" t="str">
        <f>IF(OR($B807="", $P807="", $Q807="", $R807="", $S807=""),"",ROUND(($P807*Lists!$AN$7)+($Q807*Lists!$AN$8)+($R807*Lists!$AN$9)+($S807*Lists!$AN$10),2))</f>
        <v/>
      </c>
      <c r="U807" s="66"/>
      <c r="V807" s="66"/>
      <c r="W807" s="66"/>
      <c r="X807" s="66"/>
      <c r="Y807" s="66"/>
      <c r="Z807" s="64" t="str">
        <f>IF(OR($B807="", $U807="", $V807="", $W807="", $X807="", $Y807=""),"",ROUND(($U807*Lists!$AN$11)+($V807*Lists!$AN$12)+($W807*Lists!$AN$13)+($X807*Lists!$AN$14)+($Y807*Lists!$AN$15),2))</f>
        <v/>
      </c>
      <c r="AA807" s="64" t="str">
        <f>IF(OR($B807="", $N807="", $O807="", $T807="", $Z807=""),"",ROUND(($N807*Lists!$AN$16)-($O807*Lists!$AN$17)-($T807*Lists!$AN$18)+($Z807*Lists!$AN$19),2))</f>
        <v/>
      </c>
      <c r="AB807" s="63" t="str">
        <f t="shared" si="49"/>
        <v/>
      </c>
      <c r="AC807" s="63" t="str">
        <f t="shared" si="50"/>
        <v/>
      </c>
      <c r="AD807" s="63" t="str">
        <f>IF($A807="","",IFERROR(IF(VLOOKUP($A807,'Risk Register'!$B$2:$H$1000,4,FALSE())&gt;=4,"Yes",""),""))</f>
        <v/>
      </c>
      <c r="AE807" s="63" t="str">
        <f t="shared" si="51"/>
        <v/>
      </c>
      <c r="AF807" s="62"/>
      <c r="AG807" s="62"/>
      <c r="AH807" s="62"/>
      <c r="AI807" s="62"/>
      <c r="AJ807" s="62"/>
      <c r="AK807" s="62"/>
      <c r="AL807" s="62"/>
      <c r="AM807" s="62"/>
      <c r="AN807" s="62"/>
      <c r="AO807" s="62"/>
      <c r="AP807" s="62"/>
      <c r="AQ807" s="80"/>
    </row>
    <row r="808" spans="1:43" ht="15.75" customHeight="1" x14ac:dyDescent="0.2">
      <c r="A808" s="63" t="str">
        <f t="shared" si="48"/>
        <v/>
      </c>
      <c r="B808" s="62"/>
      <c r="C808" s="62"/>
      <c r="D808" s="62"/>
      <c r="E808" s="62"/>
      <c r="F808" s="62"/>
      <c r="G808" s="62"/>
      <c r="H808" s="62"/>
      <c r="I808" s="66"/>
      <c r="J808" s="66"/>
      <c r="K808" s="66"/>
      <c r="L808" s="66"/>
      <c r="M808" s="66"/>
      <c r="N808" s="64" t="str">
        <f>IF(OR($B808="", $I808="", $J808="", $K808="", $L808="", $M808=""),"",ROUND(($I808*Lists!$AN$2)+($J808*Lists!$AN$3)+($K808*Lists!$AN$4)+($L808*Lists!$AN$5)+($M808*Lists!$AN$6),2))</f>
        <v/>
      </c>
      <c r="O808" s="64" t="str">
        <f>IF($A808="","",IFERROR(VLOOKUP($A808,'Risk Register'!$B$2:$I$1000,8,FALSE()),""))</f>
        <v/>
      </c>
      <c r="P808" s="66"/>
      <c r="Q808" s="66"/>
      <c r="R808" s="66"/>
      <c r="S808" s="66"/>
      <c r="T808" s="64" t="str">
        <f>IF(OR($B808="", $P808="", $Q808="", $R808="", $S808=""),"",ROUND(($P808*Lists!$AN$7)+($Q808*Lists!$AN$8)+($R808*Lists!$AN$9)+($S808*Lists!$AN$10),2))</f>
        <v/>
      </c>
      <c r="U808" s="66"/>
      <c r="V808" s="66"/>
      <c r="W808" s="66"/>
      <c r="X808" s="66"/>
      <c r="Y808" s="66"/>
      <c r="Z808" s="64" t="str">
        <f>IF(OR($B808="", $U808="", $V808="", $W808="", $X808="", $Y808=""),"",ROUND(($U808*Lists!$AN$11)+($V808*Lists!$AN$12)+($W808*Lists!$AN$13)+($X808*Lists!$AN$14)+($Y808*Lists!$AN$15),2))</f>
        <v/>
      </c>
      <c r="AA808" s="64" t="str">
        <f>IF(OR($B808="", $N808="", $O808="", $T808="", $Z808=""),"",ROUND(($N808*Lists!$AN$16)-($O808*Lists!$AN$17)-($T808*Lists!$AN$18)+($Z808*Lists!$AN$19),2))</f>
        <v/>
      </c>
      <c r="AB808" s="63" t="str">
        <f t="shared" si="49"/>
        <v/>
      </c>
      <c r="AC808" s="63" t="str">
        <f t="shared" si="50"/>
        <v/>
      </c>
      <c r="AD808" s="63" t="str">
        <f>IF($A808="","",IFERROR(IF(VLOOKUP($A808,'Risk Register'!$B$2:$H$1000,4,FALSE())&gt;=4,"Yes",""),""))</f>
        <v/>
      </c>
      <c r="AE808" s="63" t="str">
        <f t="shared" si="51"/>
        <v/>
      </c>
      <c r="AF808" s="62"/>
      <c r="AG808" s="62"/>
      <c r="AH808" s="62"/>
      <c r="AI808" s="62"/>
      <c r="AJ808" s="62"/>
      <c r="AK808" s="62"/>
      <c r="AL808" s="62"/>
      <c r="AM808" s="62"/>
      <c r="AN808" s="62"/>
      <c r="AO808" s="62"/>
      <c r="AP808" s="62"/>
      <c r="AQ808" s="80"/>
    </row>
    <row r="809" spans="1:43" ht="15.75" customHeight="1" x14ac:dyDescent="0.2">
      <c r="A809" s="63" t="str">
        <f t="shared" si="48"/>
        <v/>
      </c>
      <c r="B809" s="62"/>
      <c r="C809" s="62"/>
      <c r="D809" s="62"/>
      <c r="E809" s="62"/>
      <c r="F809" s="62"/>
      <c r="G809" s="62"/>
      <c r="H809" s="62"/>
      <c r="I809" s="66"/>
      <c r="J809" s="66"/>
      <c r="K809" s="66"/>
      <c r="L809" s="66"/>
      <c r="M809" s="66"/>
      <c r="N809" s="64" t="str">
        <f>IF(OR($B809="", $I809="", $J809="", $K809="", $L809="", $M809=""),"",ROUND(($I809*Lists!$AN$2)+($J809*Lists!$AN$3)+($K809*Lists!$AN$4)+($L809*Lists!$AN$5)+($M809*Lists!$AN$6),2))</f>
        <v/>
      </c>
      <c r="O809" s="64" t="str">
        <f>IF($A809="","",IFERROR(VLOOKUP($A809,'Risk Register'!$B$2:$I$1000,8,FALSE()),""))</f>
        <v/>
      </c>
      <c r="P809" s="66"/>
      <c r="Q809" s="66"/>
      <c r="R809" s="66"/>
      <c r="S809" s="66"/>
      <c r="T809" s="64" t="str">
        <f>IF(OR($B809="", $P809="", $Q809="", $R809="", $S809=""),"",ROUND(($P809*Lists!$AN$7)+($Q809*Lists!$AN$8)+($R809*Lists!$AN$9)+($S809*Lists!$AN$10),2))</f>
        <v/>
      </c>
      <c r="U809" s="66"/>
      <c r="V809" s="66"/>
      <c r="W809" s="66"/>
      <c r="X809" s="66"/>
      <c r="Y809" s="66"/>
      <c r="Z809" s="64" t="str">
        <f>IF(OR($B809="", $U809="", $V809="", $W809="", $X809="", $Y809=""),"",ROUND(($U809*Lists!$AN$11)+($V809*Lists!$AN$12)+($W809*Lists!$AN$13)+($X809*Lists!$AN$14)+($Y809*Lists!$AN$15),2))</f>
        <v/>
      </c>
      <c r="AA809" s="64" t="str">
        <f>IF(OR($B809="", $N809="", $O809="", $T809="", $Z809=""),"",ROUND(($N809*Lists!$AN$16)-($O809*Lists!$AN$17)-($T809*Lists!$AN$18)+($Z809*Lists!$AN$19),2))</f>
        <v/>
      </c>
      <c r="AB809" s="63" t="str">
        <f t="shared" si="49"/>
        <v/>
      </c>
      <c r="AC809" s="63" t="str">
        <f t="shared" si="50"/>
        <v/>
      </c>
      <c r="AD809" s="63" t="str">
        <f>IF($A809="","",IFERROR(IF(VLOOKUP($A809,'Risk Register'!$B$2:$H$1000,4,FALSE())&gt;=4,"Yes",""),""))</f>
        <v/>
      </c>
      <c r="AE809" s="63" t="str">
        <f t="shared" si="51"/>
        <v/>
      </c>
      <c r="AF809" s="62"/>
      <c r="AG809" s="62"/>
      <c r="AH809" s="62"/>
      <c r="AI809" s="62"/>
      <c r="AJ809" s="62"/>
      <c r="AK809" s="62"/>
      <c r="AL809" s="62"/>
      <c r="AM809" s="62"/>
      <c r="AN809" s="62"/>
      <c r="AO809" s="62"/>
      <c r="AP809" s="62"/>
      <c r="AQ809" s="80"/>
    </row>
    <row r="810" spans="1:43" ht="15.75" customHeight="1" x14ac:dyDescent="0.2">
      <c r="A810" s="63" t="str">
        <f t="shared" si="48"/>
        <v/>
      </c>
      <c r="B810" s="62"/>
      <c r="C810" s="62"/>
      <c r="D810" s="62"/>
      <c r="E810" s="62"/>
      <c r="F810" s="62"/>
      <c r="G810" s="62"/>
      <c r="H810" s="62"/>
      <c r="I810" s="66"/>
      <c r="J810" s="66"/>
      <c r="K810" s="66"/>
      <c r="L810" s="66"/>
      <c r="M810" s="66"/>
      <c r="N810" s="64" t="str">
        <f>IF(OR($B810="", $I810="", $J810="", $K810="", $L810="", $M810=""),"",ROUND(($I810*Lists!$AN$2)+($J810*Lists!$AN$3)+($K810*Lists!$AN$4)+($L810*Lists!$AN$5)+($M810*Lists!$AN$6),2))</f>
        <v/>
      </c>
      <c r="O810" s="64" t="str">
        <f>IF($A810="","",IFERROR(VLOOKUP($A810,'Risk Register'!$B$2:$I$1000,8,FALSE()),""))</f>
        <v/>
      </c>
      <c r="P810" s="66"/>
      <c r="Q810" s="66"/>
      <c r="R810" s="66"/>
      <c r="S810" s="66"/>
      <c r="T810" s="64" t="str">
        <f>IF(OR($B810="", $P810="", $Q810="", $R810="", $S810=""),"",ROUND(($P810*Lists!$AN$7)+($Q810*Lists!$AN$8)+($R810*Lists!$AN$9)+($S810*Lists!$AN$10),2))</f>
        <v/>
      </c>
      <c r="U810" s="66"/>
      <c r="V810" s="66"/>
      <c r="W810" s="66"/>
      <c r="X810" s="66"/>
      <c r="Y810" s="66"/>
      <c r="Z810" s="64" t="str">
        <f>IF(OR($B810="", $U810="", $V810="", $W810="", $X810="", $Y810=""),"",ROUND(($U810*Lists!$AN$11)+($V810*Lists!$AN$12)+($W810*Lists!$AN$13)+($X810*Lists!$AN$14)+($Y810*Lists!$AN$15),2))</f>
        <v/>
      </c>
      <c r="AA810" s="64" t="str">
        <f>IF(OR($B810="", $N810="", $O810="", $T810="", $Z810=""),"",ROUND(($N810*Lists!$AN$16)-($O810*Lists!$AN$17)-($T810*Lists!$AN$18)+($Z810*Lists!$AN$19),2))</f>
        <v/>
      </c>
      <c r="AB810" s="63" t="str">
        <f t="shared" si="49"/>
        <v/>
      </c>
      <c r="AC810" s="63" t="str">
        <f t="shared" si="50"/>
        <v/>
      </c>
      <c r="AD810" s="63" t="str">
        <f>IF($A810="","",IFERROR(IF(VLOOKUP($A810,'Risk Register'!$B$2:$H$1000,4,FALSE())&gt;=4,"Yes",""),""))</f>
        <v/>
      </c>
      <c r="AE810" s="63" t="str">
        <f t="shared" si="51"/>
        <v/>
      </c>
      <c r="AF810" s="62"/>
      <c r="AG810" s="62"/>
      <c r="AH810" s="62"/>
      <c r="AI810" s="62"/>
      <c r="AJ810" s="62"/>
      <c r="AK810" s="62"/>
      <c r="AL810" s="62"/>
      <c r="AM810" s="62"/>
      <c r="AN810" s="62"/>
      <c r="AO810" s="62"/>
      <c r="AP810" s="62"/>
      <c r="AQ810" s="80"/>
    </row>
    <row r="811" spans="1:43" ht="15.75" customHeight="1" x14ac:dyDescent="0.2">
      <c r="A811" s="63" t="str">
        <f t="shared" si="48"/>
        <v/>
      </c>
      <c r="B811" s="62"/>
      <c r="C811" s="62"/>
      <c r="D811" s="62"/>
      <c r="E811" s="62"/>
      <c r="F811" s="62"/>
      <c r="G811" s="62"/>
      <c r="H811" s="62"/>
      <c r="I811" s="66"/>
      <c r="J811" s="66"/>
      <c r="K811" s="66"/>
      <c r="L811" s="66"/>
      <c r="M811" s="66"/>
      <c r="N811" s="64" t="str">
        <f>IF(OR($B811="", $I811="", $J811="", $K811="", $L811="", $M811=""),"",ROUND(($I811*Lists!$AN$2)+($J811*Lists!$AN$3)+($K811*Lists!$AN$4)+($L811*Lists!$AN$5)+($M811*Lists!$AN$6),2))</f>
        <v/>
      </c>
      <c r="O811" s="64" t="str">
        <f>IF($A811="","",IFERROR(VLOOKUP($A811,'Risk Register'!$B$2:$I$1000,8,FALSE()),""))</f>
        <v/>
      </c>
      <c r="P811" s="66"/>
      <c r="Q811" s="66"/>
      <c r="R811" s="66"/>
      <c r="S811" s="66"/>
      <c r="T811" s="64" t="str">
        <f>IF(OR($B811="", $P811="", $Q811="", $R811="", $S811=""),"",ROUND(($P811*Lists!$AN$7)+($Q811*Lists!$AN$8)+($R811*Lists!$AN$9)+($S811*Lists!$AN$10),2))</f>
        <v/>
      </c>
      <c r="U811" s="66"/>
      <c r="V811" s="66"/>
      <c r="W811" s="66"/>
      <c r="X811" s="66"/>
      <c r="Y811" s="66"/>
      <c r="Z811" s="64" t="str">
        <f>IF(OR($B811="", $U811="", $V811="", $W811="", $X811="", $Y811=""),"",ROUND(($U811*Lists!$AN$11)+($V811*Lists!$AN$12)+($W811*Lists!$AN$13)+($X811*Lists!$AN$14)+($Y811*Lists!$AN$15),2))</f>
        <v/>
      </c>
      <c r="AA811" s="64" t="str">
        <f>IF(OR($B811="", $N811="", $O811="", $T811="", $Z811=""),"",ROUND(($N811*Lists!$AN$16)-($O811*Lists!$AN$17)-($T811*Lists!$AN$18)+($Z811*Lists!$AN$19),2))</f>
        <v/>
      </c>
      <c r="AB811" s="63" t="str">
        <f t="shared" si="49"/>
        <v/>
      </c>
      <c r="AC811" s="63" t="str">
        <f t="shared" si="50"/>
        <v/>
      </c>
      <c r="AD811" s="63" t="str">
        <f>IF($A811="","",IFERROR(IF(VLOOKUP($A811,'Risk Register'!$B$2:$H$1000,4,FALSE())&gt;=4,"Yes",""),""))</f>
        <v/>
      </c>
      <c r="AE811" s="63" t="str">
        <f t="shared" si="51"/>
        <v/>
      </c>
      <c r="AF811" s="62"/>
      <c r="AG811" s="62"/>
      <c r="AH811" s="62"/>
      <c r="AI811" s="62"/>
      <c r="AJ811" s="62"/>
      <c r="AK811" s="62"/>
      <c r="AL811" s="62"/>
      <c r="AM811" s="62"/>
      <c r="AN811" s="62"/>
      <c r="AO811" s="62"/>
      <c r="AP811" s="62"/>
      <c r="AQ811" s="80"/>
    </row>
    <row r="812" spans="1:43" ht="15.75" customHeight="1" x14ac:dyDescent="0.2">
      <c r="A812" s="63" t="str">
        <f t="shared" si="48"/>
        <v/>
      </c>
      <c r="B812" s="62"/>
      <c r="C812" s="62"/>
      <c r="D812" s="62"/>
      <c r="E812" s="62"/>
      <c r="F812" s="62"/>
      <c r="G812" s="62"/>
      <c r="H812" s="62"/>
      <c r="I812" s="66"/>
      <c r="J812" s="66"/>
      <c r="K812" s="66"/>
      <c r="L812" s="66"/>
      <c r="M812" s="66"/>
      <c r="N812" s="64" t="str">
        <f>IF(OR($B812="", $I812="", $J812="", $K812="", $L812="", $M812=""),"",ROUND(($I812*Lists!$AN$2)+($J812*Lists!$AN$3)+($K812*Lists!$AN$4)+($L812*Lists!$AN$5)+($M812*Lists!$AN$6),2))</f>
        <v/>
      </c>
      <c r="O812" s="64" t="str">
        <f>IF($A812="","",IFERROR(VLOOKUP($A812,'Risk Register'!$B$2:$I$1000,8,FALSE()),""))</f>
        <v/>
      </c>
      <c r="P812" s="66"/>
      <c r="Q812" s="66"/>
      <c r="R812" s="66"/>
      <c r="S812" s="66"/>
      <c r="T812" s="64" t="str">
        <f>IF(OR($B812="", $P812="", $Q812="", $R812="", $S812=""),"",ROUND(($P812*Lists!$AN$7)+($Q812*Lists!$AN$8)+($R812*Lists!$AN$9)+($S812*Lists!$AN$10),2))</f>
        <v/>
      </c>
      <c r="U812" s="66"/>
      <c r="V812" s="66"/>
      <c r="W812" s="66"/>
      <c r="X812" s="66"/>
      <c r="Y812" s="66"/>
      <c r="Z812" s="64" t="str">
        <f>IF(OR($B812="", $U812="", $V812="", $W812="", $X812="", $Y812=""),"",ROUND(($U812*Lists!$AN$11)+($V812*Lists!$AN$12)+($W812*Lists!$AN$13)+($X812*Lists!$AN$14)+($Y812*Lists!$AN$15),2))</f>
        <v/>
      </c>
      <c r="AA812" s="64" t="str">
        <f>IF(OR($B812="", $N812="", $O812="", $T812="", $Z812=""),"",ROUND(($N812*Lists!$AN$16)-($O812*Lists!$AN$17)-($T812*Lists!$AN$18)+($Z812*Lists!$AN$19),2))</f>
        <v/>
      </c>
      <c r="AB812" s="63" t="str">
        <f t="shared" si="49"/>
        <v/>
      </c>
      <c r="AC812" s="63" t="str">
        <f t="shared" si="50"/>
        <v/>
      </c>
      <c r="AD812" s="63" t="str">
        <f>IF($A812="","",IFERROR(IF(VLOOKUP($A812,'Risk Register'!$B$2:$H$1000,4,FALSE())&gt;=4,"Yes",""),""))</f>
        <v/>
      </c>
      <c r="AE812" s="63" t="str">
        <f t="shared" si="51"/>
        <v/>
      </c>
      <c r="AF812" s="62"/>
      <c r="AG812" s="62"/>
      <c r="AH812" s="62"/>
      <c r="AI812" s="62"/>
      <c r="AJ812" s="62"/>
      <c r="AK812" s="62"/>
      <c r="AL812" s="62"/>
      <c r="AM812" s="62"/>
      <c r="AN812" s="62"/>
      <c r="AO812" s="62"/>
      <c r="AP812" s="62"/>
      <c r="AQ812" s="80"/>
    </row>
    <row r="813" spans="1:43" ht="15.75" customHeight="1" x14ac:dyDescent="0.2">
      <c r="A813" s="63" t="str">
        <f t="shared" si="48"/>
        <v/>
      </c>
      <c r="B813" s="62"/>
      <c r="C813" s="62"/>
      <c r="D813" s="62"/>
      <c r="E813" s="62"/>
      <c r="F813" s="62"/>
      <c r="G813" s="62"/>
      <c r="H813" s="62"/>
      <c r="I813" s="66"/>
      <c r="J813" s="66"/>
      <c r="K813" s="66"/>
      <c r="L813" s="66"/>
      <c r="M813" s="66"/>
      <c r="N813" s="64" t="str">
        <f>IF(OR($B813="", $I813="", $J813="", $K813="", $L813="", $M813=""),"",ROUND(($I813*Lists!$AN$2)+($J813*Lists!$AN$3)+($K813*Lists!$AN$4)+($L813*Lists!$AN$5)+($M813*Lists!$AN$6),2))</f>
        <v/>
      </c>
      <c r="O813" s="64" t="str">
        <f>IF($A813="","",IFERROR(VLOOKUP($A813,'Risk Register'!$B$2:$I$1000,8,FALSE()),""))</f>
        <v/>
      </c>
      <c r="P813" s="66"/>
      <c r="Q813" s="66"/>
      <c r="R813" s="66"/>
      <c r="S813" s="66"/>
      <c r="T813" s="64" t="str">
        <f>IF(OR($B813="", $P813="", $Q813="", $R813="", $S813=""),"",ROUND(($P813*Lists!$AN$7)+($Q813*Lists!$AN$8)+($R813*Lists!$AN$9)+($S813*Lists!$AN$10),2))</f>
        <v/>
      </c>
      <c r="U813" s="66"/>
      <c r="V813" s="66"/>
      <c r="W813" s="66"/>
      <c r="X813" s="66"/>
      <c r="Y813" s="66"/>
      <c r="Z813" s="64" t="str">
        <f>IF(OR($B813="", $U813="", $V813="", $W813="", $X813="", $Y813=""),"",ROUND(($U813*Lists!$AN$11)+($V813*Lists!$AN$12)+($W813*Lists!$AN$13)+($X813*Lists!$AN$14)+($Y813*Lists!$AN$15),2))</f>
        <v/>
      </c>
      <c r="AA813" s="64" t="str">
        <f>IF(OR($B813="", $N813="", $O813="", $T813="", $Z813=""),"",ROUND(($N813*Lists!$AN$16)-($O813*Lists!$AN$17)-($T813*Lists!$AN$18)+($Z813*Lists!$AN$19),2))</f>
        <v/>
      </c>
      <c r="AB813" s="63" t="str">
        <f t="shared" si="49"/>
        <v/>
      </c>
      <c r="AC813" s="63" t="str">
        <f t="shared" si="50"/>
        <v/>
      </c>
      <c r="AD813" s="63" t="str">
        <f>IF($A813="","",IFERROR(IF(VLOOKUP($A813,'Risk Register'!$B$2:$H$1000,4,FALSE())&gt;=4,"Yes",""),""))</f>
        <v/>
      </c>
      <c r="AE813" s="63" t="str">
        <f t="shared" si="51"/>
        <v/>
      </c>
      <c r="AF813" s="62"/>
      <c r="AG813" s="62"/>
      <c r="AH813" s="62"/>
      <c r="AI813" s="62"/>
      <c r="AJ813" s="62"/>
      <c r="AK813" s="62"/>
      <c r="AL813" s="62"/>
      <c r="AM813" s="62"/>
      <c r="AN813" s="62"/>
      <c r="AO813" s="62"/>
      <c r="AP813" s="62"/>
      <c r="AQ813" s="80"/>
    </row>
    <row r="814" spans="1:43" ht="15.75" customHeight="1" x14ac:dyDescent="0.2">
      <c r="A814" s="63" t="str">
        <f t="shared" si="48"/>
        <v/>
      </c>
      <c r="B814" s="62"/>
      <c r="C814" s="62"/>
      <c r="D814" s="62"/>
      <c r="E814" s="62"/>
      <c r="F814" s="62"/>
      <c r="G814" s="62"/>
      <c r="H814" s="62"/>
      <c r="I814" s="66"/>
      <c r="J814" s="66"/>
      <c r="K814" s="66"/>
      <c r="L814" s="66"/>
      <c r="M814" s="66"/>
      <c r="N814" s="64" t="str">
        <f>IF(OR($B814="", $I814="", $J814="", $K814="", $L814="", $M814=""),"",ROUND(($I814*Lists!$AN$2)+($J814*Lists!$AN$3)+($K814*Lists!$AN$4)+($L814*Lists!$AN$5)+($M814*Lists!$AN$6),2))</f>
        <v/>
      </c>
      <c r="O814" s="64" t="str">
        <f>IF($A814="","",IFERROR(VLOOKUP($A814,'Risk Register'!$B$2:$I$1000,8,FALSE()),""))</f>
        <v/>
      </c>
      <c r="P814" s="66"/>
      <c r="Q814" s="66"/>
      <c r="R814" s="66"/>
      <c r="S814" s="66"/>
      <c r="T814" s="64" t="str">
        <f>IF(OR($B814="", $P814="", $Q814="", $R814="", $S814=""),"",ROUND(($P814*Lists!$AN$7)+($Q814*Lists!$AN$8)+($R814*Lists!$AN$9)+($S814*Lists!$AN$10),2))</f>
        <v/>
      </c>
      <c r="U814" s="66"/>
      <c r="V814" s="66"/>
      <c r="W814" s="66"/>
      <c r="X814" s="66"/>
      <c r="Y814" s="66"/>
      <c r="Z814" s="64" t="str">
        <f>IF(OR($B814="", $U814="", $V814="", $W814="", $X814="", $Y814=""),"",ROUND(($U814*Lists!$AN$11)+($V814*Lists!$AN$12)+($W814*Lists!$AN$13)+($X814*Lists!$AN$14)+($Y814*Lists!$AN$15),2))</f>
        <v/>
      </c>
      <c r="AA814" s="64" t="str">
        <f>IF(OR($B814="", $N814="", $O814="", $T814="", $Z814=""),"",ROUND(($N814*Lists!$AN$16)-($O814*Lists!$AN$17)-($T814*Lists!$AN$18)+($Z814*Lists!$AN$19),2))</f>
        <v/>
      </c>
      <c r="AB814" s="63" t="str">
        <f t="shared" si="49"/>
        <v/>
      </c>
      <c r="AC814" s="63" t="str">
        <f t="shared" si="50"/>
        <v/>
      </c>
      <c r="AD814" s="63" t="str">
        <f>IF($A814="","",IFERROR(IF(VLOOKUP($A814,'Risk Register'!$B$2:$H$1000,4,FALSE())&gt;=4,"Yes",""),""))</f>
        <v/>
      </c>
      <c r="AE814" s="63" t="str">
        <f t="shared" si="51"/>
        <v/>
      </c>
      <c r="AF814" s="62"/>
      <c r="AG814" s="62"/>
      <c r="AH814" s="62"/>
      <c r="AI814" s="62"/>
      <c r="AJ814" s="62"/>
      <c r="AK814" s="62"/>
      <c r="AL814" s="62"/>
      <c r="AM814" s="62"/>
      <c r="AN814" s="62"/>
      <c r="AO814" s="62"/>
      <c r="AP814" s="62"/>
      <c r="AQ814" s="80"/>
    </row>
    <row r="815" spans="1:43" ht="15.75" customHeight="1" x14ac:dyDescent="0.2">
      <c r="A815" s="63" t="str">
        <f t="shared" si="48"/>
        <v/>
      </c>
      <c r="B815" s="62"/>
      <c r="C815" s="62"/>
      <c r="D815" s="62"/>
      <c r="E815" s="62"/>
      <c r="F815" s="62"/>
      <c r="G815" s="62"/>
      <c r="H815" s="62"/>
      <c r="I815" s="66"/>
      <c r="J815" s="66"/>
      <c r="K815" s="66"/>
      <c r="L815" s="66"/>
      <c r="M815" s="66"/>
      <c r="N815" s="64" t="str">
        <f>IF(OR($B815="", $I815="", $J815="", $K815="", $L815="", $M815=""),"",ROUND(($I815*Lists!$AN$2)+($J815*Lists!$AN$3)+($K815*Lists!$AN$4)+($L815*Lists!$AN$5)+($M815*Lists!$AN$6),2))</f>
        <v/>
      </c>
      <c r="O815" s="64" t="str">
        <f>IF($A815="","",IFERROR(VLOOKUP($A815,'Risk Register'!$B$2:$I$1000,8,FALSE()),""))</f>
        <v/>
      </c>
      <c r="P815" s="66"/>
      <c r="Q815" s="66"/>
      <c r="R815" s="66"/>
      <c r="S815" s="66"/>
      <c r="T815" s="64" t="str">
        <f>IF(OR($B815="", $P815="", $Q815="", $R815="", $S815=""),"",ROUND(($P815*Lists!$AN$7)+($Q815*Lists!$AN$8)+($R815*Lists!$AN$9)+($S815*Lists!$AN$10),2))</f>
        <v/>
      </c>
      <c r="U815" s="66"/>
      <c r="V815" s="66"/>
      <c r="W815" s="66"/>
      <c r="X815" s="66"/>
      <c r="Y815" s="66"/>
      <c r="Z815" s="64" t="str">
        <f>IF(OR($B815="", $U815="", $V815="", $W815="", $X815="", $Y815=""),"",ROUND(($U815*Lists!$AN$11)+($V815*Lists!$AN$12)+($W815*Lists!$AN$13)+($X815*Lists!$AN$14)+($Y815*Lists!$AN$15),2))</f>
        <v/>
      </c>
      <c r="AA815" s="64" t="str">
        <f>IF(OR($B815="", $N815="", $O815="", $T815="", $Z815=""),"",ROUND(($N815*Lists!$AN$16)-($O815*Lists!$AN$17)-($T815*Lists!$AN$18)+($Z815*Lists!$AN$19),2))</f>
        <v/>
      </c>
      <c r="AB815" s="63" t="str">
        <f t="shared" si="49"/>
        <v/>
      </c>
      <c r="AC815" s="63" t="str">
        <f t="shared" si="50"/>
        <v/>
      </c>
      <c r="AD815" s="63" t="str">
        <f>IF($A815="","",IFERROR(IF(VLOOKUP($A815,'Risk Register'!$B$2:$H$1000,4,FALSE())&gt;=4,"Yes",""),""))</f>
        <v/>
      </c>
      <c r="AE815" s="63" t="str">
        <f t="shared" si="51"/>
        <v/>
      </c>
      <c r="AF815" s="62"/>
      <c r="AG815" s="62"/>
      <c r="AH815" s="62"/>
      <c r="AI815" s="62"/>
      <c r="AJ815" s="62"/>
      <c r="AK815" s="62"/>
      <c r="AL815" s="62"/>
      <c r="AM815" s="62"/>
      <c r="AN815" s="62"/>
      <c r="AO815" s="62"/>
      <c r="AP815" s="62"/>
      <c r="AQ815" s="80"/>
    </row>
    <row r="816" spans="1:43" ht="15.75" customHeight="1" x14ac:dyDescent="0.2">
      <c r="A816" s="63" t="str">
        <f t="shared" si="48"/>
        <v/>
      </c>
      <c r="B816" s="62"/>
      <c r="C816" s="62"/>
      <c r="D816" s="62"/>
      <c r="E816" s="62"/>
      <c r="F816" s="62"/>
      <c r="G816" s="62"/>
      <c r="H816" s="62"/>
      <c r="I816" s="66"/>
      <c r="J816" s="66"/>
      <c r="K816" s="66"/>
      <c r="L816" s="66"/>
      <c r="M816" s="66"/>
      <c r="N816" s="64" t="str">
        <f>IF(OR($B816="", $I816="", $J816="", $K816="", $L816="", $M816=""),"",ROUND(($I816*Lists!$AN$2)+($J816*Lists!$AN$3)+($K816*Lists!$AN$4)+($L816*Lists!$AN$5)+($M816*Lists!$AN$6),2))</f>
        <v/>
      </c>
      <c r="O816" s="64" t="str">
        <f>IF($A816="","",IFERROR(VLOOKUP($A816,'Risk Register'!$B$2:$I$1000,8,FALSE()),""))</f>
        <v/>
      </c>
      <c r="P816" s="66"/>
      <c r="Q816" s="66"/>
      <c r="R816" s="66"/>
      <c r="S816" s="66"/>
      <c r="T816" s="64" t="str">
        <f>IF(OR($B816="", $P816="", $Q816="", $R816="", $S816=""),"",ROUND(($P816*Lists!$AN$7)+($Q816*Lists!$AN$8)+($R816*Lists!$AN$9)+($S816*Lists!$AN$10),2))</f>
        <v/>
      </c>
      <c r="U816" s="66"/>
      <c r="V816" s="66"/>
      <c r="W816" s="66"/>
      <c r="X816" s="66"/>
      <c r="Y816" s="66"/>
      <c r="Z816" s="64" t="str">
        <f>IF(OR($B816="", $U816="", $V816="", $W816="", $X816="", $Y816=""),"",ROUND(($U816*Lists!$AN$11)+($V816*Lists!$AN$12)+($W816*Lists!$AN$13)+($X816*Lists!$AN$14)+($Y816*Lists!$AN$15),2))</f>
        <v/>
      </c>
      <c r="AA816" s="64" t="str">
        <f>IF(OR($B816="", $N816="", $O816="", $T816="", $Z816=""),"",ROUND(($N816*Lists!$AN$16)-($O816*Lists!$AN$17)-($T816*Lists!$AN$18)+($Z816*Lists!$AN$19),2))</f>
        <v/>
      </c>
      <c r="AB816" s="63" t="str">
        <f t="shared" si="49"/>
        <v/>
      </c>
      <c r="AC816" s="63" t="str">
        <f t="shared" si="50"/>
        <v/>
      </c>
      <c r="AD816" s="63" t="str">
        <f>IF($A816="","",IFERROR(IF(VLOOKUP($A816,'Risk Register'!$B$2:$H$1000,4,FALSE())&gt;=4,"Yes",""),""))</f>
        <v/>
      </c>
      <c r="AE816" s="63" t="str">
        <f t="shared" si="51"/>
        <v/>
      </c>
      <c r="AF816" s="62"/>
      <c r="AG816" s="62"/>
      <c r="AH816" s="62"/>
      <c r="AI816" s="62"/>
      <c r="AJ816" s="62"/>
      <c r="AK816" s="62"/>
      <c r="AL816" s="62"/>
      <c r="AM816" s="62"/>
      <c r="AN816" s="62"/>
      <c r="AO816" s="62"/>
      <c r="AP816" s="62"/>
      <c r="AQ816" s="80"/>
    </row>
    <row r="817" spans="1:43" ht="15.75" customHeight="1" x14ac:dyDescent="0.2">
      <c r="A817" s="63" t="str">
        <f t="shared" si="48"/>
        <v/>
      </c>
      <c r="B817" s="62"/>
      <c r="C817" s="62"/>
      <c r="D817" s="62"/>
      <c r="E817" s="62"/>
      <c r="F817" s="62"/>
      <c r="G817" s="62"/>
      <c r="H817" s="62"/>
      <c r="I817" s="66"/>
      <c r="J817" s="66"/>
      <c r="K817" s="66"/>
      <c r="L817" s="66"/>
      <c r="M817" s="66"/>
      <c r="N817" s="64" t="str">
        <f>IF(OR($B817="", $I817="", $J817="", $K817="", $L817="", $M817=""),"",ROUND(($I817*Lists!$AN$2)+($J817*Lists!$AN$3)+($K817*Lists!$AN$4)+($L817*Lists!$AN$5)+($M817*Lists!$AN$6),2))</f>
        <v/>
      </c>
      <c r="O817" s="64" t="str">
        <f>IF($A817="","",IFERROR(VLOOKUP($A817,'Risk Register'!$B$2:$I$1000,8,FALSE()),""))</f>
        <v/>
      </c>
      <c r="P817" s="66"/>
      <c r="Q817" s="66"/>
      <c r="R817" s="66"/>
      <c r="S817" s="66"/>
      <c r="T817" s="64" t="str">
        <f>IF(OR($B817="", $P817="", $Q817="", $R817="", $S817=""),"",ROUND(($P817*Lists!$AN$7)+($Q817*Lists!$AN$8)+($R817*Lists!$AN$9)+($S817*Lists!$AN$10),2))</f>
        <v/>
      </c>
      <c r="U817" s="66"/>
      <c r="V817" s="66"/>
      <c r="W817" s="66"/>
      <c r="X817" s="66"/>
      <c r="Y817" s="66"/>
      <c r="Z817" s="64" t="str">
        <f>IF(OR($B817="", $U817="", $V817="", $W817="", $X817="", $Y817=""),"",ROUND(($U817*Lists!$AN$11)+($V817*Lists!$AN$12)+($W817*Lists!$AN$13)+($X817*Lists!$AN$14)+($Y817*Lists!$AN$15),2))</f>
        <v/>
      </c>
      <c r="AA817" s="64" t="str">
        <f>IF(OR($B817="", $N817="", $O817="", $T817="", $Z817=""),"",ROUND(($N817*Lists!$AN$16)-($O817*Lists!$AN$17)-($T817*Lists!$AN$18)+($Z817*Lists!$AN$19),2))</f>
        <v/>
      </c>
      <c r="AB817" s="63" t="str">
        <f t="shared" si="49"/>
        <v/>
      </c>
      <c r="AC817" s="63" t="str">
        <f t="shared" si="50"/>
        <v/>
      </c>
      <c r="AD817" s="63" t="str">
        <f>IF($A817="","",IFERROR(IF(VLOOKUP($A817,'Risk Register'!$B$2:$H$1000,4,FALSE())&gt;=4,"Yes",""),""))</f>
        <v/>
      </c>
      <c r="AE817" s="63" t="str">
        <f t="shared" si="51"/>
        <v/>
      </c>
      <c r="AF817" s="62"/>
      <c r="AG817" s="62"/>
      <c r="AH817" s="62"/>
      <c r="AI817" s="62"/>
      <c r="AJ817" s="62"/>
      <c r="AK817" s="62"/>
      <c r="AL817" s="62"/>
      <c r="AM817" s="62"/>
      <c r="AN817" s="62"/>
      <c r="AO817" s="62"/>
      <c r="AP817" s="62"/>
      <c r="AQ817" s="80"/>
    </row>
    <row r="818" spans="1:43" ht="15.75" customHeight="1" x14ac:dyDescent="0.2">
      <c r="A818" s="63" t="str">
        <f t="shared" si="48"/>
        <v/>
      </c>
      <c r="B818" s="62"/>
      <c r="C818" s="62"/>
      <c r="D818" s="62"/>
      <c r="E818" s="62"/>
      <c r="F818" s="62"/>
      <c r="G818" s="62"/>
      <c r="H818" s="62"/>
      <c r="I818" s="66"/>
      <c r="J818" s="66"/>
      <c r="K818" s="66"/>
      <c r="L818" s="66"/>
      <c r="M818" s="66"/>
      <c r="N818" s="64" t="str">
        <f>IF(OR($B818="", $I818="", $J818="", $K818="", $L818="", $M818=""),"",ROUND(($I818*Lists!$AN$2)+($J818*Lists!$AN$3)+($K818*Lists!$AN$4)+($L818*Lists!$AN$5)+($M818*Lists!$AN$6),2))</f>
        <v/>
      </c>
      <c r="O818" s="64" t="str">
        <f>IF($A818="","",IFERROR(VLOOKUP($A818,'Risk Register'!$B$2:$I$1000,8,FALSE()),""))</f>
        <v/>
      </c>
      <c r="P818" s="66"/>
      <c r="Q818" s="66"/>
      <c r="R818" s="66"/>
      <c r="S818" s="66"/>
      <c r="T818" s="64" t="str">
        <f>IF(OR($B818="", $P818="", $Q818="", $R818="", $S818=""),"",ROUND(($P818*Lists!$AN$7)+($Q818*Lists!$AN$8)+($R818*Lists!$AN$9)+($S818*Lists!$AN$10),2))</f>
        <v/>
      </c>
      <c r="U818" s="66"/>
      <c r="V818" s="66"/>
      <c r="W818" s="66"/>
      <c r="X818" s="66"/>
      <c r="Y818" s="66"/>
      <c r="Z818" s="64" t="str">
        <f>IF(OR($B818="", $U818="", $V818="", $W818="", $X818="", $Y818=""),"",ROUND(($U818*Lists!$AN$11)+($V818*Lists!$AN$12)+($W818*Lists!$AN$13)+($X818*Lists!$AN$14)+($Y818*Lists!$AN$15),2))</f>
        <v/>
      </c>
      <c r="AA818" s="64" t="str">
        <f>IF(OR($B818="", $N818="", $O818="", $T818="", $Z818=""),"",ROUND(($N818*Lists!$AN$16)-($O818*Lists!$AN$17)-($T818*Lists!$AN$18)+($Z818*Lists!$AN$19),2))</f>
        <v/>
      </c>
      <c r="AB818" s="63" t="str">
        <f t="shared" si="49"/>
        <v/>
      </c>
      <c r="AC818" s="63" t="str">
        <f t="shared" si="50"/>
        <v/>
      </c>
      <c r="AD818" s="63" t="str">
        <f>IF($A818="","",IFERROR(IF(VLOOKUP($A818,'Risk Register'!$B$2:$H$1000,4,FALSE())&gt;=4,"Yes",""),""))</f>
        <v/>
      </c>
      <c r="AE818" s="63" t="str">
        <f t="shared" si="51"/>
        <v/>
      </c>
      <c r="AF818" s="62"/>
      <c r="AG818" s="62"/>
      <c r="AH818" s="62"/>
      <c r="AI818" s="62"/>
      <c r="AJ818" s="62"/>
      <c r="AK818" s="62"/>
      <c r="AL818" s="62"/>
      <c r="AM818" s="62"/>
      <c r="AN818" s="62"/>
      <c r="AO818" s="62"/>
      <c r="AP818" s="62"/>
      <c r="AQ818" s="80"/>
    </row>
    <row r="819" spans="1:43" ht="15.75" customHeight="1" x14ac:dyDescent="0.2">
      <c r="A819" s="63" t="str">
        <f t="shared" si="48"/>
        <v/>
      </c>
      <c r="B819" s="62"/>
      <c r="C819" s="62"/>
      <c r="D819" s="62"/>
      <c r="E819" s="62"/>
      <c r="F819" s="62"/>
      <c r="G819" s="62"/>
      <c r="H819" s="62"/>
      <c r="I819" s="66"/>
      <c r="J819" s="66"/>
      <c r="K819" s="66"/>
      <c r="L819" s="66"/>
      <c r="M819" s="66"/>
      <c r="N819" s="64" t="str">
        <f>IF(OR($B819="", $I819="", $J819="", $K819="", $L819="", $M819=""),"",ROUND(($I819*Lists!$AN$2)+($J819*Lists!$AN$3)+($K819*Lists!$AN$4)+($L819*Lists!$AN$5)+($M819*Lists!$AN$6),2))</f>
        <v/>
      </c>
      <c r="O819" s="64" t="str">
        <f>IF($A819="","",IFERROR(VLOOKUP($A819,'Risk Register'!$B$2:$I$1000,8,FALSE()),""))</f>
        <v/>
      </c>
      <c r="P819" s="66"/>
      <c r="Q819" s="66"/>
      <c r="R819" s="66"/>
      <c r="S819" s="66"/>
      <c r="T819" s="64" t="str">
        <f>IF(OR($B819="", $P819="", $Q819="", $R819="", $S819=""),"",ROUND(($P819*Lists!$AN$7)+($Q819*Lists!$AN$8)+($R819*Lists!$AN$9)+($S819*Lists!$AN$10),2))</f>
        <v/>
      </c>
      <c r="U819" s="66"/>
      <c r="V819" s="66"/>
      <c r="W819" s="66"/>
      <c r="X819" s="66"/>
      <c r="Y819" s="66"/>
      <c r="Z819" s="64" t="str">
        <f>IF(OR($B819="", $U819="", $V819="", $W819="", $X819="", $Y819=""),"",ROUND(($U819*Lists!$AN$11)+($V819*Lists!$AN$12)+($W819*Lists!$AN$13)+($X819*Lists!$AN$14)+($Y819*Lists!$AN$15),2))</f>
        <v/>
      </c>
      <c r="AA819" s="64" t="str">
        <f>IF(OR($B819="", $N819="", $O819="", $T819="", $Z819=""),"",ROUND(($N819*Lists!$AN$16)-($O819*Lists!$AN$17)-($T819*Lists!$AN$18)+($Z819*Lists!$AN$19),2))</f>
        <v/>
      </c>
      <c r="AB819" s="63" t="str">
        <f t="shared" si="49"/>
        <v/>
      </c>
      <c r="AC819" s="63" t="str">
        <f t="shared" si="50"/>
        <v/>
      </c>
      <c r="AD819" s="63" t="str">
        <f>IF($A819="","",IFERROR(IF(VLOOKUP($A819,'Risk Register'!$B$2:$H$1000,4,FALSE())&gt;=4,"Yes",""),""))</f>
        <v/>
      </c>
      <c r="AE819" s="63" t="str">
        <f t="shared" si="51"/>
        <v/>
      </c>
      <c r="AF819" s="62"/>
      <c r="AG819" s="62"/>
      <c r="AH819" s="62"/>
      <c r="AI819" s="62"/>
      <c r="AJ819" s="62"/>
      <c r="AK819" s="62"/>
      <c r="AL819" s="62"/>
      <c r="AM819" s="62"/>
      <c r="AN819" s="62"/>
      <c r="AO819" s="62"/>
      <c r="AP819" s="62"/>
      <c r="AQ819" s="80"/>
    </row>
    <row r="820" spans="1:43" ht="15.75" customHeight="1" x14ac:dyDescent="0.2">
      <c r="A820" s="63" t="str">
        <f t="shared" si="48"/>
        <v/>
      </c>
      <c r="B820" s="62"/>
      <c r="C820" s="62"/>
      <c r="D820" s="62"/>
      <c r="E820" s="62"/>
      <c r="F820" s="62"/>
      <c r="G820" s="62"/>
      <c r="H820" s="62"/>
      <c r="I820" s="66"/>
      <c r="J820" s="66"/>
      <c r="K820" s="66"/>
      <c r="L820" s="66"/>
      <c r="M820" s="66"/>
      <c r="N820" s="64" t="str">
        <f>IF(OR($B820="", $I820="", $J820="", $K820="", $L820="", $M820=""),"",ROUND(($I820*Lists!$AN$2)+($J820*Lists!$AN$3)+($K820*Lists!$AN$4)+($L820*Lists!$AN$5)+($M820*Lists!$AN$6),2))</f>
        <v/>
      </c>
      <c r="O820" s="64" t="str">
        <f>IF($A820="","",IFERROR(VLOOKUP($A820,'Risk Register'!$B$2:$I$1000,8,FALSE()),""))</f>
        <v/>
      </c>
      <c r="P820" s="66"/>
      <c r="Q820" s="66"/>
      <c r="R820" s="66"/>
      <c r="S820" s="66"/>
      <c r="T820" s="64" t="str">
        <f>IF(OR($B820="", $P820="", $Q820="", $R820="", $S820=""),"",ROUND(($P820*Lists!$AN$7)+($Q820*Lists!$AN$8)+($R820*Lists!$AN$9)+($S820*Lists!$AN$10),2))</f>
        <v/>
      </c>
      <c r="U820" s="66"/>
      <c r="V820" s="66"/>
      <c r="W820" s="66"/>
      <c r="X820" s="66"/>
      <c r="Y820" s="66"/>
      <c r="Z820" s="64" t="str">
        <f>IF(OR($B820="", $U820="", $V820="", $W820="", $X820="", $Y820=""),"",ROUND(($U820*Lists!$AN$11)+($V820*Lists!$AN$12)+($W820*Lists!$AN$13)+($X820*Lists!$AN$14)+($Y820*Lists!$AN$15),2))</f>
        <v/>
      </c>
      <c r="AA820" s="64" t="str">
        <f>IF(OR($B820="", $N820="", $O820="", $T820="", $Z820=""),"",ROUND(($N820*Lists!$AN$16)-($O820*Lists!$AN$17)-($T820*Lists!$AN$18)+($Z820*Lists!$AN$19),2))</f>
        <v/>
      </c>
      <c r="AB820" s="63" t="str">
        <f t="shared" si="49"/>
        <v/>
      </c>
      <c r="AC820" s="63" t="str">
        <f t="shared" si="50"/>
        <v/>
      </c>
      <c r="AD820" s="63" t="str">
        <f>IF($A820="","",IFERROR(IF(VLOOKUP($A820,'Risk Register'!$B$2:$H$1000,4,FALSE())&gt;=4,"Yes",""),""))</f>
        <v/>
      </c>
      <c r="AE820" s="63" t="str">
        <f t="shared" si="51"/>
        <v/>
      </c>
      <c r="AF820" s="62"/>
      <c r="AG820" s="62"/>
      <c r="AH820" s="62"/>
      <c r="AI820" s="62"/>
      <c r="AJ820" s="62"/>
      <c r="AK820" s="62"/>
      <c r="AL820" s="62"/>
      <c r="AM820" s="62"/>
      <c r="AN820" s="62"/>
      <c r="AO820" s="62"/>
      <c r="AP820" s="62"/>
      <c r="AQ820" s="80"/>
    </row>
    <row r="821" spans="1:43" ht="15.75" customHeight="1" x14ac:dyDescent="0.2">
      <c r="A821" s="63" t="str">
        <f t="shared" si="48"/>
        <v/>
      </c>
      <c r="B821" s="62"/>
      <c r="C821" s="62"/>
      <c r="D821" s="62"/>
      <c r="E821" s="62"/>
      <c r="F821" s="62"/>
      <c r="G821" s="62"/>
      <c r="H821" s="62"/>
      <c r="I821" s="66"/>
      <c r="J821" s="66"/>
      <c r="K821" s="66"/>
      <c r="L821" s="66"/>
      <c r="M821" s="66"/>
      <c r="N821" s="64" t="str">
        <f>IF(OR($B821="", $I821="", $J821="", $K821="", $L821="", $M821=""),"",ROUND(($I821*Lists!$AN$2)+($J821*Lists!$AN$3)+($K821*Lists!$AN$4)+($L821*Lists!$AN$5)+($M821*Lists!$AN$6),2))</f>
        <v/>
      </c>
      <c r="O821" s="64" t="str">
        <f>IF($A821="","",IFERROR(VLOOKUP($A821,'Risk Register'!$B$2:$I$1000,8,FALSE()),""))</f>
        <v/>
      </c>
      <c r="P821" s="66"/>
      <c r="Q821" s="66"/>
      <c r="R821" s="66"/>
      <c r="S821" s="66"/>
      <c r="T821" s="64" t="str">
        <f>IF(OR($B821="", $P821="", $Q821="", $R821="", $S821=""),"",ROUND(($P821*Lists!$AN$7)+($Q821*Lists!$AN$8)+($R821*Lists!$AN$9)+($S821*Lists!$AN$10),2))</f>
        <v/>
      </c>
      <c r="U821" s="66"/>
      <c r="V821" s="66"/>
      <c r="W821" s="66"/>
      <c r="X821" s="66"/>
      <c r="Y821" s="66"/>
      <c r="Z821" s="64" t="str">
        <f>IF(OR($B821="", $U821="", $V821="", $W821="", $X821="", $Y821=""),"",ROUND(($U821*Lists!$AN$11)+($V821*Lists!$AN$12)+($W821*Lists!$AN$13)+($X821*Lists!$AN$14)+($Y821*Lists!$AN$15),2))</f>
        <v/>
      </c>
      <c r="AA821" s="64" t="str">
        <f>IF(OR($B821="", $N821="", $O821="", $T821="", $Z821=""),"",ROUND(($N821*Lists!$AN$16)-($O821*Lists!$AN$17)-($T821*Lists!$AN$18)+($Z821*Lists!$AN$19),2))</f>
        <v/>
      </c>
      <c r="AB821" s="63" t="str">
        <f t="shared" si="49"/>
        <v/>
      </c>
      <c r="AC821" s="63" t="str">
        <f t="shared" si="50"/>
        <v/>
      </c>
      <c r="AD821" s="63" t="str">
        <f>IF($A821="","",IFERROR(IF(VLOOKUP($A821,'Risk Register'!$B$2:$H$1000,4,FALSE())&gt;=4,"Yes",""),""))</f>
        <v/>
      </c>
      <c r="AE821" s="63" t="str">
        <f t="shared" si="51"/>
        <v/>
      </c>
      <c r="AF821" s="62"/>
      <c r="AG821" s="62"/>
      <c r="AH821" s="62"/>
      <c r="AI821" s="62"/>
      <c r="AJ821" s="62"/>
      <c r="AK821" s="62"/>
      <c r="AL821" s="62"/>
      <c r="AM821" s="62"/>
      <c r="AN821" s="62"/>
      <c r="AO821" s="62"/>
      <c r="AP821" s="62"/>
      <c r="AQ821" s="80"/>
    </row>
    <row r="822" spans="1:43" ht="15.75" customHeight="1" x14ac:dyDescent="0.2">
      <c r="A822" s="63" t="str">
        <f t="shared" si="48"/>
        <v/>
      </c>
      <c r="B822" s="62"/>
      <c r="C822" s="62"/>
      <c r="D822" s="62"/>
      <c r="E822" s="62"/>
      <c r="F822" s="62"/>
      <c r="G822" s="62"/>
      <c r="H822" s="62"/>
      <c r="I822" s="66"/>
      <c r="J822" s="66"/>
      <c r="K822" s="66"/>
      <c r="L822" s="66"/>
      <c r="M822" s="66"/>
      <c r="N822" s="64" t="str">
        <f>IF(OR($B822="", $I822="", $J822="", $K822="", $L822="", $M822=""),"",ROUND(($I822*Lists!$AN$2)+($J822*Lists!$AN$3)+($K822*Lists!$AN$4)+($L822*Lists!$AN$5)+($M822*Lists!$AN$6),2))</f>
        <v/>
      </c>
      <c r="O822" s="64" t="str">
        <f>IF($A822="","",IFERROR(VLOOKUP($A822,'Risk Register'!$B$2:$I$1000,8,FALSE()),""))</f>
        <v/>
      </c>
      <c r="P822" s="66"/>
      <c r="Q822" s="66"/>
      <c r="R822" s="66"/>
      <c r="S822" s="66"/>
      <c r="T822" s="64" t="str">
        <f>IF(OR($B822="", $P822="", $Q822="", $R822="", $S822=""),"",ROUND(($P822*Lists!$AN$7)+($Q822*Lists!$AN$8)+($R822*Lists!$AN$9)+($S822*Lists!$AN$10),2))</f>
        <v/>
      </c>
      <c r="U822" s="66"/>
      <c r="V822" s="66"/>
      <c r="W822" s="66"/>
      <c r="X822" s="66"/>
      <c r="Y822" s="66"/>
      <c r="Z822" s="64" t="str">
        <f>IF(OR($B822="", $U822="", $V822="", $W822="", $X822="", $Y822=""),"",ROUND(($U822*Lists!$AN$11)+($V822*Lists!$AN$12)+($W822*Lists!$AN$13)+($X822*Lists!$AN$14)+($Y822*Lists!$AN$15),2))</f>
        <v/>
      </c>
      <c r="AA822" s="64" t="str">
        <f>IF(OR($B822="", $N822="", $O822="", $T822="", $Z822=""),"",ROUND(($N822*Lists!$AN$16)-($O822*Lists!$AN$17)-($T822*Lists!$AN$18)+($Z822*Lists!$AN$19),2))</f>
        <v/>
      </c>
      <c r="AB822" s="63" t="str">
        <f t="shared" si="49"/>
        <v/>
      </c>
      <c r="AC822" s="63" t="str">
        <f t="shared" si="50"/>
        <v/>
      </c>
      <c r="AD822" s="63" t="str">
        <f>IF($A822="","",IFERROR(IF(VLOOKUP($A822,'Risk Register'!$B$2:$H$1000,4,FALSE())&gt;=4,"Yes",""),""))</f>
        <v/>
      </c>
      <c r="AE822" s="63" t="str">
        <f t="shared" si="51"/>
        <v/>
      </c>
      <c r="AF822" s="62"/>
      <c r="AG822" s="62"/>
      <c r="AH822" s="62"/>
      <c r="AI822" s="62"/>
      <c r="AJ822" s="62"/>
      <c r="AK822" s="62"/>
      <c r="AL822" s="62"/>
      <c r="AM822" s="62"/>
      <c r="AN822" s="62"/>
      <c r="AO822" s="62"/>
      <c r="AP822" s="62"/>
      <c r="AQ822" s="80"/>
    </row>
    <row r="823" spans="1:43" ht="15.75" customHeight="1" x14ac:dyDescent="0.2">
      <c r="A823" s="63" t="str">
        <f t="shared" si="48"/>
        <v/>
      </c>
      <c r="B823" s="62"/>
      <c r="C823" s="62"/>
      <c r="D823" s="62"/>
      <c r="E823" s="62"/>
      <c r="F823" s="62"/>
      <c r="G823" s="62"/>
      <c r="H823" s="62"/>
      <c r="I823" s="66"/>
      <c r="J823" s="66"/>
      <c r="K823" s="66"/>
      <c r="L823" s="66"/>
      <c r="M823" s="66"/>
      <c r="N823" s="64" t="str">
        <f>IF(OR($B823="", $I823="", $J823="", $K823="", $L823="", $M823=""),"",ROUND(($I823*Lists!$AN$2)+($J823*Lists!$AN$3)+($K823*Lists!$AN$4)+($L823*Lists!$AN$5)+($M823*Lists!$AN$6),2))</f>
        <v/>
      </c>
      <c r="O823" s="64" t="str">
        <f>IF($A823="","",IFERROR(VLOOKUP($A823,'Risk Register'!$B$2:$I$1000,8,FALSE()),""))</f>
        <v/>
      </c>
      <c r="P823" s="66"/>
      <c r="Q823" s="66"/>
      <c r="R823" s="66"/>
      <c r="S823" s="66"/>
      <c r="T823" s="64" t="str">
        <f>IF(OR($B823="", $P823="", $Q823="", $R823="", $S823=""),"",ROUND(($P823*Lists!$AN$7)+($Q823*Lists!$AN$8)+($R823*Lists!$AN$9)+($S823*Lists!$AN$10),2))</f>
        <v/>
      </c>
      <c r="U823" s="66"/>
      <c r="V823" s="66"/>
      <c r="W823" s="66"/>
      <c r="X823" s="66"/>
      <c r="Y823" s="66"/>
      <c r="Z823" s="64" t="str">
        <f>IF(OR($B823="", $U823="", $V823="", $W823="", $X823="", $Y823=""),"",ROUND(($U823*Lists!$AN$11)+($V823*Lists!$AN$12)+($W823*Lists!$AN$13)+($X823*Lists!$AN$14)+($Y823*Lists!$AN$15),2))</f>
        <v/>
      </c>
      <c r="AA823" s="64" t="str">
        <f>IF(OR($B823="", $N823="", $O823="", $T823="", $Z823=""),"",ROUND(($N823*Lists!$AN$16)-($O823*Lists!$AN$17)-($T823*Lists!$AN$18)+($Z823*Lists!$AN$19),2))</f>
        <v/>
      </c>
      <c r="AB823" s="63" t="str">
        <f t="shared" si="49"/>
        <v/>
      </c>
      <c r="AC823" s="63" t="str">
        <f t="shared" si="50"/>
        <v/>
      </c>
      <c r="AD823" s="63" t="str">
        <f>IF($A823="","",IFERROR(IF(VLOOKUP($A823,'Risk Register'!$B$2:$H$1000,4,FALSE())&gt;=4,"Yes",""),""))</f>
        <v/>
      </c>
      <c r="AE823" s="63" t="str">
        <f t="shared" si="51"/>
        <v/>
      </c>
      <c r="AF823" s="62"/>
      <c r="AG823" s="62"/>
      <c r="AH823" s="62"/>
      <c r="AI823" s="62"/>
      <c r="AJ823" s="62"/>
      <c r="AK823" s="62"/>
      <c r="AL823" s="62"/>
      <c r="AM823" s="62"/>
      <c r="AN823" s="62"/>
      <c r="AO823" s="62"/>
      <c r="AP823" s="62"/>
      <c r="AQ823" s="80"/>
    </row>
    <row r="824" spans="1:43" ht="15.75" customHeight="1" x14ac:dyDescent="0.2">
      <c r="A824" s="63" t="str">
        <f t="shared" si="48"/>
        <v/>
      </c>
      <c r="B824" s="62"/>
      <c r="C824" s="62"/>
      <c r="D824" s="62"/>
      <c r="E824" s="62"/>
      <c r="F824" s="62"/>
      <c r="G824" s="62"/>
      <c r="H824" s="62"/>
      <c r="I824" s="66"/>
      <c r="J824" s="66"/>
      <c r="K824" s="66"/>
      <c r="L824" s="66"/>
      <c r="M824" s="66"/>
      <c r="N824" s="64" t="str">
        <f>IF(OR($B824="", $I824="", $J824="", $K824="", $L824="", $M824=""),"",ROUND(($I824*Lists!$AN$2)+($J824*Lists!$AN$3)+($K824*Lists!$AN$4)+($L824*Lists!$AN$5)+($M824*Lists!$AN$6),2))</f>
        <v/>
      </c>
      <c r="O824" s="64" t="str">
        <f>IF($A824="","",IFERROR(VLOOKUP($A824,'Risk Register'!$B$2:$I$1000,8,FALSE()),""))</f>
        <v/>
      </c>
      <c r="P824" s="66"/>
      <c r="Q824" s="66"/>
      <c r="R824" s="66"/>
      <c r="S824" s="66"/>
      <c r="T824" s="64" t="str">
        <f>IF(OR($B824="", $P824="", $Q824="", $R824="", $S824=""),"",ROUND(($P824*Lists!$AN$7)+($Q824*Lists!$AN$8)+($R824*Lists!$AN$9)+($S824*Lists!$AN$10),2))</f>
        <v/>
      </c>
      <c r="U824" s="66"/>
      <c r="V824" s="66"/>
      <c r="W824" s="66"/>
      <c r="X824" s="66"/>
      <c r="Y824" s="66"/>
      <c r="Z824" s="64" t="str">
        <f>IF(OR($B824="", $U824="", $V824="", $W824="", $X824="", $Y824=""),"",ROUND(($U824*Lists!$AN$11)+($V824*Lists!$AN$12)+($W824*Lists!$AN$13)+($X824*Lists!$AN$14)+($Y824*Lists!$AN$15),2))</f>
        <v/>
      </c>
      <c r="AA824" s="64" t="str">
        <f>IF(OR($B824="", $N824="", $O824="", $T824="", $Z824=""),"",ROUND(($N824*Lists!$AN$16)-($O824*Lists!$AN$17)-($T824*Lists!$AN$18)+($Z824*Lists!$AN$19),2))</f>
        <v/>
      </c>
      <c r="AB824" s="63" t="str">
        <f t="shared" si="49"/>
        <v/>
      </c>
      <c r="AC824" s="63" t="str">
        <f t="shared" si="50"/>
        <v/>
      </c>
      <c r="AD824" s="63" t="str">
        <f>IF($A824="","",IFERROR(IF(VLOOKUP($A824,'Risk Register'!$B$2:$H$1000,4,FALSE())&gt;=4,"Yes",""),""))</f>
        <v/>
      </c>
      <c r="AE824" s="63" t="str">
        <f t="shared" si="51"/>
        <v/>
      </c>
      <c r="AF824" s="62"/>
      <c r="AG824" s="62"/>
      <c r="AH824" s="62"/>
      <c r="AI824" s="62"/>
      <c r="AJ824" s="62"/>
      <c r="AK824" s="62"/>
      <c r="AL824" s="62"/>
      <c r="AM824" s="62"/>
      <c r="AN824" s="62"/>
      <c r="AO824" s="62"/>
      <c r="AP824" s="62"/>
      <c r="AQ824" s="80"/>
    </row>
    <row r="825" spans="1:43" ht="15.75" customHeight="1" x14ac:dyDescent="0.2">
      <c r="A825" s="63" t="str">
        <f t="shared" si="48"/>
        <v/>
      </c>
      <c r="B825" s="62"/>
      <c r="C825" s="62"/>
      <c r="D825" s="62"/>
      <c r="E825" s="62"/>
      <c r="F825" s="62"/>
      <c r="G825" s="62"/>
      <c r="H825" s="62"/>
      <c r="I825" s="66"/>
      <c r="J825" s="66"/>
      <c r="K825" s="66"/>
      <c r="L825" s="66"/>
      <c r="M825" s="66"/>
      <c r="N825" s="64" t="str">
        <f>IF(OR($B825="", $I825="", $J825="", $K825="", $L825="", $M825=""),"",ROUND(($I825*Lists!$AN$2)+($J825*Lists!$AN$3)+($K825*Lists!$AN$4)+($L825*Lists!$AN$5)+($M825*Lists!$AN$6),2))</f>
        <v/>
      </c>
      <c r="O825" s="64" t="str">
        <f>IF($A825="","",IFERROR(VLOOKUP($A825,'Risk Register'!$B$2:$I$1000,8,FALSE()),""))</f>
        <v/>
      </c>
      <c r="P825" s="66"/>
      <c r="Q825" s="66"/>
      <c r="R825" s="66"/>
      <c r="S825" s="66"/>
      <c r="T825" s="64" t="str">
        <f>IF(OR($B825="", $P825="", $Q825="", $R825="", $S825=""),"",ROUND(($P825*Lists!$AN$7)+($Q825*Lists!$AN$8)+($R825*Lists!$AN$9)+($S825*Lists!$AN$10),2))</f>
        <v/>
      </c>
      <c r="U825" s="66"/>
      <c r="V825" s="66"/>
      <c r="W825" s="66"/>
      <c r="X825" s="66"/>
      <c r="Y825" s="66"/>
      <c r="Z825" s="64" t="str">
        <f>IF(OR($B825="", $U825="", $V825="", $W825="", $X825="", $Y825=""),"",ROUND(($U825*Lists!$AN$11)+($V825*Lists!$AN$12)+($W825*Lists!$AN$13)+($X825*Lists!$AN$14)+($Y825*Lists!$AN$15),2))</f>
        <v/>
      </c>
      <c r="AA825" s="64" t="str">
        <f>IF(OR($B825="", $N825="", $O825="", $T825="", $Z825=""),"",ROUND(($N825*Lists!$AN$16)-($O825*Lists!$AN$17)-($T825*Lists!$AN$18)+($Z825*Lists!$AN$19),2))</f>
        <v/>
      </c>
      <c r="AB825" s="63" t="str">
        <f t="shared" si="49"/>
        <v/>
      </c>
      <c r="AC825" s="63" t="str">
        <f t="shared" si="50"/>
        <v/>
      </c>
      <c r="AD825" s="63" t="str">
        <f>IF($A825="","",IFERROR(IF(VLOOKUP($A825,'Risk Register'!$B$2:$H$1000,4,FALSE())&gt;=4,"Yes",""),""))</f>
        <v/>
      </c>
      <c r="AE825" s="63" t="str">
        <f t="shared" si="51"/>
        <v/>
      </c>
      <c r="AF825" s="62"/>
      <c r="AG825" s="62"/>
      <c r="AH825" s="62"/>
      <c r="AI825" s="62"/>
      <c r="AJ825" s="62"/>
      <c r="AK825" s="62"/>
      <c r="AL825" s="62"/>
      <c r="AM825" s="62"/>
      <c r="AN825" s="62"/>
      <c r="AO825" s="62"/>
      <c r="AP825" s="62"/>
      <c r="AQ825" s="80"/>
    </row>
    <row r="826" spans="1:43" ht="15.75" customHeight="1" x14ac:dyDescent="0.2">
      <c r="A826" s="63" t="str">
        <f t="shared" si="48"/>
        <v/>
      </c>
      <c r="B826" s="62"/>
      <c r="C826" s="62"/>
      <c r="D826" s="62"/>
      <c r="E826" s="62"/>
      <c r="F826" s="62"/>
      <c r="G826" s="62"/>
      <c r="H826" s="62"/>
      <c r="I826" s="66"/>
      <c r="J826" s="66"/>
      <c r="K826" s="66"/>
      <c r="L826" s="66"/>
      <c r="M826" s="66"/>
      <c r="N826" s="64" t="str">
        <f>IF(OR($B826="", $I826="", $J826="", $K826="", $L826="", $M826=""),"",ROUND(($I826*Lists!$AN$2)+($J826*Lists!$AN$3)+($K826*Lists!$AN$4)+($L826*Lists!$AN$5)+($M826*Lists!$AN$6),2))</f>
        <v/>
      </c>
      <c r="O826" s="64" t="str">
        <f>IF($A826="","",IFERROR(VLOOKUP($A826,'Risk Register'!$B$2:$I$1000,8,FALSE()),""))</f>
        <v/>
      </c>
      <c r="P826" s="66"/>
      <c r="Q826" s="66"/>
      <c r="R826" s="66"/>
      <c r="S826" s="66"/>
      <c r="T826" s="64" t="str">
        <f>IF(OR($B826="", $P826="", $Q826="", $R826="", $S826=""),"",ROUND(($P826*Lists!$AN$7)+($Q826*Lists!$AN$8)+($R826*Lists!$AN$9)+($S826*Lists!$AN$10),2))</f>
        <v/>
      </c>
      <c r="U826" s="66"/>
      <c r="V826" s="66"/>
      <c r="W826" s="66"/>
      <c r="X826" s="66"/>
      <c r="Y826" s="66"/>
      <c r="Z826" s="64" t="str">
        <f>IF(OR($B826="", $U826="", $V826="", $W826="", $X826="", $Y826=""),"",ROUND(($U826*Lists!$AN$11)+($V826*Lists!$AN$12)+($W826*Lists!$AN$13)+($X826*Lists!$AN$14)+($Y826*Lists!$AN$15),2))</f>
        <v/>
      </c>
      <c r="AA826" s="64" t="str">
        <f>IF(OR($B826="", $N826="", $O826="", $T826="", $Z826=""),"",ROUND(($N826*Lists!$AN$16)-($O826*Lists!$AN$17)-($T826*Lists!$AN$18)+($Z826*Lists!$AN$19),2))</f>
        <v/>
      </c>
      <c r="AB826" s="63" t="str">
        <f t="shared" si="49"/>
        <v/>
      </c>
      <c r="AC826" s="63" t="str">
        <f t="shared" si="50"/>
        <v/>
      </c>
      <c r="AD826" s="63" t="str">
        <f>IF($A826="","",IFERROR(IF(VLOOKUP($A826,'Risk Register'!$B$2:$H$1000,4,FALSE())&gt;=4,"Yes",""),""))</f>
        <v/>
      </c>
      <c r="AE826" s="63" t="str">
        <f t="shared" si="51"/>
        <v/>
      </c>
      <c r="AF826" s="62"/>
      <c r="AG826" s="62"/>
      <c r="AH826" s="62"/>
      <c r="AI826" s="62"/>
      <c r="AJ826" s="62"/>
      <c r="AK826" s="62"/>
      <c r="AL826" s="62"/>
      <c r="AM826" s="62"/>
      <c r="AN826" s="62"/>
      <c r="AO826" s="62"/>
      <c r="AP826" s="62"/>
      <c r="AQ826" s="80"/>
    </row>
    <row r="827" spans="1:43" ht="15.75" customHeight="1" x14ac:dyDescent="0.2">
      <c r="A827" s="63" t="str">
        <f t="shared" si="48"/>
        <v/>
      </c>
      <c r="B827" s="62"/>
      <c r="C827" s="62"/>
      <c r="D827" s="62"/>
      <c r="E827" s="62"/>
      <c r="F827" s="62"/>
      <c r="G827" s="62"/>
      <c r="H827" s="62"/>
      <c r="I827" s="66"/>
      <c r="J827" s="66"/>
      <c r="K827" s="66"/>
      <c r="L827" s="66"/>
      <c r="M827" s="66"/>
      <c r="N827" s="64" t="str">
        <f>IF(OR($B827="", $I827="", $J827="", $K827="", $L827="", $M827=""),"",ROUND(($I827*Lists!$AN$2)+($J827*Lists!$AN$3)+($K827*Lists!$AN$4)+($L827*Lists!$AN$5)+($M827*Lists!$AN$6),2))</f>
        <v/>
      </c>
      <c r="O827" s="64" t="str">
        <f>IF($A827="","",IFERROR(VLOOKUP($A827,'Risk Register'!$B$2:$I$1000,8,FALSE()),""))</f>
        <v/>
      </c>
      <c r="P827" s="66"/>
      <c r="Q827" s="66"/>
      <c r="R827" s="66"/>
      <c r="S827" s="66"/>
      <c r="T827" s="64" t="str">
        <f>IF(OR($B827="", $P827="", $Q827="", $R827="", $S827=""),"",ROUND(($P827*Lists!$AN$7)+($Q827*Lists!$AN$8)+($R827*Lists!$AN$9)+($S827*Lists!$AN$10),2))</f>
        <v/>
      </c>
      <c r="U827" s="66"/>
      <c r="V827" s="66"/>
      <c r="W827" s="66"/>
      <c r="X827" s="66"/>
      <c r="Y827" s="66"/>
      <c r="Z827" s="64" t="str">
        <f>IF(OR($B827="", $U827="", $V827="", $W827="", $X827="", $Y827=""),"",ROUND(($U827*Lists!$AN$11)+($V827*Lists!$AN$12)+($W827*Lists!$AN$13)+($X827*Lists!$AN$14)+($Y827*Lists!$AN$15),2))</f>
        <v/>
      </c>
      <c r="AA827" s="64" t="str">
        <f>IF(OR($B827="", $N827="", $O827="", $T827="", $Z827=""),"",ROUND(($N827*Lists!$AN$16)-($O827*Lists!$AN$17)-($T827*Lists!$AN$18)+($Z827*Lists!$AN$19),2))</f>
        <v/>
      </c>
      <c r="AB827" s="63" t="str">
        <f t="shared" si="49"/>
        <v/>
      </c>
      <c r="AC827" s="63" t="str">
        <f t="shared" si="50"/>
        <v/>
      </c>
      <c r="AD827" s="63" t="str">
        <f>IF($A827="","",IFERROR(IF(VLOOKUP($A827,'Risk Register'!$B$2:$H$1000,4,FALSE())&gt;=4,"Yes",""),""))</f>
        <v/>
      </c>
      <c r="AE827" s="63" t="str">
        <f t="shared" si="51"/>
        <v/>
      </c>
      <c r="AF827" s="62"/>
      <c r="AG827" s="62"/>
      <c r="AH827" s="62"/>
      <c r="AI827" s="62"/>
      <c r="AJ827" s="62"/>
      <c r="AK827" s="62"/>
      <c r="AL827" s="62"/>
      <c r="AM827" s="62"/>
      <c r="AN827" s="62"/>
      <c r="AO827" s="62"/>
      <c r="AP827" s="62"/>
      <c r="AQ827" s="80"/>
    </row>
    <row r="828" spans="1:43" ht="15.75" customHeight="1" x14ac:dyDescent="0.2">
      <c r="A828" s="63" t="str">
        <f t="shared" si="48"/>
        <v/>
      </c>
      <c r="B828" s="62"/>
      <c r="C828" s="62"/>
      <c r="D828" s="62"/>
      <c r="E828" s="62"/>
      <c r="F828" s="62"/>
      <c r="G828" s="62"/>
      <c r="H828" s="62"/>
      <c r="I828" s="66"/>
      <c r="J828" s="66"/>
      <c r="K828" s="66"/>
      <c r="L828" s="66"/>
      <c r="M828" s="66"/>
      <c r="N828" s="64" t="str">
        <f>IF(OR($B828="", $I828="", $J828="", $K828="", $L828="", $M828=""),"",ROUND(($I828*Lists!$AN$2)+($J828*Lists!$AN$3)+($K828*Lists!$AN$4)+($L828*Lists!$AN$5)+($M828*Lists!$AN$6),2))</f>
        <v/>
      </c>
      <c r="O828" s="64" t="str">
        <f>IF($A828="","",IFERROR(VLOOKUP($A828,'Risk Register'!$B$2:$I$1000,8,FALSE()),""))</f>
        <v/>
      </c>
      <c r="P828" s="66"/>
      <c r="Q828" s="66"/>
      <c r="R828" s="66"/>
      <c r="S828" s="66"/>
      <c r="T828" s="64" t="str">
        <f>IF(OR($B828="", $P828="", $Q828="", $R828="", $S828=""),"",ROUND(($P828*Lists!$AN$7)+($Q828*Lists!$AN$8)+($R828*Lists!$AN$9)+($S828*Lists!$AN$10),2))</f>
        <v/>
      </c>
      <c r="U828" s="66"/>
      <c r="V828" s="66"/>
      <c r="W828" s="66"/>
      <c r="X828" s="66"/>
      <c r="Y828" s="66"/>
      <c r="Z828" s="64" t="str">
        <f>IF(OR($B828="", $U828="", $V828="", $W828="", $X828="", $Y828=""),"",ROUND(($U828*Lists!$AN$11)+($V828*Lists!$AN$12)+($W828*Lists!$AN$13)+($X828*Lists!$AN$14)+($Y828*Lists!$AN$15),2))</f>
        <v/>
      </c>
      <c r="AA828" s="64" t="str">
        <f>IF(OR($B828="", $N828="", $O828="", $T828="", $Z828=""),"",ROUND(($N828*Lists!$AN$16)-($O828*Lists!$AN$17)-($T828*Lists!$AN$18)+($Z828*Lists!$AN$19),2))</f>
        <v/>
      </c>
      <c r="AB828" s="63" t="str">
        <f t="shared" si="49"/>
        <v/>
      </c>
      <c r="AC828" s="63" t="str">
        <f t="shared" si="50"/>
        <v/>
      </c>
      <c r="AD828" s="63" t="str">
        <f>IF($A828="","",IFERROR(IF(VLOOKUP($A828,'Risk Register'!$B$2:$H$1000,4,FALSE())&gt;=4,"Yes",""),""))</f>
        <v/>
      </c>
      <c r="AE828" s="63" t="str">
        <f t="shared" si="51"/>
        <v/>
      </c>
      <c r="AF828" s="62"/>
      <c r="AG828" s="62"/>
      <c r="AH828" s="62"/>
      <c r="AI828" s="62"/>
      <c r="AJ828" s="62"/>
      <c r="AK828" s="62"/>
      <c r="AL828" s="62"/>
      <c r="AM828" s="62"/>
      <c r="AN828" s="62"/>
      <c r="AO828" s="62"/>
      <c r="AP828" s="62"/>
      <c r="AQ828" s="80"/>
    </row>
    <row r="829" spans="1:43" ht="15.75" customHeight="1" x14ac:dyDescent="0.2">
      <c r="A829" s="63" t="str">
        <f t="shared" si="48"/>
        <v/>
      </c>
      <c r="B829" s="62"/>
      <c r="C829" s="62"/>
      <c r="D829" s="62"/>
      <c r="E829" s="62"/>
      <c r="F829" s="62"/>
      <c r="G829" s="62"/>
      <c r="H829" s="62"/>
      <c r="I829" s="66"/>
      <c r="J829" s="66"/>
      <c r="K829" s="66"/>
      <c r="L829" s="66"/>
      <c r="M829" s="66"/>
      <c r="N829" s="64" t="str">
        <f>IF(OR($B829="", $I829="", $J829="", $K829="", $L829="", $M829=""),"",ROUND(($I829*Lists!$AN$2)+($J829*Lists!$AN$3)+($K829*Lists!$AN$4)+($L829*Lists!$AN$5)+($M829*Lists!$AN$6),2))</f>
        <v/>
      </c>
      <c r="O829" s="64" t="str">
        <f>IF($A829="","",IFERROR(VLOOKUP($A829,'Risk Register'!$B$2:$I$1000,8,FALSE()),""))</f>
        <v/>
      </c>
      <c r="P829" s="66"/>
      <c r="Q829" s="66"/>
      <c r="R829" s="66"/>
      <c r="S829" s="66"/>
      <c r="T829" s="64" t="str">
        <f>IF(OR($B829="", $P829="", $Q829="", $R829="", $S829=""),"",ROUND(($P829*Lists!$AN$7)+($Q829*Lists!$AN$8)+($R829*Lists!$AN$9)+($S829*Lists!$AN$10),2))</f>
        <v/>
      </c>
      <c r="U829" s="66"/>
      <c r="V829" s="66"/>
      <c r="W829" s="66"/>
      <c r="X829" s="66"/>
      <c r="Y829" s="66"/>
      <c r="Z829" s="64" t="str">
        <f>IF(OR($B829="", $U829="", $V829="", $W829="", $X829="", $Y829=""),"",ROUND(($U829*Lists!$AN$11)+($V829*Lists!$AN$12)+($W829*Lists!$AN$13)+($X829*Lists!$AN$14)+($Y829*Lists!$AN$15),2))</f>
        <v/>
      </c>
      <c r="AA829" s="64" t="str">
        <f>IF(OR($B829="", $N829="", $O829="", $T829="", $Z829=""),"",ROUND(($N829*Lists!$AN$16)-($O829*Lists!$AN$17)-($T829*Lists!$AN$18)+($Z829*Lists!$AN$19),2))</f>
        <v/>
      </c>
      <c r="AB829" s="63" t="str">
        <f t="shared" si="49"/>
        <v/>
      </c>
      <c r="AC829" s="63" t="str">
        <f t="shared" si="50"/>
        <v/>
      </c>
      <c r="AD829" s="63" t="str">
        <f>IF($A829="","",IFERROR(IF(VLOOKUP($A829,'Risk Register'!$B$2:$H$1000,4,FALSE())&gt;=4,"Yes",""),""))</f>
        <v/>
      </c>
      <c r="AE829" s="63" t="str">
        <f t="shared" si="51"/>
        <v/>
      </c>
      <c r="AF829" s="62"/>
      <c r="AG829" s="62"/>
      <c r="AH829" s="62"/>
      <c r="AI829" s="62"/>
      <c r="AJ829" s="62"/>
      <c r="AK829" s="62"/>
      <c r="AL829" s="62"/>
      <c r="AM829" s="62"/>
      <c r="AN829" s="62"/>
      <c r="AO829" s="62"/>
      <c r="AP829" s="62"/>
      <c r="AQ829" s="80"/>
    </row>
    <row r="830" spans="1:43" ht="15.75" customHeight="1" x14ac:dyDescent="0.2">
      <c r="A830" s="63" t="str">
        <f t="shared" si="48"/>
        <v/>
      </c>
      <c r="B830" s="62"/>
      <c r="C830" s="62"/>
      <c r="D830" s="62"/>
      <c r="E830" s="62"/>
      <c r="F830" s="62"/>
      <c r="G830" s="62"/>
      <c r="H830" s="62"/>
      <c r="I830" s="66"/>
      <c r="J830" s="66"/>
      <c r="K830" s="66"/>
      <c r="L830" s="66"/>
      <c r="M830" s="66"/>
      <c r="N830" s="64" t="str">
        <f>IF(OR($B830="", $I830="", $J830="", $K830="", $L830="", $M830=""),"",ROUND(($I830*Lists!$AN$2)+($J830*Lists!$AN$3)+($K830*Lists!$AN$4)+($L830*Lists!$AN$5)+($M830*Lists!$AN$6),2))</f>
        <v/>
      </c>
      <c r="O830" s="64" t="str">
        <f>IF($A830="","",IFERROR(VLOOKUP($A830,'Risk Register'!$B$2:$I$1000,8,FALSE()),""))</f>
        <v/>
      </c>
      <c r="P830" s="66"/>
      <c r="Q830" s="66"/>
      <c r="R830" s="66"/>
      <c r="S830" s="66"/>
      <c r="T830" s="64" t="str">
        <f>IF(OR($B830="", $P830="", $Q830="", $R830="", $S830=""),"",ROUND(($P830*Lists!$AN$7)+($Q830*Lists!$AN$8)+($R830*Lists!$AN$9)+($S830*Lists!$AN$10),2))</f>
        <v/>
      </c>
      <c r="U830" s="66"/>
      <c r="V830" s="66"/>
      <c r="W830" s="66"/>
      <c r="X830" s="66"/>
      <c r="Y830" s="66"/>
      <c r="Z830" s="64" t="str">
        <f>IF(OR($B830="", $U830="", $V830="", $W830="", $X830="", $Y830=""),"",ROUND(($U830*Lists!$AN$11)+($V830*Lists!$AN$12)+($W830*Lists!$AN$13)+($X830*Lists!$AN$14)+($Y830*Lists!$AN$15),2))</f>
        <v/>
      </c>
      <c r="AA830" s="64" t="str">
        <f>IF(OR($B830="", $N830="", $O830="", $T830="", $Z830=""),"",ROUND(($N830*Lists!$AN$16)-($O830*Lists!$AN$17)-($T830*Lists!$AN$18)+($Z830*Lists!$AN$19),2))</f>
        <v/>
      </c>
      <c r="AB830" s="63" t="str">
        <f t="shared" si="49"/>
        <v/>
      </c>
      <c r="AC830" s="63" t="str">
        <f t="shared" si="50"/>
        <v/>
      </c>
      <c r="AD830" s="63" t="str">
        <f>IF($A830="","",IFERROR(IF(VLOOKUP($A830,'Risk Register'!$B$2:$H$1000,4,FALSE())&gt;=4,"Yes",""),""))</f>
        <v/>
      </c>
      <c r="AE830" s="63" t="str">
        <f t="shared" si="51"/>
        <v/>
      </c>
      <c r="AF830" s="62"/>
      <c r="AG830" s="62"/>
      <c r="AH830" s="62"/>
      <c r="AI830" s="62"/>
      <c r="AJ830" s="62"/>
      <c r="AK830" s="62"/>
      <c r="AL830" s="62"/>
      <c r="AM830" s="62"/>
      <c r="AN830" s="62"/>
      <c r="AO830" s="62"/>
      <c r="AP830" s="62"/>
      <c r="AQ830" s="80"/>
    </row>
    <row r="831" spans="1:43" ht="15.75" customHeight="1" x14ac:dyDescent="0.2">
      <c r="A831" s="63" t="str">
        <f t="shared" si="48"/>
        <v/>
      </c>
      <c r="B831" s="62"/>
      <c r="C831" s="62"/>
      <c r="D831" s="62"/>
      <c r="E831" s="62"/>
      <c r="F831" s="62"/>
      <c r="G831" s="62"/>
      <c r="H831" s="62"/>
      <c r="I831" s="66"/>
      <c r="J831" s="66"/>
      <c r="K831" s="66"/>
      <c r="L831" s="66"/>
      <c r="M831" s="66"/>
      <c r="N831" s="64" t="str">
        <f>IF(OR($B831="", $I831="", $J831="", $K831="", $L831="", $M831=""),"",ROUND(($I831*Lists!$AN$2)+($J831*Lists!$AN$3)+($K831*Lists!$AN$4)+($L831*Lists!$AN$5)+($M831*Lists!$AN$6),2))</f>
        <v/>
      </c>
      <c r="O831" s="64" t="str">
        <f>IF($A831="","",IFERROR(VLOOKUP($A831,'Risk Register'!$B$2:$I$1000,8,FALSE()),""))</f>
        <v/>
      </c>
      <c r="P831" s="66"/>
      <c r="Q831" s="66"/>
      <c r="R831" s="66"/>
      <c r="S831" s="66"/>
      <c r="T831" s="64" t="str">
        <f>IF(OR($B831="", $P831="", $Q831="", $R831="", $S831=""),"",ROUND(($P831*Lists!$AN$7)+($Q831*Lists!$AN$8)+($R831*Lists!$AN$9)+($S831*Lists!$AN$10),2))</f>
        <v/>
      </c>
      <c r="U831" s="66"/>
      <c r="V831" s="66"/>
      <c r="W831" s="66"/>
      <c r="X831" s="66"/>
      <c r="Y831" s="66"/>
      <c r="Z831" s="64" t="str">
        <f>IF(OR($B831="", $U831="", $V831="", $W831="", $X831="", $Y831=""),"",ROUND(($U831*Lists!$AN$11)+($V831*Lists!$AN$12)+($W831*Lists!$AN$13)+($X831*Lists!$AN$14)+($Y831*Lists!$AN$15),2))</f>
        <v/>
      </c>
      <c r="AA831" s="64" t="str">
        <f>IF(OR($B831="", $N831="", $O831="", $T831="", $Z831=""),"",ROUND(($N831*Lists!$AN$16)-($O831*Lists!$AN$17)-($T831*Lists!$AN$18)+($Z831*Lists!$AN$19),2))</f>
        <v/>
      </c>
      <c r="AB831" s="63" t="str">
        <f t="shared" si="49"/>
        <v/>
      </c>
      <c r="AC831" s="63" t="str">
        <f t="shared" si="50"/>
        <v/>
      </c>
      <c r="AD831" s="63" t="str">
        <f>IF($A831="","",IFERROR(IF(VLOOKUP($A831,'Risk Register'!$B$2:$H$1000,4,FALSE())&gt;=4,"Yes",""),""))</f>
        <v/>
      </c>
      <c r="AE831" s="63" t="str">
        <f t="shared" si="51"/>
        <v/>
      </c>
      <c r="AF831" s="62"/>
      <c r="AG831" s="62"/>
      <c r="AH831" s="62"/>
      <c r="AI831" s="62"/>
      <c r="AJ831" s="62"/>
      <c r="AK831" s="62"/>
      <c r="AL831" s="62"/>
      <c r="AM831" s="62"/>
      <c r="AN831" s="62"/>
      <c r="AO831" s="62"/>
      <c r="AP831" s="62"/>
      <c r="AQ831" s="80"/>
    </row>
    <row r="832" spans="1:43" ht="15.75" customHeight="1" x14ac:dyDescent="0.2">
      <c r="A832" s="63" t="str">
        <f t="shared" si="48"/>
        <v/>
      </c>
      <c r="B832" s="62"/>
      <c r="C832" s="62"/>
      <c r="D832" s="62"/>
      <c r="E832" s="62"/>
      <c r="F832" s="62"/>
      <c r="G832" s="62"/>
      <c r="H832" s="62"/>
      <c r="I832" s="66"/>
      <c r="J832" s="66"/>
      <c r="K832" s="66"/>
      <c r="L832" s="66"/>
      <c r="M832" s="66"/>
      <c r="N832" s="64" t="str">
        <f>IF(OR($B832="", $I832="", $J832="", $K832="", $L832="", $M832=""),"",ROUND(($I832*Lists!$AN$2)+($J832*Lists!$AN$3)+($K832*Lists!$AN$4)+($L832*Lists!$AN$5)+($M832*Lists!$AN$6),2))</f>
        <v/>
      </c>
      <c r="O832" s="64" t="str">
        <f>IF($A832="","",IFERROR(VLOOKUP($A832,'Risk Register'!$B$2:$I$1000,8,FALSE()),""))</f>
        <v/>
      </c>
      <c r="P832" s="66"/>
      <c r="Q832" s="66"/>
      <c r="R832" s="66"/>
      <c r="S832" s="66"/>
      <c r="T832" s="64" t="str">
        <f>IF(OR($B832="", $P832="", $Q832="", $R832="", $S832=""),"",ROUND(($P832*Lists!$AN$7)+($Q832*Lists!$AN$8)+($R832*Lists!$AN$9)+($S832*Lists!$AN$10),2))</f>
        <v/>
      </c>
      <c r="U832" s="66"/>
      <c r="V832" s="66"/>
      <c r="W832" s="66"/>
      <c r="X832" s="66"/>
      <c r="Y832" s="66"/>
      <c r="Z832" s="64" t="str">
        <f>IF(OR($B832="", $U832="", $V832="", $W832="", $X832="", $Y832=""),"",ROUND(($U832*Lists!$AN$11)+($V832*Lists!$AN$12)+($W832*Lists!$AN$13)+($X832*Lists!$AN$14)+($Y832*Lists!$AN$15),2))</f>
        <v/>
      </c>
      <c r="AA832" s="64" t="str">
        <f>IF(OR($B832="", $N832="", $O832="", $T832="", $Z832=""),"",ROUND(($N832*Lists!$AN$16)-($O832*Lists!$AN$17)-($T832*Lists!$AN$18)+($Z832*Lists!$AN$19),2))</f>
        <v/>
      </c>
      <c r="AB832" s="63" t="str">
        <f t="shared" si="49"/>
        <v/>
      </c>
      <c r="AC832" s="63" t="str">
        <f t="shared" si="50"/>
        <v/>
      </c>
      <c r="AD832" s="63" t="str">
        <f>IF($A832="","",IFERROR(IF(VLOOKUP($A832,'Risk Register'!$B$2:$H$1000,4,FALSE())&gt;=4,"Yes",""),""))</f>
        <v/>
      </c>
      <c r="AE832" s="63" t="str">
        <f t="shared" si="51"/>
        <v/>
      </c>
      <c r="AF832" s="62"/>
      <c r="AG832" s="62"/>
      <c r="AH832" s="62"/>
      <c r="AI832" s="62"/>
      <c r="AJ832" s="62"/>
      <c r="AK832" s="62"/>
      <c r="AL832" s="62"/>
      <c r="AM832" s="62"/>
      <c r="AN832" s="62"/>
      <c r="AO832" s="62"/>
      <c r="AP832" s="62"/>
      <c r="AQ832" s="80"/>
    </row>
    <row r="833" spans="1:43" ht="15.75" customHeight="1" x14ac:dyDescent="0.2">
      <c r="A833" s="63" t="str">
        <f t="shared" si="48"/>
        <v/>
      </c>
      <c r="B833" s="62"/>
      <c r="C833" s="62"/>
      <c r="D833" s="62"/>
      <c r="E833" s="62"/>
      <c r="F833" s="62"/>
      <c r="G833" s="62"/>
      <c r="H833" s="62"/>
      <c r="I833" s="66"/>
      <c r="J833" s="66"/>
      <c r="K833" s="66"/>
      <c r="L833" s="66"/>
      <c r="M833" s="66"/>
      <c r="N833" s="64" t="str">
        <f>IF(OR($B833="", $I833="", $J833="", $K833="", $L833="", $M833=""),"",ROUND(($I833*Lists!$AN$2)+($J833*Lists!$AN$3)+($K833*Lists!$AN$4)+($L833*Lists!$AN$5)+($M833*Lists!$AN$6),2))</f>
        <v/>
      </c>
      <c r="O833" s="64" t="str">
        <f>IF($A833="","",IFERROR(VLOOKUP($A833,'Risk Register'!$B$2:$I$1000,8,FALSE()),""))</f>
        <v/>
      </c>
      <c r="P833" s="66"/>
      <c r="Q833" s="66"/>
      <c r="R833" s="66"/>
      <c r="S833" s="66"/>
      <c r="T833" s="64" t="str">
        <f>IF(OR($B833="", $P833="", $Q833="", $R833="", $S833=""),"",ROUND(($P833*Lists!$AN$7)+($Q833*Lists!$AN$8)+($R833*Lists!$AN$9)+($S833*Lists!$AN$10),2))</f>
        <v/>
      </c>
      <c r="U833" s="66"/>
      <c r="V833" s="66"/>
      <c r="W833" s="66"/>
      <c r="X833" s="66"/>
      <c r="Y833" s="66"/>
      <c r="Z833" s="64" t="str">
        <f>IF(OR($B833="", $U833="", $V833="", $W833="", $X833="", $Y833=""),"",ROUND(($U833*Lists!$AN$11)+($V833*Lists!$AN$12)+($W833*Lists!$AN$13)+($X833*Lists!$AN$14)+($Y833*Lists!$AN$15),2))</f>
        <v/>
      </c>
      <c r="AA833" s="64" t="str">
        <f>IF(OR($B833="", $N833="", $O833="", $T833="", $Z833=""),"",ROUND(($N833*Lists!$AN$16)-($O833*Lists!$AN$17)-($T833*Lists!$AN$18)+($Z833*Lists!$AN$19),2))</f>
        <v/>
      </c>
      <c r="AB833" s="63" t="str">
        <f t="shared" si="49"/>
        <v/>
      </c>
      <c r="AC833" s="63" t="str">
        <f t="shared" si="50"/>
        <v/>
      </c>
      <c r="AD833" s="63" t="str">
        <f>IF($A833="","",IFERROR(IF(VLOOKUP($A833,'Risk Register'!$B$2:$H$1000,4,FALSE())&gt;=4,"Yes",""),""))</f>
        <v/>
      </c>
      <c r="AE833" s="63" t="str">
        <f t="shared" si="51"/>
        <v/>
      </c>
      <c r="AF833" s="62"/>
      <c r="AG833" s="62"/>
      <c r="AH833" s="62"/>
      <c r="AI833" s="62"/>
      <c r="AJ833" s="62"/>
      <c r="AK833" s="62"/>
      <c r="AL833" s="62"/>
      <c r="AM833" s="62"/>
      <c r="AN833" s="62"/>
      <c r="AO833" s="62"/>
      <c r="AP833" s="62"/>
      <c r="AQ833" s="80"/>
    </row>
    <row r="834" spans="1:43" ht="15.75" customHeight="1" x14ac:dyDescent="0.2">
      <c r="A834" s="63" t="str">
        <f t="shared" si="48"/>
        <v/>
      </c>
      <c r="B834" s="62"/>
      <c r="C834" s="62"/>
      <c r="D834" s="62"/>
      <c r="E834" s="62"/>
      <c r="F834" s="62"/>
      <c r="G834" s="62"/>
      <c r="H834" s="62"/>
      <c r="I834" s="66"/>
      <c r="J834" s="66"/>
      <c r="K834" s="66"/>
      <c r="L834" s="66"/>
      <c r="M834" s="66"/>
      <c r="N834" s="64" t="str">
        <f>IF(OR($B834="", $I834="", $J834="", $K834="", $L834="", $M834=""),"",ROUND(($I834*Lists!$AN$2)+($J834*Lists!$AN$3)+($K834*Lists!$AN$4)+($L834*Lists!$AN$5)+($M834*Lists!$AN$6),2))</f>
        <v/>
      </c>
      <c r="O834" s="64" t="str">
        <f>IF($A834="","",IFERROR(VLOOKUP($A834,'Risk Register'!$B$2:$I$1000,8,FALSE()),""))</f>
        <v/>
      </c>
      <c r="P834" s="66"/>
      <c r="Q834" s="66"/>
      <c r="R834" s="66"/>
      <c r="S834" s="66"/>
      <c r="T834" s="64" t="str">
        <f>IF(OR($B834="", $P834="", $Q834="", $R834="", $S834=""),"",ROUND(($P834*Lists!$AN$7)+($Q834*Lists!$AN$8)+($R834*Lists!$AN$9)+($S834*Lists!$AN$10),2))</f>
        <v/>
      </c>
      <c r="U834" s="66"/>
      <c r="V834" s="66"/>
      <c r="W834" s="66"/>
      <c r="X834" s="66"/>
      <c r="Y834" s="66"/>
      <c r="Z834" s="64" t="str">
        <f>IF(OR($B834="", $U834="", $V834="", $W834="", $X834="", $Y834=""),"",ROUND(($U834*Lists!$AN$11)+($V834*Lists!$AN$12)+($W834*Lists!$AN$13)+($X834*Lists!$AN$14)+($Y834*Lists!$AN$15),2))</f>
        <v/>
      </c>
      <c r="AA834" s="64" t="str">
        <f>IF(OR($B834="", $N834="", $O834="", $T834="", $Z834=""),"",ROUND(($N834*Lists!$AN$16)-($O834*Lists!$AN$17)-($T834*Lists!$AN$18)+($Z834*Lists!$AN$19),2))</f>
        <v/>
      </c>
      <c r="AB834" s="63" t="str">
        <f t="shared" si="49"/>
        <v/>
      </c>
      <c r="AC834" s="63" t="str">
        <f t="shared" si="50"/>
        <v/>
      </c>
      <c r="AD834" s="63" t="str">
        <f>IF($A834="","",IFERROR(IF(VLOOKUP($A834,'Risk Register'!$B$2:$H$1000,4,FALSE())&gt;=4,"Yes",""),""))</f>
        <v/>
      </c>
      <c r="AE834" s="63" t="str">
        <f t="shared" si="51"/>
        <v/>
      </c>
      <c r="AF834" s="62"/>
      <c r="AG834" s="62"/>
      <c r="AH834" s="62"/>
      <c r="AI834" s="62"/>
      <c r="AJ834" s="62"/>
      <c r="AK834" s="62"/>
      <c r="AL834" s="62"/>
      <c r="AM834" s="62"/>
      <c r="AN834" s="62"/>
      <c r="AO834" s="62"/>
      <c r="AP834" s="62"/>
      <c r="AQ834" s="80"/>
    </row>
    <row r="835" spans="1:43" ht="15.75" customHeight="1" x14ac:dyDescent="0.2">
      <c r="A835" s="63" t="str">
        <f t="shared" si="48"/>
        <v/>
      </c>
      <c r="B835" s="62"/>
      <c r="C835" s="62"/>
      <c r="D835" s="62"/>
      <c r="E835" s="62"/>
      <c r="F835" s="62"/>
      <c r="G835" s="62"/>
      <c r="H835" s="62"/>
      <c r="I835" s="66"/>
      <c r="J835" s="66"/>
      <c r="K835" s="66"/>
      <c r="L835" s="66"/>
      <c r="M835" s="66"/>
      <c r="N835" s="64" t="str">
        <f>IF(OR($B835="", $I835="", $J835="", $K835="", $L835="", $M835=""),"",ROUND(($I835*Lists!$AN$2)+($J835*Lists!$AN$3)+($K835*Lists!$AN$4)+($L835*Lists!$AN$5)+($M835*Lists!$AN$6),2))</f>
        <v/>
      </c>
      <c r="O835" s="64" t="str">
        <f>IF($A835="","",IFERROR(VLOOKUP($A835,'Risk Register'!$B$2:$I$1000,8,FALSE()),""))</f>
        <v/>
      </c>
      <c r="P835" s="66"/>
      <c r="Q835" s="66"/>
      <c r="R835" s="66"/>
      <c r="S835" s="66"/>
      <c r="T835" s="64" t="str">
        <f>IF(OR($B835="", $P835="", $Q835="", $R835="", $S835=""),"",ROUND(($P835*Lists!$AN$7)+($Q835*Lists!$AN$8)+($R835*Lists!$AN$9)+($S835*Lists!$AN$10),2))</f>
        <v/>
      </c>
      <c r="U835" s="66"/>
      <c r="V835" s="66"/>
      <c r="W835" s="66"/>
      <c r="X835" s="66"/>
      <c r="Y835" s="66"/>
      <c r="Z835" s="64" t="str">
        <f>IF(OR($B835="", $U835="", $V835="", $W835="", $X835="", $Y835=""),"",ROUND(($U835*Lists!$AN$11)+($V835*Lists!$AN$12)+($W835*Lists!$AN$13)+($X835*Lists!$AN$14)+($Y835*Lists!$AN$15),2))</f>
        <v/>
      </c>
      <c r="AA835" s="64" t="str">
        <f>IF(OR($B835="", $N835="", $O835="", $T835="", $Z835=""),"",ROUND(($N835*Lists!$AN$16)-($O835*Lists!$AN$17)-($T835*Lists!$AN$18)+($Z835*Lists!$AN$19),2))</f>
        <v/>
      </c>
      <c r="AB835" s="63" t="str">
        <f t="shared" si="49"/>
        <v/>
      </c>
      <c r="AC835" s="63" t="str">
        <f t="shared" si="50"/>
        <v/>
      </c>
      <c r="AD835" s="63" t="str">
        <f>IF($A835="","",IFERROR(IF(VLOOKUP($A835,'Risk Register'!$B$2:$H$1000,4,FALSE())&gt;=4,"Yes",""),""))</f>
        <v/>
      </c>
      <c r="AE835" s="63" t="str">
        <f t="shared" si="51"/>
        <v/>
      </c>
      <c r="AF835" s="62"/>
      <c r="AG835" s="62"/>
      <c r="AH835" s="62"/>
      <c r="AI835" s="62"/>
      <c r="AJ835" s="62"/>
      <c r="AK835" s="62"/>
      <c r="AL835" s="62"/>
      <c r="AM835" s="62"/>
      <c r="AN835" s="62"/>
      <c r="AO835" s="62"/>
      <c r="AP835" s="62"/>
      <c r="AQ835" s="80"/>
    </row>
    <row r="836" spans="1:43" ht="15.75" customHeight="1" x14ac:dyDescent="0.2">
      <c r="A836" s="63" t="str">
        <f t="shared" si="48"/>
        <v/>
      </c>
      <c r="B836" s="62"/>
      <c r="C836" s="62"/>
      <c r="D836" s="62"/>
      <c r="E836" s="62"/>
      <c r="F836" s="62"/>
      <c r="G836" s="62"/>
      <c r="H836" s="62"/>
      <c r="I836" s="66"/>
      <c r="J836" s="66"/>
      <c r="K836" s="66"/>
      <c r="L836" s="66"/>
      <c r="M836" s="66"/>
      <c r="N836" s="64" t="str">
        <f>IF(OR($B836="", $I836="", $J836="", $K836="", $L836="", $M836=""),"",ROUND(($I836*Lists!$AN$2)+($J836*Lists!$AN$3)+($K836*Lists!$AN$4)+($L836*Lists!$AN$5)+($M836*Lists!$AN$6),2))</f>
        <v/>
      </c>
      <c r="O836" s="64" t="str">
        <f>IF($A836="","",IFERROR(VLOOKUP($A836,'Risk Register'!$B$2:$I$1000,8,FALSE()),""))</f>
        <v/>
      </c>
      <c r="P836" s="66"/>
      <c r="Q836" s="66"/>
      <c r="R836" s="66"/>
      <c r="S836" s="66"/>
      <c r="T836" s="64" t="str">
        <f>IF(OR($B836="", $P836="", $Q836="", $R836="", $S836=""),"",ROUND(($P836*Lists!$AN$7)+($Q836*Lists!$AN$8)+($R836*Lists!$AN$9)+($S836*Lists!$AN$10),2))</f>
        <v/>
      </c>
      <c r="U836" s="66"/>
      <c r="V836" s="66"/>
      <c r="W836" s="66"/>
      <c r="X836" s="66"/>
      <c r="Y836" s="66"/>
      <c r="Z836" s="64" t="str">
        <f>IF(OR($B836="", $U836="", $V836="", $W836="", $X836="", $Y836=""),"",ROUND(($U836*Lists!$AN$11)+($V836*Lists!$AN$12)+($W836*Lists!$AN$13)+($X836*Lists!$AN$14)+($Y836*Lists!$AN$15),2))</f>
        <v/>
      </c>
      <c r="AA836" s="64" t="str">
        <f>IF(OR($B836="", $N836="", $O836="", $T836="", $Z836=""),"",ROUND(($N836*Lists!$AN$16)-($O836*Lists!$AN$17)-($T836*Lists!$AN$18)+($Z836*Lists!$AN$19),2))</f>
        <v/>
      </c>
      <c r="AB836" s="63" t="str">
        <f t="shared" si="49"/>
        <v/>
      </c>
      <c r="AC836" s="63" t="str">
        <f t="shared" si="50"/>
        <v/>
      </c>
      <c r="AD836" s="63" t="str">
        <f>IF($A836="","",IFERROR(IF(VLOOKUP($A836,'Risk Register'!$B$2:$H$1000,4,FALSE())&gt;=4,"Yes",""),""))</f>
        <v/>
      </c>
      <c r="AE836" s="63" t="str">
        <f t="shared" si="51"/>
        <v/>
      </c>
      <c r="AF836" s="62"/>
      <c r="AG836" s="62"/>
      <c r="AH836" s="62"/>
      <c r="AI836" s="62"/>
      <c r="AJ836" s="62"/>
      <c r="AK836" s="62"/>
      <c r="AL836" s="62"/>
      <c r="AM836" s="62"/>
      <c r="AN836" s="62"/>
      <c r="AO836" s="62"/>
      <c r="AP836" s="62"/>
      <c r="AQ836" s="80"/>
    </row>
    <row r="837" spans="1:43" ht="15.75" customHeight="1" x14ac:dyDescent="0.2">
      <c r="A837" s="63" t="str">
        <f t="shared" si="48"/>
        <v/>
      </c>
      <c r="B837" s="62"/>
      <c r="C837" s="62"/>
      <c r="D837" s="62"/>
      <c r="E837" s="62"/>
      <c r="F837" s="62"/>
      <c r="G837" s="62"/>
      <c r="H837" s="62"/>
      <c r="I837" s="66"/>
      <c r="J837" s="66"/>
      <c r="K837" s="66"/>
      <c r="L837" s="66"/>
      <c r="M837" s="66"/>
      <c r="N837" s="64" t="str">
        <f>IF(OR($B837="", $I837="", $J837="", $K837="", $L837="", $M837=""),"",ROUND(($I837*Lists!$AN$2)+($J837*Lists!$AN$3)+($K837*Lists!$AN$4)+($L837*Lists!$AN$5)+($M837*Lists!$AN$6),2))</f>
        <v/>
      </c>
      <c r="O837" s="64" t="str">
        <f>IF($A837="","",IFERROR(VLOOKUP($A837,'Risk Register'!$B$2:$I$1000,8,FALSE()),""))</f>
        <v/>
      </c>
      <c r="P837" s="66"/>
      <c r="Q837" s="66"/>
      <c r="R837" s="66"/>
      <c r="S837" s="66"/>
      <c r="T837" s="64" t="str">
        <f>IF(OR($B837="", $P837="", $Q837="", $R837="", $S837=""),"",ROUND(($P837*Lists!$AN$7)+($Q837*Lists!$AN$8)+($R837*Lists!$AN$9)+($S837*Lists!$AN$10),2))</f>
        <v/>
      </c>
      <c r="U837" s="66"/>
      <c r="V837" s="66"/>
      <c r="W837" s="66"/>
      <c r="X837" s="66"/>
      <c r="Y837" s="66"/>
      <c r="Z837" s="64" t="str">
        <f>IF(OR($B837="", $U837="", $V837="", $W837="", $X837="", $Y837=""),"",ROUND(($U837*Lists!$AN$11)+($V837*Lists!$AN$12)+($W837*Lists!$AN$13)+($X837*Lists!$AN$14)+($Y837*Lists!$AN$15),2))</f>
        <v/>
      </c>
      <c r="AA837" s="64" t="str">
        <f>IF(OR($B837="", $N837="", $O837="", $T837="", $Z837=""),"",ROUND(($N837*Lists!$AN$16)-($O837*Lists!$AN$17)-($T837*Lists!$AN$18)+($Z837*Lists!$AN$19),2))</f>
        <v/>
      </c>
      <c r="AB837" s="63" t="str">
        <f t="shared" si="49"/>
        <v/>
      </c>
      <c r="AC837" s="63" t="str">
        <f t="shared" si="50"/>
        <v/>
      </c>
      <c r="AD837" s="63" t="str">
        <f>IF($A837="","",IFERROR(IF(VLOOKUP($A837,'Risk Register'!$B$2:$H$1000,4,FALSE())&gt;=4,"Yes",""),""))</f>
        <v/>
      </c>
      <c r="AE837" s="63" t="str">
        <f t="shared" si="51"/>
        <v/>
      </c>
      <c r="AF837" s="62"/>
      <c r="AG837" s="62"/>
      <c r="AH837" s="62"/>
      <c r="AI837" s="62"/>
      <c r="AJ837" s="62"/>
      <c r="AK837" s="62"/>
      <c r="AL837" s="62"/>
      <c r="AM837" s="62"/>
      <c r="AN837" s="62"/>
      <c r="AO837" s="62"/>
      <c r="AP837" s="62"/>
      <c r="AQ837" s="80"/>
    </row>
    <row r="838" spans="1:43" ht="15.75" customHeight="1" x14ac:dyDescent="0.2">
      <c r="A838" s="63" t="str">
        <f t="shared" si="48"/>
        <v/>
      </c>
      <c r="B838" s="62"/>
      <c r="C838" s="62"/>
      <c r="D838" s="62"/>
      <c r="E838" s="62"/>
      <c r="F838" s="62"/>
      <c r="G838" s="62"/>
      <c r="H838" s="62"/>
      <c r="I838" s="66"/>
      <c r="J838" s="66"/>
      <c r="K838" s="66"/>
      <c r="L838" s="66"/>
      <c r="M838" s="66"/>
      <c r="N838" s="64" t="str">
        <f>IF(OR($B838="", $I838="", $J838="", $K838="", $L838="", $M838=""),"",ROUND(($I838*Lists!$AN$2)+($J838*Lists!$AN$3)+($K838*Lists!$AN$4)+($L838*Lists!$AN$5)+($M838*Lists!$AN$6),2))</f>
        <v/>
      </c>
      <c r="O838" s="64" t="str">
        <f>IF($A838="","",IFERROR(VLOOKUP($A838,'Risk Register'!$B$2:$I$1000,8,FALSE()),""))</f>
        <v/>
      </c>
      <c r="P838" s="66"/>
      <c r="Q838" s="66"/>
      <c r="R838" s="66"/>
      <c r="S838" s="66"/>
      <c r="T838" s="64" t="str">
        <f>IF(OR($B838="", $P838="", $Q838="", $R838="", $S838=""),"",ROUND(($P838*Lists!$AN$7)+($Q838*Lists!$AN$8)+($R838*Lists!$AN$9)+($S838*Lists!$AN$10),2))</f>
        <v/>
      </c>
      <c r="U838" s="66"/>
      <c r="V838" s="66"/>
      <c r="W838" s="66"/>
      <c r="X838" s="66"/>
      <c r="Y838" s="66"/>
      <c r="Z838" s="64" t="str">
        <f>IF(OR($B838="", $U838="", $V838="", $W838="", $X838="", $Y838=""),"",ROUND(($U838*Lists!$AN$11)+($V838*Lists!$AN$12)+($W838*Lists!$AN$13)+($X838*Lists!$AN$14)+($Y838*Lists!$AN$15),2))</f>
        <v/>
      </c>
      <c r="AA838" s="64" t="str">
        <f>IF(OR($B838="", $N838="", $O838="", $T838="", $Z838=""),"",ROUND(($N838*Lists!$AN$16)-($O838*Lists!$AN$17)-($T838*Lists!$AN$18)+($Z838*Lists!$AN$19),2))</f>
        <v/>
      </c>
      <c r="AB838" s="63" t="str">
        <f t="shared" si="49"/>
        <v/>
      </c>
      <c r="AC838" s="63" t="str">
        <f t="shared" si="50"/>
        <v/>
      </c>
      <c r="AD838" s="63" t="str">
        <f>IF($A838="","",IFERROR(IF(VLOOKUP($A838,'Risk Register'!$B$2:$H$1000,4,FALSE())&gt;=4,"Yes",""),""))</f>
        <v/>
      </c>
      <c r="AE838" s="63" t="str">
        <f t="shared" si="51"/>
        <v/>
      </c>
      <c r="AF838" s="62"/>
      <c r="AG838" s="62"/>
      <c r="AH838" s="62"/>
      <c r="AI838" s="62"/>
      <c r="AJ838" s="62"/>
      <c r="AK838" s="62"/>
      <c r="AL838" s="62"/>
      <c r="AM838" s="62"/>
      <c r="AN838" s="62"/>
      <c r="AO838" s="62"/>
      <c r="AP838" s="62"/>
      <c r="AQ838" s="80"/>
    </row>
    <row r="839" spans="1:43" ht="15.75" customHeight="1" x14ac:dyDescent="0.2">
      <c r="A839" s="63" t="str">
        <f t="shared" si="48"/>
        <v/>
      </c>
      <c r="B839" s="62"/>
      <c r="C839" s="62"/>
      <c r="D839" s="62"/>
      <c r="E839" s="62"/>
      <c r="F839" s="62"/>
      <c r="G839" s="62"/>
      <c r="H839" s="62"/>
      <c r="I839" s="66"/>
      <c r="J839" s="66"/>
      <c r="K839" s="66"/>
      <c r="L839" s="66"/>
      <c r="M839" s="66"/>
      <c r="N839" s="64" t="str">
        <f>IF(OR($B839="", $I839="", $J839="", $K839="", $L839="", $M839=""),"",ROUND(($I839*Lists!$AN$2)+($J839*Lists!$AN$3)+($K839*Lists!$AN$4)+($L839*Lists!$AN$5)+($M839*Lists!$AN$6),2))</f>
        <v/>
      </c>
      <c r="O839" s="64" t="str">
        <f>IF($A839="","",IFERROR(VLOOKUP($A839,'Risk Register'!$B$2:$I$1000,8,FALSE()),""))</f>
        <v/>
      </c>
      <c r="P839" s="66"/>
      <c r="Q839" s="66"/>
      <c r="R839" s="66"/>
      <c r="S839" s="66"/>
      <c r="T839" s="64" t="str">
        <f>IF(OR($B839="", $P839="", $Q839="", $R839="", $S839=""),"",ROUND(($P839*Lists!$AN$7)+($Q839*Lists!$AN$8)+($R839*Lists!$AN$9)+($S839*Lists!$AN$10),2))</f>
        <v/>
      </c>
      <c r="U839" s="66"/>
      <c r="V839" s="66"/>
      <c r="W839" s="66"/>
      <c r="X839" s="66"/>
      <c r="Y839" s="66"/>
      <c r="Z839" s="64" t="str">
        <f>IF(OR($B839="", $U839="", $V839="", $W839="", $X839="", $Y839=""),"",ROUND(($U839*Lists!$AN$11)+($V839*Lists!$AN$12)+($W839*Lists!$AN$13)+($X839*Lists!$AN$14)+($Y839*Lists!$AN$15),2))</f>
        <v/>
      </c>
      <c r="AA839" s="64" t="str">
        <f>IF(OR($B839="", $N839="", $O839="", $T839="", $Z839=""),"",ROUND(($N839*Lists!$AN$16)-($O839*Lists!$AN$17)-($T839*Lists!$AN$18)+($Z839*Lists!$AN$19),2))</f>
        <v/>
      </c>
      <c r="AB839" s="63" t="str">
        <f t="shared" si="49"/>
        <v/>
      </c>
      <c r="AC839" s="63" t="str">
        <f t="shared" si="50"/>
        <v/>
      </c>
      <c r="AD839" s="63" t="str">
        <f>IF($A839="","",IFERROR(IF(VLOOKUP($A839,'Risk Register'!$B$2:$H$1000,4,FALSE())&gt;=4,"Yes",""),""))</f>
        <v/>
      </c>
      <c r="AE839" s="63" t="str">
        <f t="shared" si="51"/>
        <v/>
      </c>
      <c r="AF839" s="62"/>
      <c r="AG839" s="62"/>
      <c r="AH839" s="62"/>
      <c r="AI839" s="62"/>
      <c r="AJ839" s="62"/>
      <c r="AK839" s="62"/>
      <c r="AL839" s="62"/>
      <c r="AM839" s="62"/>
      <c r="AN839" s="62"/>
      <c r="AO839" s="62"/>
      <c r="AP839" s="62"/>
      <c r="AQ839" s="80"/>
    </row>
    <row r="840" spans="1:43" ht="15.75" customHeight="1" x14ac:dyDescent="0.2">
      <c r="A840" s="63" t="str">
        <f t="shared" si="48"/>
        <v/>
      </c>
      <c r="B840" s="62"/>
      <c r="C840" s="62"/>
      <c r="D840" s="62"/>
      <c r="E840" s="62"/>
      <c r="F840" s="62"/>
      <c r="G840" s="62"/>
      <c r="H840" s="62"/>
      <c r="I840" s="66"/>
      <c r="J840" s="66"/>
      <c r="K840" s="66"/>
      <c r="L840" s="66"/>
      <c r="M840" s="66"/>
      <c r="N840" s="64" t="str">
        <f>IF(OR($B840="", $I840="", $J840="", $K840="", $L840="", $M840=""),"",ROUND(($I840*Lists!$AN$2)+($J840*Lists!$AN$3)+($K840*Lists!$AN$4)+($L840*Lists!$AN$5)+($M840*Lists!$AN$6),2))</f>
        <v/>
      </c>
      <c r="O840" s="64" t="str">
        <f>IF($A840="","",IFERROR(VLOOKUP($A840,'Risk Register'!$B$2:$I$1000,8,FALSE()),""))</f>
        <v/>
      </c>
      <c r="P840" s="66"/>
      <c r="Q840" s="66"/>
      <c r="R840" s="66"/>
      <c r="S840" s="66"/>
      <c r="T840" s="64" t="str">
        <f>IF(OR($B840="", $P840="", $Q840="", $R840="", $S840=""),"",ROUND(($P840*Lists!$AN$7)+($Q840*Lists!$AN$8)+($R840*Lists!$AN$9)+($S840*Lists!$AN$10),2))</f>
        <v/>
      </c>
      <c r="U840" s="66"/>
      <c r="V840" s="66"/>
      <c r="W840" s="66"/>
      <c r="X840" s="66"/>
      <c r="Y840" s="66"/>
      <c r="Z840" s="64" t="str">
        <f>IF(OR($B840="", $U840="", $V840="", $W840="", $X840="", $Y840=""),"",ROUND(($U840*Lists!$AN$11)+($V840*Lists!$AN$12)+($W840*Lists!$AN$13)+($X840*Lists!$AN$14)+($Y840*Lists!$AN$15),2))</f>
        <v/>
      </c>
      <c r="AA840" s="64" t="str">
        <f>IF(OR($B840="", $N840="", $O840="", $T840="", $Z840=""),"",ROUND(($N840*Lists!$AN$16)-($O840*Lists!$AN$17)-($T840*Lists!$AN$18)+($Z840*Lists!$AN$19),2))</f>
        <v/>
      </c>
      <c r="AB840" s="63" t="str">
        <f t="shared" si="49"/>
        <v/>
      </c>
      <c r="AC840" s="63" t="str">
        <f t="shared" si="50"/>
        <v/>
      </c>
      <c r="AD840" s="63" t="str">
        <f>IF($A840="","",IFERROR(IF(VLOOKUP($A840,'Risk Register'!$B$2:$H$1000,4,FALSE())&gt;=4,"Yes",""),""))</f>
        <v/>
      </c>
      <c r="AE840" s="63" t="str">
        <f t="shared" si="51"/>
        <v/>
      </c>
      <c r="AF840" s="62"/>
      <c r="AG840" s="62"/>
      <c r="AH840" s="62"/>
      <c r="AI840" s="62"/>
      <c r="AJ840" s="62"/>
      <c r="AK840" s="62"/>
      <c r="AL840" s="62"/>
      <c r="AM840" s="62"/>
      <c r="AN840" s="62"/>
      <c r="AO840" s="62"/>
      <c r="AP840" s="62"/>
      <c r="AQ840" s="80"/>
    </row>
    <row r="841" spans="1:43" ht="15.75" customHeight="1" x14ac:dyDescent="0.2">
      <c r="A841" s="63" t="str">
        <f t="shared" si="48"/>
        <v/>
      </c>
      <c r="B841" s="62"/>
      <c r="C841" s="62"/>
      <c r="D841" s="62"/>
      <c r="E841" s="62"/>
      <c r="F841" s="62"/>
      <c r="G841" s="62"/>
      <c r="H841" s="62"/>
      <c r="I841" s="66"/>
      <c r="J841" s="66"/>
      <c r="K841" s="66"/>
      <c r="L841" s="66"/>
      <c r="M841" s="66"/>
      <c r="N841" s="64" t="str">
        <f>IF(OR($B841="", $I841="", $J841="", $K841="", $L841="", $M841=""),"",ROUND(($I841*Lists!$AN$2)+($J841*Lists!$AN$3)+($K841*Lists!$AN$4)+($L841*Lists!$AN$5)+($M841*Lists!$AN$6),2))</f>
        <v/>
      </c>
      <c r="O841" s="64" t="str">
        <f>IF($A841="","",IFERROR(VLOOKUP($A841,'Risk Register'!$B$2:$I$1000,8,FALSE()),""))</f>
        <v/>
      </c>
      <c r="P841" s="66"/>
      <c r="Q841" s="66"/>
      <c r="R841" s="66"/>
      <c r="S841" s="66"/>
      <c r="T841" s="64" t="str">
        <f>IF(OR($B841="", $P841="", $Q841="", $R841="", $S841=""),"",ROUND(($P841*Lists!$AN$7)+($Q841*Lists!$AN$8)+($R841*Lists!$AN$9)+($S841*Lists!$AN$10),2))</f>
        <v/>
      </c>
      <c r="U841" s="66"/>
      <c r="V841" s="66"/>
      <c r="W841" s="66"/>
      <c r="X841" s="66"/>
      <c r="Y841" s="66"/>
      <c r="Z841" s="64" t="str">
        <f>IF(OR($B841="", $U841="", $V841="", $W841="", $X841="", $Y841=""),"",ROUND(($U841*Lists!$AN$11)+($V841*Lists!$AN$12)+($W841*Lists!$AN$13)+($X841*Lists!$AN$14)+($Y841*Lists!$AN$15),2))</f>
        <v/>
      </c>
      <c r="AA841" s="64" t="str">
        <f>IF(OR($B841="", $N841="", $O841="", $T841="", $Z841=""),"",ROUND(($N841*Lists!$AN$16)-($O841*Lists!$AN$17)-($T841*Lists!$AN$18)+($Z841*Lists!$AN$19),2))</f>
        <v/>
      </c>
      <c r="AB841" s="63" t="str">
        <f t="shared" si="49"/>
        <v/>
      </c>
      <c r="AC841" s="63" t="str">
        <f t="shared" si="50"/>
        <v/>
      </c>
      <c r="AD841" s="63" t="str">
        <f>IF($A841="","",IFERROR(IF(VLOOKUP($A841,'Risk Register'!$B$2:$H$1000,4,FALSE())&gt;=4,"Yes",""),""))</f>
        <v/>
      </c>
      <c r="AE841" s="63" t="str">
        <f t="shared" si="51"/>
        <v/>
      </c>
      <c r="AF841" s="62"/>
      <c r="AG841" s="62"/>
      <c r="AH841" s="62"/>
      <c r="AI841" s="62"/>
      <c r="AJ841" s="62"/>
      <c r="AK841" s="62"/>
      <c r="AL841" s="62"/>
      <c r="AM841" s="62"/>
      <c r="AN841" s="62"/>
      <c r="AO841" s="62"/>
      <c r="AP841" s="62"/>
      <c r="AQ841" s="80"/>
    </row>
    <row r="842" spans="1:43" ht="15.75" customHeight="1" x14ac:dyDescent="0.2">
      <c r="A842" s="63" t="str">
        <f t="shared" si="48"/>
        <v/>
      </c>
      <c r="B842" s="62"/>
      <c r="C842" s="62"/>
      <c r="D842" s="62"/>
      <c r="E842" s="62"/>
      <c r="F842" s="62"/>
      <c r="G842" s="62"/>
      <c r="H842" s="62"/>
      <c r="I842" s="66"/>
      <c r="J842" s="66"/>
      <c r="K842" s="66"/>
      <c r="L842" s="66"/>
      <c r="M842" s="66"/>
      <c r="N842" s="64" t="str">
        <f>IF(OR($B842="", $I842="", $J842="", $K842="", $L842="", $M842=""),"",ROUND(($I842*Lists!$AN$2)+($J842*Lists!$AN$3)+($K842*Lists!$AN$4)+($L842*Lists!$AN$5)+($M842*Lists!$AN$6),2))</f>
        <v/>
      </c>
      <c r="O842" s="64" t="str">
        <f>IF($A842="","",IFERROR(VLOOKUP($A842,'Risk Register'!$B$2:$I$1000,8,FALSE()),""))</f>
        <v/>
      </c>
      <c r="P842" s="66"/>
      <c r="Q842" s="66"/>
      <c r="R842" s="66"/>
      <c r="S842" s="66"/>
      <c r="T842" s="64" t="str">
        <f>IF(OR($B842="", $P842="", $Q842="", $R842="", $S842=""),"",ROUND(($P842*Lists!$AN$7)+($Q842*Lists!$AN$8)+($R842*Lists!$AN$9)+($S842*Lists!$AN$10),2))</f>
        <v/>
      </c>
      <c r="U842" s="66"/>
      <c r="V842" s="66"/>
      <c r="W842" s="66"/>
      <c r="X842" s="66"/>
      <c r="Y842" s="66"/>
      <c r="Z842" s="64" t="str">
        <f>IF(OR($B842="", $U842="", $V842="", $W842="", $X842="", $Y842=""),"",ROUND(($U842*Lists!$AN$11)+($V842*Lists!$AN$12)+($W842*Lists!$AN$13)+($X842*Lists!$AN$14)+($Y842*Lists!$AN$15),2))</f>
        <v/>
      </c>
      <c r="AA842" s="64" t="str">
        <f>IF(OR($B842="", $N842="", $O842="", $T842="", $Z842=""),"",ROUND(($N842*Lists!$AN$16)-($O842*Lists!$AN$17)-($T842*Lists!$AN$18)+($Z842*Lists!$AN$19),2))</f>
        <v/>
      </c>
      <c r="AB842" s="63" t="str">
        <f t="shared" si="49"/>
        <v/>
      </c>
      <c r="AC842" s="63" t="str">
        <f t="shared" si="50"/>
        <v/>
      </c>
      <c r="AD842" s="63" t="str">
        <f>IF($A842="","",IFERROR(IF(VLOOKUP($A842,'Risk Register'!$B$2:$H$1000,4,FALSE())&gt;=4,"Yes",""),""))</f>
        <v/>
      </c>
      <c r="AE842" s="63" t="str">
        <f t="shared" si="51"/>
        <v/>
      </c>
      <c r="AF842" s="62"/>
      <c r="AG842" s="62"/>
      <c r="AH842" s="62"/>
      <c r="AI842" s="62"/>
      <c r="AJ842" s="62"/>
      <c r="AK842" s="62"/>
      <c r="AL842" s="62"/>
      <c r="AM842" s="62"/>
      <c r="AN842" s="62"/>
      <c r="AO842" s="62"/>
      <c r="AP842" s="62"/>
      <c r="AQ842" s="80"/>
    </row>
    <row r="843" spans="1:43" ht="15.75" customHeight="1" x14ac:dyDescent="0.2">
      <c r="A843" s="63" t="str">
        <f t="shared" si="48"/>
        <v/>
      </c>
      <c r="B843" s="62"/>
      <c r="C843" s="62"/>
      <c r="D843" s="62"/>
      <c r="E843" s="62"/>
      <c r="F843" s="62"/>
      <c r="G843" s="62"/>
      <c r="H843" s="62"/>
      <c r="I843" s="66"/>
      <c r="J843" s="66"/>
      <c r="K843" s="66"/>
      <c r="L843" s="66"/>
      <c r="M843" s="66"/>
      <c r="N843" s="64" t="str">
        <f>IF(OR($B843="", $I843="", $J843="", $K843="", $L843="", $M843=""),"",ROUND(($I843*Lists!$AN$2)+($J843*Lists!$AN$3)+($K843*Lists!$AN$4)+($L843*Lists!$AN$5)+($M843*Lists!$AN$6),2))</f>
        <v/>
      </c>
      <c r="O843" s="64" t="str">
        <f>IF($A843="","",IFERROR(VLOOKUP($A843,'Risk Register'!$B$2:$I$1000,8,FALSE()),""))</f>
        <v/>
      </c>
      <c r="P843" s="66"/>
      <c r="Q843" s="66"/>
      <c r="R843" s="66"/>
      <c r="S843" s="66"/>
      <c r="T843" s="64" t="str">
        <f>IF(OR($B843="", $P843="", $Q843="", $R843="", $S843=""),"",ROUND(($P843*Lists!$AN$7)+($Q843*Lists!$AN$8)+($R843*Lists!$AN$9)+($S843*Lists!$AN$10),2))</f>
        <v/>
      </c>
      <c r="U843" s="66"/>
      <c r="V843" s="66"/>
      <c r="W843" s="66"/>
      <c r="X843" s="66"/>
      <c r="Y843" s="66"/>
      <c r="Z843" s="64" t="str">
        <f>IF(OR($B843="", $U843="", $V843="", $W843="", $X843="", $Y843=""),"",ROUND(($U843*Lists!$AN$11)+($V843*Lists!$AN$12)+($W843*Lists!$AN$13)+($X843*Lists!$AN$14)+($Y843*Lists!$AN$15),2))</f>
        <v/>
      </c>
      <c r="AA843" s="64" t="str">
        <f>IF(OR($B843="", $N843="", $O843="", $T843="", $Z843=""),"",ROUND(($N843*Lists!$AN$16)-($O843*Lists!$AN$17)-($T843*Lists!$AN$18)+($Z843*Lists!$AN$19),2))</f>
        <v/>
      </c>
      <c r="AB843" s="63" t="str">
        <f t="shared" si="49"/>
        <v/>
      </c>
      <c r="AC843" s="63" t="str">
        <f t="shared" si="50"/>
        <v/>
      </c>
      <c r="AD843" s="63" t="str">
        <f>IF($A843="","",IFERROR(IF(VLOOKUP($A843,'Risk Register'!$B$2:$H$1000,4,FALSE())&gt;=4,"Yes",""),""))</f>
        <v/>
      </c>
      <c r="AE843" s="63" t="str">
        <f t="shared" si="51"/>
        <v/>
      </c>
      <c r="AF843" s="62"/>
      <c r="AG843" s="62"/>
      <c r="AH843" s="62"/>
      <c r="AI843" s="62"/>
      <c r="AJ843" s="62"/>
      <c r="AK843" s="62"/>
      <c r="AL843" s="62"/>
      <c r="AM843" s="62"/>
      <c r="AN843" s="62"/>
      <c r="AO843" s="62"/>
      <c r="AP843" s="62"/>
      <c r="AQ843" s="80"/>
    </row>
    <row r="844" spans="1:43" ht="15.75" customHeight="1" x14ac:dyDescent="0.2">
      <c r="A844" s="63" t="str">
        <f t="shared" si="48"/>
        <v/>
      </c>
      <c r="B844" s="62"/>
      <c r="C844" s="62"/>
      <c r="D844" s="62"/>
      <c r="E844" s="62"/>
      <c r="F844" s="62"/>
      <c r="G844" s="62"/>
      <c r="H844" s="62"/>
      <c r="I844" s="66"/>
      <c r="J844" s="66"/>
      <c r="K844" s="66"/>
      <c r="L844" s="66"/>
      <c r="M844" s="66"/>
      <c r="N844" s="64" t="str">
        <f>IF(OR($B844="", $I844="", $J844="", $K844="", $L844="", $M844=""),"",ROUND(($I844*Lists!$AN$2)+($J844*Lists!$AN$3)+($K844*Lists!$AN$4)+($L844*Lists!$AN$5)+($M844*Lists!$AN$6),2))</f>
        <v/>
      </c>
      <c r="O844" s="64" t="str">
        <f>IF($A844="","",IFERROR(VLOOKUP($A844,'Risk Register'!$B$2:$I$1000,8,FALSE()),""))</f>
        <v/>
      </c>
      <c r="P844" s="66"/>
      <c r="Q844" s="66"/>
      <c r="R844" s="66"/>
      <c r="S844" s="66"/>
      <c r="T844" s="64" t="str">
        <f>IF(OR($B844="", $P844="", $Q844="", $R844="", $S844=""),"",ROUND(($P844*Lists!$AN$7)+($Q844*Lists!$AN$8)+($R844*Lists!$AN$9)+($S844*Lists!$AN$10),2))</f>
        <v/>
      </c>
      <c r="U844" s="66"/>
      <c r="V844" s="66"/>
      <c r="W844" s="66"/>
      <c r="X844" s="66"/>
      <c r="Y844" s="66"/>
      <c r="Z844" s="64" t="str">
        <f>IF(OR($B844="", $U844="", $V844="", $W844="", $X844="", $Y844=""),"",ROUND(($U844*Lists!$AN$11)+($V844*Lists!$AN$12)+($W844*Lists!$AN$13)+($X844*Lists!$AN$14)+($Y844*Lists!$AN$15),2))</f>
        <v/>
      </c>
      <c r="AA844" s="64" t="str">
        <f>IF(OR($B844="", $N844="", $O844="", $T844="", $Z844=""),"",ROUND(($N844*Lists!$AN$16)-($O844*Lists!$AN$17)-($T844*Lists!$AN$18)+($Z844*Lists!$AN$19),2))</f>
        <v/>
      </c>
      <c r="AB844" s="63" t="str">
        <f t="shared" si="49"/>
        <v/>
      </c>
      <c r="AC844" s="63" t="str">
        <f t="shared" si="50"/>
        <v/>
      </c>
      <c r="AD844" s="63" t="str">
        <f>IF($A844="","",IFERROR(IF(VLOOKUP($A844,'Risk Register'!$B$2:$H$1000,4,FALSE())&gt;=4,"Yes",""),""))</f>
        <v/>
      </c>
      <c r="AE844" s="63" t="str">
        <f t="shared" si="51"/>
        <v/>
      </c>
      <c r="AF844" s="62"/>
      <c r="AG844" s="62"/>
      <c r="AH844" s="62"/>
      <c r="AI844" s="62"/>
      <c r="AJ844" s="62"/>
      <c r="AK844" s="62"/>
      <c r="AL844" s="62"/>
      <c r="AM844" s="62"/>
      <c r="AN844" s="62"/>
      <c r="AO844" s="62"/>
      <c r="AP844" s="62"/>
      <c r="AQ844" s="80"/>
    </row>
    <row r="845" spans="1:43" ht="15.75" customHeight="1" x14ac:dyDescent="0.2">
      <c r="A845" s="63" t="str">
        <f t="shared" si="48"/>
        <v/>
      </c>
      <c r="B845" s="62"/>
      <c r="C845" s="62"/>
      <c r="D845" s="62"/>
      <c r="E845" s="62"/>
      <c r="F845" s="62"/>
      <c r="G845" s="62"/>
      <c r="H845" s="62"/>
      <c r="I845" s="66"/>
      <c r="J845" s="66"/>
      <c r="K845" s="66"/>
      <c r="L845" s="66"/>
      <c r="M845" s="66"/>
      <c r="N845" s="64" t="str">
        <f>IF(OR($B845="", $I845="", $J845="", $K845="", $L845="", $M845=""),"",ROUND(($I845*Lists!$AN$2)+($J845*Lists!$AN$3)+($K845*Lists!$AN$4)+($L845*Lists!$AN$5)+($M845*Lists!$AN$6),2))</f>
        <v/>
      </c>
      <c r="O845" s="64" t="str">
        <f>IF($A845="","",IFERROR(VLOOKUP($A845,'Risk Register'!$B$2:$I$1000,8,FALSE()),""))</f>
        <v/>
      </c>
      <c r="P845" s="66"/>
      <c r="Q845" s="66"/>
      <c r="R845" s="66"/>
      <c r="S845" s="66"/>
      <c r="T845" s="64" t="str">
        <f>IF(OR($B845="", $P845="", $Q845="", $R845="", $S845=""),"",ROUND(($P845*Lists!$AN$7)+($Q845*Lists!$AN$8)+($R845*Lists!$AN$9)+($S845*Lists!$AN$10),2))</f>
        <v/>
      </c>
      <c r="U845" s="66"/>
      <c r="V845" s="66"/>
      <c r="W845" s="66"/>
      <c r="X845" s="66"/>
      <c r="Y845" s="66"/>
      <c r="Z845" s="64" t="str">
        <f>IF(OR($B845="", $U845="", $V845="", $W845="", $X845="", $Y845=""),"",ROUND(($U845*Lists!$AN$11)+($V845*Lists!$AN$12)+($W845*Lists!$AN$13)+($X845*Lists!$AN$14)+($Y845*Lists!$AN$15),2))</f>
        <v/>
      </c>
      <c r="AA845" s="64" t="str">
        <f>IF(OR($B845="", $N845="", $O845="", $T845="", $Z845=""),"",ROUND(($N845*Lists!$AN$16)-($O845*Lists!$AN$17)-($T845*Lists!$AN$18)+($Z845*Lists!$AN$19),2))</f>
        <v/>
      </c>
      <c r="AB845" s="63" t="str">
        <f t="shared" si="49"/>
        <v/>
      </c>
      <c r="AC845" s="63" t="str">
        <f t="shared" si="50"/>
        <v/>
      </c>
      <c r="AD845" s="63" t="str">
        <f>IF($A845="","",IFERROR(IF(VLOOKUP($A845,'Risk Register'!$B$2:$H$1000,4,FALSE())&gt;=4,"Yes",""),""))</f>
        <v/>
      </c>
      <c r="AE845" s="63" t="str">
        <f t="shared" si="51"/>
        <v/>
      </c>
      <c r="AF845" s="62"/>
      <c r="AG845" s="62"/>
      <c r="AH845" s="62"/>
      <c r="AI845" s="62"/>
      <c r="AJ845" s="62"/>
      <c r="AK845" s="62"/>
      <c r="AL845" s="62"/>
      <c r="AM845" s="62"/>
      <c r="AN845" s="62"/>
      <c r="AO845" s="62"/>
      <c r="AP845" s="62"/>
      <c r="AQ845" s="80"/>
    </row>
    <row r="846" spans="1:43" ht="15.75" customHeight="1" x14ac:dyDescent="0.2">
      <c r="A846" s="63" t="str">
        <f t="shared" si="48"/>
        <v/>
      </c>
      <c r="B846" s="62"/>
      <c r="C846" s="62"/>
      <c r="D846" s="62"/>
      <c r="E846" s="62"/>
      <c r="F846" s="62"/>
      <c r="G846" s="62"/>
      <c r="H846" s="62"/>
      <c r="I846" s="66"/>
      <c r="J846" s="66"/>
      <c r="K846" s="66"/>
      <c r="L846" s="66"/>
      <c r="M846" s="66"/>
      <c r="N846" s="64" t="str">
        <f>IF(OR($B846="", $I846="", $J846="", $K846="", $L846="", $M846=""),"",ROUND(($I846*Lists!$AN$2)+($J846*Lists!$AN$3)+($K846*Lists!$AN$4)+($L846*Lists!$AN$5)+($M846*Lists!$AN$6),2))</f>
        <v/>
      </c>
      <c r="O846" s="64" t="str">
        <f>IF($A846="","",IFERROR(VLOOKUP($A846,'Risk Register'!$B$2:$I$1000,8,FALSE()),""))</f>
        <v/>
      </c>
      <c r="P846" s="66"/>
      <c r="Q846" s="66"/>
      <c r="R846" s="66"/>
      <c r="S846" s="66"/>
      <c r="T846" s="64" t="str">
        <f>IF(OR($B846="", $P846="", $Q846="", $R846="", $S846=""),"",ROUND(($P846*Lists!$AN$7)+($Q846*Lists!$AN$8)+($R846*Lists!$AN$9)+($S846*Lists!$AN$10),2))</f>
        <v/>
      </c>
      <c r="U846" s="66"/>
      <c r="V846" s="66"/>
      <c r="W846" s="66"/>
      <c r="X846" s="66"/>
      <c r="Y846" s="66"/>
      <c r="Z846" s="64" t="str">
        <f>IF(OR($B846="", $U846="", $V846="", $W846="", $X846="", $Y846=""),"",ROUND(($U846*Lists!$AN$11)+($V846*Lists!$AN$12)+($W846*Lists!$AN$13)+($X846*Lists!$AN$14)+($Y846*Lists!$AN$15),2))</f>
        <v/>
      </c>
      <c r="AA846" s="64" t="str">
        <f>IF(OR($B846="", $N846="", $O846="", $T846="", $Z846=""),"",ROUND(($N846*Lists!$AN$16)-($O846*Lists!$AN$17)-($T846*Lists!$AN$18)+($Z846*Lists!$AN$19),2))</f>
        <v/>
      </c>
      <c r="AB846" s="63" t="str">
        <f t="shared" si="49"/>
        <v/>
      </c>
      <c r="AC846" s="63" t="str">
        <f t="shared" si="50"/>
        <v/>
      </c>
      <c r="AD846" s="63" t="str">
        <f>IF($A846="","",IFERROR(IF(VLOOKUP($A846,'Risk Register'!$B$2:$H$1000,4,FALSE())&gt;=4,"Yes",""),""))</f>
        <v/>
      </c>
      <c r="AE846" s="63" t="str">
        <f t="shared" si="51"/>
        <v/>
      </c>
      <c r="AF846" s="62"/>
      <c r="AG846" s="62"/>
      <c r="AH846" s="62"/>
      <c r="AI846" s="62"/>
      <c r="AJ846" s="62"/>
      <c r="AK846" s="62"/>
      <c r="AL846" s="62"/>
      <c r="AM846" s="62"/>
      <c r="AN846" s="62"/>
      <c r="AO846" s="62"/>
      <c r="AP846" s="62"/>
      <c r="AQ846" s="80"/>
    </row>
    <row r="847" spans="1:43" ht="15.75" customHeight="1" x14ac:dyDescent="0.2">
      <c r="A847" s="63" t="str">
        <f t="shared" si="48"/>
        <v/>
      </c>
      <c r="B847" s="62"/>
      <c r="C847" s="62"/>
      <c r="D847" s="62"/>
      <c r="E847" s="62"/>
      <c r="F847" s="62"/>
      <c r="G847" s="62"/>
      <c r="H847" s="62"/>
      <c r="I847" s="66"/>
      <c r="J847" s="66"/>
      <c r="K847" s="66"/>
      <c r="L847" s="66"/>
      <c r="M847" s="66"/>
      <c r="N847" s="64" t="str">
        <f>IF(OR($B847="", $I847="", $J847="", $K847="", $L847="", $M847=""),"",ROUND(($I847*Lists!$AN$2)+($J847*Lists!$AN$3)+($K847*Lists!$AN$4)+($L847*Lists!$AN$5)+($M847*Lists!$AN$6),2))</f>
        <v/>
      </c>
      <c r="O847" s="64" t="str">
        <f>IF($A847="","",IFERROR(VLOOKUP($A847,'Risk Register'!$B$2:$I$1000,8,FALSE()),""))</f>
        <v/>
      </c>
      <c r="P847" s="66"/>
      <c r="Q847" s="66"/>
      <c r="R847" s="66"/>
      <c r="S847" s="66"/>
      <c r="T847" s="64" t="str">
        <f>IF(OR($B847="", $P847="", $Q847="", $R847="", $S847=""),"",ROUND(($P847*Lists!$AN$7)+($Q847*Lists!$AN$8)+($R847*Lists!$AN$9)+($S847*Lists!$AN$10),2))</f>
        <v/>
      </c>
      <c r="U847" s="66"/>
      <c r="V847" s="66"/>
      <c r="W847" s="66"/>
      <c r="X847" s="66"/>
      <c r="Y847" s="66"/>
      <c r="Z847" s="64" t="str">
        <f>IF(OR($B847="", $U847="", $V847="", $W847="", $X847="", $Y847=""),"",ROUND(($U847*Lists!$AN$11)+($V847*Lists!$AN$12)+($W847*Lists!$AN$13)+($X847*Lists!$AN$14)+($Y847*Lists!$AN$15),2))</f>
        <v/>
      </c>
      <c r="AA847" s="64" t="str">
        <f>IF(OR($B847="", $N847="", $O847="", $T847="", $Z847=""),"",ROUND(($N847*Lists!$AN$16)-($O847*Lists!$AN$17)-($T847*Lists!$AN$18)+($Z847*Lists!$AN$19),2))</f>
        <v/>
      </c>
      <c r="AB847" s="63" t="str">
        <f t="shared" si="49"/>
        <v/>
      </c>
      <c r="AC847" s="63" t="str">
        <f t="shared" si="50"/>
        <v/>
      </c>
      <c r="AD847" s="63" t="str">
        <f>IF($A847="","",IFERROR(IF(VLOOKUP($A847,'Risk Register'!$B$2:$H$1000,4,FALSE())&gt;=4,"Yes",""),""))</f>
        <v/>
      </c>
      <c r="AE847" s="63" t="str">
        <f t="shared" si="51"/>
        <v/>
      </c>
      <c r="AF847" s="62"/>
      <c r="AG847" s="62"/>
      <c r="AH847" s="62"/>
      <c r="AI847" s="62"/>
      <c r="AJ847" s="62"/>
      <c r="AK847" s="62"/>
      <c r="AL847" s="62"/>
      <c r="AM847" s="62"/>
      <c r="AN847" s="62"/>
      <c r="AO847" s="62"/>
      <c r="AP847" s="62"/>
      <c r="AQ847" s="80"/>
    </row>
    <row r="848" spans="1:43" ht="15.75" customHeight="1" x14ac:dyDescent="0.2">
      <c r="A848" s="63" t="str">
        <f t="shared" si="48"/>
        <v/>
      </c>
      <c r="B848" s="62"/>
      <c r="C848" s="62"/>
      <c r="D848" s="62"/>
      <c r="E848" s="62"/>
      <c r="F848" s="62"/>
      <c r="G848" s="62"/>
      <c r="H848" s="62"/>
      <c r="I848" s="66"/>
      <c r="J848" s="66"/>
      <c r="K848" s="66"/>
      <c r="L848" s="66"/>
      <c r="M848" s="66"/>
      <c r="N848" s="64" t="str">
        <f>IF(OR($B848="", $I848="", $J848="", $K848="", $L848="", $M848=""),"",ROUND(($I848*Lists!$AN$2)+($J848*Lists!$AN$3)+($K848*Lists!$AN$4)+($L848*Lists!$AN$5)+($M848*Lists!$AN$6),2))</f>
        <v/>
      </c>
      <c r="O848" s="64" t="str">
        <f>IF($A848="","",IFERROR(VLOOKUP($A848,'Risk Register'!$B$2:$I$1000,8,FALSE()),""))</f>
        <v/>
      </c>
      <c r="P848" s="66"/>
      <c r="Q848" s="66"/>
      <c r="R848" s="66"/>
      <c r="S848" s="66"/>
      <c r="T848" s="64" t="str">
        <f>IF(OR($B848="", $P848="", $Q848="", $R848="", $S848=""),"",ROUND(($P848*Lists!$AN$7)+($Q848*Lists!$AN$8)+($R848*Lists!$AN$9)+($S848*Lists!$AN$10),2))</f>
        <v/>
      </c>
      <c r="U848" s="66"/>
      <c r="V848" s="66"/>
      <c r="W848" s="66"/>
      <c r="X848" s="66"/>
      <c r="Y848" s="66"/>
      <c r="Z848" s="64" t="str">
        <f>IF(OR($B848="", $U848="", $V848="", $W848="", $X848="", $Y848=""),"",ROUND(($U848*Lists!$AN$11)+($V848*Lists!$AN$12)+($W848*Lists!$AN$13)+($X848*Lists!$AN$14)+($Y848*Lists!$AN$15),2))</f>
        <v/>
      </c>
      <c r="AA848" s="64" t="str">
        <f>IF(OR($B848="", $N848="", $O848="", $T848="", $Z848=""),"",ROUND(($N848*Lists!$AN$16)-($O848*Lists!$AN$17)-($T848*Lists!$AN$18)+($Z848*Lists!$AN$19),2))</f>
        <v/>
      </c>
      <c r="AB848" s="63" t="str">
        <f t="shared" si="49"/>
        <v/>
      </c>
      <c r="AC848" s="63" t="str">
        <f t="shared" si="50"/>
        <v/>
      </c>
      <c r="AD848" s="63" t="str">
        <f>IF($A848="","",IFERROR(IF(VLOOKUP($A848,'Risk Register'!$B$2:$H$1000,4,FALSE())&gt;=4,"Yes",""),""))</f>
        <v/>
      </c>
      <c r="AE848" s="63" t="str">
        <f t="shared" si="51"/>
        <v/>
      </c>
      <c r="AF848" s="62"/>
      <c r="AG848" s="62"/>
      <c r="AH848" s="62"/>
      <c r="AI848" s="62"/>
      <c r="AJ848" s="62"/>
      <c r="AK848" s="62"/>
      <c r="AL848" s="62"/>
      <c r="AM848" s="62"/>
      <c r="AN848" s="62"/>
      <c r="AO848" s="62"/>
      <c r="AP848" s="62"/>
      <c r="AQ848" s="80"/>
    </row>
    <row r="849" spans="1:43" ht="15.75" customHeight="1" x14ac:dyDescent="0.2">
      <c r="A849" s="63" t="str">
        <f t="shared" si="48"/>
        <v/>
      </c>
      <c r="B849" s="62"/>
      <c r="C849" s="62"/>
      <c r="D849" s="62"/>
      <c r="E849" s="62"/>
      <c r="F849" s="62"/>
      <c r="G849" s="62"/>
      <c r="H849" s="62"/>
      <c r="I849" s="66"/>
      <c r="J849" s="66"/>
      <c r="K849" s="66"/>
      <c r="L849" s="66"/>
      <c r="M849" s="66"/>
      <c r="N849" s="64" t="str">
        <f>IF(OR($B849="", $I849="", $J849="", $K849="", $L849="", $M849=""),"",ROUND(($I849*Lists!$AN$2)+($J849*Lists!$AN$3)+($K849*Lists!$AN$4)+($L849*Lists!$AN$5)+($M849*Lists!$AN$6),2))</f>
        <v/>
      </c>
      <c r="O849" s="64" t="str">
        <f>IF($A849="","",IFERROR(VLOOKUP($A849,'Risk Register'!$B$2:$I$1000,8,FALSE()),""))</f>
        <v/>
      </c>
      <c r="P849" s="66"/>
      <c r="Q849" s="66"/>
      <c r="R849" s="66"/>
      <c r="S849" s="66"/>
      <c r="T849" s="64" t="str">
        <f>IF(OR($B849="", $P849="", $Q849="", $R849="", $S849=""),"",ROUND(($P849*Lists!$AN$7)+($Q849*Lists!$AN$8)+($R849*Lists!$AN$9)+($S849*Lists!$AN$10),2))</f>
        <v/>
      </c>
      <c r="U849" s="66"/>
      <c r="V849" s="66"/>
      <c r="W849" s="66"/>
      <c r="X849" s="66"/>
      <c r="Y849" s="66"/>
      <c r="Z849" s="64" t="str">
        <f>IF(OR($B849="", $U849="", $V849="", $W849="", $X849="", $Y849=""),"",ROUND(($U849*Lists!$AN$11)+($V849*Lists!$AN$12)+($W849*Lists!$AN$13)+($X849*Lists!$AN$14)+($Y849*Lists!$AN$15),2))</f>
        <v/>
      </c>
      <c r="AA849" s="64" t="str">
        <f>IF(OR($B849="", $N849="", $O849="", $T849="", $Z849=""),"",ROUND(($N849*Lists!$AN$16)-($O849*Lists!$AN$17)-($T849*Lists!$AN$18)+($Z849*Lists!$AN$19),2))</f>
        <v/>
      </c>
      <c r="AB849" s="63" t="str">
        <f t="shared" si="49"/>
        <v/>
      </c>
      <c r="AC849" s="63" t="str">
        <f t="shared" si="50"/>
        <v/>
      </c>
      <c r="AD849" s="63" t="str">
        <f>IF($A849="","",IFERROR(IF(VLOOKUP($A849,'Risk Register'!$B$2:$H$1000,4,FALSE())&gt;=4,"Yes",""),""))</f>
        <v/>
      </c>
      <c r="AE849" s="63" t="str">
        <f t="shared" si="51"/>
        <v/>
      </c>
      <c r="AF849" s="62"/>
      <c r="AG849" s="62"/>
      <c r="AH849" s="62"/>
      <c r="AI849" s="62"/>
      <c r="AJ849" s="62"/>
      <c r="AK849" s="62"/>
      <c r="AL849" s="62"/>
      <c r="AM849" s="62"/>
      <c r="AN849" s="62"/>
      <c r="AO849" s="62"/>
      <c r="AP849" s="62"/>
      <c r="AQ849" s="80"/>
    </row>
    <row r="850" spans="1:43" ht="15.75" customHeight="1" x14ac:dyDescent="0.2">
      <c r="A850" s="63" t="str">
        <f t="shared" si="48"/>
        <v/>
      </c>
      <c r="B850" s="62"/>
      <c r="C850" s="62"/>
      <c r="D850" s="62"/>
      <c r="E850" s="62"/>
      <c r="F850" s="62"/>
      <c r="G850" s="62"/>
      <c r="H850" s="62"/>
      <c r="I850" s="66"/>
      <c r="J850" s="66"/>
      <c r="K850" s="66"/>
      <c r="L850" s="66"/>
      <c r="M850" s="66"/>
      <c r="N850" s="64" t="str">
        <f>IF(OR($B850="", $I850="", $J850="", $K850="", $L850="", $M850=""),"",ROUND(($I850*Lists!$AN$2)+($J850*Lists!$AN$3)+($K850*Lists!$AN$4)+($L850*Lists!$AN$5)+($M850*Lists!$AN$6),2))</f>
        <v/>
      </c>
      <c r="O850" s="64" t="str">
        <f>IF($A850="","",IFERROR(VLOOKUP($A850,'Risk Register'!$B$2:$I$1000,8,FALSE()),""))</f>
        <v/>
      </c>
      <c r="P850" s="66"/>
      <c r="Q850" s="66"/>
      <c r="R850" s="66"/>
      <c r="S850" s="66"/>
      <c r="T850" s="64" t="str">
        <f>IF(OR($B850="", $P850="", $Q850="", $R850="", $S850=""),"",ROUND(($P850*Lists!$AN$7)+($Q850*Lists!$AN$8)+($R850*Lists!$AN$9)+($S850*Lists!$AN$10),2))</f>
        <v/>
      </c>
      <c r="U850" s="66"/>
      <c r="V850" s="66"/>
      <c r="W850" s="66"/>
      <c r="X850" s="66"/>
      <c r="Y850" s="66"/>
      <c r="Z850" s="64" t="str">
        <f>IF(OR($B850="", $U850="", $V850="", $W850="", $X850="", $Y850=""),"",ROUND(($U850*Lists!$AN$11)+($V850*Lists!$AN$12)+($W850*Lists!$AN$13)+($X850*Lists!$AN$14)+($Y850*Lists!$AN$15),2))</f>
        <v/>
      </c>
      <c r="AA850" s="64" t="str">
        <f>IF(OR($B850="", $N850="", $O850="", $T850="", $Z850=""),"",ROUND(($N850*Lists!$AN$16)-($O850*Lists!$AN$17)-($T850*Lists!$AN$18)+($Z850*Lists!$AN$19),2))</f>
        <v/>
      </c>
      <c r="AB850" s="63" t="str">
        <f t="shared" si="49"/>
        <v/>
      </c>
      <c r="AC850" s="63" t="str">
        <f t="shared" si="50"/>
        <v/>
      </c>
      <c r="AD850" s="63" t="str">
        <f>IF($A850="","",IFERROR(IF(VLOOKUP($A850,'Risk Register'!$B$2:$H$1000,4,FALSE())&gt;=4,"Yes",""),""))</f>
        <v/>
      </c>
      <c r="AE850" s="63" t="str">
        <f t="shared" si="51"/>
        <v/>
      </c>
      <c r="AF850" s="62"/>
      <c r="AG850" s="62"/>
      <c r="AH850" s="62"/>
      <c r="AI850" s="62"/>
      <c r="AJ850" s="62"/>
      <c r="AK850" s="62"/>
      <c r="AL850" s="62"/>
      <c r="AM850" s="62"/>
      <c r="AN850" s="62"/>
      <c r="AO850" s="62"/>
      <c r="AP850" s="62"/>
      <c r="AQ850" s="80"/>
    </row>
    <row r="851" spans="1:43" ht="15.75" customHeight="1" x14ac:dyDescent="0.2">
      <c r="A851" s="63" t="str">
        <f t="shared" si="48"/>
        <v/>
      </c>
      <c r="B851" s="62"/>
      <c r="C851" s="62"/>
      <c r="D851" s="62"/>
      <c r="E851" s="62"/>
      <c r="F851" s="62"/>
      <c r="G851" s="62"/>
      <c r="H851" s="62"/>
      <c r="I851" s="66"/>
      <c r="J851" s="66"/>
      <c r="K851" s="66"/>
      <c r="L851" s="66"/>
      <c r="M851" s="66"/>
      <c r="N851" s="64" t="str">
        <f>IF(OR($B851="", $I851="", $J851="", $K851="", $L851="", $M851=""),"",ROUND(($I851*Lists!$AN$2)+($J851*Lists!$AN$3)+($K851*Lists!$AN$4)+($L851*Lists!$AN$5)+($M851*Lists!$AN$6),2))</f>
        <v/>
      </c>
      <c r="O851" s="64" t="str">
        <f>IF($A851="","",IFERROR(VLOOKUP($A851,'Risk Register'!$B$2:$I$1000,8,FALSE()),""))</f>
        <v/>
      </c>
      <c r="P851" s="66"/>
      <c r="Q851" s="66"/>
      <c r="R851" s="66"/>
      <c r="S851" s="66"/>
      <c r="T851" s="64" t="str">
        <f>IF(OR($B851="", $P851="", $Q851="", $R851="", $S851=""),"",ROUND(($P851*Lists!$AN$7)+($Q851*Lists!$AN$8)+($R851*Lists!$AN$9)+($S851*Lists!$AN$10),2))</f>
        <v/>
      </c>
      <c r="U851" s="66"/>
      <c r="V851" s="66"/>
      <c r="W851" s="66"/>
      <c r="X851" s="66"/>
      <c r="Y851" s="66"/>
      <c r="Z851" s="64" t="str">
        <f>IF(OR($B851="", $U851="", $V851="", $W851="", $X851="", $Y851=""),"",ROUND(($U851*Lists!$AN$11)+($V851*Lists!$AN$12)+($W851*Lists!$AN$13)+($X851*Lists!$AN$14)+($Y851*Lists!$AN$15),2))</f>
        <v/>
      </c>
      <c r="AA851" s="64" t="str">
        <f>IF(OR($B851="", $N851="", $O851="", $T851="", $Z851=""),"",ROUND(($N851*Lists!$AN$16)-($O851*Lists!$AN$17)-($T851*Lists!$AN$18)+($Z851*Lists!$AN$19),2))</f>
        <v/>
      </c>
      <c r="AB851" s="63" t="str">
        <f t="shared" si="49"/>
        <v/>
      </c>
      <c r="AC851" s="63" t="str">
        <f t="shared" si="50"/>
        <v/>
      </c>
      <c r="AD851" s="63" t="str">
        <f>IF($A851="","",IFERROR(IF(VLOOKUP($A851,'Risk Register'!$B$2:$H$1000,4,FALSE())&gt;=4,"Yes",""),""))</f>
        <v/>
      </c>
      <c r="AE851" s="63" t="str">
        <f t="shared" si="51"/>
        <v/>
      </c>
      <c r="AF851" s="62"/>
      <c r="AG851" s="62"/>
      <c r="AH851" s="62"/>
      <c r="AI851" s="62"/>
      <c r="AJ851" s="62"/>
      <c r="AK851" s="62"/>
      <c r="AL851" s="62"/>
      <c r="AM851" s="62"/>
      <c r="AN851" s="62"/>
      <c r="AO851" s="62"/>
      <c r="AP851" s="62"/>
      <c r="AQ851" s="80"/>
    </row>
    <row r="852" spans="1:43" ht="15.75" customHeight="1" x14ac:dyDescent="0.2">
      <c r="A852" s="63" t="str">
        <f t="shared" si="48"/>
        <v/>
      </c>
      <c r="B852" s="62"/>
      <c r="C852" s="62"/>
      <c r="D852" s="62"/>
      <c r="E852" s="62"/>
      <c r="F852" s="62"/>
      <c r="G852" s="62"/>
      <c r="H852" s="62"/>
      <c r="I852" s="66"/>
      <c r="J852" s="66"/>
      <c r="K852" s="66"/>
      <c r="L852" s="66"/>
      <c r="M852" s="66"/>
      <c r="N852" s="64" t="str">
        <f>IF(OR($B852="", $I852="", $J852="", $K852="", $L852="", $M852=""),"",ROUND(($I852*Lists!$AN$2)+($J852*Lists!$AN$3)+($K852*Lists!$AN$4)+($L852*Lists!$AN$5)+($M852*Lists!$AN$6),2))</f>
        <v/>
      </c>
      <c r="O852" s="64" t="str">
        <f>IF($A852="","",IFERROR(VLOOKUP($A852,'Risk Register'!$B$2:$I$1000,8,FALSE()),""))</f>
        <v/>
      </c>
      <c r="P852" s="66"/>
      <c r="Q852" s="66"/>
      <c r="R852" s="66"/>
      <c r="S852" s="66"/>
      <c r="T852" s="64" t="str">
        <f>IF(OR($B852="", $P852="", $Q852="", $R852="", $S852=""),"",ROUND(($P852*Lists!$AN$7)+($Q852*Lists!$AN$8)+($R852*Lists!$AN$9)+($S852*Lists!$AN$10),2))</f>
        <v/>
      </c>
      <c r="U852" s="66"/>
      <c r="V852" s="66"/>
      <c r="W852" s="66"/>
      <c r="X852" s="66"/>
      <c r="Y852" s="66"/>
      <c r="Z852" s="64" t="str">
        <f>IF(OR($B852="", $U852="", $V852="", $W852="", $X852="", $Y852=""),"",ROUND(($U852*Lists!$AN$11)+($V852*Lists!$AN$12)+($W852*Lists!$AN$13)+($X852*Lists!$AN$14)+($Y852*Lists!$AN$15),2))</f>
        <v/>
      </c>
      <c r="AA852" s="64" t="str">
        <f>IF(OR($B852="", $N852="", $O852="", $T852="", $Z852=""),"",ROUND(($N852*Lists!$AN$16)-($O852*Lists!$AN$17)-($T852*Lists!$AN$18)+($Z852*Lists!$AN$19),2))</f>
        <v/>
      </c>
      <c r="AB852" s="63" t="str">
        <f t="shared" si="49"/>
        <v/>
      </c>
      <c r="AC852" s="63" t="str">
        <f t="shared" si="50"/>
        <v/>
      </c>
      <c r="AD852" s="63" t="str">
        <f>IF($A852="","",IFERROR(IF(VLOOKUP($A852,'Risk Register'!$B$2:$H$1000,4,FALSE())&gt;=4,"Yes",""),""))</f>
        <v/>
      </c>
      <c r="AE852" s="63" t="str">
        <f t="shared" si="51"/>
        <v/>
      </c>
      <c r="AF852" s="62"/>
      <c r="AG852" s="62"/>
      <c r="AH852" s="62"/>
      <c r="AI852" s="62"/>
      <c r="AJ852" s="62"/>
      <c r="AK852" s="62"/>
      <c r="AL852" s="62"/>
      <c r="AM852" s="62"/>
      <c r="AN852" s="62"/>
      <c r="AO852" s="62"/>
      <c r="AP852" s="62"/>
      <c r="AQ852" s="80"/>
    </row>
    <row r="853" spans="1:43" ht="15.75" customHeight="1" x14ac:dyDescent="0.2">
      <c r="A853" s="63" t="str">
        <f t="shared" si="48"/>
        <v/>
      </c>
      <c r="B853" s="62"/>
      <c r="C853" s="62"/>
      <c r="D853" s="62"/>
      <c r="E853" s="62"/>
      <c r="F853" s="62"/>
      <c r="G853" s="62"/>
      <c r="H853" s="62"/>
      <c r="I853" s="66"/>
      <c r="J853" s="66"/>
      <c r="K853" s="66"/>
      <c r="L853" s="66"/>
      <c r="M853" s="66"/>
      <c r="N853" s="64" t="str">
        <f>IF(OR($B853="", $I853="", $J853="", $K853="", $L853="", $M853=""),"",ROUND(($I853*Lists!$AN$2)+($J853*Lists!$AN$3)+($K853*Lists!$AN$4)+($L853*Lists!$AN$5)+($M853*Lists!$AN$6),2))</f>
        <v/>
      </c>
      <c r="O853" s="64" t="str">
        <f>IF($A853="","",IFERROR(VLOOKUP($A853,'Risk Register'!$B$2:$I$1000,8,FALSE()),""))</f>
        <v/>
      </c>
      <c r="P853" s="66"/>
      <c r="Q853" s="66"/>
      <c r="R853" s="66"/>
      <c r="S853" s="66"/>
      <c r="T853" s="64" t="str">
        <f>IF(OR($B853="", $P853="", $Q853="", $R853="", $S853=""),"",ROUND(($P853*Lists!$AN$7)+($Q853*Lists!$AN$8)+($R853*Lists!$AN$9)+($S853*Lists!$AN$10),2))</f>
        <v/>
      </c>
      <c r="U853" s="66"/>
      <c r="V853" s="66"/>
      <c r="W853" s="66"/>
      <c r="X853" s="66"/>
      <c r="Y853" s="66"/>
      <c r="Z853" s="64" t="str">
        <f>IF(OR($B853="", $U853="", $V853="", $W853="", $X853="", $Y853=""),"",ROUND(($U853*Lists!$AN$11)+($V853*Lists!$AN$12)+($W853*Lists!$AN$13)+($X853*Lists!$AN$14)+($Y853*Lists!$AN$15),2))</f>
        <v/>
      </c>
      <c r="AA853" s="64" t="str">
        <f>IF(OR($B853="", $N853="", $O853="", $T853="", $Z853=""),"",ROUND(($N853*Lists!$AN$16)-($O853*Lists!$AN$17)-($T853*Lists!$AN$18)+($Z853*Lists!$AN$19),2))</f>
        <v/>
      </c>
      <c r="AB853" s="63" t="str">
        <f t="shared" si="49"/>
        <v/>
      </c>
      <c r="AC853" s="63" t="str">
        <f t="shared" si="50"/>
        <v/>
      </c>
      <c r="AD853" s="63" t="str">
        <f>IF($A853="","",IFERROR(IF(VLOOKUP($A853,'Risk Register'!$B$2:$H$1000,4,FALSE())&gt;=4,"Yes",""),""))</f>
        <v/>
      </c>
      <c r="AE853" s="63" t="str">
        <f t="shared" si="51"/>
        <v/>
      </c>
      <c r="AF853" s="62"/>
      <c r="AG853" s="62"/>
      <c r="AH853" s="62"/>
      <c r="AI853" s="62"/>
      <c r="AJ853" s="62"/>
      <c r="AK853" s="62"/>
      <c r="AL853" s="62"/>
      <c r="AM853" s="62"/>
      <c r="AN853" s="62"/>
      <c r="AO853" s="62"/>
      <c r="AP853" s="62"/>
      <c r="AQ853" s="80"/>
    </row>
    <row r="854" spans="1:43" ht="15.75" customHeight="1" x14ac:dyDescent="0.2">
      <c r="A854" s="63" t="str">
        <f t="shared" si="48"/>
        <v/>
      </c>
      <c r="B854" s="62"/>
      <c r="C854" s="62"/>
      <c r="D854" s="62"/>
      <c r="E854" s="62"/>
      <c r="F854" s="62"/>
      <c r="G854" s="62"/>
      <c r="H854" s="62"/>
      <c r="I854" s="66"/>
      <c r="J854" s="66"/>
      <c r="K854" s="66"/>
      <c r="L854" s="66"/>
      <c r="M854" s="66"/>
      <c r="N854" s="64" t="str">
        <f>IF(OR($B854="", $I854="", $J854="", $K854="", $L854="", $M854=""),"",ROUND(($I854*Lists!$AN$2)+($J854*Lists!$AN$3)+($K854*Lists!$AN$4)+($L854*Lists!$AN$5)+($M854*Lists!$AN$6),2))</f>
        <v/>
      </c>
      <c r="O854" s="64" t="str">
        <f>IF($A854="","",IFERROR(VLOOKUP($A854,'Risk Register'!$B$2:$I$1000,8,FALSE()),""))</f>
        <v/>
      </c>
      <c r="P854" s="66"/>
      <c r="Q854" s="66"/>
      <c r="R854" s="66"/>
      <c r="S854" s="66"/>
      <c r="T854" s="64" t="str">
        <f>IF(OR($B854="", $P854="", $Q854="", $R854="", $S854=""),"",ROUND(($P854*Lists!$AN$7)+($Q854*Lists!$AN$8)+($R854*Lists!$AN$9)+($S854*Lists!$AN$10),2))</f>
        <v/>
      </c>
      <c r="U854" s="66"/>
      <c r="V854" s="66"/>
      <c r="W854" s="66"/>
      <c r="X854" s="66"/>
      <c r="Y854" s="66"/>
      <c r="Z854" s="64" t="str">
        <f>IF(OR($B854="", $U854="", $V854="", $W854="", $X854="", $Y854=""),"",ROUND(($U854*Lists!$AN$11)+($V854*Lists!$AN$12)+($W854*Lists!$AN$13)+($X854*Lists!$AN$14)+($Y854*Lists!$AN$15),2))</f>
        <v/>
      </c>
      <c r="AA854" s="64" t="str">
        <f>IF(OR($B854="", $N854="", $O854="", $T854="", $Z854=""),"",ROUND(($N854*Lists!$AN$16)-($O854*Lists!$AN$17)-($T854*Lists!$AN$18)+($Z854*Lists!$AN$19),2))</f>
        <v/>
      </c>
      <c r="AB854" s="63" t="str">
        <f t="shared" si="49"/>
        <v/>
      </c>
      <c r="AC854" s="63" t="str">
        <f t="shared" si="50"/>
        <v/>
      </c>
      <c r="AD854" s="63" t="str">
        <f>IF($A854="","",IFERROR(IF(VLOOKUP($A854,'Risk Register'!$B$2:$H$1000,4,FALSE())&gt;=4,"Yes",""),""))</f>
        <v/>
      </c>
      <c r="AE854" s="63" t="str">
        <f t="shared" si="51"/>
        <v/>
      </c>
      <c r="AF854" s="62"/>
      <c r="AG854" s="62"/>
      <c r="AH854" s="62"/>
      <c r="AI854" s="62"/>
      <c r="AJ854" s="62"/>
      <c r="AK854" s="62"/>
      <c r="AL854" s="62"/>
      <c r="AM854" s="62"/>
      <c r="AN854" s="62"/>
      <c r="AO854" s="62"/>
      <c r="AP854" s="62"/>
      <c r="AQ854" s="80"/>
    </row>
    <row r="855" spans="1:43" ht="15.75" customHeight="1" x14ac:dyDescent="0.2">
      <c r="A855" s="63" t="str">
        <f t="shared" ref="A855:A918" si="52">IF($B855="","", "APM-" &amp; RIGHT("0000"&amp;ROW()-1,4))</f>
        <v/>
      </c>
      <c r="B855" s="62"/>
      <c r="C855" s="62"/>
      <c r="D855" s="62"/>
      <c r="E855" s="62"/>
      <c r="F855" s="62"/>
      <c r="G855" s="62"/>
      <c r="H855" s="62"/>
      <c r="I855" s="66"/>
      <c r="J855" s="66"/>
      <c r="K855" s="66"/>
      <c r="L855" s="66"/>
      <c r="M855" s="66"/>
      <c r="N855" s="64" t="str">
        <f>IF(OR($B855="", $I855="", $J855="", $K855="", $L855="", $M855=""),"",ROUND(($I855*Lists!$AN$2)+($J855*Lists!$AN$3)+($K855*Lists!$AN$4)+($L855*Lists!$AN$5)+($M855*Lists!$AN$6),2))</f>
        <v/>
      </c>
      <c r="O855" s="64" t="str">
        <f>IF($A855="","",IFERROR(VLOOKUP($A855,'Risk Register'!$B$2:$I$1000,8,FALSE()),""))</f>
        <v/>
      </c>
      <c r="P855" s="66"/>
      <c r="Q855" s="66"/>
      <c r="R855" s="66"/>
      <c r="S855" s="66"/>
      <c r="T855" s="64" t="str">
        <f>IF(OR($B855="", $P855="", $Q855="", $R855="", $S855=""),"",ROUND(($P855*Lists!$AN$7)+($Q855*Lists!$AN$8)+($R855*Lists!$AN$9)+($S855*Lists!$AN$10),2))</f>
        <v/>
      </c>
      <c r="U855" s="66"/>
      <c r="V855" s="66"/>
      <c r="W855" s="66"/>
      <c r="X855" s="66"/>
      <c r="Y855" s="66"/>
      <c r="Z855" s="64" t="str">
        <f>IF(OR($B855="", $U855="", $V855="", $W855="", $X855="", $Y855=""),"",ROUND(($U855*Lists!$AN$11)+($V855*Lists!$AN$12)+($W855*Lists!$AN$13)+($X855*Lists!$AN$14)+($Y855*Lists!$AN$15),2))</f>
        <v/>
      </c>
      <c r="AA855" s="64" t="str">
        <f>IF(OR($B855="", $N855="", $O855="", $T855="", $Z855=""),"",ROUND(($N855*Lists!$AN$16)-($O855*Lists!$AN$17)-($T855*Lists!$AN$18)+($Z855*Lists!$AN$19),2))</f>
        <v/>
      </c>
      <c r="AB855" s="63" t="str">
        <f t="shared" ref="AB855:AB918" si="53">IF($AA855="","",IF($AA855&gt;=3.5,"INVEST",IF($AA855&gt;=2.5,"TOLERATE",IF($AA855&gt;=1.5,"MIGRATE / MODERNIZE","RETIRE"))))</f>
        <v/>
      </c>
      <c r="AC855" s="63" t="str">
        <f t="shared" ref="AC855:AC918" si="54">IF($B855="","",IF($J855&gt;=4,"Yes",""))</f>
        <v/>
      </c>
      <c r="AD855" s="63" t="str">
        <f>IF($A855="","",IFERROR(IF(VLOOKUP($A855,'Risk Register'!$B$2:$H$1000,4,FALSE())&gt;=4,"Yes",""),""))</f>
        <v/>
      </c>
      <c r="AE855" s="63" t="str">
        <f t="shared" ref="AE855:AE918" si="55">IF(OR($N855="", $O855=""),"",IF($N855&gt;=3.5,IF($O855&gt;=3.5,"High Value / High Risk","High Value / Low Risk"),IF($O855&gt;=3.5,"Low Value / High Risk","Low Value / Low Risk")))</f>
        <v/>
      </c>
      <c r="AF855" s="62"/>
      <c r="AG855" s="62"/>
      <c r="AH855" s="62"/>
      <c r="AI855" s="62"/>
      <c r="AJ855" s="62"/>
      <c r="AK855" s="62"/>
      <c r="AL855" s="62"/>
      <c r="AM855" s="62"/>
      <c r="AN855" s="62"/>
      <c r="AO855" s="62"/>
      <c r="AP855" s="62"/>
      <c r="AQ855" s="80"/>
    </row>
    <row r="856" spans="1:43" ht="15.75" customHeight="1" x14ac:dyDescent="0.2">
      <c r="A856" s="63" t="str">
        <f t="shared" si="52"/>
        <v/>
      </c>
      <c r="B856" s="62"/>
      <c r="C856" s="62"/>
      <c r="D856" s="62"/>
      <c r="E856" s="62"/>
      <c r="F856" s="62"/>
      <c r="G856" s="62"/>
      <c r="H856" s="62"/>
      <c r="I856" s="66"/>
      <c r="J856" s="66"/>
      <c r="K856" s="66"/>
      <c r="L856" s="66"/>
      <c r="M856" s="66"/>
      <c r="N856" s="64" t="str">
        <f>IF(OR($B856="", $I856="", $J856="", $K856="", $L856="", $M856=""),"",ROUND(($I856*Lists!$AN$2)+($J856*Lists!$AN$3)+($K856*Lists!$AN$4)+($L856*Lists!$AN$5)+($M856*Lists!$AN$6),2))</f>
        <v/>
      </c>
      <c r="O856" s="64" t="str">
        <f>IF($A856="","",IFERROR(VLOOKUP($A856,'Risk Register'!$B$2:$I$1000,8,FALSE()),""))</f>
        <v/>
      </c>
      <c r="P856" s="66"/>
      <c r="Q856" s="66"/>
      <c r="R856" s="66"/>
      <c r="S856" s="66"/>
      <c r="T856" s="64" t="str">
        <f>IF(OR($B856="", $P856="", $Q856="", $R856="", $S856=""),"",ROUND(($P856*Lists!$AN$7)+($Q856*Lists!$AN$8)+($R856*Lists!$AN$9)+($S856*Lists!$AN$10),2))</f>
        <v/>
      </c>
      <c r="U856" s="66"/>
      <c r="V856" s="66"/>
      <c r="W856" s="66"/>
      <c r="X856" s="66"/>
      <c r="Y856" s="66"/>
      <c r="Z856" s="64" t="str">
        <f>IF(OR($B856="", $U856="", $V856="", $W856="", $X856="", $Y856=""),"",ROUND(($U856*Lists!$AN$11)+($V856*Lists!$AN$12)+($W856*Lists!$AN$13)+($X856*Lists!$AN$14)+($Y856*Lists!$AN$15),2))</f>
        <v/>
      </c>
      <c r="AA856" s="64" t="str">
        <f>IF(OR($B856="", $N856="", $O856="", $T856="", $Z856=""),"",ROUND(($N856*Lists!$AN$16)-($O856*Lists!$AN$17)-($T856*Lists!$AN$18)+($Z856*Lists!$AN$19),2))</f>
        <v/>
      </c>
      <c r="AB856" s="63" t="str">
        <f t="shared" si="53"/>
        <v/>
      </c>
      <c r="AC856" s="63" t="str">
        <f t="shared" si="54"/>
        <v/>
      </c>
      <c r="AD856" s="63" t="str">
        <f>IF($A856="","",IFERROR(IF(VLOOKUP($A856,'Risk Register'!$B$2:$H$1000,4,FALSE())&gt;=4,"Yes",""),""))</f>
        <v/>
      </c>
      <c r="AE856" s="63" t="str">
        <f t="shared" si="55"/>
        <v/>
      </c>
      <c r="AF856" s="62"/>
      <c r="AG856" s="62"/>
      <c r="AH856" s="62"/>
      <c r="AI856" s="62"/>
      <c r="AJ856" s="62"/>
      <c r="AK856" s="62"/>
      <c r="AL856" s="62"/>
      <c r="AM856" s="62"/>
      <c r="AN856" s="62"/>
      <c r="AO856" s="62"/>
      <c r="AP856" s="62"/>
      <c r="AQ856" s="80"/>
    </row>
    <row r="857" spans="1:43" ht="15.75" customHeight="1" x14ac:dyDescent="0.2">
      <c r="A857" s="63" t="str">
        <f t="shared" si="52"/>
        <v/>
      </c>
      <c r="B857" s="62"/>
      <c r="C857" s="62"/>
      <c r="D857" s="62"/>
      <c r="E857" s="62"/>
      <c r="F857" s="62"/>
      <c r="G857" s="62"/>
      <c r="H857" s="62"/>
      <c r="I857" s="66"/>
      <c r="J857" s="66"/>
      <c r="K857" s="66"/>
      <c r="L857" s="66"/>
      <c r="M857" s="66"/>
      <c r="N857" s="64" t="str">
        <f>IF(OR($B857="", $I857="", $J857="", $K857="", $L857="", $M857=""),"",ROUND(($I857*Lists!$AN$2)+($J857*Lists!$AN$3)+($K857*Lists!$AN$4)+($L857*Lists!$AN$5)+($M857*Lists!$AN$6),2))</f>
        <v/>
      </c>
      <c r="O857" s="64" t="str">
        <f>IF($A857="","",IFERROR(VLOOKUP($A857,'Risk Register'!$B$2:$I$1000,8,FALSE()),""))</f>
        <v/>
      </c>
      <c r="P857" s="66"/>
      <c r="Q857" s="66"/>
      <c r="R857" s="66"/>
      <c r="S857" s="66"/>
      <c r="T857" s="64" t="str">
        <f>IF(OR($B857="", $P857="", $Q857="", $R857="", $S857=""),"",ROUND(($P857*Lists!$AN$7)+($Q857*Lists!$AN$8)+($R857*Lists!$AN$9)+($S857*Lists!$AN$10),2))</f>
        <v/>
      </c>
      <c r="U857" s="66"/>
      <c r="V857" s="66"/>
      <c r="W857" s="66"/>
      <c r="X857" s="66"/>
      <c r="Y857" s="66"/>
      <c r="Z857" s="64" t="str">
        <f>IF(OR($B857="", $U857="", $V857="", $W857="", $X857="", $Y857=""),"",ROUND(($U857*Lists!$AN$11)+($V857*Lists!$AN$12)+($W857*Lists!$AN$13)+($X857*Lists!$AN$14)+($Y857*Lists!$AN$15),2))</f>
        <v/>
      </c>
      <c r="AA857" s="64" t="str">
        <f>IF(OR($B857="", $N857="", $O857="", $T857="", $Z857=""),"",ROUND(($N857*Lists!$AN$16)-($O857*Lists!$AN$17)-($T857*Lists!$AN$18)+($Z857*Lists!$AN$19),2))</f>
        <v/>
      </c>
      <c r="AB857" s="63" t="str">
        <f t="shared" si="53"/>
        <v/>
      </c>
      <c r="AC857" s="63" t="str">
        <f t="shared" si="54"/>
        <v/>
      </c>
      <c r="AD857" s="63" t="str">
        <f>IF($A857="","",IFERROR(IF(VLOOKUP($A857,'Risk Register'!$B$2:$H$1000,4,FALSE())&gt;=4,"Yes",""),""))</f>
        <v/>
      </c>
      <c r="AE857" s="63" t="str">
        <f t="shared" si="55"/>
        <v/>
      </c>
      <c r="AF857" s="62"/>
      <c r="AG857" s="62"/>
      <c r="AH857" s="62"/>
      <c r="AI857" s="62"/>
      <c r="AJ857" s="62"/>
      <c r="AK857" s="62"/>
      <c r="AL857" s="62"/>
      <c r="AM857" s="62"/>
      <c r="AN857" s="62"/>
      <c r="AO857" s="62"/>
      <c r="AP857" s="62"/>
      <c r="AQ857" s="80"/>
    </row>
    <row r="858" spans="1:43" ht="15.75" customHeight="1" x14ac:dyDescent="0.2">
      <c r="A858" s="63" t="str">
        <f t="shared" si="52"/>
        <v/>
      </c>
      <c r="B858" s="62"/>
      <c r="C858" s="62"/>
      <c r="D858" s="62"/>
      <c r="E858" s="62"/>
      <c r="F858" s="62"/>
      <c r="G858" s="62"/>
      <c r="H858" s="62"/>
      <c r="I858" s="66"/>
      <c r="J858" s="66"/>
      <c r="K858" s="66"/>
      <c r="L858" s="66"/>
      <c r="M858" s="66"/>
      <c r="N858" s="64" t="str">
        <f>IF(OR($B858="", $I858="", $J858="", $K858="", $L858="", $M858=""),"",ROUND(($I858*Lists!$AN$2)+($J858*Lists!$AN$3)+($K858*Lists!$AN$4)+($L858*Lists!$AN$5)+($M858*Lists!$AN$6),2))</f>
        <v/>
      </c>
      <c r="O858" s="64" t="str">
        <f>IF($A858="","",IFERROR(VLOOKUP($A858,'Risk Register'!$B$2:$I$1000,8,FALSE()),""))</f>
        <v/>
      </c>
      <c r="P858" s="66"/>
      <c r="Q858" s="66"/>
      <c r="R858" s="66"/>
      <c r="S858" s="66"/>
      <c r="T858" s="64" t="str">
        <f>IF(OR($B858="", $P858="", $Q858="", $R858="", $S858=""),"",ROUND(($P858*Lists!$AN$7)+($Q858*Lists!$AN$8)+($R858*Lists!$AN$9)+($S858*Lists!$AN$10),2))</f>
        <v/>
      </c>
      <c r="U858" s="66"/>
      <c r="V858" s="66"/>
      <c r="W858" s="66"/>
      <c r="X858" s="66"/>
      <c r="Y858" s="66"/>
      <c r="Z858" s="64" t="str">
        <f>IF(OR($B858="", $U858="", $V858="", $W858="", $X858="", $Y858=""),"",ROUND(($U858*Lists!$AN$11)+($V858*Lists!$AN$12)+($W858*Lists!$AN$13)+($X858*Lists!$AN$14)+($Y858*Lists!$AN$15),2))</f>
        <v/>
      </c>
      <c r="AA858" s="64" t="str">
        <f>IF(OR($B858="", $N858="", $O858="", $T858="", $Z858=""),"",ROUND(($N858*Lists!$AN$16)-($O858*Lists!$AN$17)-($T858*Lists!$AN$18)+($Z858*Lists!$AN$19),2))</f>
        <v/>
      </c>
      <c r="AB858" s="63" t="str">
        <f t="shared" si="53"/>
        <v/>
      </c>
      <c r="AC858" s="63" t="str">
        <f t="shared" si="54"/>
        <v/>
      </c>
      <c r="AD858" s="63" t="str">
        <f>IF($A858="","",IFERROR(IF(VLOOKUP($A858,'Risk Register'!$B$2:$H$1000,4,FALSE())&gt;=4,"Yes",""),""))</f>
        <v/>
      </c>
      <c r="AE858" s="63" t="str">
        <f t="shared" si="55"/>
        <v/>
      </c>
      <c r="AF858" s="62"/>
      <c r="AG858" s="62"/>
      <c r="AH858" s="62"/>
      <c r="AI858" s="62"/>
      <c r="AJ858" s="62"/>
      <c r="AK858" s="62"/>
      <c r="AL858" s="62"/>
      <c r="AM858" s="62"/>
      <c r="AN858" s="62"/>
      <c r="AO858" s="62"/>
      <c r="AP858" s="62"/>
      <c r="AQ858" s="80"/>
    </row>
    <row r="859" spans="1:43" ht="15.75" customHeight="1" x14ac:dyDescent="0.2">
      <c r="A859" s="63" t="str">
        <f t="shared" si="52"/>
        <v/>
      </c>
      <c r="B859" s="62"/>
      <c r="C859" s="62"/>
      <c r="D859" s="62"/>
      <c r="E859" s="62"/>
      <c r="F859" s="62"/>
      <c r="G859" s="62"/>
      <c r="H859" s="62"/>
      <c r="I859" s="66"/>
      <c r="J859" s="66"/>
      <c r="K859" s="66"/>
      <c r="L859" s="66"/>
      <c r="M859" s="66"/>
      <c r="N859" s="64" t="str">
        <f>IF(OR($B859="", $I859="", $J859="", $K859="", $L859="", $M859=""),"",ROUND(($I859*Lists!$AN$2)+($J859*Lists!$AN$3)+($K859*Lists!$AN$4)+($L859*Lists!$AN$5)+($M859*Lists!$AN$6),2))</f>
        <v/>
      </c>
      <c r="O859" s="64" t="str">
        <f>IF($A859="","",IFERROR(VLOOKUP($A859,'Risk Register'!$B$2:$I$1000,8,FALSE()),""))</f>
        <v/>
      </c>
      <c r="P859" s="66"/>
      <c r="Q859" s="66"/>
      <c r="R859" s="66"/>
      <c r="S859" s="66"/>
      <c r="T859" s="64" t="str">
        <f>IF(OR($B859="", $P859="", $Q859="", $R859="", $S859=""),"",ROUND(($P859*Lists!$AN$7)+($Q859*Lists!$AN$8)+($R859*Lists!$AN$9)+($S859*Lists!$AN$10),2))</f>
        <v/>
      </c>
      <c r="U859" s="66"/>
      <c r="V859" s="66"/>
      <c r="W859" s="66"/>
      <c r="X859" s="66"/>
      <c r="Y859" s="66"/>
      <c r="Z859" s="64" t="str">
        <f>IF(OR($B859="", $U859="", $V859="", $W859="", $X859="", $Y859=""),"",ROUND(($U859*Lists!$AN$11)+($V859*Lists!$AN$12)+($W859*Lists!$AN$13)+($X859*Lists!$AN$14)+($Y859*Lists!$AN$15),2))</f>
        <v/>
      </c>
      <c r="AA859" s="64" t="str">
        <f>IF(OR($B859="", $N859="", $O859="", $T859="", $Z859=""),"",ROUND(($N859*Lists!$AN$16)-($O859*Lists!$AN$17)-($T859*Lists!$AN$18)+($Z859*Lists!$AN$19),2))</f>
        <v/>
      </c>
      <c r="AB859" s="63" t="str">
        <f t="shared" si="53"/>
        <v/>
      </c>
      <c r="AC859" s="63" t="str">
        <f t="shared" si="54"/>
        <v/>
      </c>
      <c r="AD859" s="63" t="str">
        <f>IF($A859="","",IFERROR(IF(VLOOKUP($A859,'Risk Register'!$B$2:$H$1000,4,FALSE())&gt;=4,"Yes",""),""))</f>
        <v/>
      </c>
      <c r="AE859" s="63" t="str">
        <f t="shared" si="55"/>
        <v/>
      </c>
      <c r="AF859" s="62"/>
      <c r="AG859" s="62"/>
      <c r="AH859" s="62"/>
      <c r="AI859" s="62"/>
      <c r="AJ859" s="62"/>
      <c r="AK859" s="62"/>
      <c r="AL859" s="62"/>
      <c r="AM859" s="62"/>
      <c r="AN859" s="62"/>
      <c r="AO859" s="62"/>
      <c r="AP859" s="62"/>
      <c r="AQ859" s="80"/>
    </row>
    <row r="860" spans="1:43" ht="15.75" customHeight="1" x14ac:dyDescent="0.2">
      <c r="A860" s="63" t="str">
        <f t="shared" si="52"/>
        <v/>
      </c>
      <c r="B860" s="62"/>
      <c r="C860" s="62"/>
      <c r="D860" s="62"/>
      <c r="E860" s="62"/>
      <c r="F860" s="62"/>
      <c r="G860" s="62"/>
      <c r="H860" s="62"/>
      <c r="I860" s="66"/>
      <c r="J860" s="66"/>
      <c r="K860" s="66"/>
      <c r="L860" s="66"/>
      <c r="M860" s="66"/>
      <c r="N860" s="64" t="str">
        <f>IF(OR($B860="", $I860="", $J860="", $K860="", $L860="", $M860=""),"",ROUND(($I860*Lists!$AN$2)+($J860*Lists!$AN$3)+($K860*Lists!$AN$4)+($L860*Lists!$AN$5)+($M860*Lists!$AN$6),2))</f>
        <v/>
      </c>
      <c r="O860" s="64" t="str">
        <f>IF($A860="","",IFERROR(VLOOKUP($A860,'Risk Register'!$B$2:$I$1000,8,FALSE()),""))</f>
        <v/>
      </c>
      <c r="P860" s="66"/>
      <c r="Q860" s="66"/>
      <c r="R860" s="66"/>
      <c r="S860" s="66"/>
      <c r="T860" s="64" t="str">
        <f>IF(OR($B860="", $P860="", $Q860="", $R860="", $S860=""),"",ROUND(($P860*Lists!$AN$7)+($Q860*Lists!$AN$8)+($R860*Lists!$AN$9)+($S860*Lists!$AN$10),2))</f>
        <v/>
      </c>
      <c r="U860" s="66"/>
      <c r="V860" s="66"/>
      <c r="W860" s="66"/>
      <c r="X860" s="66"/>
      <c r="Y860" s="66"/>
      <c r="Z860" s="64" t="str">
        <f>IF(OR($B860="", $U860="", $V860="", $W860="", $X860="", $Y860=""),"",ROUND(($U860*Lists!$AN$11)+($V860*Lists!$AN$12)+($W860*Lists!$AN$13)+($X860*Lists!$AN$14)+($Y860*Lists!$AN$15),2))</f>
        <v/>
      </c>
      <c r="AA860" s="64" t="str">
        <f>IF(OR($B860="", $N860="", $O860="", $T860="", $Z860=""),"",ROUND(($N860*Lists!$AN$16)-($O860*Lists!$AN$17)-($T860*Lists!$AN$18)+($Z860*Lists!$AN$19),2))</f>
        <v/>
      </c>
      <c r="AB860" s="63" t="str">
        <f t="shared" si="53"/>
        <v/>
      </c>
      <c r="AC860" s="63" t="str">
        <f t="shared" si="54"/>
        <v/>
      </c>
      <c r="AD860" s="63" t="str">
        <f>IF($A860="","",IFERROR(IF(VLOOKUP($A860,'Risk Register'!$B$2:$H$1000,4,FALSE())&gt;=4,"Yes",""),""))</f>
        <v/>
      </c>
      <c r="AE860" s="63" t="str">
        <f t="shared" si="55"/>
        <v/>
      </c>
      <c r="AF860" s="62"/>
      <c r="AG860" s="62"/>
      <c r="AH860" s="62"/>
      <c r="AI860" s="62"/>
      <c r="AJ860" s="62"/>
      <c r="AK860" s="62"/>
      <c r="AL860" s="62"/>
      <c r="AM860" s="62"/>
      <c r="AN860" s="62"/>
      <c r="AO860" s="62"/>
      <c r="AP860" s="62"/>
      <c r="AQ860" s="80"/>
    </row>
    <row r="861" spans="1:43" ht="15.75" customHeight="1" x14ac:dyDescent="0.2">
      <c r="A861" s="63" t="str">
        <f t="shared" si="52"/>
        <v/>
      </c>
      <c r="B861" s="62"/>
      <c r="C861" s="62"/>
      <c r="D861" s="62"/>
      <c r="E861" s="62"/>
      <c r="F861" s="62"/>
      <c r="G861" s="62"/>
      <c r="H861" s="62"/>
      <c r="I861" s="66"/>
      <c r="J861" s="66"/>
      <c r="K861" s="66"/>
      <c r="L861" s="66"/>
      <c r="M861" s="66"/>
      <c r="N861" s="64" t="str">
        <f>IF(OR($B861="", $I861="", $J861="", $K861="", $L861="", $M861=""),"",ROUND(($I861*Lists!$AN$2)+($J861*Lists!$AN$3)+($K861*Lists!$AN$4)+($L861*Lists!$AN$5)+($M861*Lists!$AN$6),2))</f>
        <v/>
      </c>
      <c r="O861" s="64" t="str">
        <f>IF($A861="","",IFERROR(VLOOKUP($A861,'Risk Register'!$B$2:$I$1000,8,FALSE()),""))</f>
        <v/>
      </c>
      <c r="P861" s="66"/>
      <c r="Q861" s="66"/>
      <c r="R861" s="66"/>
      <c r="S861" s="66"/>
      <c r="T861" s="64" t="str">
        <f>IF(OR($B861="", $P861="", $Q861="", $R861="", $S861=""),"",ROUND(($P861*Lists!$AN$7)+($Q861*Lists!$AN$8)+($R861*Lists!$AN$9)+($S861*Lists!$AN$10),2))</f>
        <v/>
      </c>
      <c r="U861" s="66"/>
      <c r="V861" s="66"/>
      <c r="W861" s="66"/>
      <c r="X861" s="66"/>
      <c r="Y861" s="66"/>
      <c r="Z861" s="64" t="str">
        <f>IF(OR($B861="", $U861="", $V861="", $W861="", $X861="", $Y861=""),"",ROUND(($U861*Lists!$AN$11)+($V861*Lists!$AN$12)+($W861*Lists!$AN$13)+($X861*Lists!$AN$14)+($Y861*Lists!$AN$15),2))</f>
        <v/>
      </c>
      <c r="AA861" s="64" t="str">
        <f>IF(OR($B861="", $N861="", $O861="", $T861="", $Z861=""),"",ROUND(($N861*Lists!$AN$16)-($O861*Lists!$AN$17)-($T861*Lists!$AN$18)+($Z861*Lists!$AN$19),2))</f>
        <v/>
      </c>
      <c r="AB861" s="63" t="str">
        <f t="shared" si="53"/>
        <v/>
      </c>
      <c r="AC861" s="63" t="str">
        <f t="shared" si="54"/>
        <v/>
      </c>
      <c r="AD861" s="63" t="str">
        <f>IF($A861="","",IFERROR(IF(VLOOKUP($A861,'Risk Register'!$B$2:$H$1000,4,FALSE())&gt;=4,"Yes",""),""))</f>
        <v/>
      </c>
      <c r="AE861" s="63" t="str">
        <f t="shared" si="55"/>
        <v/>
      </c>
      <c r="AF861" s="62"/>
      <c r="AG861" s="62"/>
      <c r="AH861" s="62"/>
      <c r="AI861" s="62"/>
      <c r="AJ861" s="62"/>
      <c r="AK861" s="62"/>
      <c r="AL861" s="62"/>
      <c r="AM861" s="62"/>
      <c r="AN861" s="62"/>
      <c r="AO861" s="62"/>
      <c r="AP861" s="62"/>
      <c r="AQ861" s="80"/>
    </row>
    <row r="862" spans="1:43" ht="15.75" customHeight="1" x14ac:dyDescent="0.2">
      <c r="A862" s="63" t="str">
        <f t="shared" si="52"/>
        <v/>
      </c>
      <c r="B862" s="62"/>
      <c r="C862" s="62"/>
      <c r="D862" s="62"/>
      <c r="E862" s="62"/>
      <c r="F862" s="62"/>
      <c r="G862" s="62"/>
      <c r="H862" s="62"/>
      <c r="I862" s="66"/>
      <c r="J862" s="66"/>
      <c r="K862" s="66"/>
      <c r="L862" s="66"/>
      <c r="M862" s="66"/>
      <c r="N862" s="64" t="str">
        <f>IF(OR($B862="", $I862="", $J862="", $K862="", $L862="", $M862=""),"",ROUND(($I862*Lists!$AN$2)+($J862*Lists!$AN$3)+($K862*Lists!$AN$4)+($L862*Lists!$AN$5)+($M862*Lists!$AN$6),2))</f>
        <v/>
      </c>
      <c r="O862" s="64" t="str">
        <f>IF($A862="","",IFERROR(VLOOKUP($A862,'Risk Register'!$B$2:$I$1000,8,FALSE()),""))</f>
        <v/>
      </c>
      <c r="P862" s="66"/>
      <c r="Q862" s="66"/>
      <c r="R862" s="66"/>
      <c r="S862" s="66"/>
      <c r="T862" s="64" t="str">
        <f>IF(OR($B862="", $P862="", $Q862="", $R862="", $S862=""),"",ROUND(($P862*Lists!$AN$7)+($Q862*Lists!$AN$8)+($R862*Lists!$AN$9)+($S862*Lists!$AN$10),2))</f>
        <v/>
      </c>
      <c r="U862" s="66"/>
      <c r="V862" s="66"/>
      <c r="W862" s="66"/>
      <c r="X862" s="66"/>
      <c r="Y862" s="66"/>
      <c r="Z862" s="64" t="str">
        <f>IF(OR($B862="", $U862="", $V862="", $W862="", $X862="", $Y862=""),"",ROUND(($U862*Lists!$AN$11)+($V862*Lists!$AN$12)+($W862*Lists!$AN$13)+($X862*Lists!$AN$14)+($Y862*Lists!$AN$15),2))</f>
        <v/>
      </c>
      <c r="AA862" s="64" t="str">
        <f>IF(OR($B862="", $N862="", $O862="", $T862="", $Z862=""),"",ROUND(($N862*Lists!$AN$16)-($O862*Lists!$AN$17)-($T862*Lists!$AN$18)+($Z862*Lists!$AN$19),2))</f>
        <v/>
      </c>
      <c r="AB862" s="63" t="str">
        <f t="shared" si="53"/>
        <v/>
      </c>
      <c r="AC862" s="63" t="str">
        <f t="shared" si="54"/>
        <v/>
      </c>
      <c r="AD862" s="63" t="str">
        <f>IF($A862="","",IFERROR(IF(VLOOKUP($A862,'Risk Register'!$B$2:$H$1000,4,FALSE())&gt;=4,"Yes",""),""))</f>
        <v/>
      </c>
      <c r="AE862" s="63" t="str">
        <f t="shared" si="55"/>
        <v/>
      </c>
      <c r="AF862" s="62"/>
      <c r="AG862" s="62"/>
      <c r="AH862" s="62"/>
      <c r="AI862" s="62"/>
      <c r="AJ862" s="62"/>
      <c r="AK862" s="62"/>
      <c r="AL862" s="62"/>
      <c r="AM862" s="62"/>
      <c r="AN862" s="62"/>
      <c r="AO862" s="62"/>
      <c r="AP862" s="62"/>
      <c r="AQ862" s="80"/>
    </row>
    <row r="863" spans="1:43" ht="15.75" customHeight="1" x14ac:dyDescent="0.2">
      <c r="A863" s="63" t="str">
        <f t="shared" si="52"/>
        <v/>
      </c>
      <c r="B863" s="62"/>
      <c r="C863" s="62"/>
      <c r="D863" s="62"/>
      <c r="E863" s="62"/>
      <c r="F863" s="62"/>
      <c r="G863" s="62"/>
      <c r="H863" s="62"/>
      <c r="I863" s="66"/>
      <c r="J863" s="66"/>
      <c r="K863" s="66"/>
      <c r="L863" s="66"/>
      <c r="M863" s="66"/>
      <c r="N863" s="64" t="str">
        <f>IF(OR($B863="", $I863="", $J863="", $K863="", $L863="", $M863=""),"",ROUND(($I863*Lists!$AN$2)+($J863*Lists!$AN$3)+($K863*Lists!$AN$4)+($L863*Lists!$AN$5)+($M863*Lists!$AN$6),2))</f>
        <v/>
      </c>
      <c r="O863" s="64" t="str">
        <f>IF($A863="","",IFERROR(VLOOKUP($A863,'Risk Register'!$B$2:$I$1000,8,FALSE()),""))</f>
        <v/>
      </c>
      <c r="P863" s="66"/>
      <c r="Q863" s="66"/>
      <c r="R863" s="66"/>
      <c r="S863" s="66"/>
      <c r="T863" s="64" t="str">
        <f>IF(OR($B863="", $P863="", $Q863="", $R863="", $S863=""),"",ROUND(($P863*Lists!$AN$7)+($Q863*Lists!$AN$8)+($R863*Lists!$AN$9)+($S863*Lists!$AN$10),2))</f>
        <v/>
      </c>
      <c r="U863" s="66"/>
      <c r="V863" s="66"/>
      <c r="W863" s="66"/>
      <c r="X863" s="66"/>
      <c r="Y863" s="66"/>
      <c r="Z863" s="64" t="str">
        <f>IF(OR($B863="", $U863="", $V863="", $W863="", $X863="", $Y863=""),"",ROUND(($U863*Lists!$AN$11)+($V863*Lists!$AN$12)+($W863*Lists!$AN$13)+($X863*Lists!$AN$14)+($Y863*Lists!$AN$15),2))</f>
        <v/>
      </c>
      <c r="AA863" s="64" t="str">
        <f>IF(OR($B863="", $N863="", $O863="", $T863="", $Z863=""),"",ROUND(($N863*Lists!$AN$16)-($O863*Lists!$AN$17)-($T863*Lists!$AN$18)+($Z863*Lists!$AN$19),2))</f>
        <v/>
      </c>
      <c r="AB863" s="63" t="str">
        <f t="shared" si="53"/>
        <v/>
      </c>
      <c r="AC863" s="63" t="str">
        <f t="shared" si="54"/>
        <v/>
      </c>
      <c r="AD863" s="63" t="str">
        <f>IF($A863="","",IFERROR(IF(VLOOKUP($A863,'Risk Register'!$B$2:$H$1000,4,FALSE())&gt;=4,"Yes",""),""))</f>
        <v/>
      </c>
      <c r="AE863" s="63" t="str">
        <f t="shared" si="55"/>
        <v/>
      </c>
      <c r="AF863" s="62"/>
      <c r="AG863" s="62"/>
      <c r="AH863" s="62"/>
      <c r="AI863" s="62"/>
      <c r="AJ863" s="62"/>
      <c r="AK863" s="62"/>
      <c r="AL863" s="62"/>
      <c r="AM863" s="62"/>
      <c r="AN863" s="62"/>
      <c r="AO863" s="62"/>
      <c r="AP863" s="62"/>
      <c r="AQ863" s="80"/>
    </row>
    <row r="864" spans="1:43" ht="15.75" customHeight="1" x14ac:dyDescent="0.2">
      <c r="A864" s="63" t="str">
        <f t="shared" si="52"/>
        <v/>
      </c>
      <c r="B864" s="62"/>
      <c r="C864" s="62"/>
      <c r="D864" s="62"/>
      <c r="E864" s="62"/>
      <c r="F864" s="62"/>
      <c r="G864" s="62"/>
      <c r="H864" s="62"/>
      <c r="I864" s="66"/>
      <c r="J864" s="66"/>
      <c r="K864" s="66"/>
      <c r="L864" s="66"/>
      <c r="M864" s="66"/>
      <c r="N864" s="64" t="str">
        <f>IF(OR($B864="", $I864="", $J864="", $K864="", $L864="", $M864=""),"",ROUND(($I864*Lists!$AN$2)+($J864*Lists!$AN$3)+($K864*Lists!$AN$4)+($L864*Lists!$AN$5)+($M864*Lists!$AN$6),2))</f>
        <v/>
      </c>
      <c r="O864" s="64" t="str">
        <f>IF($A864="","",IFERROR(VLOOKUP($A864,'Risk Register'!$B$2:$I$1000,8,FALSE()),""))</f>
        <v/>
      </c>
      <c r="P864" s="66"/>
      <c r="Q864" s="66"/>
      <c r="R864" s="66"/>
      <c r="S864" s="66"/>
      <c r="T864" s="64" t="str">
        <f>IF(OR($B864="", $P864="", $Q864="", $R864="", $S864=""),"",ROUND(($P864*Lists!$AN$7)+($Q864*Lists!$AN$8)+($R864*Lists!$AN$9)+($S864*Lists!$AN$10),2))</f>
        <v/>
      </c>
      <c r="U864" s="66"/>
      <c r="V864" s="66"/>
      <c r="W864" s="66"/>
      <c r="X864" s="66"/>
      <c r="Y864" s="66"/>
      <c r="Z864" s="64" t="str">
        <f>IF(OR($B864="", $U864="", $V864="", $W864="", $X864="", $Y864=""),"",ROUND(($U864*Lists!$AN$11)+($V864*Lists!$AN$12)+($W864*Lists!$AN$13)+($X864*Lists!$AN$14)+($Y864*Lists!$AN$15),2))</f>
        <v/>
      </c>
      <c r="AA864" s="64" t="str">
        <f>IF(OR($B864="", $N864="", $O864="", $T864="", $Z864=""),"",ROUND(($N864*Lists!$AN$16)-($O864*Lists!$AN$17)-($T864*Lists!$AN$18)+($Z864*Lists!$AN$19),2))</f>
        <v/>
      </c>
      <c r="AB864" s="63" t="str">
        <f t="shared" si="53"/>
        <v/>
      </c>
      <c r="AC864" s="63" t="str">
        <f t="shared" si="54"/>
        <v/>
      </c>
      <c r="AD864" s="63" t="str">
        <f>IF($A864="","",IFERROR(IF(VLOOKUP($A864,'Risk Register'!$B$2:$H$1000,4,FALSE())&gt;=4,"Yes",""),""))</f>
        <v/>
      </c>
      <c r="AE864" s="63" t="str">
        <f t="shared" si="55"/>
        <v/>
      </c>
      <c r="AF864" s="62"/>
      <c r="AG864" s="62"/>
      <c r="AH864" s="62"/>
      <c r="AI864" s="62"/>
      <c r="AJ864" s="62"/>
      <c r="AK864" s="62"/>
      <c r="AL864" s="62"/>
      <c r="AM864" s="62"/>
      <c r="AN864" s="62"/>
      <c r="AO864" s="62"/>
      <c r="AP864" s="62"/>
      <c r="AQ864" s="80"/>
    </row>
    <row r="865" spans="1:43" ht="15.75" customHeight="1" x14ac:dyDescent="0.2">
      <c r="A865" s="63" t="str">
        <f t="shared" si="52"/>
        <v/>
      </c>
      <c r="B865" s="62"/>
      <c r="C865" s="62"/>
      <c r="D865" s="62"/>
      <c r="E865" s="62"/>
      <c r="F865" s="62"/>
      <c r="G865" s="62"/>
      <c r="H865" s="62"/>
      <c r="I865" s="66"/>
      <c r="J865" s="66"/>
      <c r="K865" s="66"/>
      <c r="L865" s="66"/>
      <c r="M865" s="66"/>
      <c r="N865" s="64" t="str">
        <f>IF(OR($B865="", $I865="", $J865="", $K865="", $L865="", $M865=""),"",ROUND(($I865*Lists!$AN$2)+($J865*Lists!$AN$3)+($K865*Lists!$AN$4)+($L865*Lists!$AN$5)+($M865*Lists!$AN$6),2))</f>
        <v/>
      </c>
      <c r="O865" s="64" t="str">
        <f>IF($A865="","",IFERROR(VLOOKUP($A865,'Risk Register'!$B$2:$I$1000,8,FALSE()),""))</f>
        <v/>
      </c>
      <c r="P865" s="66"/>
      <c r="Q865" s="66"/>
      <c r="R865" s="66"/>
      <c r="S865" s="66"/>
      <c r="T865" s="64" t="str">
        <f>IF(OR($B865="", $P865="", $Q865="", $R865="", $S865=""),"",ROUND(($P865*Lists!$AN$7)+($Q865*Lists!$AN$8)+($R865*Lists!$AN$9)+($S865*Lists!$AN$10),2))</f>
        <v/>
      </c>
      <c r="U865" s="66"/>
      <c r="V865" s="66"/>
      <c r="W865" s="66"/>
      <c r="X865" s="66"/>
      <c r="Y865" s="66"/>
      <c r="Z865" s="64" t="str">
        <f>IF(OR($B865="", $U865="", $V865="", $W865="", $X865="", $Y865=""),"",ROUND(($U865*Lists!$AN$11)+($V865*Lists!$AN$12)+($W865*Lists!$AN$13)+($X865*Lists!$AN$14)+($Y865*Lists!$AN$15),2))</f>
        <v/>
      </c>
      <c r="AA865" s="64" t="str">
        <f>IF(OR($B865="", $N865="", $O865="", $T865="", $Z865=""),"",ROUND(($N865*Lists!$AN$16)-($O865*Lists!$AN$17)-($T865*Lists!$AN$18)+($Z865*Lists!$AN$19),2))</f>
        <v/>
      </c>
      <c r="AB865" s="63" t="str">
        <f t="shared" si="53"/>
        <v/>
      </c>
      <c r="AC865" s="63" t="str">
        <f t="shared" si="54"/>
        <v/>
      </c>
      <c r="AD865" s="63" t="str">
        <f>IF($A865="","",IFERROR(IF(VLOOKUP($A865,'Risk Register'!$B$2:$H$1000,4,FALSE())&gt;=4,"Yes",""),""))</f>
        <v/>
      </c>
      <c r="AE865" s="63" t="str">
        <f t="shared" si="55"/>
        <v/>
      </c>
      <c r="AF865" s="62"/>
      <c r="AG865" s="62"/>
      <c r="AH865" s="62"/>
      <c r="AI865" s="62"/>
      <c r="AJ865" s="62"/>
      <c r="AK865" s="62"/>
      <c r="AL865" s="62"/>
      <c r="AM865" s="62"/>
      <c r="AN865" s="62"/>
      <c r="AO865" s="62"/>
      <c r="AP865" s="62"/>
      <c r="AQ865" s="80"/>
    </row>
    <row r="866" spans="1:43" ht="15.75" customHeight="1" x14ac:dyDescent="0.2">
      <c r="A866" s="63" t="str">
        <f t="shared" si="52"/>
        <v/>
      </c>
      <c r="B866" s="62"/>
      <c r="C866" s="62"/>
      <c r="D866" s="62"/>
      <c r="E866" s="62"/>
      <c r="F866" s="62"/>
      <c r="G866" s="62"/>
      <c r="H866" s="62"/>
      <c r="I866" s="66"/>
      <c r="J866" s="66"/>
      <c r="K866" s="66"/>
      <c r="L866" s="66"/>
      <c r="M866" s="66"/>
      <c r="N866" s="64" t="str">
        <f>IF(OR($B866="", $I866="", $J866="", $K866="", $L866="", $M866=""),"",ROUND(($I866*Lists!$AN$2)+($J866*Lists!$AN$3)+($K866*Lists!$AN$4)+($L866*Lists!$AN$5)+($M866*Lists!$AN$6),2))</f>
        <v/>
      </c>
      <c r="O866" s="64" t="str">
        <f>IF($A866="","",IFERROR(VLOOKUP($A866,'Risk Register'!$B$2:$I$1000,8,FALSE()),""))</f>
        <v/>
      </c>
      <c r="P866" s="66"/>
      <c r="Q866" s="66"/>
      <c r="R866" s="66"/>
      <c r="S866" s="66"/>
      <c r="T866" s="64" t="str">
        <f>IF(OR($B866="", $P866="", $Q866="", $R866="", $S866=""),"",ROUND(($P866*Lists!$AN$7)+($Q866*Lists!$AN$8)+($R866*Lists!$AN$9)+($S866*Lists!$AN$10),2))</f>
        <v/>
      </c>
      <c r="U866" s="66"/>
      <c r="V866" s="66"/>
      <c r="W866" s="66"/>
      <c r="X866" s="66"/>
      <c r="Y866" s="66"/>
      <c r="Z866" s="64" t="str">
        <f>IF(OR($B866="", $U866="", $V866="", $W866="", $X866="", $Y866=""),"",ROUND(($U866*Lists!$AN$11)+($V866*Lists!$AN$12)+($W866*Lists!$AN$13)+($X866*Lists!$AN$14)+($Y866*Lists!$AN$15),2))</f>
        <v/>
      </c>
      <c r="AA866" s="64" t="str">
        <f>IF(OR($B866="", $N866="", $O866="", $T866="", $Z866=""),"",ROUND(($N866*Lists!$AN$16)-($O866*Lists!$AN$17)-($T866*Lists!$AN$18)+($Z866*Lists!$AN$19),2))</f>
        <v/>
      </c>
      <c r="AB866" s="63" t="str">
        <f t="shared" si="53"/>
        <v/>
      </c>
      <c r="AC866" s="63" t="str">
        <f t="shared" si="54"/>
        <v/>
      </c>
      <c r="AD866" s="63" t="str">
        <f>IF($A866="","",IFERROR(IF(VLOOKUP($A866,'Risk Register'!$B$2:$H$1000,4,FALSE())&gt;=4,"Yes",""),""))</f>
        <v/>
      </c>
      <c r="AE866" s="63" t="str">
        <f t="shared" si="55"/>
        <v/>
      </c>
      <c r="AF866" s="62"/>
      <c r="AG866" s="62"/>
      <c r="AH866" s="62"/>
      <c r="AI866" s="62"/>
      <c r="AJ866" s="62"/>
      <c r="AK866" s="62"/>
      <c r="AL866" s="62"/>
      <c r="AM866" s="62"/>
      <c r="AN866" s="62"/>
      <c r="AO866" s="62"/>
      <c r="AP866" s="62"/>
      <c r="AQ866" s="80"/>
    </row>
    <row r="867" spans="1:43" ht="15.75" customHeight="1" x14ac:dyDescent="0.2">
      <c r="A867" s="63" t="str">
        <f t="shared" si="52"/>
        <v/>
      </c>
      <c r="B867" s="62"/>
      <c r="C867" s="62"/>
      <c r="D867" s="62"/>
      <c r="E867" s="62"/>
      <c r="F867" s="62"/>
      <c r="G867" s="62"/>
      <c r="H867" s="62"/>
      <c r="I867" s="66"/>
      <c r="J867" s="66"/>
      <c r="K867" s="66"/>
      <c r="L867" s="66"/>
      <c r="M867" s="66"/>
      <c r="N867" s="64" t="str">
        <f>IF(OR($B867="", $I867="", $J867="", $K867="", $L867="", $M867=""),"",ROUND(($I867*Lists!$AN$2)+($J867*Lists!$AN$3)+($K867*Lists!$AN$4)+($L867*Lists!$AN$5)+($M867*Lists!$AN$6),2))</f>
        <v/>
      </c>
      <c r="O867" s="64" t="str">
        <f>IF($A867="","",IFERROR(VLOOKUP($A867,'Risk Register'!$B$2:$I$1000,8,FALSE()),""))</f>
        <v/>
      </c>
      <c r="P867" s="66"/>
      <c r="Q867" s="66"/>
      <c r="R867" s="66"/>
      <c r="S867" s="66"/>
      <c r="T867" s="64" t="str">
        <f>IF(OR($B867="", $P867="", $Q867="", $R867="", $S867=""),"",ROUND(($P867*Lists!$AN$7)+($Q867*Lists!$AN$8)+($R867*Lists!$AN$9)+($S867*Lists!$AN$10),2))</f>
        <v/>
      </c>
      <c r="U867" s="66"/>
      <c r="V867" s="66"/>
      <c r="W867" s="66"/>
      <c r="X867" s="66"/>
      <c r="Y867" s="66"/>
      <c r="Z867" s="64" t="str">
        <f>IF(OR($B867="", $U867="", $V867="", $W867="", $X867="", $Y867=""),"",ROUND(($U867*Lists!$AN$11)+($V867*Lists!$AN$12)+($W867*Lists!$AN$13)+($X867*Lists!$AN$14)+($Y867*Lists!$AN$15),2))</f>
        <v/>
      </c>
      <c r="AA867" s="64" t="str">
        <f>IF(OR($B867="", $N867="", $O867="", $T867="", $Z867=""),"",ROUND(($N867*Lists!$AN$16)-($O867*Lists!$AN$17)-($T867*Lists!$AN$18)+($Z867*Lists!$AN$19),2))</f>
        <v/>
      </c>
      <c r="AB867" s="63" t="str">
        <f t="shared" si="53"/>
        <v/>
      </c>
      <c r="AC867" s="63" t="str">
        <f t="shared" si="54"/>
        <v/>
      </c>
      <c r="AD867" s="63" t="str">
        <f>IF($A867="","",IFERROR(IF(VLOOKUP($A867,'Risk Register'!$B$2:$H$1000,4,FALSE())&gt;=4,"Yes",""),""))</f>
        <v/>
      </c>
      <c r="AE867" s="63" t="str">
        <f t="shared" si="55"/>
        <v/>
      </c>
      <c r="AF867" s="62"/>
      <c r="AG867" s="62"/>
      <c r="AH867" s="62"/>
      <c r="AI867" s="62"/>
      <c r="AJ867" s="62"/>
      <c r="AK867" s="62"/>
      <c r="AL867" s="62"/>
      <c r="AM867" s="62"/>
      <c r="AN867" s="62"/>
      <c r="AO867" s="62"/>
      <c r="AP867" s="62"/>
      <c r="AQ867" s="80"/>
    </row>
    <row r="868" spans="1:43" ht="15.75" customHeight="1" x14ac:dyDescent="0.2">
      <c r="A868" s="63" t="str">
        <f t="shared" si="52"/>
        <v/>
      </c>
      <c r="B868" s="62"/>
      <c r="C868" s="62"/>
      <c r="D868" s="62"/>
      <c r="E868" s="62"/>
      <c r="F868" s="62"/>
      <c r="G868" s="62"/>
      <c r="H868" s="62"/>
      <c r="I868" s="66"/>
      <c r="J868" s="66"/>
      <c r="K868" s="66"/>
      <c r="L868" s="66"/>
      <c r="M868" s="66"/>
      <c r="N868" s="64" t="str">
        <f>IF(OR($B868="", $I868="", $J868="", $K868="", $L868="", $M868=""),"",ROUND(($I868*Lists!$AN$2)+($J868*Lists!$AN$3)+($K868*Lists!$AN$4)+($L868*Lists!$AN$5)+($M868*Lists!$AN$6),2))</f>
        <v/>
      </c>
      <c r="O868" s="64" t="str">
        <f>IF($A868="","",IFERROR(VLOOKUP($A868,'Risk Register'!$B$2:$I$1000,8,FALSE()),""))</f>
        <v/>
      </c>
      <c r="P868" s="66"/>
      <c r="Q868" s="66"/>
      <c r="R868" s="66"/>
      <c r="S868" s="66"/>
      <c r="T868" s="64" t="str">
        <f>IF(OR($B868="", $P868="", $Q868="", $R868="", $S868=""),"",ROUND(($P868*Lists!$AN$7)+($Q868*Lists!$AN$8)+($R868*Lists!$AN$9)+($S868*Lists!$AN$10),2))</f>
        <v/>
      </c>
      <c r="U868" s="66"/>
      <c r="V868" s="66"/>
      <c r="W868" s="66"/>
      <c r="X868" s="66"/>
      <c r="Y868" s="66"/>
      <c r="Z868" s="64" t="str">
        <f>IF(OR($B868="", $U868="", $V868="", $W868="", $X868="", $Y868=""),"",ROUND(($U868*Lists!$AN$11)+($V868*Lists!$AN$12)+($W868*Lists!$AN$13)+($X868*Lists!$AN$14)+($Y868*Lists!$AN$15),2))</f>
        <v/>
      </c>
      <c r="AA868" s="64" t="str">
        <f>IF(OR($B868="", $N868="", $O868="", $T868="", $Z868=""),"",ROUND(($N868*Lists!$AN$16)-($O868*Lists!$AN$17)-($T868*Lists!$AN$18)+($Z868*Lists!$AN$19),2))</f>
        <v/>
      </c>
      <c r="AB868" s="63" t="str">
        <f t="shared" si="53"/>
        <v/>
      </c>
      <c r="AC868" s="63" t="str">
        <f t="shared" si="54"/>
        <v/>
      </c>
      <c r="AD868" s="63" t="str">
        <f>IF($A868="","",IFERROR(IF(VLOOKUP($A868,'Risk Register'!$B$2:$H$1000,4,FALSE())&gt;=4,"Yes",""),""))</f>
        <v/>
      </c>
      <c r="AE868" s="63" t="str">
        <f t="shared" si="55"/>
        <v/>
      </c>
      <c r="AF868" s="62"/>
      <c r="AG868" s="62"/>
      <c r="AH868" s="62"/>
      <c r="AI868" s="62"/>
      <c r="AJ868" s="62"/>
      <c r="AK868" s="62"/>
      <c r="AL868" s="62"/>
      <c r="AM868" s="62"/>
      <c r="AN868" s="62"/>
      <c r="AO868" s="62"/>
      <c r="AP868" s="62"/>
      <c r="AQ868" s="80"/>
    </row>
    <row r="869" spans="1:43" ht="15.75" customHeight="1" x14ac:dyDescent="0.2">
      <c r="A869" s="63" t="str">
        <f t="shared" si="52"/>
        <v/>
      </c>
      <c r="B869" s="62"/>
      <c r="C869" s="62"/>
      <c r="D869" s="62"/>
      <c r="E869" s="62"/>
      <c r="F869" s="62"/>
      <c r="G869" s="62"/>
      <c r="H869" s="62"/>
      <c r="I869" s="66"/>
      <c r="J869" s="66"/>
      <c r="K869" s="66"/>
      <c r="L869" s="66"/>
      <c r="M869" s="66"/>
      <c r="N869" s="64" t="str">
        <f>IF(OR($B869="", $I869="", $J869="", $K869="", $L869="", $M869=""),"",ROUND(($I869*Lists!$AN$2)+($J869*Lists!$AN$3)+($K869*Lists!$AN$4)+($L869*Lists!$AN$5)+($M869*Lists!$AN$6),2))</f>
        <v/>
      </c>
      <c r="O869" s="64" t="str">
        <f>IF($A869="","",IFERROR(VLOOKUP($A869,'Risk Register'!$B$2:$I$1000,8,FALSE()),""))</f>
        <v/>
      </c>
      <c r="P869" s="66"/>
      <c r="Q869" s="66"/>
      <c r="R869" s="66"/>
      <c r="S869" s="66"/>
      <c r="T869" s="64" t="str">
        <f>IF(OR($B869="", $P869="", $Q869="", $R869="", $S869=""),"",ROUND(($P869*Lists!$AN$7)+($Q869*Lists!$AN$8)+($R869*Lists!$AN$9)+($S869*Lists!$AN$10),2))</f>
        <v/>
      </c>
      <c r="U869" s="66"/>
      <c r="V869" s="66"/>
      <c r="W869" s="66"/>
      <c r="X869" s="66"/>
      <c r="Y869" s="66"/>
      <c r="Z869" s="64" t="str">
        <f>IF(OR($B869="", $U869="", $V869="", $W869="", $X869="", $Y869=""),"",ROUND(($U869*Lists!$AN$11)+($V869*Lists!$AN$12)+($W869*Lists!$AN$13)+($X869*Lists!$AN$14)+($Y869*Lists!$AN$15),2))</f>
        <v/>
      </c>
      <c r="AA869" s="64" t="str">
        <f>IF(OR($B869="", $N869="", $O869="", $T869="", $Z869=""),"",ROUND(($N869*Lists!$AN$16)-($O869*Lists!$AN$17)-($T869*Lists!$AN$18)+($Z869*Lists!$AN$19),2))</f>
        <v/>
      </c>
      <c r="AB869" s="63" t="str">
        <f t="shared" si="53"/>
        <v/>
      </c>
      <c r="AC869" s="63" t="str">
        <f t="shared" si="54"/>
        <v/>
      </c>
      <c r="AD869" s="63" t="str">
        <f>IF($A869="","",IFERROR(IF(VLOOKUP($A869,'Risk Register'!$B$2:$H$1000,4,FALSE())&gt;=4,"Yes",""),""))</f>
        <v/>
      </c>
      <c r="AE869" s="63" t="str">
        <f t="shared" si="55"/>
        <v/>
      </c>
      <c r="AF869" s="62"/>
      <c r="AG869" s="62"/>
      <c r="AH869" s="62"/>
      <c r="AI869" s="62"/>
      <c r="AJ869" s="62"/>
      <c r="AK869" s="62"/>
      <c r="AL869" s="62"/>
      <c r="AM869" s="62"/>
      <c r="AN869" s="62"/>
      <c r="AO869" s="62"/>
      <c r="AP869" s="62"/>
      <c r="AQ869" s="80"/>
    </row>
    <row r="870" spans="1:43" ht="15.75" customHeight="1" x14ac:dyDescent="0.2">
      <c r="A870" s="63" t="str">
        <f t="shared" si="52"/>
        <v/>
      </c>
      <c r="B870" s="62"/>
      <c r="C870" s="62"/>
      <c r="D870" s="62"/>
      <c r="E870" s="62"/>
      <c r="F870" s="62"/>
      <c r="G870" s="62"/>
      <c r="H870" s="62"/>
      <c r="I870" s="66"/>
      <c r="J870" s="66"/>
      <c r="K870" s="66"/>
      <c r="L870" s="66"/>
      <c r="M870" s="66"/>
      <c r="N870" s="64" t="str">
        <f>IF(OR($B870="", $I870="", $J870="", $K870="", $L870="", $M870=""),"",ROUND(($I870*Lists!$AN$2)+($J870*Lists!$AN$3)+($K870*Lists!$AN$4)+($L870*Lists!$AN$5)+($M870*Lists!$AN$6),2))</f>
        <v/>
      </c>
      <c r="O870" s="64" t="str">
        <f>IF($A870="","",IFERROR(VLOOKUP($A870,'Risk Register'!$B$2:$I$1000,8,FALSE()),""))</f>
        <v/>
      </c>
      <c r="P870" s="66"/>
      <c r="Q870" s="66"/>
      <c r="R870" s="66"/>
      <c r="S870" s="66"/>
      <c r="T870" s="64" t="str">
        <f>IF(OR($B870="", $P870="", $Q870="", $R870="", $S870=""),"",ROUND(($P870*Lists!$AN$7)+($Q870*Lists!$AN$8)+($R870*Lists!$AN$9)+($S870*Lists!$AN$10),2))</f>
        <v/>
      </c>
      <c r="U870" s="66"/>
      <c r="V870" s="66"/>
      <c r="W870" s="66"/>
      <c r="X870" s="66"/>
      <c r="Y870" s="66"/>
      <c r="Z870" s="64" t="str">
        <f>IF(OR($B870="", $U870="", $V870="", $W870="", $X870="", $Y870=""),"",ROUND(($U870*Lists!$AN$11)+($V870*Lists!$AN$12)+($W870*Lists!$AN$13)+($X870*Lists!$AN$14)+($Y870*Lists!$AN$15),2))</f>
        <v/>
      </c>
      <c r="AA870" s="64" t="str">
        <f>IF(OR($B870="", $N870="", $O870="", $T870="", $Z870=""),"",ROUND(($N870*Lists!$AN$16)-($O870*Lists!$AN$17)-($T870*Lists!$AN$18)+($Z870*Lists!$AN$19),2))</f>
        <v/>
      </c>
      <c r="AB870" s="63" t="str">
        <f t="shared" si="53"/>
        <v/>
      </c>
      <c r="AC870" s="63" t="str">
        <f t="shared" si="54"/>
        <v/>
      </c>
      <c r="AD870" s="63" t="str">
        <f>IF($A870="","",IFERROR(IF(VLOOKUP($A870,'Risk Register'!$B$2:$H$1000,4,FALSE())&gt;=4,"Yes",""),""))</f>
        <v/>
      </c>
      <c r="AE870" s="63" t="str">
        <f t="shared" si="55"/>
        <v/>
      </c>
      <c r="AF870" s="62"/>
      <c r="AG870" s="62"/>
      <c r="AH870" s="62"/>
      <c r="AI870" s="62"/>
      <c r="AJ870" s="62"/>
      <c r="AK870" s="62"/>
      <c r="AL870" s="62"/>
      <c r="AM870" s="62"/>
      <c r="AN870" s="62"/>
      <c r="AO870" s="62"/>
      <c r="AP870" s="62"/>
      <c r="AQ870" s="80"/>
    </row>
    <row r="871" spans="1:43" ht="15.75" customHeight="1" x14ac:dyDescent="0.2">
      <c r="A871" s="63" t="str">
        <f t="shared" si="52"/>
        <v/>
      </c>
      <c r="B871" s="62"/>
      <c r="C871" s="62"/>
      <c r="D871" s="62"/>
      <c r="E871" s="62"/>
      <c r="F871" s="62"/>
      <c r="G871" s="62"/>
      <c r="H871" s="62"/>
      <c r="I871" s="66"/>
      <c r="J871" s="66"/>
      <c r="K871" s="66"/>
      <c r="L871" s="66"/>
      <c r="M871" s="66"/>
      <c r="N871" s="64" t="str">
        <f>IF(OR($B871="", $I871="", $J871="", $K871="", $L871="", $M871=""),"",ROUND(($I871*Lists!$AN$2)+($J871*Lists!$AN$3)+($K871*Lists!$AN$4)+($L871*Lists!$AN$5)+($M871*Lists!$AN$6),2))</f>
        <v/>
      </c>
      <c r="O871" s="64" t="str">
        <f>IF($A871="","",IFERROR(VLOOKUP($A871,'Risk Register'!$B$2:$I$1000,8,FALSE()),""))</f>
        <v/>
      </c>
      <c r="P871" s="66"/>
      <c r="Q871" s="66"/>
      <c r="R871" s="66"/>
      <c r="S871" s="66"/>
      <c r="T871" s="64" t="str">
        <f>IF(OR($B871="", $P871="", $Q871="", $R871="", $S871=""),"",ROUND(($P871*Lists!$AN$7)+($Q871*Lists!$AN$8)+($R871*Lists!$AN$9)+($S871*Lists!$AN$10),2))</f>
        <v/>
      </c>
      <c r="U871" s="66"/>
      <c r="V871" s="66"/>
      <c r="W871" s="66"/>
      <c r="X871" s="66"/>
      <c r="Y871" s="66"/>
      <c r="Z871" s="64" t="str">
        <f>IF(OR($B871="", $U871="", $V871="", $W871="", $X871="", $Y871=""),"",ROUND(($U871*Lists!$AN$11)+($V871*Lists!$AN$12)+($W871*Lists!$AN$13)+($X871*Lists!$AN$14)+($Y871*Lists!$AN$15),2))</f>
        <v/>
      </c>
      <c r="AA871" s="64" t="str">
        <f>IF(OR($B871="", $N871="", $O871="", $T871="", $Z871=""),"",ROUND(($N871*Lists!$AN$16)-($O871*Lists!$AN$17)-($T871*Lists!$AN$18)+($Z871*Lists!$AN$19),2))</f>
        <v/>
      </c>
      <c r="AB871" s="63" t="str">
        <f t="shared" si="53"/>
        <v/>
      </c>
      <c r="AC871" s="63" t="str">
        <f t="shared" si="54"/>
        <v/>
      </c>
      <c r="AD871" s="63" t="str">
        <f>IF($A871="","",IFERROR(IF(VLOOKUP($A871,'Risk Register'!$B$2:$H$1000,4,FALSE())&gt;=4,"Yes",""),""))</f>
        <v/>
      </c>
      <c r="AE871" s="63" t="str">
        <f t="shared" si="55"/>
        <v/>
      </c>
      <c r="AF871" s="62"/>
      <c r="AG871" s="62"/>
      <c r="AH871" s="62"/>
      <c r="AI871" s="62"/>
      <c r="AJ871" s="62"/>
      <c r="AK871" s="62"/>
      <c r="AL871" s="62"/>
      <c r="AM871" s="62"/>
      <c r="AN871" s="62"/>
      <c r="AO871" s="62"/>
      <c r="AP871" s="62"/>
      <c r="AQ871" s="80"/>
    </row>
    <row r="872" spans="1:43" ht="15.75" customHeight="1" x14ac:dyDescent="0.2">
      <c r="A872" s="63" t="str">
        <f t="shared" si="52"/>
        <v/>
      </c>
      <c r="B872" s="62"/>
      <c r="C872" s="62"/>
      <c r="D872" s="62"/>
      <c r="E872" s="62"/>
      <c r="F872" s="62"/>
      <c r="G872" s="62"/>
      <c r="H872" s="62"/>
      <c r="I872" s="66"/>
      <c r="J872" s="66"/>
      <c r="K872" s="66"/>
      <c r="L872" s="66"/>
      <c r="M872" s="66"/>
      <c r="N872" s="64" t="str">
        <f>IF(OR($B872="", $I872="", $J872="", $K872="", $L872="", $M872=""),"",ROUND(($I872*Lists!$AN$2)+($J872*Lists!$AN$3)+($K872*Lists!$AN$4)+($L872*Lists!$AN$5)+($M872*Lists!$AN$6),2))</f>
        <v/>
      </c>
      <c r="O872" s="64" t="str">
        <f>IF($A872="","",IFERROR(VLOOKUP($A872,'Risk Register'!$B$2:$I$1000,8,FALSE()),""))</f>
        <v/>
      </c>
      <c r="P872" s="66"/>
      <c r="Q872" s="66"/>
      <c r="R872" s="66"/>
      <c r="S872" s="66"/>
      <c r="T872" s="64" t="str">
        <f>IF(OR($B872="", $P872="", $Q872="", $R872="", $S872=""),"",ROUND(($P872*Lists!$AN$7)+($Q872*Lists!$AN$8)+($R872*Lists!$AN$9)+($S872*Lists!$AN$10),2))</f>
        <v/>
      </c>
      <c r="U872" s="66"/>
      <c r="V872" s="66"/>
      <c r="W872" s="66"/>
      <c r="X872" s="66"/>
      <c r="Y872" s="66"/>
      <c r="Z872" s="64" t="str">
        <f>IF(OR($B872="", $U872="", $V872="", $W872="", $X872="", $Y872=""),"",ROUND(($U872*Lists!$AN$11)+($V872*Lists!$AN$12)+($W872*Lists!$AN$13)+($X872*Lists!$AN$14)+($Y872*Lists!$AN$15),2))</f>
        <v/>
      </c>
      <c r="AA872" s="64" t="str">
        <f>IF(OR($B872="", $N872="", $O872="", $T872="", $Z872=""),"",ROUND(($N872*Lists!$AN$16)-($O872*Lists!$AN$17)-($T872*Lists!$AN$18)+($Z872*Lists!$AN$19),2))</f>
        <v/>
      </c>
      <c r="AB872" s="63" t="str">
        <f t="shared" si="53"/>
        <v/>
      </c>
      <c r="AC872" s="63" t="str">
        <f t="shared" si="54"/>
        <v/>
      </c>
      <c r="AD872" s="63" t="str">
        <f>IF($A872="","",IFERROR(IF(VLOOKUP($A872,'Risk Register'!$B$2:$H$1000,4,FALSE())&gt;=4,"Yes",""),""))</f>
        <v/>
      </c>
      <c r="AE872" s="63" t="str">
        <f t="shared" si="55"/>
        <v/>
      </c>
      <c r="AF872" s="62"/>
      <c r="AG872" s="62"/>
      <c r="AH872" s="62"/>
      <c r="AI872" s="62"/>
      <c r="AJ872" s="62"/>
      <c r="AK872" s="62"/>
      <c r="AL872" s="62"/>
      <c r="AM872" s="62"/>
      <c r="AN872" s="62"/>
      <c r="AO872" s="62"/>
      <c r="AP872" s="62"/>
      <c r="AQ872" s="80"/>
    </row>
    <row r="873" spans="1:43" ht="15.75" customHeight="1" x14ac:dyDescent="0.2">
      <c r="A873" s="63" t="str">
        <f t="shared" si="52"/>
        <v/>
      </c>
      <c r="B873" s="62"/>
      <c r="C873" s="62"/>
      <c r="D873" s="62"/>
      <c r="E873" s="62"/>
      <c r="F873" s="62"/>
      <c r="G873" s="62"/>
      <c r="H873" s="62"/>
      <c r="I873" s="66"/>
      <c r="J873" s="66"/>
      <c r="K873" s="66"/>
      <c r="L873" s="66"/>
      <c r="M873" s="66"/>
      <c r="N873" s="64" t="str">
        <f>IF(OR($B873="", $I873="", $J873="", $K873="", $L873="", $M873=""),"",ROUND(($I873*Lists!$AN$2)+($J873*Lists!$AN$3)+($K873*Lists!$AN$4)+($L873*Lists!$AN$5)+($M873*Lists!$AN$6),2))</f>
        <v/>
      </c>
      <c r="O873" s="64" t="str">
        <f>IF($A873="","",IFERROR(VLOOKUP($A873,'Risk Register'!$B$2:$I$1000,8,FALSE()),""))</f>
        <v/>
      </c>
      <c r="P873" s="66"/>
      <c r="Q873" s="66"/>
      <c r="R873" s="66"/>
      <c r="S873" s="66"/>
      <c r="T873" s="64" t="str">
        <f>IF(OR($B873="", $P873="", $Q873="", $R873="", $S873=""),"",ROUND(($P873*Lists!$AN$7)+($Q873*Lists!$AN$8)+($R873*Lists!$AN$9)+($S873*Lists!$AN$10),2))</f>
        <v/>
      </c>
      <c r="U873" s="66"/>
      <c r="V873" s="66"/>
      <c r="W873" s="66"/>
      <c r="X873" s="66"/>
      <c r="Y873" s="66"/>
      <c r="Z873" s="64" t="str">
        <f>IF(OR($B873="", $U873="", $V873="", $W873="", $X873="", $Y873=""),"",ROUND(($U873*Lists!$AN$11)+($V873*Lists!$AN$12)+($W873*Lists!$AN$13)+($X873*Lists!$AN$14)+($Y873*Lists!$AN$15),2))</f>
        <v/>
      </c>
      <c r="AA873" s="64" t="str">
        <f>IF(OR($B873="", $N873="", $O873="", $T873="", $Z873=""),"",ROUND(($N873*Lists!$AN$16)-($O873*Lists!$AN$17)-($T873*Lists!$AN$18)+($Z873*Lists!$AN$19),2))</f>
        <v/>
      </c>
      <c r="AB873" s="63" t="str">
        <f t="shared" si="53"/>
        <v/>
      </c>
      <c r="AC873" s="63" t="str">
        <f t="shared" si="54"/>
        <v/>
      </c>
      <c r="AD873" s="63" t="str">
        <f>IF($A873="","",IFERROR(IF(VLOOKUP($A873,'Risk Register'!$B$2:$H$1000,4,FALSE())&gt;=4,"Yes",""),""))</f>
        <v/>
      </c>
      <c r="AE873" s="63" t="str">
        <f t="shared" si="55"/>
        <v/>
      </c>
      <c r="AF873" s="62"/>
      <c r="AG873" s="62"/>
      <c r="AH873" s="62"/>
      <c r="AI873" s="62"/>
      <c r="AJ873" s="62"/>
      <c r="AK873" s="62"/>
      <c r="AL873" s="62"/>
      <c r="AM873" s="62"/>
      <c r="AN873" s="62"/>
      <c r="AO873" s="62"/>
      <c r="AP873" s="62"/>
      <c r="AQ873" s="80"/>
    </row>
    <row r="874" spans="1:43" ht="15.75" customHeight="1" x14ac:dyDescent="0.2">
      <c r="A874" s="63" t="str">
        <f t="shared" si="52"/>
        <v/>
      </c>
      <c r="B874" s="62"/>
      <c r="C874" s="62"/>
      <c r="D874" s="62"/>
      <c r="E874" s="62"/>
      <c r="F874" s="62"/>
      <c r="G874" s="62"/>
      <c r="H874" s="62"/>
      <c r="I874" s="66"/>
      <c r="J874" s="66"/>
      <c r="K874" s="66"/>
      <c r="L874" s="66"/>
      <c r="M874" s="66"/>
      <c r="N874" s="64" t="str">
        <f>IF(OR($B874="", $I874="", $J874="", $K874="", $L874="", $M874=""),"",ROUND(($I874*Lists!$AN$2)+($J874*Lists!$AN$3)+($K874*Lists!$AN$4)+($L874*Lists!$AN$5)+($M874*Lists!$AN$6),2))</f>
        <v/>
      </c>
      <c r="O874" s="64" t="str">
        <f>IF($A874="","",IFERROR(VLOOKUP($A874,'Risk Register'!$B$2:$I$1000,8,FALSE()),""))</f>
        <v/>
      </c>
      <c r="P874" s="66"/>
      <c r="Q874" s="66"/>
      <c r="R874" s="66"/>
      <c r="S874" s="66"/>
      <c r="T874" s="64" t="str">
        <f>IF(OR($B874="", $P874="", $Q874="", $R874="", $S874=""),"",ROUND(($P874*Lists!$AN$7)+($Q874*Lists!$AN$8)+($R874*Lists!$AN$9)+($S874*Lists!$AN$10),2))</f>
        <v/>
      </c>
      <c r="U874" s="66"/>
      <c r="V874" s="66"/>
      <c r="W874" s="66"/>
      <c r="X874" s="66"/>
      <c r="Y874" s="66"/>
      <c r="Z874" s="64" t="str">
        <f>IF(OR($B874="", $U874="", $V874="", $W874="", $X874="", $Y874=""),"",ROUND(($U874*Lists!$AN$11)+($V874*Lists!$AN$12)+($W874*Lists!$AN$13)+($X874*Lists!$AN$14)+($Y874*Lists!$AN$15),2))</f>
        <v/>
      </c>
      <c r="AA874" s="64" t="str">
        <f>IF(OR($B874="", $N874="", $O874="", $T874="", $Z874=""),"",ROUND(($N874*Lists!$AN$16)-($O874*Lists!$AN$17)-($T874*Lists!$AN$18)+($Z874*Lists!$AN$19),2))</f>
        <v/>
      </c>
      <c r="AB874" s="63" t="str">
        <f t="shared" si="53"/>
        <v/>
      </c>
      <c r="AC874" s="63" t="str">
        <f t="shared" si="54"/>
        <v/>
      </c>
      <c r="AD874" s="63" t="str">
        <f>IF($A874="","",IFERROR(IF(VLOOKUP($A874,'Risk Register'!$B$2:$H$1000,4,FALSE())&gt;=4,"Yes",""),""))</f>
        <v/>
      </c>
      <c r="AE874" s="63" t="str">
        <f t="shared" si="55"/>
        <v/>
      </c>
      <c r="AF874" s="62"/>
      <c r="AG874" s="62"/>
      <c r="AH874" s="62"/>
      <c r="AI874" s="62"/>
      <c r="AJ874" s="62"/>
      <c r="AK874" s="62"/>
      <c r="AL874" s="62"/>
      <c r="AM874" s="62"/>
      <c r="AN874" s="62"/>
      <c r="AO874" s="62"/>
      <c r="AP874" s="62"/>
      <c r="AQ874" s="80"/>
    </row>
    <row r="875" spans="1:43" ht="15.75" customHeight="1" x14ac:dyDescent="0.2">
      <c r="A875" s="63" t="str">
        <f t="shared" si="52"/>
        <v/>
      </c>
      <c r="B875" s="62"/>
      <c r="C875" s="62"/>
      <c r="D875" s="62"/>
      <c r="E875" s="62"/>
      <c r="F875" s="62"/>
      <c r="G875" s="62"/>
      <c r="H875" s="62"/>
      <c r="I875" s="66"/>
      <c r="J875" s="66"/>
      <c r="K875" s="66"/>
      <c r="L875" s="66"/>
      <c r="M875" s="66"/>
      <c r="N875" s="64" t="str">
        <f>IF(OR($B875="", $I875="", $J875="", $K875="", $L875="", $M875=""),"",ROUND(($I875*Lists!$AN$2)+($J875*Lists!$AN$3)+($K875*Lists!$AN$4)+($L875*Lists!$AN$5)+($M875*Lists!$AN$6),2))</f>
        <v/>
      </c>
      <c r="O875" s="64" t="str">
        <f>IF($A875="","",IFERROR(VLOOKUP($A875,'Risk Register'!$B$2:$I$1000,8,FALSE()),""))</f>
        <v/>
      </c>
      <c r="P875" s="66"/>
      <c r="Q875" s="66"/>
      <c r="R875" s="66"/>
      <c r="S875" s="66"/>
      <c r="T875" s="64" t="str">
        <f>IF(OR($B875="", $P875="", $Q875="", $R875="", $S875=""),"",ROUND(($P875*Lists!$AN$7)+($Q875*Lists!$AN$8)+($R875*Lists!$AN$9)+($S875*Lists!$AN$10),2))</f>
        <v/>
      </c>
      <c r="U875" s="66"/>
      <c r="V875" s="66"/>
      <c r="W875" s="66"/>
      <c r="X875" s="66"/>
      <c r="Y875" s="66"/>
      <c r="Z875" s="64" t="str">
        <f>IF(OR($B875="", $U875="", $V875="", $W875="", $X875="", $Y875=""),"",ROUND(($U875*Lists!$AN$11)+($V875*Lists!$AN$12)+($W875*Lists!$AN$13)+($X875*Lists!$AN$14)+($Y875*Lists!$AN$15),2))</f>
        <v/>
      </c>
      <c r="AA875" s="64" t="str">
        <f>IF(OR($B875="", $N875="", $O875="", $T875="", $Z875=""),"",ROUND(($N875*Lists!$AN$16)-($O875*Lists!$AN$17)-($T875*Lists!$AN$18)+($Z875*Lists!$AN$19),2))</f>
        <v/>
      </c>
      <c r="AB875" s="63" t="str">
        <f t="shared" si="53"/>
        <v/>
      </c>
      <c r="AC875" s="63" t="str">
        <f t="shared" si="54"/>
        <v/>
      </c>
      <c r="AD875" s="63" t="str">
        <f>IF($A875="","",IFERROR(IF(VLOOKUP($A875,'Risk Register'!$B$2:$H$1000,4,FALSE())&gt;=4,"Yes",""),""))</f>
        <v/>
      </c>
      <c r="AE875" s="63" t="str">
        <f t="shared" si="55"/>
        <v/>
      </c>
      <c r="AF875" s="62"/>
      <c r="AG875" s="62"/>
      <c r="AH875" s="62"/>
      <c r="AI875" s="62"/>
      <c r="AJ875" s="62"/>
      <c r="AK875" s="62"/>
      <c r="AL875" s="62"/>
      <c r="AM875" s="62"/>
      <c r="AN875" s="62"/>
      <c r="AO875" s="62"/>
      <c r="AP875" s="62"/>
      <c r="AQ875" s="80"/>
    </row>
    <row r="876" spans="1:43" ht="15.75" customHeight="1" x14ac:dyDescent="0.2">
      <c r="A876" s="63" t="str">
        <f t="shared" si="52"/>
        <v/>
      </c>
      <c r="B876" s="62"/>
      <c r="C876" s="62"/>
      <c r="D876" s="62"/>
      <c r="E876" s="62"/>
      <c r="F876" s="62"/>
      <c r="G876" s="62"/>
      <c r="H876" s="62"/>
      <c r="I876" s="66"/>
      <c r="J876" s="66"/>
      <c r="K876" s="66"/>
      <c r="L876" s="66"/>
      <c r="M876" s="66"/>
      <c r="N876" s="64" t="str">
        <f>IF(OR($B876="", $I876="", $J876="", $K876="", $L876="", $M876=""),"",ROUND(($I876*Lists!$AN$2)+($J876*Lists!$AN$3)+($K876*Lists!$AN$4)+($L876*Lists!$AN$5)+($M876*Lists!$AN$6),2))</f>
        <v/>
      </c>
      <c r="O876" s="64" t="str">
        <f>IF($A876="","",IFERROR(VLOOKUP($A876,'Risk Register'!$B$2:$I$1000,8,FALSE()),""))</f>
        <v/>
      </c>
      <c r="P876" s="66"/>
      <c r="Q876" s="66"/>
      <c r="R876" s="66"/>
      <c r="S876" s="66"/>
      <c r="T876" s="64" t="str">
        <f>IF(OR($B876="", $P876="", $Q876="", $R876="", $S876=""),"",ROUND(($P876*Lists!$AN$7)+($Q876*Lists!$AN$8)+($R876*Lists!$AN$9)+($S876*Lists!$AN$10),2))</f>
        <v/>
      </c>
      <c r="U876" s="66"/>
      <c r="V876" s="66"/>
      <c r="W876" s="66"/>
      <c r="X876" s="66"/>
      <c r="Y876" s="66"/>
      <c r="Z876" s="64" t="str">
        <f>IF(OR($B876="", $U876="", $V876="", $W876="", $X876="", $Y876=""),"",ROUND(($U876*Lists!$AN$11)+($V876*Lists!$AN$12)+($W876*Lists!$AN$13)+($X876*Lists!$AN$14)+($Y876*Lists!$AN$15),2))</f>
        <v/>
      </c>
      <c r="AA876" s="64" t="str">
        <f>IF(OR($B876="", $N876="", $O876="", $T876="", $Z876=""),"",ROUND(($N876*Lists!$AN$16)-($O876*Lists!$AN$17)-($T876*Lists!$AN$18)+($Z876*Lists!$AN$19),2))</f>
        <v/>
      </c>
      <c r="AB876" s="63" t="str">
        <f t="shared" si="53"/>
        <v/>
      </c>
      <c r="AC876" s="63" t="str">
        <f t="shared" si="54"/>
        <v/>
      </c>
      <c r="AD876" s="63" t="str">
        <f>IF($A876="","",IFERROR(IF(VLOOKUP($A876,'Risk Register'!$B$2:$H$1000,4,FALSE())&gt;=4,"Yes",""),""))</f>
        <v/>
      </c>
      <c r="AE876" s="63" t="str">
        <f t="shared" si="55"/>
        <v/>
      </c>
      <c r="AF876" s="62"/>
      <c r="AG876" s="62"/>
      <c r="AH876" s="62"/>
      <c r="AI876" s="62"/>
      <c r="AJ876" s="62"/>
      <c r="AK876" s="62"/>
      <c r="AL876" s="62"/>
      <c r="AM876" s="62"/>
      <c r="AN876" s="62"/>
      <c r="AO876" s="62"/>
      <c r="AP876" s="62"/>
      <c r="AQ876" s="80"/>
    </row>
    <row r="877" spans="1:43" ht="15.75" customHeight="1" x14ac:dyDescent="0.2">
      <c r="A877" s="63" t="str">
        <f t="shared" si="52"/>
        <v/>
      </c>
      <c r="B877" s="62"/>
      <c r="C877" s="62"/>
      <c r="D877" s="62"/>
      <c r="E877" s="62"/>
      <c r="F877" s="62"/>
      <c r="G877" s="62"/>
      <c r="H877" s="62"/>
      <c r="I877" s="66"/>
      <c r="J877" s="66"/>
      <c r="K877" s="66"/>
      <c r="L877" s="66"/>
      <c r="M877" s="66"/>
      <c r="N877" s="64" t="str">
        <f>IF(OR($B877="", $I877="", $J877="", $K877="", $L877="", $M877=""),"",ROUND(($I877*Lists!$AN$2)+($J877*Lists!$AN$3)+($K877*Lists!$AN$4)+($L877*Lists!$AN$5)+($M877*Lists!$AN$6),2))</f>
        <v/>
      </c>
      <c r="O877" s="64" t="str">
        <f>IF($A877="","",IFERROR(VLOOKUP($A877,'Risk Register'!$B$2:$I$1000,8,FALSE()),""))</f>
        <v/>
      </c>
      <c r="P877" s="66"/>
      <c r="Q877" s="66"/>
      <c r="R877" s="66"/>
      <c r="S877" s="66"/>
      <c r="T877" s="64" t="str">
        <f>IF(OR($B877="", $P877="", $Q877="", $R877="", $S877=""),"",ROUND(($P877*Lists!$AN$7)+($Q877*Lists!$AN$8)+($R877*Lists!$AN$9)+($S877*Lists!$AN$10),2))</f>
        <v/>
      </c>
      <c r="U877" s="66"/>
      <c r="V877" s="66"/>
      <c r="W877" s="66"/>
      <c r="X877" s="66"/>
      <c r="Y877" s="66"/>
      <c r="Z877" s="64" t="str">
        <f>IF(OR($B877="", $U877="", $V877="", $W877="", $X877="", $Y877=""),"",ROUND(($U877*Lists!$AN$11)+($V877*Lists!$AN$12)+($W877*Lists!$AN$13)+($X877*Lists!$AN$14)+($Y877*Lists!$AN$15),2))</f>
        <v/>
      </c>
      <c r="AA877" s="64" t="str">
        <f>IF(OR($B877="", $N877="", $O877="", $T877="", $Z877=""),"",ROUND(($N877*Lists!$AN$16)-($O877*Lists!$AN$17)-($T877*Lists!$AN$18)+($Z877*Lists!$AN$19),2))</f>
        <v/>
      </c>
      <c r="AB877" s="63" t="str">
        <f t="shared" si="53"/>
        <v/>
      </c>
      <c r="AC877" s="63" t="str">
        <f t="shared" si="54"/>
        <v/>
      </c>
      <c r="AD877" s="63" t="str">
        <f>IF($A877="","",IFERROR(IF(VLOOKUP($A877,'Risk Register'!$B$2:$H$1000,4,FALSE())&gt;=4,"Yes",""),""))</f>
        <v/>
      </c>
      <c r="AE877" s="63" t="str">
        <f t="shared" si="55"/>
        <v/>
      </c>
      <c r="AF877" s="62"/>
      <c r="AG877" s="62"/>
      <c r="AH877" s="62"/>
      <c r="AI877" s="62"/>
      <c r="AJ877" s="62"/>
      <c r="AK877" s="62"/>
      <c r="AL877" s="62"/>
      <c r="AM877" s="62"/>
      <c r="AN877" s="62"/>
      <c r="AO877" s="62"/>
      <c r="AP877" s="62"/>
      <c r="AQ877" s="80"/>
    </row>
    <row r="878" spans="1:43" ht="15.75" customHeight="1" x14ac:dyDescent="0.2">
      <c r="A878" s="63" t="str">
        <f t="shared" si="52"/>
        <v/>
      </c>
      <c r="B878" s="62"/>
      <c r="C878" s="62"/>
      <c r="D878" s="62"/>
      <c r="E878" s="62"/>
      <c r="F878" s="62"/>
      <c r="G878" s="62"/>
      <c r="H878" s="62"/>
      <c r="I878" s="66"/>
      <c r="J878" s="66"/>
      <c r="K878" s="66"/>
      <c r="L878" s="66"/>
      <c r="M878" s="66"/>
      <c r="N878" s="64" t="str">
        <f>IF(OR($B878="", $I878="", $J878="", $K878="", $L878="", $M878=""),"",ROUND(($I878*Lists!$AN$2)+($J878*Lists!$AN$3)+($K878*Lists!$AN$4)+($L878*Lists!$AN$5)+($M878*Lists!$AN$6),2))</f>
        <v/>
      </c>
      <c r="O878" s="64" t="str">
        <f>IF($A878="","",IFERROR(VLOOKUP($A878,'Risk Register'!$B$2:$I$1000,8,FALSE()),""))</f>
        <v/>
      </c>
      <c r="P878" s="66"/>
      <c r="Q878" s="66"/>
      <c r="R878" s="66"/>
      <c r="S878" s="66"/>
      <c r="T878" s="64" t="str">
        <f>IF(OR($B878="", $P878="", $Q878="", $R878="", $S878=""),"",ROUND(($P878*Lists!$AN$7)+($Q878*Lists!$AN$8)+($R878*Lists!$AN$9)+($S878*Lists!$AN$10),2))</f>
        <v/>
      </c>
      <c r="U878" s="66"/>
      <c r="V878" s="66"/>
      <c r="W878" s="66"/>
      <c r="X878" s="66"/>
      <c r="Y878" s="66"/>
      <c r="Z878" s="64" t="str">
        <f>IF(OR($B878="", $U878="", $V878="", $W878="", $X878="", $Y878=""),"",ROUND(($U878*Lists!$AN$11)+($V878*Lists!$AN$12)+($W878*Lists!$AN$13)+($X878*Lists!$AN$14)+($Y878*Lists!$AN$15),2))</f>
        <v/>
      </c>
      <c r="AA878" s="64" t="str">
        <f>IF(OR($B878="", $N878="", $O878="", $T878="", $Z878=""),"",ROUND(($N878*Lists!$AN$16)-($O878*Lists!$AN$17)-($T878*Lists!$AN$18)+($Z878*Lists!$AN$19),2))</f>
        <v/>
      </c>
      <c r="AB878" s="63" t="str">
        <f t="shared" si="53"/>
        <v/>
      </c>
      <c r="AC878" s="63" t="str">
        <f t="shared" si="54"/>
        <v/>
      </c>
      <c r="AD878" s="63" t="str">
        <f>IF($A878="","",IFERROR(IF(VLOOKUP($A878,'Risk Register'!$B$2:$H$1000,4,FALSE())&gt;=4,"Yes",""),""))</f>
        <v/>
      </c>
      <c r="AE878" s="63" t="str">
        <f t="shared" si="55"/>
        <v/>
      </c>
      <c r="AF878" s="62"/>
      <c r="AG878" s="62"/>
      <c r="AH878" s="62"/>
      <c r="AI878" s="62"/>
      <c r="AJ878" s="62"/>
      <c r="AK878" s="62"/>
      <c r="AL878" s="62"/>
      <c r="AM878" s="62"/>
      <c r="AN878" s="62"/>
      <c r="AO878" s="62"/>
      <c r="AP878" s="62"/>
      <c r="AQ878" s="80"/>
    </row>
    <row r="879" spans="1:43" ht="15.75" customHeight="1" x14ac:dyDescent="0.2">
      <c r="A879" s="63" t="str">
        <f t="shared" si="52"/>
        <v/>
      </c>
      <c r="B879" s="62"/>
      <c r="C879" s="62"/>
      <c r="D879" s="62"/>
      <c r="E879" s="62"/>
      <c r="F879" s="62"/>
      <c r="G879" s="62"/>
      <c r="H879" s="62"/>
      <c r="I879" s="66"/>
      <c r="J879" s="66"/>
      <c r="K879" s="66"/>
      <c r="L879" s="66"/>
      <c r="M879" s="66"/>
      <c r="N879" s="64" t="str">
        <f>IF(OR($B879="", $I879="", $J879="", $K879="", $L879="", $M879=""),"",ROUND(($I879*Lists!$AN$2)+($J879*Lists!$AN$3)+($K879*Lists!$AN$4)+($L879*Lists!$AN$5)+($M879*Lists!$AN$6),2))</f>
        <v/>
      </c>
      <c r="O879" s="64" t="str">
        <f>IF($A879="","",IFERROR(VLOOKUP($A879,'Risk Register'!$B$2:$I$1000,8,FALSE()),""))</f>
        <v/>
      </c>
      <c r="P879" s="66"/>
      <c r="Q879" s="66"/>
      <c r="R879" s="66"/>
      <c r="S879" s="66"/>
      <c r="T879" s="64" t="str">
        <f>IF(OR($B879="", $P879="", $Q879="", $R879="", $S879=""),"",ROUND(($P879*Lists!$AN$7)+($Q879*Lists!$AN$8)+($R879*Lists!$AN$9)+($S879*Lists!$AN$10),2))</f>
        <v/>
      </c>
      <c r="U879" s="66"/>
      <c r="V879" s="66"/>
      <c r="W879" s="66"/>
      <c r="X879" s="66"/>
      <c r="Y879" s="66"/>
      <c r="Z879" s="64" t="str">
        <f>IF(OR($B879="", $U879="", $V879="", $W879="", $X879="", $Y879=""),"",ROUND(($U879*Lists!$AN$11)+($V879*Lists!$AN$12)+($W879*Lists!$AN$13)+($X879*Lists!$AN$14)+($Y879*Lists!$AN$15),2))</f>
        <v/>
      </c>
      <c r="AA879" s="64" t="str">
        <f>IF(OR($B879="", $N879="", $O879="", $T879="", $Z879=""),"",ROUND(($N879*Lists!$AN$16)-($O879*Lists!$AN$17)-($T879*Lists!$AN$18)+($Z879*Lists!$AN$19),2))</f>
        <v/>
      </c>
      <c r="AB879" s="63" t="str">
        <f t="shared" si="53"/>
        <v/>
      </c>
      <c r="AC879" s="63" t="str">
        <f t="shared" si="54"/>
        <v/>
      </c>
      <c r="AD879" s="63" t="str">
        <f>IF($A879="","",IFERROR(IF(VLOOKUP($A879,'Risk Register'!$B$2:$H$1000,4,FALSE())&gt;=4,"Yes",""),""))</f>
        <v/>
      </c>
      <c r="AE879" s="63" t="str">
        <f t="shared" si="55"/>
        <v/>
      </c>
      <c r="AF879" s="62"/>
      <c r="AG879" s="62"/>
      <c r="AH879" s="62"/>
      <c r="AI879" s="62"/>
      <c r="AJ879" s="62"/>
      <c r="AK879" s="62"/>
      <c r="AL879" s="62"/>
      <c r="AM879" s="62"/>
      <c r="AN879" s="62"/>
      <c r="AO879" s="62"/>
      <c r="AP879" s="62"/>
      <c r="AQ879" s="80"/>
    </row>
    <row r="880" spans="1:43" ht="15.75" customHeight="1" x14ac:dyDescent="0.2">
      <c r="A880" s="63" t="str">
        <f t="shared" si="52"/>
        <v/>
      </c>
      <c r="B880" s="62"/>
      <c r="C880" s="62"/>
      <c r="D880" s="62"/>
      <c r="E880" s="62"/>
      <c r="F880" s="62"/>
      <c r="G880" s="62"/>
      <c r="H880" s="62"/>
      <c r="I880" s="66"/>
      <c r="J880" s="66"/>
      <c r="K880" s="66"/>
      <c r="L880" s="66"/>
      <c r="M880" s="66"/>
      <c r="N880" s="64" t="str">
        <f>IF(OR($B880="", $I880="", $J880="", $K880="", $L880="", $M880=""),"",ROUND(($I880*Lists!$AN$2)+($J880*Lists!$AN$3)+($K880*Lists!$AN$4)+($L880*Lists!$AN$5)+($M880*Lists!$AN$6),2))</f>
        <v/>
      </c>
      <c r="O880" s="64" t="str">
        <f>IF($A880="","",IFERROR(VLOOKUP($A880,'Risk Register'!$B$2:$I$1000,8,FALSE()),""))</f>
        <v/>
      </c>
      <c r="P880" s="66"/>
      <c r="Q880" s="66"/>
      <c r="R880" s="66"/>
      <c r="S880" s="66"/>
      <c r="T880" s="64" t="str">
        <f>IF(OR($B880="", $P880="", $Q880="", $R880="", $S880=""),"",ROUND(($P880*Lists!$AN$7)+($Q880*Lists!$AN$8)+($R880*Lists!$AN$9)+($S880*Lists!$AN$10),2))</f>
        <v/>
      </c>
      <c r="U880" s="66"/>
      <c r="V880" s="66"/>
      <c r="W880" s="66"/>
      <c r="X880" s="66"/>
      <c r="Y880" s="66"/>
      <c r="Z880" s="64" t="str">
        <f>IF(OR($B880="", $U880="", $V880="", $W880="", $X880="", $Y880=""),"",ROUND(($U880*Lists!$AN$11)+($V880*Lists!$AN$12)+($W880*Lists!$AN$13)+($X880*Lists!$AN$14)+($Y880*Lists!$AN$15),2))</f>
        <v/>
      </c>
      <c r="AA880" s="64" t="str">
        <f>IF(OR($B880="", $N880="", $O880="", $T880="", $Z880=""),"",ROUND(($N880*Lists!$AN$16)-($O880*Lists!$AN$17)-($T880*Lists!$AN$18)+($Z880*Lists!$AN$19),2))</f>
        <v/>
      </c>
      <c r="AB880" s="63" t="str">
        <f t="shared" si="53"/>
        <v/>
      </c>
      <c r="AC880" s="63" t="str">
        <f t="shared" si="54"/>
        <v/>
      </c>
      <c r="AD880" s="63" t="str">
        <f>IF($A880="","",IFERROR(IF(VLOOKUP($A880,'Risk Register'!$B$2:$H$1000,4,FALSE())&gt;=4,"Yes",""),""))</f>
        <v/>
      </c>
      <c r="AE880" s="63" t="str">
        <f t="shared" si="55"/>
        <v/>
      </c>
      <c r="AF880" s="62"/>
      <c r="AG880" s="62"/>
      <c r="AH880" s="62"/>
      <c r="AI880" s="62"/>
      <c r="AJ880" s="62"/>
      <c r="AK880" s="62"/>
      <c r="AL880" s="62"/>
      <c r="AM880" s="62"/>
      <c r="AN880" s="62"/>
      <c r="AO880" s="62"/>
      <c r="AP880" s="62"/>
      <c r="AQ880" s="80"/>
    </row>
    <row r="881" spans="1:43" ht="15.75" customHeight="1" x14ac:dyDescent="0.2">
      <c r="A881" s="63" t="str">
        <f t="shared" si="52"/>
        <v/>
      </c>
      <c r="B881" s="62"/>
      <c r="C881" s="62"/>
      <c r="D881" s="62"/>
      <c r="E881" s="62"/>
      <c r="F881" s="62"/>
      <c r="G881" s="62"/>
      <c r="H881" s="62"/>
      <c r="I881" s="66"/>
      <c r="J881" s="66"/>
      <c r="K881" s="66"/>
      <c r="L881" s="66"/>
      <c r="M881" s="66"/>
      <c r="N881" s="64" t="str">
        <f>IF(OR($B881="", $I881="", $J881="", $K881="", $L881="", $M881=""),"",ROUND(($I881*Lists!$AN$2)+($J881*Lists!$AN$3)+($K881*Lists!$AN$4)+($L881*Lists!$AN$5)+($M881*Lists!$AN$6),2))</f>
        <v/>
      </c>
      <c r="O881" s="64" t="str">
        <f>IF($A881="","",IFERROR(VLOOKUP($A881,'Risk Register'!$B$2:$I$1000,8,FALSE()),""))</f>
        <v/>
      </c>
      <c r="P881" s="66"/>
      <c r="Q881" s="66"/>
      <c r="R881" s="66"/>
      <c r="S881" s="66"/>
      <c r="T881" s="64" t="str">
        <f>IF(OR($B881="", $P881="", $Q881="", $R881="", $S881=""),"",ROUND(($P881*Lists!$AN$7)+($Q881*Lists!$AN$8)+($R881*Lists!$AN$9)+($S881*Lists!$AN$10),2))</f>
        <v/>
      </c>
      <c r="U881" s="66"/>
      <c r="V881" s="66"/>
      <c r="W881" s="66"/>
      <c r="X881" s="66"/>
      <c r="Y881" s="66"/>
      <c r="Z881" s="64" t="str">
        <f>IF(OR($B881="", $U881="", $V881="", $W881="", $X881="", $Y881=""),"",ROUND(($U881*Lists!$AN$11)+($V881*Lists!$AN$12)+($W881*Lists!$AN$13)+($X881*Lists!$AN$14)+($Y881*Lists!$AN$15),2))</f>
        <v/>
      </c>
      <c r="AA881" s="64" t="str">
        <f>IF(OR($B881="", $N881="", $O881="", $T881="", $Z881=""),"",ROUND(($N881*Lists!$AN$16)-($O881*Lists!$AN$17)-($T881*Lists!$AN$18)+($Z881*Lists!$AN$19),2))</f>
        <v/>
      </c>
      <c r="AB881" s="63" t="str">
        <f t="shared" si="53"/>
        <v/>
      </c>
      <c r="AC881" s="63" t="str">
        <f t="shared" si="54"/>
        <v/>
      </c>
      <c r="AD881" s="63" t="str">
        <f>IF($A881="","",IFERROR(IF(VLOOKUP($A881,'Risk Register'!$B$2:$H$1000,4,FALSE())&gt;=4,"Yes",""),""))</f>
        <v/>
      </c>
      <c r="AE881" s="63" t="str">
        <f t="shared" si="55"/>
        <v/>
      </c>
      <c r="AF881" s="62"/>
      <c r="AG881" s="62"/>
      <c r="AH881" s="62"/>
      <c r="AI881" s="62"/>
      <c r="AJ881" s="62"/>
      <c r="AK881" s="62"/>
      <c r="AL881" s="62"/>
      <c r="AM881" s="62"/>
      <c r="AN881" s="62"/>
      <c r="AO881" s="62"/>
      <c r="AP881" s="62"/>
      <c r="AQ881" s="80"/>
    </row>
    <row r="882" spans="1:43" ht="15.75" customHeight="1" x14ac:dyDescent="0.2">
      <c r="A882" s="63" t="str">
        <f t="shared" si="52"/>
        <v/>
      </c>
      <c r="B882" s="62"/>
      <c r="C882" s="62"/>
      <c r="D882" s="62"/>
      <c r="E882" s="62"/>
      <c r="F882" s="62"/>
      <c r="G882" s="62"/>
      <c r="H882" s="62"/>
      <c r="I882" s="66"/>
      <c r="J882" s="66"/>
      <c r="K882" s="66"/>
      <c r="L882" s="66"/>
      <c r="M882" s="66"/>
      <c r="N882" s="64" t="str">
        <f>IF(OR($B882="", $I882="", $J882="", $K882="", $L882="", $M882=""),"",ROUND(($I882*Lists!$AN$2)+($J882*Lists!$AN$3)+($K882*Lists!$AN$4)+($L882*Lists!$AN$5)+($M882*Lists!$AN$6),2))</f>
        <v/>
      </c>
      <c r="O882" s="64" t="str">
        <f>IF($A882="","",IFERROR(VLOOKUP($A882,'Risk Register'!$B$2:$I$1000,8,FALSE()),""))</f>
        <v/>
      </c>
      <c r="P882" s="66"/>
      <c r="Q882" s="66"/>
      <c r="R882" s="66"/>
      <c r="S882" s="66"/>
      <c r="T882" s="64" t="str">
        <f>IF(OR($B882="", $P882="", $Q882="", $R882="", $S882=""),"",ROUND(($P882*Lists!$AN$7)+($Q882*Lists!$AN$8)+($R882*Lists!$AN$9)+($S882*Lists!$AN$10),2))</f>
        <v/>
      </c>
      <c r="U882" s="66"/>
      <c r="V882" s="66"/>
      <c r="W882" s="66"/>
      <c r="X882" s="66"/>
      <c r="Y882" s="66"/>
      <c r="Z882" s="64" t="str">
        <f>IF(OR($B882="", $U882="", $V882="", $W882="", $X882="", $Y882=""),"",ROUND(($U882*Lists!$AN$11)+($V882*Lists!$AN$12)+($W882*Lists!$AN$13)+($X882*Lists!$AN$14)+($Y882*Lists!$AN$15),2))</f>
        <v/>
      </c>
      <c r="AA882" s="64" t="str">
        <f>IF(OR($B882="", $N882="", $O882="", $T882="", $Z882=""),"",ROUND(($N882*Lists!$AN$16)-($O882*Lists!$AN$17)-($T882*Lists!$AN$18)+($Z882*Lists!$AN$19),2))</f>
        <v/>
      </c>
      <c r="AB882" s="63" t="str">
        <f t="shared" si="53"/>
        <v/>
      </c>
      <c r="AC882" s="63" t="str">
        <f t="shared" si="54"/>
        <v/>
      </c>
      <c r="AD882" s="63" t="str">
        <f>IF($A882="","",IFERROR(IF(VLOOKUP($A882,'Risk Register'!$B$2:$H$1000,4,FALSE())&gt;=4,"Yes",""),""))</f>
        <v/>
      </c>
      <c r="AE882" s="63" t="str">
        <f t="shared" si="55"/>
        <v/>
      </c>
      <c r="AF882" s="62"/>
      <c r="AG882" s="62"/>
      <c r="AH882" s="62"/>
      <c r="AI882" s="62"/>
      <c r="AJ882" s="62"/>
      <c r="AK882" s="62"/>
      <c r="AL882" s="62"/>
      <c r="AM882" s="62"/>
      <c r="AN882" s="62"/>
      <c r="AO882" s="62"/>
      <c r="AP882" s="62"/>
      <c r="AQ882" s="80"/>
    </row>
    <row r="883" spans="1:43" ht="15.75" customHeight="1" x14ac:dyDescent="0.2">
      <c r="A883" s="63" t="str">
        <f t="shared" si="52"/>
        <v/>
      </c>
      <c r="B883" s="62"/>
      <c r="C883" s="62"/>
      <c r="D883" s="62"/>
      <c r="E883" s="62"/>
      <c r="F883" s="62"/>
      <c r="G883" s="62"/>
      <c r="H883" s="62"/>
      <c r="I883" s="66"/>
      <c r="J883" s="66"/>
      <c r="K883" s="66"/>
      <c r="L883" s="66"/>
      <c r="M883" s="66"/>
      <c r="N883" s="64" t="str">
        <f>IF(OR($B883="", $I883="", $J883="", $K883="", $L883="", $M883=""),"",ROUND(($I883*Lists!$AN$2)+($J883*Lists!$AN$3)+($K883*Lists!$AN$4)+($L883*Lists!$AN$5)+($M883*Lists!$AN$6),2))</f>
        <v/>
      </c>
      <c r="O883" s="64" t="str">
        <f>IF($A883="","",IFERROR(VLOOKUP($A883,'Risk Register'!$B$2:$I$1000,8,FALSE()),""))</f>
        <v/>
      </c>
      <c r="P883" s="66"/>
      <c r="Q883" s="66"/>
      <c r="R883" s="66"/>
      <c r="S883" s="66"/>
      <c r="T883" s="64" t="str">
        <f>IF(OR($B883="", $P883="", $Q883="", $R883="", $S883=""),"",ROUND(($P883*Lists!$AN$7)+($Q883*Lists!$AN$8)+($R883*Lists!$AN$9)+($S883*Lists!$AN$10),2))</f>
        <v/>
      </c>
      <c r="U883" s="66"/>
      <c r="V883" s="66"/>
      <c r="W883" s="66"/>
      <c r="X883" s="66"/>
      <c r="Y883" s="66"/>
      <c r="Z883" s="64" t="str">
        <f>IF(OR($B883="", $U883="", $V883="", $W883="", $X883="", $Y883=""),"",ROUND(($U883*Lists!$AN$11)+($V883*Lists!$AN$12)+($W883*Lists!$AN$13)+($X883*Lists!$AN$14)+($Y883*Lists!$AN$15),2))</f>
        <v/>
      </c>
      <c r="AA883" s="64" t="str">
        <f>IF(OR($B883="", $N883="", $O883="", $T883="", $Z883=""),"",ROUND(($N883*Lists!$AN$16)-($O883*Lists!$AN$17)-($T883*Lists!$AN$18)+($Z883*Lists!$AN$19),2))</f>
        <v/>
      </c>
      <c r="AB883" s="63" t="str">
        <f t="shared" si="53"/>
        <v/>
      </c>
      <c r="AC883" s="63" t="str">
        <f t="shared" si="54"/>
        <v/>
      </c>
      <c r="AD883" s="63" t="str">
        <f>IF($A883="","",IFERROR(IF(VLOOKUP($A883,'Risk Register'!$B$2:$H$1000,4,FALSE())&gt;=4,"Yes",""),""))</f>
        <v/>
      </c>
      <c r="AE883" s="63" t="str">
        <f t="shared" si="55"/>
        <v/>
      </c>
      <c r="AF883" s="62"/>
      <c r="AG883" s="62"/>
      <c r="AH883" s="62"/>
      <c r="AI883" s="62"/>
      <c r="AJ883" s="62"/>
      <c r="AK883" s="62"/>
      <c r="AL883" s="62"/>
      <c r="AM883" s="62"/>
      <c r="AN883" s="62"/>
      <c r="AO883" s="62"/>
      <c r="AP883" s="62"/>
      <c r="AQ883" s="80"/>
    </row>
    <row r="884" spans="1:43" ht="15.75" customHeight="1" x14ac:dyDescent="0.2">
      <c r="A884" s="63" t="str">
        <f t="shared" si="52"/>
        <v/>
      </c>
      <c r="B884" s="62"/>
      <c r="C884" s="62"/>
      <c r="D884" s="62"/>
      <c r="E884" s="62"/>
      <c r="F884" s="62"/>
      <c r="G884" s="62"/>
      <c r="H884" s="62"/>
      <c r="I884" s="66"/>
      <c r="J884" s="66"/>
      <c r="K884" s="66"/>
      <c r="L884" s="66"/>
      <c r="M884" s="66"/>
      <c r="N884" s="64" t="str">
        <f>IF(OR($B884="", $I884="", $J884="", $K884="", $L884="", $M884=""),"",ROUND(($I884*Lists!$AN$2)+($J884*Lists!$AN$3)+($K884*Lists!$AN$4)+($L884*Lists!$AN$5)+($M884*Lists!$AN$6),2))</f>
        <v/>
      </c>
      <c r="O884" s="64" t="str">
        <f>IF($A884="","",IFERROR(VLOOKUP($A884,'Risk Register'!$B$2:$I$1000,8,FALSE()),""))</f>
        <v/>
      </c>
      <c r="P884" s="66"/>
      <c r="Q884" s="66"/>
      <c r="R884" s="66"/>
      <c r="S884" s="66"/>
      <c r="T884" s="64" t="str">
        <f>IF(OR($B884="", $P884="", $Q884="", $R884="", $S884=""),"",ROUND(($P884*Lists!$AN$7)+($Q884*Lists!$AN$8)+($R884*Lists!$AN$9)+($S884*Lists!$AN$10),2))</f>
        <v/>
      </c>
      <c r="U884" s="66"/>
      <c r="V884" s="66"/>
      <c r="W884" s="66"/>
      <c r="X884" s="66"/>
      <c r="Y884" s="66"/>
      <c r="Z884" s="64" t="str">
        <f>IF(OR($B884="", $U884="", $V884="", $W884="", $X884="", $Y884=""),"",ROUND(($U884*Lists!$AN$11)+($V884*Lists!$AN$12)+($W884*Lists!$AN$13)+($X884*Lists!$AN$14)+($Y884*Lists!$AN$15),2))</f>
        <v/>
      </c>
      <c r="AA884" s="64" t="str">
        <f>IF(OR($B884="", $N884="", $O884="", $T884="", $Z884=""),"",ROUND(($N884*Lists!$AN$16)-($O884*Lists!$AN$17)-($T884*Lists!$AN$18)+($Z884*Lists!$AN$19),2))</f>
        <v/>
      </c>
      <c r="AB884" s="63" t="str">
        <f t="shared" si="53"/>
        <v/>
      </c>
      <c r="AC884" s="63" t="str">
        <f t="shared" si="54"/>
        <v/>
      </c>
      <c r="AD884" s="63" t="str">
        <f>IF($A884="","",IFERROR(IF(VLOOKUP($A884,'Risk Register'!$B$2:$H$1000,4,FALSE())&gt;=4,"Yes",""),""))</f>
        <v/>
      </c>
      <c r="AE884" s="63" t="str">
        <f t="shared" si="55"/>
        <v/>
      </c>
      <c r="AF884" s="62"/>
      <c r="AG884" s="62"/>
      <c r="AH884" s="62"/>
      <c r="AI884" s="62"/>
      <c r="AJ884" s="62"/>
      <c r="AK884" s="62"/>
      <c r="AL884" s="62"/>
      <c r="AM884" s="62"/>
      <c r="AN884" s="62"/>
      <c r="AO884" s="62"/>
      <c r="AP884" s="62"/>
      <c r="AQ884" s="80"/>
    </row>
    <row r="885" spans="1:43" ht="15.75" customHeight="1" x14ac:dyDescent="0.2">
      <c r="A885" s="63" t="str">
        <f t="shared" si="52"/>
        <v/>
      </c>
      <c r="B885" s="62"/>
      <c r="C885" s="62"/>
      <c r="D885" s="62"/>
      <c r="E885" s="62"/>
      <c r="F885" s="62"/>
      <c r="G885" s="62"/>
      <c r="H885" s="62"/>
      <c r="I885" s="66"/>
      <c r="J885" s="66"/>
      <c r="K885" s="66"/>
      <c r="L885" s="66"/>
      <c r="M885" s="66"/>
      <c r="N885" s="64" t="str">
        <f>IF(OR($B885="", $I885="", $J885="", $K885="", $L885="", $M885=""),"",ROUND(($I885*Lists!$AN$2)+($J885*Lists!$AN$3)+($K885*Lists!$AN$4)+($L885*Lists!$AN$5)+($M885*Lists!$AN$6),2))</f>
        <v/>
      </c>
      <c r="O885" s="64" t="str">
        <f>IF($A885="","",IFERROR(VLOOKUP($A885,'Risk Register'!$B$2:$I$1000,8,FALSE()),""))</f>
        <v/>
      </c>
      <c r="P885" s="66"/>
      <c r="Q885" s="66"/>
      <c r="R885" s="66"/>
      <c r="S885" s="66"/>
      <c r="T885" s="64" t="str">
        <f>IF(OR($B885="", $P885="", $Q885="", $R885="", $S885=""),"",ROUND(($P885*Lists!$AN$7)+($Q885*Lists!$AN$8)+($R885*Lists!$AN$9)+($S885*Lists!$AN$10),2))</f>
        <v/>
      </c>
      <c r="U885" s="66"/>
      <c r="V885" s="66"/>
      <c r="W885" s="66"/>
      <c r="X885" s="66"/>
      <c r="Y885" s="66"/>
      <c r="Z885" s="64" t="str">
        <f>IF(OR($B885="", $U885="", $V885="", $W885="", $X885="", $Y885=""),"",ROUND(($U885*Lists!$AN$11)+($V885*Lists!$AN$12)+($W885*Lists!$AN$13)+($X885*Lists!$AN$14)+($Y885*Lists!$AN$15),2))</f>
        <v/>
      </c>
      <c r="AA885" s="64" t="str">
        <f>IF(OR($B885="", $N885="", $O885="", $T885="", $Z885=""),"",ROUND(($N885*Lists!$AN$16)-($O885*Lists!$AN$17)-($T885*Lists!$AN$18)+($Z885*Lists!$AN$19),2))</f>
        <v/>
      </c>
      <c r="AB885" s="63" t="str">
        <f t="shared" si="53"/>
        <v/>
      </c>
      <c r="AC885" s="63" t="str">
        <f t="shared" si="54"/>
        <v/>
      </c>
      <c r="AD885" s="63" t="str">
        <f>IF($A885="","",IFERROR(IF(VLOOKUP($A885,'Risk Register'!$B$2:$H$1000,4,FALSE())&gt;=4,"Yes",""),""))</f>
        <v/>
      </c>
      <c r="AE885" s="63" t="str">
        <f t="shared" si="55"/>
        <v/>
      </c>
      <c r="AF885" s="62"/>
      <c r="AG885" s="62"/>
      <c r="AH885" s="62"/>
      <c r="AI885" s="62"/>
      <c r="AJ885" s="62"/>
      <c r="AK885" s="62"/>
      <c r="AL885" s="62"/>
      <c r="AM885" s="62"/>
      <c r="AN885" s="62"/>
      <c r="AO885" s="62"/>
      <c r="AP885" s="62"/>
      <c r="AQ885" s="80"/>
    </row>
    <row r="886" spans="1:43" ht="15.75" customHeight="1" x14ac:dyDescent="0.2">
      <c r="A886" s="63" t="str">
        <f t="shared" si="52"/>
        <v/>
      </c>
      <c r="B886" s="62"/>
      <c r="C886" s="62"/>
      <c r="D886" s="62"/>
      <c r="E886" s="62"/>
      <c r="F886" s="62"/>
      <c r="G886" s="62"/>
      <c r="H886" s="62"/>
      <c r="I886" s="66"/>
      <c r="J886" s="66"/>
      <c r="K886" s="66"/>
      <c r="L886" s="66"/>
      <c r="M886" s="66"/>
      <c r="N886" s="64" t="str">
        <f>IF(OR($B886="", $I886="", $J886="", $K886="", $L886="", $M886=""),"",ROUND(($I886*Lists!$AN$2)+($J886*Lists!$AN$3)+($K886*Lists!$AN$4)+($L886*Lists!$AN$5)+($M886*Lists!$AN$6),2))</f>
        <v/>
      </c>
      <c r="O886" s="64" t="str">
        <f>IF($A886="","",IFERROR(VLOOKUP($A886,'Risk Register'!$B$2:$I$1000,8,FALSE()),""))</f>
        <v/>
      </c>
      <c r="P886" s="66"/>
      <c r="Q886" s="66"/>
      <c r="R886" s="66"/>
      <c r="S886" s="66"/>
      <c r="T886" s="64" t="str">
        <f>IF(OR($B886="", $P886="", $Q886="", $R886="", $S886=""),"",ROUND(($P886*Lists!$AN$7)+($Q886*Lists!$AN$8)+($R886*Lists!$AN$9)+($S886*Lists!$AN$10),2))</f>
        <v/>
      </c>
      <c r="U886" s="66"/>
      <c r="V886" s="66"/>
      <c r="W886" s="66"/>
      <c r="X886" s="66"/>
      <c r="Y886" s="66"/>
      <c r="Z886" s="64" t="str">
        <f>IF(OR($B886="", $U886="", $V886="", $W886="", $X886="", $Y886=""),"",ROUND(($U886*Lists!$AN$11)+($V886*Lists!$AN$12)+($W886*Lists!$AN$13)+($X886*Lists!$AN$14)+($Y886*Lists!$AN$15),2))</f>
        <v/>
      </c>
      <c r="AA886" s="64" t="str">
        <f>IF(OR($B886="", $N886="", $O886="", $T886="", $Z886=""),"",ROUND(($N886*Lists!$AN$16)-($O886*Lists!$AN$17)-($T886*Lists!$AN$18)+($Z886*Lists!$AN$19),2))</f>
        <v/>
      </c>
      <c r="AB886" s="63" t="str">
        <f t="shared" si="53"/>
        <v/>
      </c>
      <c r="AC886" s="63" t="str">
        <f t="shared" si="54"/>
        <v/>
      </c>
      <c r="AD886" s="63" t="str">
        <f>IF($A886="","",IFERROR(IF(VLOOKUP($A886,'Risk Register'!$B$2:$H$1000,4,FALSE())&gt;=4,"Yes",""),""))</f>
        <v/>
      </c>
      <c r="AE886" s="63" t="str">
        <f t="shared" si="55"/>
        <v/>
      </c>
      <c r="AF886" s="62"/>
      <c r="AG886" s="62"/>
      <c r="AH886" s="62"/>
      <c r="AI886" s="62"/>
      <c r="AJ886" s="62"/>
      <c r="AK886" s="62"/>
      <c r="AL886" s="62"/>
      <c r="AM886" s="62"/>
      <c r="AN886" s="62"/>
      <c r="AO886" s="62"/>
      <c r="AP886" s="62"/>
      <c r="AQ886" s="80"/>
    </row>
    <row r="887" spans="1:43" ht="15.75" customHeight="1" x14ac:dyDescent="0.2">
      <c r="A887" s="63" t="str">
        <f t="shared" si="52"/>
        <v/>
      </c>
      <c r="B887" s="62"/>
      <c r="C887" s="62"/>
      <c r="D887" s="62"/>
      <c r="E887" s="62"/>
      <c r="F887" s="62"/>
      <c r="G887" s="62"/>
      <c r="H887" s="62"/>
      <c r="I887" s="66"/>
      <c r="J887" s="66"/>
      <c r="K887" s="66"/>
      <c r="L887" s="66"/>
      <c r="M887" s="66"/>
      <c r="N887" s="64" t="str">
        <f>IF(OR($B887="", $I887="", $J887="", $K887="", $L887="", $M887=""),"",ROUND(($I887*Lists!$AN$2)+($J887*Lists!$AN$3)+($K887*Lists!$AN$4)+($L887*Lists!$AN$5)+($M887*Lists!$AN$6),2))</f>
        <v/>
      </c>
      <c r="O887" s="64" t="str">
        <f>IF($A887="","",IFERROR(VLOOKUP($A887,'Risk Register'!$B$2:$I$1000,8,FALSE()),""))</f>
        <v/>
      </c>
      <c r="P887" s="66"/>
      <c r="Q887" s="66"/>
      <c r="R887" s="66"/>
      <c r="S887" s="66"/>
      <c r="T887" s="64" t="str">
        <f>IF(OR($B887="", $P887="", $Q887="", $R887="", $S887=""),"",ROUND(($P887*Lists!$AN$7)+($Q887*Lists!$AN$8)+($R887*Lists!$AN$9)+($S887*Lists!$AN$10),2))</f>
        <v/>
      </c>
      <c r="U887" s="66"/>
      <c r="V887" s="66"/>
      <c r="W887" s="66"/>
      <c r="X887" s="66"/>
      <c r="Y887" s="66"/>
      <c r="Z887" s="64" t="str">
        <f>IF(OR($B887="", $U887="", $V887="", $W887="", $X887="", $Y887=""),"",ROUND(($U887*Lists!$AN$11)+($V887*Lists!$AN$12)+($W887*Lists!$AN$13)+($X887*Lists!$AN$14)+($Y887*Lists!$AN$15),2))</f>
        <v/>
      </c>
      <c r="AA887" s="64" t="str">
        <f>IF(OR($B887="", $N887="", $O887="", $T887="", $Z887=""),"",ROUND(($N887*Lists!$AN$16)-($O887*Lists!$AN$17)-($T887*Lists!$AN$18)+($Z887*Lists!$AN$19),2))</f>
        <v/>
      </c>
      <c r="AB887" s="63" t="str">
        <f t="shared" si="53"/>
        <v/>
      </c>
      <c r="AC887" s="63" t="str">
        <f t="shared" si="54"/>
        <v/>
      </c>
      <c r="AD887" s="63" t="str">
        <f>IF($A887="","",IFERROR(IF(VLOOKUP($A887,'Risk Register'!$B$2:$H$1000,4,FALSE())&gt;=4,"Yes",""),""))</f>
        <v/>
      </c>
      <c r="AE887" s="63" t="str">
        <f t="shared" si="55"/>
        <v/>
      </c>
      <c r="AF887" s="62"/>
      <c r="AG887" s="62"/>
      <c r="AH887" s="62"/>
      <c r="AI887" s="62"/>
      <c r="AJ887" s="62"/>
      <c r="AK887" s="62"/>
      <c r="AL887" s="62"/>
      <c r="AM887" s="62"/>
      <c r="AN887" s="62"/>
      <c r="AO887" s="62"/>
      <c r="AP887" s="62"/>
      <c r="AQ887" s="80"/>
    </row>
    <row r="888" spans="1:43" ht="15.75" customHeight="1" x14ac:dyDescent="0.2">
      <c r="A888" s="63" t="str">
        <f t="shared" si="52"/>
        <v/>
      </c>
      <c r="B888" s="62"/>
      <c r="C888" s="62"/>
      <c r="D888" s="62"/>
      <c r="E888" s="62"/>
      <c r="F888" s="62"/>
      <c r="G888" s="62"/>
      <c r="H888" s="62"/>
      <c r="I888" s="66"/>
      <c r="J888" s="66"/>
      <c r="K888" s="66"/>
      <c r="L888" s="66"/>
      <c r="M888" s="66"/>
      <c r="N888" s="64" t="str">
        <f>IF(OR($B888="", $I888="", $J888="", $K888="", $L888="", $M888=""),"",ROUND(($I888*Lists!$AN$2)+($J888*Lists!$AN$3)+($K888*Lists!$AN$4)+($L888*Lists!$AN$5)+($M888*Lists!$AN$6),2))</f>
        <v/>
      </c>
      <c r="O888" s="64" t="str">
        <f>IF($A888="","",IFERROR(VLOOKUP($A888,'Risk Register'!$B$2:$I$1000,8,FALSE()),""))</f>
        <v/>
      </c>
      <c r="P888" s="66"/>
      <c r="Q888" s="66"/>
      <c r="R888" s="66"/>
      <c r="S888" s="66"/>
      <c r="T888" s="64" t="str">
        <f>IF(OR($B888="", $P888="", $Q888="", $R888="", $S888=""),"",ROUND(($P888*Lists!$AN$7)+($Q888*Lists!$AN$8)+($R888*Lists!$AN$9)+($S888*Lists!$AN$10),2))</f>
        <v/>
      </c>
      <c r="U888" s="66"/>
      <c r="V888" s="66"/>
      <c r="W888" s="66"/>
      <c r="X888" s="66"/>
      <c r="Y888" s="66"/>
      <c r="Z888" s="64" t="str">
        <f>IF(OR($B888="", $U888="", $V888="", $W888="", $X888="", $Y888=""),"",ROUND(($U888*Lists!$AN$11)+($V888*Lists!$AN$12)+($W888*Lists!$AN$13)+($X888*Lists!$AN$14)+($Y888*Lists!$AN$15),2))</f>
        <v/>
      </c>
      <c r="AA888" s="64" t="str">
        <f>IF(OR($B888="", $N888="", $O888="", $T888="", $Z888=""),"",ROUND(($N888*Lists!$AN$16)-($O888*Lists!$AN$17)-($T888*Lists!$AN$18)+($Z888*Lists!$AN$19),2))</f>
        <v/>
      </c>
      <c r="AB888" s="63" t="str">
        <f t="shared" si="53"/>
        <v/>
      </c>
      <c r="AC888" s="63" t="str">
        <f t="shared" si="54"/>
        <v/>
      </c>
      <c r="AD888" s="63" t="str">
        <f>IF($A888="","",IFERROR(IF(VLOOKUP($A888,'Risk Register'!$B$2:$H$1000,4,FALSE())&gt;=4,"Yes",""),""))</f>
        <v/>
      </c>
      <c r="AE888" s="63" t="str">
        <f t="shared" si="55"/>
        <v/>
      </c>
      <c r="AF888" s="62"/>
      <c r="AG888" s="62"/>
      <c r="AH888" s="62"/>
      <c r="AI888" s="62"/>
      <c r="AJ888" s="62"/>
      <c r="AK888" s="62"/>
      <c r="AL888" s="62"/>
      <c r="AM888" s="62"/>
      <c r="AN888" s="62"/>
      <c r="AO888" s="62"/>
      <c r="AP888" s="62"/>
      <c r="AQ888" s="80"/>
    </row>
    <row r="889" spans="1:43" ht="15.75" customHeight="1" x14ac:dyDescent="0.2">
      <c r="A889" s="63" t="str">
        <f t="shared" si="52"/>
        <v/>
      </c>
      <c r="B889" s="62"/>
      <c r="C889" s="62"/>
      <c r="D889" s="62"/>
      <c r="E889" s="62"/>
      <c r="F889" s="62"/>
      <c r="G889" s="62"/>
      <c r="H889" s="62"/>
      <c r="I889" s="66"/>
      <c r="J889" s="66"/>
      <c r="K889" s="66"/>
      <c r="L889" s="66"/>
      <c r="M889" s="66"/>
      <c r="N889" s="64" t="str">
        <f>IF(OR($B889="", $I889="", $J889="", $K889="", $L889="", $M889=""),"",ROUND(($I889*Lists!$AN$2)+($J889*Lists!$AN$3)+($K889*Lists!$AN$4)+($L889*Lists!$AN$5)+($M889*Lists!$AN$6),2))</f>
        <v/>
      </c>
      <c r="O889" s="64" t="str">
        <f>IF($A889="","",IFERROR(VLOOKUP($A889,'Risk Register'!$B$2:$I$1000,8,FALSE()),""))</f>
        <v/>
      </c>
      <c r="P889" s="66"/>
      <c r="Q889" s="66"/>
      <c r="R889" s="66"/>
      <c r="S889" s="66"/>
      <c r="T889" s="64" t="str">
        <f>IF(OR($B889="", $P889="", $Q889="", $R889="", $S889=""),"",ROUND(($P889*Lists!$AN$7)+($Q889*Lists!$AN$8)+($R889*Lists!$AN$9)+($S889*Lists!$AN$10),2))</f>
        <v/>
      </c>
      <c r="U889" s="66"/>
      <c r="V889" s="66"/>
      <c r="W889" s="66"/>
      <c r="X889" s="66"/>
      <c r="Y889" s="66"/>
      <c r="Z889" s="64" t="str">
        <f>IF(OR($B889="", $U889="", $V889="", $W889="", $X889="", $Y889=""),"",ROUND(($U889*Lists!$AN$11)+($V889*Lists!$AN$12)+($W889*Lists!$AN$13)+($X889*Lists!$AN$14)+($Y889*Lists!$AN$15),2))</f>
        <v/>
      </c>
      <c r="AA889" s="64" t="str">
        <f>IF(OR($B889="", $N889="", $O889="", $T889="", $Z889=""),"",ROUND(($N889*Lists!$AN$16)-($O889*Lists!$AN$17)-($T889*Lists!$AN$18)+($Z889*Lists!$AN$19),2))</f>
        <v/>
      </c>
      <c r="AB889" s="63" t="str">
        <f t="shared" si="53"/>
        <v/>
      </c>
      <c r="AC889" s="63" t="str">
        <f t="shared" si="54"/>
        <v/>
      </c>
      <c r="AD889" s="63" t="str">
        <f>IF($A889="","",IFERROR(IF(VLOOKUP($A889,'Risk Register'!$B$2:$H$1000,4,FALSE())&gt;=4,"Yes",""),""))</f>
        <v/>
      </c>
      <c r="AE889" s="63" t="str">
        <f t="shared" si="55"/>
        <v/>
      </c>
      <c r="AF889" s="62"/>
      <c r="AG889" s="62"/>
      <c r="AH889" s="62"/>
      <c r="AI889" s="62"/>
      <c r="AJ889" s="62"/>
      <c r="AK889" s="62"/>
      <c r="AL889" s="62"/>
      <c r="AM889" s="62"/>
      <c r="AN889" s="62"/>
      <c r="AO889" s="62"/>
      <c r="AP889" s="62"/>
      <c r="AQ889" s="80"/>
    </row>
    <row r="890" spans="1:43" ht="15.75" customHeight="1" x14ac:dyDescent="0.2">
      <c r="A890" s="63" t="str">
        <f t="shared" si="52"/>
        <v/>
      </c>
      <c r="B890" s="62"/>
      <c r="C890" s="62"/>
      <c r="D890" s="62"/>
      <c r="E890" s="62"/>
      <c r="F890" s="62"/>
      <c r="G890" s="62"/>
      <c r="H890" s="62"/>
      <c r="I890" s="66"/>
      <c r="J890" s="66"/>
      <c r="K890" s="66"/>
      <c r="L890" s="66"/>
      <c r="M890" s="66"/>
      <c r="N890" s="64" t="str">
        <f>IF(OR($B890="", $I890="", $J890="", $K890="", $L890="", $M890=""),"",ROUND(($I890*Lists!$AN$2)+($J890*Lists!$AN$3)+($K890*Lists!$AN$4)+($L890*Lists!$AN$5)+($M890*Lists!$AN$6),2))</f>
        <v/>
      </c>
      <c r="O890" s="64" t="str">
        <f>IF($A890="","",IFERROR(VLOOKUP($A890,'Risk Register'!$B$2:$I$1000,8,FALSE()),""))</f>
        <v/>
      </c>
      <c r="P890" s="66"/>
      <c r="Q890" s="66"/>
      <c r="R890" s="66"/>
      <c r="S890" s="66"/>
      <c r="T890" s="64" t="str">
        <f>IF(OR($B890="", $P890="", $Q890="", $R890="", $S890=""),"",ROUND(($P890*Lists!$AN$7)+($Q890*Lists!$AN$8)+($R890*Lists!$AN$9)+($S890*Lists!$AN$10),2))</f>
        <v/>
      </c>
      <c r="U890" s="66"/>
      <c r="V890" s="66"/>
      <c r="W890" s="66"/>
      <c r="X890" s="66"/>
      <c r="Y890" s="66"/>
      <c r="Z890" s="64" t="str">
        <f>IF(OR($B890="", $U890="", $V890="", $W890="", $X890="", $Y890=""),"",ROUND(($U890*Lists!$AN$11)+($V890*Lists!$AN$12)+($W890*Lists!$AN$13)+($X890*Lists!$AN$14)+($Y890*Lists!$AN$15),2))</f>
        <v/>
      </c>
      <c r="AA890" s="64" t="str">
        <f>IF(OR($B890="", $N890="", $O890="", $T890="", $Z890=""),"",ROUND(($N890*Lists!$AN$16)-($O890*Lists!$AN$17)-($T890*Lists!$AN$18)+($Z890*Lists!$AN$19),2))</f>
        <v/>
      </c>
      <c r="AB890" s="63" t="str">
        <f t="shared" si="53"/>
        <v/>
      </c>
      <c r="AC890" s="63" t="str">
        <f t="shared" si="54"/>
        <v/>
      </c>
      <c r="AD890" s="63" t="str">
        <f>IF($A890="","",IFERROR(IF(VLOOKUP($A890,'Risk Register'!$B$2:$H$1000,4,FALSE())&gt;=4,"Yes",""),""))</f>
        <v/>
      </c>
      <c r="AE890" s="63" t="str">
        <f t="shared" si="55"/>
        <v/>
      </c>
      <c r="AF890" s="62"/>
      <c r="AG890" s="62"/>
      <c r="AH890" s="62"/>
      <c r="AI890" s="62"/>
      <c r="AJ890" s="62"/>
      <c r="AK890" s="62"/>
      <c r="AL890" s="62"/>
      <c r="AM890" s="62"/>
      <c r="AN890" s="62"/>
      <c r="AO890" s="62"/>
      <c r="AP890" s="62"/>
      <c r="AQ890" s="80"/>
    </row>
    <row r="891" spans="1:43" ht="15.75" customHeight="1" x14ac:dyDescent="0.2">
      <c r="A891" s="63" t="str">
        <f t="shared" si="52"/>
        <v/>
      </c>
      <c r="B891" s="62"/>
      <c r="C891" s="62"/>
      <c r="D891" s="62"/>
      <c r="E891" s="62"/>
      <c r="F891" s="62"/>
      <c r="G891" s="62"/>
      <c r="H891" s="62"/>
      <c r="I891" s="66"/>
      <c r="J891" s="66"/>
      <c r="K891" s="66"/>
      <c r="L891" s="66"/>
      <c r="M891" s="66"/>
      <c r="N891" s="64" t="str">
        <f>IF(OR($B891="", $I891="", $J891="", $K891="", $L891="", $M891=""),"",ROUND(($I891*Lists!$AN$2)+($J891*Lists!$AN$3)+($K891*Lists!$AN$4)+($L891*Lists!$AN$5)+($M891*Lists!$AN$6),2))</f>
        <v/>
      </c>
      <c r="O891" s="64" t="str">
        <f>IF($A891="","",IFERROR(VLOOKUP($A891,'Risk Register'!$B$2:$I$1000,8,FALSE()),""))</f>
        <v/>
      </c>
      <c r="P891" s="66"/>
      <c r="Q891" s="66"/>
      <c r="R891" s="66"/>
      <c r="S891" s="66"/>
      <c r="T891" s="64" t="str">
        <f>IF(OR($B891="", $P891="", $Q891="", $R891="", $S891=""),"",ROUND(($P891*Lists!$AN$7)+($Q891*Lists!$AN$8)+($R891*Lists!$AN$9)+($S891*Lists!$AN$10),2))</f>
        <v/>
      </c>
      <c r="U891" s="66"/>
      <c r="V891" s="66"/>
      <c r="W891" s="66"/>
      <c r="X891" s="66"/>
      <c r="Y891" s="66"/>
      <c r="Z891" s="64" t="str">
        <f>IF(OR($B891="", $U891="", $V891="", $W891="", $X891="", $Y891=""),"",ROUND(($U891*Lists!$AN$11)+($V891*Lists!$AN$12)+($W891*Lists!$AN$13)+($X891*Lists!$AN$14)+($Y891*Lists!$AN$15),2))</f>
        <v/>
      </c>
      <c r="AA891" s="64" t="str">
        <f>IF(OR($B891="", $N891="", $O891="", $T891="", $Z891=""),"",ROUND(($N891*Lists!$AN$16)-($O891*Lists!$AN$17)-($T891*Lists!$AN$18)+($Z891*Lists!$AN$19),2))</f>
        <v/>
      </c>
      <c r="AB891" s="63" t="str">
        <f t="shared" si="53"/>
        <v/>
      </c>
      <c r="AC891" s="63" t="str">
        <f t="shared" si="54"/>
        <v/>
      </c>
      <c r="AD891" s="63" t="str">
        <f>IF($A891="","",IFERROR(IF(VLOOKUP($A891,'Risk Register'!$B$2:$H$1000,4,FALSE())&gt;=4,"Yes",""),""))</f>
        <v/>
      </c>
      <c r="AE891" s="63" t="str">
        <f t="shared" si="55"/>
        <v/>
      </c>
      <c r="AF891" s="62"/>
      <c r="AG891" s="62"/>
      <c r="AH891" s="62"/>
      <c r="AI891" s="62"/>
      <c r="AJ891" s="62"/>
      <c r="AK891" s="62"/>
      <c r="AL891" s="62"/>
      <c r="AM891" s="62"/>
      <c r="AN891" s="62"/>
      <c r="AO891" s="62"/>
      <c r="AP891" s="62"/>
      <c r="AQ891" s="80"/>
    </row>
    <row r="892" spans="1:43" ht="15.75" customHeight="1" x14ac:dyDescent="0.2">
      <c r="A892" s="63" t="str">
        <f t="shared" si="52"/>
        <v/>
      </c>
      <c r="B892" s="62"/>
      <c r="C892" s="62"/>
      <c r="D892" s="62"/>
      <c r="E892" s="62"/>
      <c r="F892" s="62"/>
      <c r="G892" s="62"/>
      <c r="H892" s="62"/>
      <c r="I892" s="66"/>
      <c r="J892" s="66"/>
      <c r="K892" s="66"/>
      <c r="L892" s="66"/>
      <c r="M892" s="66"/>
      <c r="N892" s="64" t="str">
        <f>IF(OR($B892="", $I892="", $J892="", $K892="", $L892="", $M892=""),"",ROUND(($I892*Lists!$AN$2)+($J892*Lists!$AN$3)+($K892*Lists!$AN$4)+($L892*Lists!$AN$5)+($M892*Lists!$AN$6),2))</f>
        <v/>
      </c>
      <c r="O892" s="64" t="str">
        <f>IF($A892="","",IFERROR(VLOOKUP($A892,'Risk Register'!$B$2:$I$1000,8,FALSE()),""))</f>
        <v/>
      </c>
      <c r="P892" s="66"/>
      <c r="Q892" s="66"/>
      <c r="R892" s="66"/>
      <c r="S892" s="66"/>
      <c r="T892" s="64" t="str">
        <f>IF(OR($B892="", $P892="", $Q892="", $R892="", $S892=""),"",ROUND(($P892*Lists!$AN$7)+($Q892*Lists!$AN$8)+($R892*Lists!$AN$9)+($S892*Lists!$AN$10),2))</f>
        <v/>
      </c>
      <c r="U892" s="66"/>
      <c r="V892" s="66"/>
      <c r="W892" s="66"/>
      <c r="X892" s="66"/>
      <c r="Y892" s="66"/>
      <c r="Z892" s="64" t="str">
        <f>IF(OR($B892="", $U892="", $V892="", $W892="", $X892="", $Y892=""),"",ROUND(($U892*Lists!$AN$11)+($V892*Lists!$AN$12)+($W892*Lists!$AN$13)+($X892*Lists!$AN$14)+($Y892*Lists!$AN$15),2))</f>
        <v/>
      </c>
      <c r="AA892" s="64" t="str">
        <f>IF(OR($B892="", $N892="", $O892="", $T892="", $Z892=""),"",ROUND(($N892*Lists!$AN$16)-($O892*Lists!$AN$17)-($T892*Lists!$AN$18)+($Z892*Lists!$AN$19),2))</f>
        <v/>
      </c>
      <c r="AB892" s="63" t="str">
        <f t="shared" si="53"/>
        <v/>
      </c>
      <c r="AC892" s="63" t="str">
        <f t="shared" si="54"/>
        <v/>
      </c>
      <c r="AD892" s="63" t="str">
        <f>IF($A892="","",IFERROR(IF(VLOOKUP($A892,'Risk Register'!$B$2:$H$1000,4,FALSE())&gt;=4,"Yes",""),""))</f>
        <v/>
      </c>
      <c r="AE892" s="63" t="str">
        <f t="shared" si="55"/>
        <v/>
      </c>
      <c r="AF892" s="62"/>
      <c r="AG892" s="62"/>
      <c r="AH892" s="62"/>
      <c r="AI892" s="62"/>
      <c r="AJ892" s="62"/>
      <c r="AK892" s="62"/>
      <c r="AL892" s="62"/>
      <c r="AM892" s="62"/>
      <c r="AN892" s="62"/>
      <c r="AO892" s="62"/>
      <c r="AP892" s="62"/>
      <c r="AQ892" s="80"/>
    </row>
    <row r="893" spans="1:43" ht="15.75" customHeight="1" x14ac:dyDescent="0.2">
      <c r="A893" s="63" t="str">
        <f t="shared" si="52"/>
        <v/>
      </c>
      <c r="B893" s="62"/>
      <c r="C893" s="62"/>
      <c r="D893" s="62"/>
      <c r="E893" s="62"/>
      <c r="F893" s="62"/>
      <c r="G893" s="62"/>
      <c r="H893" s="62"/>
      <c r="I893" s="66"/>
      <c r="J893" s="66"/>
      <c r="K893" s="66"/>
      <c r="L893" s="66"/>
      <c r="M893" s="66"/>
      <c r="N893" s="64" t="str">
        <f>IF(OR($B893="", $I893="", $J893="", $K893="", $L893="", $M893=""),"",ROUND(($I893*Lists!$AN$2)+($J893*Lists!$AN$3)+($K893*Lists!$AN$4)+($L893*Lists!$AN$5)+($M893*Lists!$AN$6),2))</f>
        <v/>
      </c>
      <c r="O893" s="64" t="str">
        <f>IF($A893="","",IFERROR(VLOOKUP($A893,'Risk Register'!$B$2:$I$1000,8,FALSE()),""))</f>
        <v/>
      </c>
      <c r="P893" s="66"/>
      <c r="Q893" s="66"/>
      <c r="R893" s="66"/>
      <c r="S893" s="66"/>
      <c r="T893" s="64" t="str">
        <f>IF(OR($B893="", $P893="", $Q893="", $R893="", $S893=""),"",ROUND(($P893*Lists!$AN$7)+($Q893*Lists!$AN$8)+($R893*Lists!$AN$9)+($S893*Lists!$AN$10),2))</f>
        <v/>
      </c>
      <c r="U893" s="66"/>
      <c r="V893" s="66"/>
      <c r="W893" s="66"/>
      <c r="X893" s="66"/>
      <c r="Y893" s="66"/>
      <c r="Z893" s="64" t="str">
        <f>IF(OR($B893="", $U893="", $V893="", $W893="", $X893="", $Y893=""),"",ROUND(($U893*Lists!$AN$11)+($V893*Lists!$AN$12)+($W893*Lists!$AN$13)+($X893*Lists!$AN$14)+($Y893*Lists!$AN$15),2))</f>
        <v/>
      </c>
      <c r="AA893" s="64" t="str">
        <f>IF(OR($B893="", $N893="", $O893="", $T893="", $Z893=""),"",ROUND(($N893*Lists!$AN$16)-($O893*Lists!$AN$17)-($T893*Lists!$AN$18)+($Z893*Lists!$AN$19),2))</f>
        <v/>
      </c>
      <c r="AB893" s="63" t="str">
        <f t="shared" si="53"/>
        <v/>
      </c>
      <c r="AC893" s="63" t="str">
        <f t="shared" si="54"/>
        <v/>
      </c>
      <c r="AD893" s="63" t="str">
        <f>IF($A893="","",IFERROR(IF(VLOOKUP($A893,'Risk Register'!$B$2:$H$1000,4,FALSE())&gt;=4,"Yes",""),""))</f>
        <v/>
      </c>
      <c r="AE893" s="63" t="str">
        <f t="shared" si="55"/>
        <v/>
      </c>
      <c r="AF893" s="62"/>
      <c r="AG893" s="62"/>
      <c r="AH893" s="62"/>
      <c r="AI893" s="62"/>
      <c r="AJ893" s="62"/>
      <c r="AK893" s="62"/>
      <c r="AL893" s="62"/>
      <c r="AM893" s="62"/>
      <c r="AN893" s="62"/>
      <c r="AO893" s="62"/>
      <c r="AP893" s="62"/>
      <c r="AQ893" s="80"/>
    </row>
    <row r="894" spans="1:43" ht="15.75" customHeight="1" x14ac:dyDescent="0.2">
      <c r="A894" s="63" t="str">
        <f t="shared" si="52"/>
        <v/>
      </c>
      <c r="B894" s="62"/>
      <c r="C894" s="62"/>
      <c r="D894" s="62"/>
      <c r="E894" s="62"/>
      <c r="F894" s="62"/>
      <c r="G894" s="62"/>
      <c r="H894" s="62"/>
      <c r="I894" s="66"/>
      <c r="J894" s="66"/>
      <c r="K894" s="66"/>
      <c r="L894" s="66"/>
      <c r="M894" s="66"/>
      <c r="N894" s="64" t="str">
        <f>IF(OR($B894="", $I894="", $J894="", $K894="", $L894="", $M894=""),"",ROUND(($I894*Lists!$AN$2)+($J894*Lists!$AN$3)+($K894*Lists!$AN$4)+($L894*Lists!$AN$5)+($M894*Lists!$AN$6),2))</f>
        <v/>
      </c>
      <c r="O894" s="64" t="str">
        <f>IF($A894="","",IFERROR(VLOOKUP($A894,'Risk Register'!$B$2:$I$1000,8,FALSE()),""))</f>
        <v/>
      </c>
      <c r="P894" s="66"/>
      <c r="Q894" s="66"/>
      <c r="R894" s="66"/>
      <c r="S894" s="66"/>
      <c r="T894" s="64" t="str">
        <f>IF(OR($B894="", $P894="", $Q894="", $R894="", $S894=""),"",ROUND(($P894*Lists!$AN$7)+($Q894*Lists!$AN$8)+($R894*Lists!$AN$9)+($S894*Lists!$AN$10),2))</f>
        <v/>
      </c>
      <c r="U894" s="66"/>
      <c r="V894" s="66"/>
      <c r="W894" s="66"/>
      <c r="X894" s="66"/>
      <c r="Y894" s="66"/>
      <c r="Z894" s="64" t="str">
        <f>IF(OR($B894="", $U894="", $V894="", $W894="", $X894="", $Y894=""),"",ROUND(($U894*Lists!$AN$11)+($V894*Lists!$AN$12)+($W894*Lists!$AN$13)+($X894*Lists!$AN$14)+($Y894*Lists!$AN$15),2))</f>
        <v/>
      </c>
      <c r="AA894" s="64" t="str">
        <f>IF(OR($B894="", $N894="", $O894="", $T894="", $Z894=""),"",ROUND(($N894*Lists!$AN$16)-($O894*Lists!$AN$17)-($T894*Lists!$AN$18)+($Z894*Lists!$AN$19),2))</f>
        <v/>
      </c>
      <c r="AB894" s="63" t="str">
        <f t="shared" si="53"/>
        <v/>
      </c>
      <c r="AC894" s="63" t="str">
        <f t="shared" si="54"/>
        <v/>
      </c>
      <c r="AD894" s="63" t="str">
        <f>IF($A894="","",IFERROR(IF(VLOOKUP($A894,'Risk Register'!$B$2:$H$1000,4,FALSE())&gt;=4,"Yes",""),""))</f>
        <v/>
      </c>
      <c r="AE894" s="63" t="str">
        <f t="shared" si="55"/>
        <v/>
      </c>
      <c r="AF894" s="62"/>
      <c r="AG894" s="62"/>
      <c r="AH894" s="62"/>
      <c r="AI894" s="62"/>
      <c r="AJ894" s="62"/>
      <c r="AK894" s="62"/>
      <c r="AL894" s="62"/>
      <c r="AM894" s="62"/>
      <c r="AN894" s="62"/>
      <c r="AO894" s="62"/>
      <c r="AP894" s="62"/>
      <c r="AQ894" s="80"/>
    </row>
    <row r="895" spans="1:43" ht="15.75" customHeight="1" x14ac:dyDescent="0.2">
      <c r="A895" s="63" t="str">
        <f t="shared" si="52"/>
        <v/>
      </c>
      <c r="B895" s="62"/>
      <c r="C895" s="62"/>
      <c r="D895" s="62"/>
      <c r="E895" s="62"/>
      <c r="F895" s="62"/>
      <c r="G895" s="62"/>
      <c r="H895" s="62"/>
      <c r="I895" s="66"/>
      <c r="J895" s="66"/>
      <c r="K895" s="66"/>
      <c r="L895" s="66"/>
      <c r="M895" s="66"/>
      <c r="N895" s="64" t="str">
        <f>IF(OR($B895="", $I895="", $J895="", $K895="", $L895="", $M895=""),"",ROUND(($I895*Lists!$AN$2)+($J895*Lists!$AN$3)+($K895*Lists!$AN$4)+($L895*Lists!$AN$5)+($M895*Lists!$AN$6),2))</f>
        <v/>
      </c>
      <c r="O895" s="64" t="str">
        <f>IF($A895="","",IFERROR(VLOOKUP($A895,'Risk Register'!$B$2:$I$1000,8,FALSE()),""))</f>
        <v/>
      </c>
      <c r="P895" s="66"/>
      <c r="Q895" s="66"/>
      <c r="R895" s="66"/>
      <c r="S895" s="66"/>
      <c r="T895" s="64" t="str">
        <f>IF(OR($B895="", $P895="", $Q895="", $R895="", $S895=""),"",ROUND(($P895*Lists!$AN$7)+($Q895*Lists!$AN$8)+($R895*Lists!$AN$9)+($S895*Lists!$AN$10),2))</f>
        <v/>
      </c>
      <c r="U895" s="66"/>
      <c r="V895" s="66"/>
      <c r="W895" s="66"/>
      <c r="X895" s="66"/>
      <c r="Y895" s="66"/>
      <c r="Z895" s="64" t="str">
        <f>IF(OR($B895="", $U895="", $V895="", $W895="", $X895="", $Y895=""),"",ROUND(($U895*Lists!$AN$11)+($V895*Lists!$AN$12)+($W895*Lists!$AN$13)+($X895*Lists!$AN$14)+($Y895*Lists!$AN$15),2))</f>
        <v/>
      </c>
      <c r="AA895" s="64" t="str">
        <f>IF(OR($B895="", $N895="", $O895="", $T895="", $Z895=""),"",ROUND(($N895*Lists!$AN$16)-($O895*Lists!$AN$17)-($T895*Lists!$AN$18)+($Z895*Lists!$AN$19),2))</f>
        <v/>
      </c>
      <c r="AB895" s="63" t="str">
        <f t="shared" si="53"/>
        <v/>
      </c>
      <c r="AC895" s="63" t="str">
        <f t="shared" si="54"/>
        <v/>
      </c>
      <c r="AD895" s="63" t="str">
        <f>IF($A895="","",IFERROR(IF(VLOOKUP($A895,'Risk Register'!$B$2:$H$1000,4,FALSE())&gt;=4,"Yes",""),""))</f>
        <v/>
      </c>
      <c r="AE895" s="63" t="str">
        <f t="shared" si="55"/>
        <v/>
      </c>
      <c r="AF895" s="62"/>
      <c r="AG895" s="62"/>
      <c r="AH895" s="62"/>
      <c r="AI895" s="62"/>
      <c r="AJ895" s="62"/>
      <c r="AK895" s="62"/>
      <c r="AL895" s="62"/>
      <c r="AM895" s="62"/>
      <c r="AN895" s="62"/>
      <c r="AO895" s="62"/>
      <c r="AP895" s="62"/>
      <c r="AQ895" s="80"/>
    </row>
    <row r="896" spans="1:43" ht="15.75" customHeight="1" x14ac:dyDescent="0.2">
      <c r="A896" s="63" t="str">
        <f t="shared" si="52"/>
        <v/>
      </c>
      <c r="B896" s="62"/>
      <c r="C896" s="62"/>
      <c r="D896" s="62"/>
      <c r="E896" s="62"/>
      <c r="F896" s="62"/>
      <c r="G896" s="62"/>
      <c r="H896" s="62"/>
      <c r="I896" s="66"/>
      <c r="J896" s="66"/>
      <c r="K896" s="66"/>
      <c r="L896" s="66"/>
      <c r="M896" s="66"/>
      <c r="N896" s="64" t="str">
        <f>IF(OR($B896="", $I896="", $J896="", $K896="", $L896="", $M896=""),"",ROUND(($I896*Lists!$AN$2)+($J896*Lists!$AN$3)+($K896*Lists!$AN$4)+($L896*Lists!$AN$5)+($M896*Lists!$AN$6),2))</f>
        <v/>
      </c>
      <c r="O896" s="64" t="str">
        <f>IF($A896="","",IFERROR(VLOOKUP($A896,'Risk Register'!$B$2:$I$1000,8,FALSE()),""))</f>
        <v/>
      </c>
      <c r="P896" s="66"/>
      <c r="Q896" s="66"/>
      <c r="R896" s="66"/>
      <c r="S896" s="66"/>
      <c r="T896" s="64" t="str">
        <f>IF(OR($B896="", $P896="", $Q896="", $R896="", $S896=""),"",ROUND(($P896*Lists!$AN$7)+($Q896*Lists!$AN$8)+($R896*Lists!$AN$9)+($S896*Lists!$AN$10),2))</f>
        <v/>
      </c>
      <c r="U896" s="66"/>
      <c r="V896" s="66"/>
      <c r="W896" s="66"/>
      <c r="X896" s="66"/>
      <c r="Y896" s="66"/>
      <c r="Z896" s="64" t="str">
        <f>IF(OR($B896="", $U896="", $V896="", $W896="", $X896="", $Y896=""),"",ROUND(($U896*Lists!$AN$11)+($V896*Lists!$AN$12)+($W896*Lists!$AN$13)+($X896*Lists!$AN$14)+($Y896*Lists!$AN$15),2))</f>
        <v/>
      </c>
      <c r="AA896" s="64" t="str">
        <f>IF(OR($B896="", $N896="", $O896="", $T896="", $Z896=""),"",ROUND(($N896*Lists!$AN$16)-($O896*Lists!$AN$17)-($T896*Lists!$AN$18)+($Z896*Lists!$AN$19),2))</f>
        <v/>
      </c>
      <c r="AB896" s="63" t="str">
        <f t="shared" si="53"/>
        <v/>
      </c>
      <c r="AC896" s="63" t="str">
        <f t="shared" si="54"/>
        <v/>
      </c>
      <c r="AD896" s="63" t="str">
        <f>IF($A896="","",IFERROR(IF(VLOOKUP($A896,'Risk Register'!$B$2:$H$1000,4,FALSE())&gt;=4,"Yes",""),""))</f>
        <v/>
      </c>
      <c r="AE896" s="63" t="str">
        <f t="shared" si="55"/>
        <v/>
      </c>
      <c r="AF896" s="62"/>
      <c r="AG896" s="62"/>
      <c r="AH896" s="62"/>
      <c r="AI896" s="62"/>
      <c r="AJ896" s="62"/>
      <c r="AK896" s="62"/>
      <c r="AL896" s="62"/>
      <c r="AM896" s="62"/>
      <c r="AN896" s="62"/>
      <c r="AO896" s="62"/>
      <c r="AP896" s="62"/>
      <c r="AQ896" s="80"/>
    </row>
    <row r="897" spans="1:43" ht="15.75" customHeight="1" x14ac:dyDescent="0.2">
      <c r="A897" s="63" t="str">
        <f t="shared" si="52"/>
        <v/>
      </c>
      <c r="B897" s="62"/>
      <c r="C897" s="62"/>
      <c r="D897" s="62"/>
      <c r="E897" s="62"/>
      <c r="F897" s="62"/>
      <c r="G897" s="62"/>
      <c r="H897" s="62"/>
      <c r="I897" s="66"/>
      <c r="J897" s="66"/>
      <c r="K897" s="66"/>
      <c r="L897" s="66"/>
      <c r="M897" s="66"/>
      <c r="N897" s="64" t="str">
        <f>IF(OR($B897="", $I897="", $J897="", $K897="", $L897="", $M897=""),"",ROUND(($I897*Lists!$AN$2)+($J897*Lists!$AN$3)+($K897*Lists!$AN$4)+($L897*Lists!$AN$5)+($M897*Lists!$AN$6),2))</f>
        <v/>
      </c>
      <c r="O897" s="64" t="str">
        <f>IF($A897="","",IFERROR(VLOOKUP($A897,'Risk Register'!$B$2:$I$1000,8,FALSE()),""))</f>
        <v/>
      </c>
      <c r="P897" s="66"/>
      <c r="Q897" s="66"/>
      <c r="R897" s="66"/>
      <c r="S897" s="66"/>
      <c r="T897" s="64" t="str">
        <f>IF(OR($B897="", $P897="", $Q897="", $R897="", $S897=""),"",ROUND(($P897*Lists!$AN$7)+($Q897*Lists!$AN$8)+($R897*Lists!$AN$9)+($S897*Lists!$AN$10),2))</f>
        <v/>
      </c>
      <c r="U897" s="66"/>
      <c r="V897" s="66"/>
      <c r="W897" s="66"/>
      <c r="X897" s="66"/>
      <c r="Y897" s="66"/>
      <c r="Z897" s="64" t="str">
        <f>IF(OR($B897="", $U897="", $V897="", $W897="", $X897="", $Y897=""),"",ROUND(($U897*Lists!$AN$11)+($V897*Lists!$AN$12)+($W897*Lists!$AN$13)+($X897*Lists!$AN$14)+($Y897*Lists!$AN$15),2))</f>
        <v/>
      </c>
      <c r="AA897" s="64" t="str">
        <f>IF(OR($B897="", $N897="", $O897="", $T897="", $Z897=""),"",ROUND(($N897*Lists!$AN$16)-($O897*Lists!$AN$17)-($T897*Lists!$AN$18)+($Z897*Lists!$AN$19),2))</f>
        <v/>
      </c>
      <c r="AB897" s="63" t="str">
        <f t="shared" si="53"/>
        <v/>
      </c>
      <c r="AC897" s="63" t="str">
        <f t="shared" si="54"/>
        <v/>
      </c>
      <c r="AD897" s="63" t="str">
        <f>IF($A897="","",IFERROR(IF(VLOOKUP($A897,'Risk Register'!$B$2:$H$1000,4,FALSE())&gt;=4,"Yes",""),""))</f>
        <v/>
      </c>
      <c r="AE897" s="63" t="str">
        <f t="shared" si="55"/>
        <v/>
      </c>
      <c r="AF897" s="62"/>
      <c r="AG897" s="62"/>
      <c r="AH897" s="62"/>
      <c r="AI897" s="62"/>
      <c r="AJ897" s="62"/>
      <c r="AK897" s="62"/>
      <c r="AL897" s="62"/>
      <c r="AM897" s="62"/>
      <c r="AN897" s="62"/>
      <c r="AO897" s="62"/>
      <c r="AP897" s="62"/>
      <c r="AQ897" s="80"/>
    </row>
    <row r="898" spans="1:43" ht="15.75" customHeight="1" x14ac:dyDescent="0.2">
      <c r="A898" s="63" t="str">
        <f t="shared" si="52"/>
        <v/>
      </c>
      <c r="B898" s="62"/>
      <c r="C898" s="62"/>
      <c r="D898" s="62"/>
      <c r="E898" s="62"/>
      <c r="F898" s="62"/>
      <c r="G898" s="62"/>
      <c r="H898" s="62"/>
      <c r="I898" s="66"/>
      <c r="J898" s="66"/>
      <c r="K898" s="66"/>
      <c r="L898" s="66"/>
      <c r="M898" s="66"/>
      <c r="N898" s="64" t="str">
        <f>IF(OR($B898="", $I898="", $J898="", $K898="", $L898="", $M898=""),"",ROUND(($I898*Lists!$AN$2)+($J898*Lists!$AN$3)+($K898*Lists!$AN$4)+($L898*Lists!$AN$5)+($M898*Lists!$AN$6),2))</f>
        <v/>
      </c>
      <c r="O898" s="64" t="str">
        <f>IF($A898="","",IFERROR(VLOOKUP($A898,'Risk Register'!$B$2:$I$1000,8,FALSE()),""))</f>
        <v/>
      </c>
      <c r="P898" s="66"/>
      <c r="Q898" s="66"/>
      <c r="R898" s="66"/>
      <c r="S898" s="66"/>
      <c r="T898" s="64" t="str">
        <f>IF(OR($B898="", $P898="", $Q898="", $R898="", $S898=""),"",ROUND(($P898*Lists!$AN$7)+($Q898*Lists!$AN$8)+($R898*Lists!$AN$9)+($S898*Lists!$AN$10),2))</f>
        <v/>
      </c>
      <c r="U898" s="66"/>
      <c r="V898" s="66"/>
      <c r="W898" s="66"/>
      <c r="X898" s="66"/>
      <c r="Y898" s="66"/>
      <c r="Z898" s="64" t="str">
        <f>IF(OR($B898="", $U898="", $V898="", $W898="", $X898="", $Y898=""),"",ROUND(($U898*Lists!$AN$11)+($V898*Lists!$AN$12)+($W898*Lists!$AN$13)+($X898*Lists!$AN$14)+($Y898*Lists!$AN$15),2))</f>
        <v/>
      </c>
      <c r="AA898" s="64" t="str">
        <f>IF(OR($B898="", $N898="", $O898="", $T898="", $Z898=""),"",ROUND(($N898*Lists!$AN$16)-($O898*Lists!$AN$17)-($T898*Lists!$AN$18)+($Z898*Lists!$AN$19),2))</f>
        <v/>
      </c>
      <c r="AB898" s="63" t="str">
        <f t="shared" si="53"/>
        <v/>
      </c>
      <c r="AC898" s="63" t="str">
        <f t="shared" si="54"/>
        <v/>
      </c>
      <c r="AD898" s="63" t="str">
        <f>IF($A898="","",IFERROR(IF(VLOOKUP($A898,'Risk Register'!$B$2:$H$1000,4,FALSE())&gt;=4,"Yes",""),""))</f>
        <v/>
      </c>
      <c r="AE898" s="63" t="str">
        <f t="shared" si="55"/>
        <v/>
      </c>
      <c r="AF898" s="62"/>
      <c r="AG898" s="62"/>
      <c r="AH898" s="62"/>
      <c r="AI898" s="62"/>
      <c r="AJ898" s="62"/>
      <c r="AK898" s="62"/>
      <c r="AL898" s="62"/>
      <c r="AM898" s="62"/>
      <c r="AN898" s="62"/>
      <c r="AO898" s="62"/>
      <c r="AP898" s="62"/>
      <c r="AQ898" s="80"/>
    </row>
    <row r="899" spans="1:43" ht="15.75" customHeight="1" x14ac:dyDescent="0.2">
      <c r="A899" s="63" t="str">
        <f t="shared" si="52"/>
        <v/>
      </c>
      <c r="B899" s="62"/>
      <c r="C899" s="62"/>
      <c r="D899" s="62"/>
      <c r="E899" s="62"/>
      <c r="F899" s="62"/>
      <c r="G899" s="62"/>
      <c r="H899" s="62"/>
      <c r="I899" s="66"/>
      <c r="J899" s="66"/>
      <c r="K899" s="66"/>
      <c r="L899" s="66"/>
      <c r="M899" s="66"/>
      <c r="N899" s="64" t="str">
        <f>IF(OR($B899="", $I899="", $J899="", $K899="", $L899="", $M899=""),"",ROUND(($I899*Lists!$AN$2)+($J899*Lists!$AN$3)+($K899*Lists!$AN$4)+($L899*Lists!$AN$5)+($M899*Lists!$AN$6),2))</f>
        <v/>
      </c>
      <c r="O899" s="64" t="str">
        <f>IF($A899="","",IFERROR(VLOOKUP($A899,'Risk Register'!$B$2:$I$1000,8,FALSE()),""))</f>
        <v/>
      </c>
      <c r="P899" s="66"/>
      <c r="Q899" s="66"/>
      <c r="R899" s="66"/>
      <c r="S899" s="66"/>
      <c r="T899" s="64" t="str">
        <f>IF(OR($B899="", $P899="", $Q899="", $R899="", $S899=""),"",ROUND(($P899*Lists!$AN$7)+($Q899*Lists!$AN$8)+($R899*Lists!$AN$9)+($S899*Lists!$AN$10),2))</f>
        <v/>
      </c>
      <c r="U899" s="66"/>
      <c r="V899" s="66"/>
      <c r="W899" s="66"/>
      <c r="X899" s="66"/>
      <c r="Y899" s="66"/>
      <c r="Z899" s="64" t="str">
        <f>IF(OR($B899="", $U899="", $V899="", $W899="", $X899="", $Y899=""),"",ROUND(($U899*Lists!$AN$11)+($V899*Lists!$AN$12)+($W899*Lists!$AN$13)+($X899*Lists!$AN$14)+($Y899*Lists!$AN$15),2))</f>
        <v/>
      </c>
      <c r="AA899" s="64" t="str">
        <f>IF(OR($B899="", $N899="", $O899="", $T899="", $Z899=""),"",ROUND(($N899*Lists!$AN$16)-($O899*Lists!$AN$17)-($T899*Lists!$AN$18)+($Z899*Lists!$AN$19),2))</f>
        <v/>
      </c>
      <c r="AB899" s="63" t="str">
        <f t="shared" si="53"/>
        <v/>
      </c>
      <c r="AC899" s="63" t="str">
        <f t="shared" si="54"/>
        <v/>
      </c>
      <c r="AD899" s="63" t="str">
        <f>IF($A899="","",IFERROR(IF(VLOOKUP($A899,'Risk Register'!$B$2:$H$1000,4,FALSE())&gt;=4,"Yes",""),""))</f>
        <v/>
      </c>
      <c r="AE899" s="63" t="str">
        <f t="shared" si="55"/>
        <v/>
      </c>
      <c r="AF899" s="62"/>
      <c r="AG899" s="62"/>
      <c r="AH899" s="62"/>
      <c r="AI899" s="62"/>
      <c r="AJ899" s="62"/>
      <c r="AK899" s="62"/>
      <c r="AL899" s="62"/>
      <c r="AM899" s="62"/>
      <c r="AN899" s="62"/>
      <c r="AO899" s="62"/>
      <c r="AP899" s="62"/>
      <c r="AQ899" s="80"/>
    </row>
    <row r="900" spans="1:43" ht="15.75" customHeight="1" x14ac:dyDescent="0.2">
      <c r="A900" s="63" t="str">
        <f t="shared" si="52"/>
        <v/>
      </c>
      <c r="B900" s="62"/>
      <c r="C900" s="62"/>
      <c r="D900" s="62"/>
      <c r="E900" s="62"/>
      <c r="F900" s="62"/>
      <c r="G900" s="62"/>
      <c r="H900" s="62"/>
      <c r="I900" s="66"/>
      <c r="J900" s="66"/>
      <c r="K900" s="66"/>
      <c r="L900" s="66"/>
      <c r="M900" s="66"/>
      <c r="N900" s="64" t="str">
        <f>IF(OR($B900="", $I900="", $J900="", $K900="", $L900="", $M900=""),"",ROUND(($I900*Lists!$AN$2)+($J900*Lists!$AN$3)+($K900*Lists!$AN$4)+($L900*Lists!$AN$5)+($M900*Lists!$AN$6),2))</f>
        <v/>
      </c>
      <c r="O900" s="64" t="str">
        <f>IF($A900="","",IFERROR(VLOOKUP($A900,'Risk Register'!$B$2:$I$1000,8,FALSE()),""))</f>
        <v/>
      </c>
      <c r="P900" s="66"/>
      <c r="Q900" s="66"/>
      <c r="R900" s="66"/>
      <c r="S900" s="66"/>
      <c r="T900" s="64" t="str">
        <f>IF(OR($B900="", $P900="", $Q900="", $R900="", $S900=""),"",ROUND(($P900*Lists!$AN$7)+($Q900*Lists!$AN$8)+($R900*Lists!$AN$9)+($S900*Lists!$AN$10),2))</f>
        <v/>
      </c>
      <c r="U900" s="66"/>
      <c r="V900" s="66"/>
      <c r="W900" s="66"/>
      <c r="X900" s="66"/>
      <c r="Y900" s="66"/>
      <c r="Z900" s="64" t="str">
        <f>IF(OR($B900="", $U900="", $V900="", $W900="", $X900="", $Y900=""),"",ROUND(($U900*Lists!$AN$11)+($V900*Lists!$AN$12)+($W900*Lists!$AN$13)+($X900*Lists!$AN$14)+($Y900*Lists!$AN$15),2))</f>
        <v/>
      </c>
      <c r="AA900" s="64" t="str">
        <f>IF(OR($B900="", $N900="", $O900="", $T900="", $Z900=""),"",ROUND(($N900*Lists!$AN$16)-($O900*Lists!$AN$17)-($T900*Lists!$AN$18)+($Z900*Lists!$AN$19),2))</f>
        <v/>
      </c>
      <c r="AB900" s="63" t="str">
        <f t="shared" si="53"/>
        <v/>
      </c>
      <c r="AC900" s="63" t="str">
        <f t="shared" si="54"/>
        <v/>
      </c>
      <c r="AD900" s="63" t="str">
        <f>IF($A900="","",IFERROR(IF(VLOOKUP($A900,'Risk Register'!$B$2:$H$1000,4,FALSE())&gt;=4,"Yes",""),""))</f>
        <v/>
      </c>
      <c r="AE900" s="63" t="str">
        <f t="shared" si="55"/>
        <v/>
      </c>
      <c r="AF900" s="62"/>
      <c r="AG900" s="62"/>
      <c r="AH900" s="62"/>
      <c r="AI900" s="62"/>
      <c r="AJ900" s="62"/>
      <c r="AK900" s="62"/>
      <c r="AL900" s="62"/>
      <c r="AM900" s="62"/>
      <c r="AN900" s="62"/>
      <c r="AO900" s="62"/>
      <c r="AP900" s="62"/>
      <c r="AQ900" s="80"/>
    </row>
    <row r="901" spans="1:43" ht="15.75" customHeight="1" x14ac:dyDescent="0.2">
      <c r="A901" s="63" t="str">
        <f t="shared" si="52"/>
        <v/>
      </c>
      <c r="B901" s="62"/>
      <c r="C901" s="62"/>
      <c r="D901" s="62"/>
      <c r="E901" s="62"/>
      <c r="F901" s="62"/>
      <c r="G901" s="62"/>
      <c r="H901" s="62"/>
      <c r="I901" s="66"/>
      <c r="J901" s="66"/>
      <c r="K901" s="66"/>
      <c r="L901" s="66"/>
      <c r="M901" s="66"/>
      <c r="N901" s="64" t="str">
        <f>IF(OR($B901="", $I901="", $J901="", $K901="", $L901="", $M901=""),"",ROUND(($I901*Lists!$AN$2)+($J901*Lists!$AN$3)+($K901*Lists!$AN$4)+($L901*Lists!$AN$5)+($M901*Lists!$AN$6),2))</f>
        <v/>
      </c>
      <c r="O901" s="64" t="str">
        <f>IF($A901="","",IFERROR(VLOOKUP($A901,'Risk Register'!$B$2:$I$1000,8,FALSE()),""))</f>
        <v/>
      </c>
      <c r="P901" s="66"/>
      <c r="Q901" s="66"/>
      <c r="R901" s="66"/>
      <c r="S901" s="66"/>
      <c r="T901" s="64" t="str">
        <f>IF(OR($B901="", $P901="", $Q901="", $R901="", $S901=""),"",ROUND(($P901*Lists!$AN$7)+($Q901*Lists!$AN$8)+($R901*Lists!$AN$9)+($S901*Lists!$AN$10),2))</f>
        <v/>
      </c>
      <c r="U901" s="66"/>
      <c r="V901" s="66"/>
      <c r="W901" s="66"/>
      <c r="X901" s="66"/>
      <c r="Y901" s="66"/>
      <c r="Z901" s="64" t="str">
        <f>IF(OR($B901="", $U901="", $V901="", $W901="", $X901="", $Y901=""),"",ROUND(($U901*Lists!$AN$11)+($V901*Lists!$AN$12)+($W901*Lists!$AN$13)+($X901*Lists!$AN$14)+($Y901*Lists!$AN$15),2))</f>
        <v/>
      </c>
      <c r="AA901" s="64" t="str">
        <f>IF(OR($B901="", $N901="", $O901="", $T901="", $Z901=""),"",ROUND(($N901*Lists!$AN$16)-($O901*Lists!$AN$17)-($T901*Lists!$AN$18)+($Z901*Lists!$AN$19),2))</f>
        <v/>
      </c>
      <c r="AB901" s="63" t="str">
        <f t="shared" si="53"/>
        <v/>
      </c>
      <c r="AC901" s="63" t="str">
        <f t="shared" si="54"/>
        <v/>
      </c>
      <c r="AD901" s="63" t="str">
        <f>IF($A901="","",IFERROR(IF(VLOOKUP($A901,'Risk Register'!$B$2:$H$1000,4,FALSE())&gt;=4,"Yes",""),""))</f>
        <v/>
      </c>
      <c r="AE901" s="63" t="str">
        <f t="shared" si="55"/>
        <v/>
      </c>
      <c r="AF901" s="62"/>
      <c r="AG901" s="62"/>
      <c r="AH901" s="62"/>
      <c r="AI901" s="62"/>
      <c r="AJ901" s="62"/>
      <c r="AK901" s="62"/>
      <c r="AL901" s="62"/>
      <c r="AM901" s="62"/>
      <c r="AN901" s="62"/>
      <c r="AO901" s="62"/>
      <c r="AP901" s="62"/>
      <c r="AQ901" s="80"/>
    </row>
    <row r="902" spans="1:43" ht="15.75" customHeight="1" x14ac:dyDescent="0.2">
      <c r="A902" s="63" t="str">
        <f t="shared" si="52"/>
        <v/>
      </c>
      <c r="B902" s="62"/>
      <c r="C902" s="62"/>
      <c r="D902" s="62"/>
      <c r="E902" s="62"/>
      <c r="F902" s="62"/>
      <c r="G902" s="62"/>
      <c r="H902" s="62"/>
      <c r="I902" s="66"/>
      <c r="J902" s="66"/>
      <c r="K902" s="66"/>
      <c r="L902" s="66"/>
      <c r="M902" s="66"/>
      <c r="N902" s="64" t="str">
        <f>IF(OR($B902="", $I902="", $J902="", $K902="", $L902="", $M902=""),"",ROUND(($I902*Lists!$AN$2)+($J902*Lists!$AN$3)+($K902*Lists!$AN$4)+($L902*Lists!$AN$5)+($M902*Lists!$AN$6),2))</f>
        <v/>
      </c>
      <c r="O902" s="64" t="str">
        <f>IF($A902="","",IFERROR(VLOOKUP($A902,'Risk Register'!$B$2:$I$1000,8,FALSE()),""))</f>
        <v/>
      </c>
      <c r="P902" s="66"/>
      <c r="Q902" s="66"/>
      <c r="R902" s="66"/>
      <c r="S902" s="66"/>
      <c r="T902" s="64" t="str">
        <f>IF(OR($B902="", $P902="", $Q902="", $R902="", $S902=""),"",ROUND(($P902*Lists!$AN$7)+($Q902*Lists!$AN$8)+($R902*Lists!$AN$9)+($S902*Lists!$AN$10),2))</f>
        <v/>
      </c>
      <c r="U902" s="66"/>
      <c r="V902" s="66"/>
      <c r="W902" s="66"/>
      <c r="X902" s="66"/>
      <c r="Y902" s="66"/>
      <c r="Z902" s="64" t="str">
        <f>IF(OR($B902="", $U902="", $V902="", $W902="", $X902="", $Y902=""),"",ROUND(($U902*Lists!$AN$11)+($V902*Lists!$AN$12)+($W902*Lists!$AN$13)+($X902*Lists!$AN$14)+($Y902*Lists!$AN$15),2))</f>
        <v/>
      </c>
      <c r="AA902" s="64" t="str">
        <f>IF(OR($B902="", $N902="", $O902="", $T902="", $Z902=""),"",ROUND(($N902*Lists!$AN$16)-($O902*Lists!$AN$17)-($T902*Lists!$AN$18)+($Z902*Lists!$AN$19),2))</f>
        <v/>
      </c>
      <c r="AB902" s="63" t="str">
        <f t="shared" si="53"/>
        <v/>
      </c>
      <c r="AC902" s="63" t="str">
        <f t="shared" si="54"/>
        <v/>
      </c>
      <c r="AD902" s="63" t="str">
        <f>IF($A902="","",IFERROR(IF(VLOOKUP($A902,'Risk Register'!$B$2:$H$1000,4,FALSE())&gt;=4,"Yes",""),""))</f>
        <v/>
      </c>
      <c r="AE902" s="63" t="str">
        <f t="shared" si="55"/>
        <v/>
      </c>
      <c r="AF902" s="62"/>
      <c r="AG902" s="62"/>
      <c r="AH902" s="62"/>
      <c r="AI902" s="62"/>
      <c r="AJ902" s="62"/>
      <c r="AK902" s="62"/>
      <c r="AL902" s="62"/>
      <c r="AM902" s="62"/>
      <c r="AN902" s="62"/>
      <c r="AO902" s="62"/>
      <c r="AP902" s="62"/>
      <c r="AQ902" s="80"/>
    </row>
    <row r="903" spans="1:43" ht="15.75" customHeight="1" x14ac:dyDescent="0.2">
      <c r="A903" s="63" t="str">
        <f t="shared" si="52"/>
        <v/>
      </c>
      <c r="B903" s="62"/>
      <c r="C903" s="62"/>
      <c r="D903" s="62"/>
      <c r="E903" s="62"/>
      <c r="F903" s="62"/>
      <c r="G903" s="62"/>
      <c r="H903" s="62"/>
      <c r="I903" s="66"/>
      <c r="J903" s="66"/>
      <c r="K903" s="66"/>
      <c r="L903" s="66"/>
      <c r="M903" s="66"/>
      <c r="N903" s="64" t="str">
        <f>IF(OR($B903="", $I903="", $J903="", $K903="", $L903="", $M903=""),"",ROUND(($I903*Lists!$AN$2)+($J903*Lists!$AN$3)+($K903*Lists!$AN$4)+($L903*Lists!$AN$5)+($M903*Lists!$AN$6),2))</f>
        <v/>
      </c>
      <c r="O903" s="64" t="str">
        <f>IF($A903="","",IFERROR(VLOOKUP($A903,'Risk Register'!$B$2:$I$1000,8,FALSE()),""))</f>
        <v/>
      </c>
      <c r="P903" s="66"/>
      <c r="Q903" s="66"/>
      <c r="R903" s="66"/>
      <c r="S903" s="66"/>
      <c r="T903" s="64" t="str">
        <f>IF(OR($B903="", $P903="", $Q903="", $R903="", $S903=""),"",ROUND(($P903*Lists!$AN$7)+($Q903*Lists!$AN$8)+($R903*Lists!$AN$9)+($S903*Lists!$AN$10),2))</f>
        <v/>
      </c>
      <c r="U903" s="66"/>
      <c r="V903" s="66"/>
      <c r="W903" s="66"/>
      <c r="X903" s="66"/>
      <c r="Y903" s="66"/>
      <c r="Z903" s="64" t="str">
        <f>IF(OR($B903="", $U903="", $V903="", $W903="", $X903="", $Y903=""),"",ROUND(($U903*Lists!$AN$11)+($V903*Lists!$AN$12)+($W903*Lists!$AN$13)+($X903*Lists!$AN$14)+($Y903*Lists!$AN$15),2))</f>
        <v/>
      </c>
      <c r="AA903" s="64" t="str">
        <f>IF(OR($B903="", $N903="", $O903="", $T903="", $Z903=""),"",ROUND(($N903*Lists!$AN$16)-($O903*Lists!$AN$17)-($T903*Lists!$AN$18)+($Z903*Lists!$AN$19),2))</f>
        <v/>
      </c>
      <c r="AB903" s="63" t="str">
        <f t="shared" si="53"/>
        <v/>
      </c>
      <c r="AC903" s="63" t="str">
        <f t="shared" si="54"/>
        <v/>
      </c>
      <c r="AD903" s="63" t="str">
        <f>IF($A903="","",IFERROR(IF(VLOOKUP($A903,'Risk Register'!$B$2:$H$1000,4,FALSE())&gt;=4,"Yes",""),""))</f>
        <v/>
      </c>
      <c r="AE903" s="63" t="str">
        <f t="shared" si="55"/>
        <v/>
      </c>
      <c r="AF903" s="62"/>
      <c r="AG903" s="62"/>
      <c r="AH903" s="62"/>
      <c r="AI903" s="62"/>
      <c r="AJ903" s="62"/>
      <c r="AK903" s="62"/>
      <c r="AL903" s="62"/>
      <c r="AM903" s="62"/>
      <c r="AN903" s="62"/>
      <c r="AO903" s="62"/>
      <c r="AP903" s="62"/>
      <c r="AQ903" s="80"/>
    </row>
    <row r="904" spans="1:43" ht="15.75" customHeight="1" x14ac:dyDescent="0.2">
      <c r="A904" s="63" t="str">
        <f t="shared" si="52"/>
        <v/>
      </c>
      <c r="B904" s="62"/>
      <c r="C904" s="62"/>
      <c r="D904" s="62"/>
      <c r="E904" s="62"/>
      <c r="F904" s="62"/>
      <c r="G904" s="62"/>
      <c r="H904" s="62"/>
      <c r="I904" s="66"/>
      <c r="J904" s="66"/>
      <c r="K904" s="66"/>
      <c r="L904" s="66"/>
      <c r="M904" s="66"/>
      <c r="N904" s="64" t="str">
        <f>IF(OR($B904="", $I904="", $J904="", $K904="", $L904="", $M904=""),"",ROUND(($I904*Lists!$AN$2)+($J904*Lists!$AN$3)+($K904*Lists!$AN$4)+($L904*Lists!$AN$5)+($M904*Lists!$AN$6),2))</f>
        <v/>
      </c>
      <c r="O904" s="64" t="str">
        <f>IF($A904="","",IFERROR(VLOOKUP($A904,'Risk Register'!$B$2:$I$1000,8,FALSE()),""))</f>
        <v/>
      </c>
      <c r="P904" s="66"/>
      <c r="Q904" s="66"/>
      <c r="R904" s="66"/>
      <c r="S904" s="66"/>
      <c r="T904" s="64" t="str">
        <f>IF(OR($B904="", $P904="", $Q904="", $R904="", $S904=""),"",ROUND(($P904*Lists!$AN$7)+($Q904*Lists!$AN$8)+($R904*Lists!$AN$9)+($S904*Lists!$AN$10),2))</f>
        <v/>
      </c>
      <c r="U904" s="66"/>
      <c r="V904" s="66"/>
      <c r="W904" s="66"/>
      <c r="X904" s="66"/>
      <c r="Y904" s="66"/>
      <c r="Z904" s="64" t="str">
        <f>IF(OR($B904="", $U904="", $V904="", $W904="", $X904="", $Y904=""),"",ROUND(($U904*Lists!$AN$11)+($V904*Lists!$AN$12)+($W904*Lists!$AN$13)+($X904*Lists!$AN$14)+($Y904*Lists!$AN$15),2))</f>
        <v/>
      </c>
      <c r="AA904" s="64" t="str">
        <f>IF(OR($B904="", $N904="", $O904="", $T904="", $Z904=""),"",ROUND(($N904*Lists!$AN$16)-($O904*Lists!$AN$17)-($T904*Lists!$AN$18)+($Z904*Lists!$AN$19),2))</f>
        <v/>
      </c>
      <c r="AB904" s="63" t="str">
        <f t="shared" si="53"/>
        <v/>
      </c>
      <c r="AC904" s="63" t="str">
        <f t="shared" si="54"/>
        <v/>
      </c>
      <c r="AD904" s="63" t="str">
        <f>IF($A904="","",IFERROR(IF(VLOOKUP($A904,'Risk Register'!$B$2:$H$1000,4,FALSE())&gt;=4,"Yes",""),""))</f>
        <v/>
      </c>
      <c r="AE904" s="63" t="str">
        <f t="shared" si="55"/>
        <v/>
      </c>
      <c r="AF904" s="62"/>
      <c r="AG904" s="62"/>
      <c r="AH904" s="62"/>
      <c r="AI904" s="62"/>
      <c r="AJ904" s="62"/>
      <c r="AK904" s="62"/>
      <c r="AL904" s="62"/>
      <c r="AM904" s="62"/>
      <c r="AN904" s="62"/>
      <c r="AO904" s="62"/>
      <c r="AP904" s="62"/>
      <c r="AQ904" s="80"/>
    </row>
    <row r="905" spans="1:43" ht="15.75" customHeight="1" x14ac:dyDescent="0.2">
      <c r="A905" s="63" t="str">
        <f t="shared" si="52"/>
        <v/>
      </c>
      <c r="B905" s="62"/>
      <c r="C905" s="62"/>
      <c r="D905" s="62"/>
      <c r="E905" s="62"/>
      <c r="F905" s="62"/>
      <c r="G905" s="62"/>
      <c r="H905" s="62"/>
      <c r="I905" s="66"/>
      <c r="J905" s="66"/>
      <c r="K905" s="66"/>
      <c r="L905" s="66"/>
      <c r="M905" s="66"/>
      <c r="N905" s="64" t="str">
        <f>IF(OR($B905="", $I905="", $J905="", $K905="", $L905="", $M905=""),"",ROUND(($I905*Lists!$AN$2)+($J905*Lists!$AN$3)+($K905*Lists!$AN$4)+($L905*Lists!$AN$5)+($M905*Lists!$AN$6),2))</f>
        <v/>
      </c>
      <c r="O905" s="64" t="str">
        <f>IF($A905="","",IFERROR(VLOOKUP($A905,'Risk Register'!$B$2:$I$1000,8,FALSE()),""))</f>
        <v/>
      </c>
      <c r="P905" s="66"/>
      <c r="Q905" s="66"/>
      <c r="R905" s="66"/>
      <c r="S905" s="66"/>
      <c r="T905" s="64" t="str">
        <f>IF(OR($B905="", $P905="", $Q905="", $R905="", $S905=""),"",ROUND(($P905*Lists!$AN$7)+($Q905*Lists!$AN$8)+($R905*Lists!$AN$9)+($S905*Lists!$AN$10),2))</f>
        <v/>
      </c>
      <c r="U905" s="66"/>
      <c r="V905" s="66"/>
      <c r="W905" s="66"/>
      <c r="X905" s="66"/>
      <c r="Y905" s="66"/>
      <c r="Z905" s="64" t="str">
        <f>IF(OR($B905="", $U905="", $V905="", $W905="", $X905="", $Y905=""),"",ROUND(($U905*Lists!$AN$11)+($V905*Lists!$AN$12)+($W905*Lists!$AN$13)+($X905*Lists!$AN$14)+($Y905*Lists!$AN$15),2))</f>
        <v/>
      </c>
      <c r="AA905" s="64" t="str">
        <f>IF(OR($B905="", $N905="", $O905="", $T905="", $Z905=""),"",ROUND(($N905*Lists!$AN$16)-($O905*Lists!$AN$17)-($T905*Lists!$AN$18)+($Z905*Lists!$AN$19),2))</f>
        <v/>
      </c>
      <c r="AB905" s="63" t="str">
        <f t="shared" si="53"/>
        <v/>
      </c>
      <c r="AC905" s="63" t="str">
        <f t="shared" si="54"/>
        <v/>
      </c>
      <c r="AD905" s="63" t="str">
        <f>IF($A905="","",IFERROR(IF(VLOOKUP($A905,'Risk Register'!$B$2:$H$1000,4,FALSE())&gt;=4,"Yes",""),""))</f>
        <v/>
      </c>
      <c r="AE905" s="63" t="str">
        <f t="shared" si="55"/>
        <v/>
      </c>
      <c r="AF905" s="62"/>
      <c r="AG905" s="62"/>
      <c r="AH905" s="62"/>
      <c r="AI905" s="62"/>
      <c r="AJ905" s="62"/>
      <c r="AK905" s="62"/>
      <c r="AL905" s="62"/>
      <c r="AM905" s="62"/>
      <c r="AN905" s="62"/>
      <c r="AO905" s="62"/>
      <c r="AP905" s="62"/>
      <c r="AQ905" s="80"/>
    </row>
    <row r="906" spans="1:43" ht="15.75" customHeight="1" x14ac:dyDescent="0.2">
      <c r="A906" s="63" t="str">
        <f t="shared" si="52"/>
        <v/>
      </c>
      <c r="B906" s="62"/>
      <c r="C906" s="62"/>
      <c r="D906" s="62"/>
      <c r="E906" s="62"/>
      <c r="F906" s="62"/>
      <c r="G906" s="62"/>
      <c r="H906" s="62"/>
      <c r="I906" s="66"/>
      <c r="J906" s="66"/>
      <c r="K906" s="66"/>
      <c r="L906" s="66"/>
      <c r="M906" s="66"/>
      <c r="N906" s="64" t="str">
        <f>IF(OR($B906="", $I906="", $J906="", $K906="", $L906="", $M906=""),"",ROUND(($I906*Lists!$AN$2)+($J906*Lists!$AN$3)+($K906*Lists!$AN$4)+($L906*Lists!$AN$5)+($M906*Lists!$AN$6),2))</f>
        <v/>
      </c>
      <c r="O906" s="64" t="str">
        <f>IF($A906="","",IFERROR(VLOOKUP($A906,'Risk Register'!$B$2:$I$1000,8,FALSE()),""))</f>
        <v/>
      </c>
      <c r="P906" s="66"/>
      <c r="Q906" s="66"/>
      <c r="R906" s="66"/>
      <c r="S906" s="66"/>
      <c r="T906" s="64" t="str">
        <f>IF(OR($B906="", $P906="", $Q906="", $R906="", $S906=""),"",ROUND(($P906*Lists!$AN$7)+($Q906*Lists!$AN$8)+($R906*Lists!$AN$9)+($S906*Lists!$AN$10),2))</f>
        <v/>
      </c>
      <c r="U906" s="66"/>
      <c r="V906" s="66"/>
      <c r="W906" s="66"/>
      <c r="X906" s="66"/>
      <c r="Y906" s="66"/>
      <c r="Z906" s="64" t="str">
        <f>IF(OR($B906="", $U906="", $V906="", $W906="", $X906="", $Y906=""),"",ROUND(($U906*Lists!$AN$11)+($V906*Lists!$AN$12)+($W906*Lists!$AN$13)+($X906*Lists!$AN$14)+($Y906*Lists!$AN$15),2))</f>
        <v/>
      </c>
      <c r="AA906" s="64" t="str">
        <f>IF(OR($B906="", $N906="", $O906="", $T906="", $Z906=""),"",ROUND(($N906*Lists!$AN$16)-($O906*Lists!$AN$17)-($T906*Lists!$AN$18)+($Z906*Lists!$AN$19),2))</f>
        <v/>
      </c>
      <c r="AB906" s="63" t="str">
        <f t="shared" si="53"/>
        <v/>
      </c>
      <c r="AC906" s="63" t="str">
        <f t="shared" si="54"/>
        <v/>
      </c>
      <c r="AD906" s="63" t="str">
        <f>IF($A906="","",IFERROR(IF(VLOOKUP($A906,'Risk Register'!$B$2:$H$1000,4,FALSE())&gt;=4,"Yes",""),""))</f>
        <v/>
      </c>
      <c r="AE906" s="63" t="str">
        <f t="shared" si="55"/>
        <v/>
      </c>
      <c r="AF906" s="62"/>
      <c r="AG906" s="62"/>
      <c r="AH906" s="62"/>
      <c r="AI906" s="62"/>
      <c r="AJ906" s="62"/>
      <c r="AK906" s="62"/>
      <c r="AL906" s="62"/>
      <c r="AM906" s="62"/>
      <c r="AN906" s="62"/>
      <c r="AO906" s="62"/>
      <c r="AP906" s="62"/>
      <c r="AQ906" s="80"/>
    </row>
    <row r="907" spans="1:43" ht="15.75" customHeight="1" x14ac:dyDescent="0.2">
      <c r="A907" s="63" t="str">
        <f t="shared" si="52"/>
        <v/>
      </c>
      <c r="B907" s="62"/>
      <c r="C907" s="62"/>
      <c r="D907" s="62"/>
      <c r="E907" s="62"/>
      <c r="F907" s="62"/>
      <c r="G907" s="62"/>
      <c r="H907" s="62"/>
      <c r="I907" s="66"/>
      <c r="J907" s="66"/>
      <c r="K907" s="66"/>
      <c r="L907" s="66"/>
      <c r="M907" s="66"/>
      <c r="N907" s="64" t="str">
        <f>IF(OR($B907="", $I907="", $J907="", $K907="", $L907="", $M907=""),"",ROUND(($I907*Lists!$AN$2)+($J907*Lists!$AN$3)+($K907*Lists!$AN$4)+($L907*Lists!$AN$5)+($M907*Lists!$AN$6),2))</f>
        <v/>
      </c>
      <c r="O907" s="64" t="str">
        <f>IF($A907="","",IFERROR(VLOOKUP($A907,'Risk Register'!$B$2:$I$1000,8,FALSE()),""))</f>
        <v/>
      </c>
      <c r="P907" s="66"/>
      <c r="Q907" s="66"/>
      <c r="R907" s="66"/>
      <c r="S907" s="66"/>
      <c r="T907" s="64" t="str">
        <f>IF(OR($B907="", $P907="", $Q907="", $R907="", $S907=""),"",ROUND(($P907*Lists!$AN$7)+($Q907*Lists!$AN$8)+($R907*Lists!$AN$9)+($S907*Lists!$AN$10),2))</f>
        <v/>
      </c>
      <c r="U907" s="66"/>
      <c r="V907" s="66"/>
      <c r="W907" s="66"/>
      <c r="X907" s="66"/>
      <c r="Y907" s="66"/>
      <c r="Z907" s="64" t="str">
        <f>IF(OR($B907="", $U907="", $V907="", $W907="", $X907="", $Y907=""),"",ROUND(($U907*Lists!$AN$11)+($V907*Lists!$AN$12)+($W907*Lists!$AN$13)+($X907*Lists!$AN$14)+($Y907*Lists!$AN$15),2))</f>
        <v/>
      </c>
      <c r="AA907" s="64" t="str">
        <f>IF(OR($B907="", $N907="", $O907="", $T907="", $Z907=""),"",ROUND(($N907*Lists!$AN$16)-($O907*Lists!$AN$17)-($T907*Lists!$AN$18)+($Z907*Lists!$AN$19),2))</f>
        <v/>
      </c>
      <c r="AB907" s="63" t="str">
        <f t="shared" si="53"/>
        <v/>
      </c>
      <c r="AC907" s="63" t="str">
        <f t="shared" si="54"/>
        <v/>
      </c>
      <c r="AD907" s="63" t="str">
        <f>IF($A907="","",IFERROR(IF(VLOOKUP($A907,'Risk Register'!$B$2:$H$1000,4,FALSE())&gt;=4,"Yes",""),""))</f>
        <v/>
      </c>
      <c r="AE907" s="63" t="str">
        <f t="shared" si="55"/>
        <v/>
      </c>
      <c r="AF907" s="62"/>
      <c r="AG907" s="62"/>
      <c r="AH907" s="62"/>
      <c r="AI907" s="62"/>
      <c r="AJ907" s="62"/>
      <c r="AK907" s="62"/>
      <c r="AL907" s="62"/>
      <c r="AM907" s="62"/>
      <c r="AN907" s="62"/>
      <c r="AO907" s="62"/>
      <c r="AP907" s="62"/>
      <c r="AQ907" s="80"/>
    </row>
    <row r="908" spans="1:43" ht="15.75" customHeight="1" x14ac:dyDescent="0.2">
      <c r="A908" s="63" t="str">
        <f t="shared" si="52"/>
        <v/>
      </c>
      <c r="B908" s="62"/>
      <c r="C908" s="62"/>
      <c r="D908" s="62"/>
      <c r="E908" s="62"/>
      <c r="F908" s="62"/>
      <c r="G908" s="62"/>
      <c r="H908" s="62"/>
      <c r="I908" s="66"/>
      <c r="J908" s="66"/>
      <c r="K908" s="66"/>
      <c r="L908" s="66"/>
      <c r="M908" s="66"/>
      <c r="N908" s="64" t="str">
        <f>IF(OR($B908="", $I908="", $J908="", $K908="", $L908="", $M908=""),"",ROUND(($I908*Lists!$AN$2)+($J908*Lists!$AN$3)+($K908*Lists!$AN$4)+($L908*Lists!$AN$5)+($M908*Lists!$AN$6),2))</f>
        <v/>
      </c>
      <c r="O908" s="64" t="str">
        <f>IF($A908="","",IFERROR(VLOOKUP($A908,'Risk Register'!$B$2:$I$1000,8,FALSE()),""))</f>
        <v/>
      </c>
      <c r="P908" s="66"/>
      <c r="Q908" s="66"/>
      <c r="R908" s="66"/>
      <c r="S908" s="66"/>
      <c r="T908" s="64" t="str">
        <f>IF(OR($B908="", $P908="", $Q908="", $R908="", $S908=""),"",ROUND(($P908*Lists!$AN$7)+($Q908*Lists!$AN$8)+($R908*Lists!$AN$9)+($S908*Lists!$AN$10),2))</f>
        <v/>
      </c>
      <c r="U908" s="66"/>
      <c r="V908" s="66"/>
      <c r="W908" s="66"/>
      <c r="X908" s="66"/>
      <c r="Y908" s="66"/>
      <c r="Z908" s="64" t="str">
        <f>IF(OR($B908="", $U908="", $V908="", $W908="", $X908="", $Y908=""),"",ROUND(($U908*Lists!$AN$11)+($V908*Lists!$AN$12)+($W908*Lists!$AN$13)+($X908*Lists!$AN$14)+($Y908*Lists!$AN$15),2))</f>
        <v/>
      </c>
      <c r="AA908" s="64" t="str">
        <f>IF(OR($B908="", $N908="", $O908="", $T908="", $Z908=""),"",ROUND(($N908*Lists!$AN$16)-($O908*Lists!$AN$17)-($T908*Lists!$AN$18)+($Z908*Lists!$AN$19),2))</f>
        <v/>
      </c>
      <c r="AB908" s="63" t="str">
        <f t="shared" si="53"/>
        <v/>
      </c>
      <c r="AC908" s="63" t="str">
        <f t="shared" si="54"/>
        <v/>
      </c>
      <c r="AD908" s="63" t="str">
        <f>IF($A908="","",IFERROR(IF(VLOOKUP($A908,'Risk Register'!$B$2:$H$1000,4,FALSE())&gt;=4,"Yes",""),""))</f>
        <v/>
      </c>
      <c r="AE908" s="63" t="str">
        <f t="shared" si="55"/>
        <v/>
      </c>
      <c r="AF908" s="62"/>
      <c r="AG908" s="62"/>
      <c r="AH908" s="62"/>
      <c r="AI908" s="62"/>
      <c r="AJ908" s="62"/>
      <c r="AK908" s="62"/>
      <c r="AL908" s="62"/>
      <c r="AM908" s="62"/>
      <c r="AN908" s="62"/>
      <c r="AO908" s="62"/>
      <c r="AP908" s="62"/>
      <c r="AQ908" s="80"/>
    </row>
    <row r="909" spans="1:43" ht="15.75" customHeight="1" x14ac:dyDescent="0.2">
      <c r="A909" s="63" t="str">
        <f t="shared" si="52"/>
        <v/>
      </c>
      <c r="B909" s="62"/>
      <c r="C909" s="62"/>
      <c r="D909" s="62"/>
      <c r="E909" s="62"/>
      <c r="F909" s="62"/>
      <c r="G909" s="62"/>
      <c r="H909" s="62"/>
      <c r="I909" s="66"/>
      <c r="J909" s="66"/>
      <c r="K909" s="66"/>
      <c r="L909" s="66"/>
      <c r="M909" s="66"/>
      <c r="N909" s="64" t="str">
        <f>IF(OR($B909="", $I909="", $J909="", $K909="", $L909="", $M909=""),"",ROUND(($I909*Lists!$AN$2)+($J909*Lists!$AN$3)+($K909*Lists!$AN$4)+($L909*Lists!$AN$5)+($M909*Lists!$AN$6),2))</f>
        <v/>
      </c>
      <c r="O909" s="64" t="str">
        <f>IF($A909="","",IFERROR(VLOOKUP($A909,'Risk Register'!$B$2:$I$1000,8,FALSE()),""))</f>
        <v/>
      </c>
      <c r="P909" s="66"/>
      <c r="Q909" s="66"/>
      <c r="R909" s="66"/>
      <c r="S909" s="66"/>
      <c r="T909" s="64" t="str">
        <f>IF(OR($B909="", $P909="", $Q909="", $R909="", $S909=""),"",ROUND(($P909*Lists!$AN$7)+($Q909*Lists!$AN$8)+($R909*Lists!$AN$9)+($S909*Lists!$AN$10),2))</f>
        <v/>
      </c>
      <c r="U909" s="66"/>
      <c r="V909" s="66"/>
      <c r="W909" s="66"/>
      <c r="X909" s="66"/>
      <c r="Y909" s="66"/>
      <c r="Z909" s="64" t="str">
        <f>IF(OR($B909="", $U909="", $V909="", $W909="", $X909="", $Y909=""),"",ROUND(($U909*Lists!$AN$11)+($V909*Lists!$AN$12)+($W909*Lists!$AN$13)+($X909*Lists!$AN$14)+($Y909*Lists!$AN$15),2))</f>
        <v/>
      </c>
      <c r="AA909" s="64" t="str">
        <f>IF(OR($B909="", $N909="", $O909="", $T909="", $Z909=""),"",ROUND(($N909*Lists!$AN$16)-($O909*Lists!$AN$17)-($T909*Lists!$AN$18)+($Z909*Lists!$AN$19),2))</f>
        <v/>
      </c>
      <c r="AB909" s="63" t="str">
        <f t="shared" si="53"/>
        <v/>
      </c>
      <c r="AC909" s="63" t="str">
        <f t="shared" si="54"/>
        <v/>
      </c>
      <c r="AD909" s="63" t="str">
        <f>IF($A909="","",IFERROR(IF(VLOOKUP($A909,'Risk Register'!$B$2:$H$1000,4,FALSE())&gt;=4,"Yes",""),""))</f>
        <v/>
      </c>
      <c r="AE909" s="63" t="str">
        <f t="shared" si="55"/>
        <v/>
      </c>
      <c r="AF909" s="62"/>
      <c r="AG909" s="62"/>
      <c r="AH909" s="62"/>
      <c r="AI909" s="62"/>
      <c r="AJ909" s="62"/>
      <c r="AK909" s="62"/>
      <c r="AL909" s="62"/>
      <c r="AM909" s="62"/>
      <c r="AN909" s="62"/>
      <c r="AO909" s="62"/>
      <c r="AP909" s="62"/>
      <c r="AQ909" s="80"/>
    </row>
    <row r="910" spans="1:43" ht="15.75" customHeight="1" x14ac:dyDescent="0.2">
      <c r="A910" s="63" t="str">
        <f t="shared" si="52"/>
        <v/>
      </c>
      <c r="B910" s="62"/>
      <c r="C910" s="62"/>
      <c r="D910" s="62"/>
      <c r="E910" s="62"/>
      <c r="F910" s="62"/>
      <c r="G910" s="62"/>
      <c r="H910" s="62"/>
      <c r="I910" s="66"/>
      <c r="J910" s="66"/>
      <c r="K910" s="66"/>
      <c r="L910" s="66"/>
      <c r="M910" s="66"/>
      <c r="N910" s="64" t="str">
        <f>IF(OR($B910="", $I910="", $J910="", $K910="", $L910="", $M910=""),"",ROUND(($I910*Lists!$AN$2)+($J910*Lists!$AN$3)+($K910*Lists!$AN$4)+($L910*Lists!$AN$5)+($M910*Lists!$AN$6),2))</f>
        <v/>
      </c>
      <c r="O910" s="64" t="str">
        <f>IF($A910="","",IFERROR(VLOOKUP($A910,'Risk Register'!$B$2:$I$1000,8,FALSE()),""))</f>
        <v/>
      </c>
      <c r="P910" s="66"/>
      <c r="Q910" s="66"/>
      <c r="R910" s="66"/>
      <c r="S910" s="66"/>
      <c r="T910" s="64" t="str">
        <f>IF(OR($B910="", $P910="", $Q910="", $R910="", $S910=""),"",ROUND(($P910*Lists!$AN$7)+($Q910*Lists!$AN$8)+($R910*Lists!$AN$9)+($S910*Lists!$AN$10),2))</f>
        <v/>
      </c>
      <c r="U910" s="66"/>
      <c r="V910" s="66"/>
      <c r="W910" s="66"/>
      <c r="X910" s="66"/>
      <c r="Y910" s="66"/>
      <c r="Z910" s="64" t="str">
        <f>IF(OR($B910="", $U910="", $V910="", $W910="", $X910="", $Y910=""),"",ROUND(($U910*Lists!$AN$11)+($V910*Lists!$AN$12)+($W910*Lists!$AN$13)+($X910*Lists!$AN$14)+($Y910*Lists!$AN$15),2))</f>
        <v/>
      </c>
      <c r="AA910" s="64" t="str">
        <f>IF(OR($B910="", $N910="", $O910="", $T910="", $Z910=""),"",ROUND(($N910*Lists!$AN$16)-($O910*Lists!$AN$17)-($T910*Lists!$AN$18)+($Z910*Lists!$AN$19),2))</f>
        <v/>
      </c>
      <c r="AB910" s="63" t="str">
        <f t="shared" si="53"/>
        <v/>
      </c>
      <c r="AC910" s="63" t="str">
        <f t="shared" si="54"/>
        <v/>
      </c>
      <c r="AD910" s="63" t="str">
        <f>IF($A910="","",IFERROR(IF(VLOOKUP($A910,'Risk Register'!$B$2:$H$1000,4,FALSE())&gt;=4,"Yes",""),""))</f>
        <v/>
      </c>
      <c r="AE910" s="63" t="str">
        <f t="shared" si="55"/>
        <v/>
      </c>
      <c r="AF910" s="62"/>
      <c r="AG910" s="62"/>
      <c r="AH910" s="62"/>
      <c r="AI910" s="62"/>
      <c r="AJ910" s="62"/>
      <c r="AK910" s="62"/>
      <c r="AL910" s="62"/>
      <c r="AM910" s="62"/>
      <c r="AN910" s="62"/>
      <c r="AO910" s="62"/>
      <c r="AP910" s="62"/>
      <c r="AQ910" s="80"/>
    </row>
    <row r="911" spans="1:43" ht="15.75" customHeight="1" x14ac:dyDescent="0.2">
      <c r="A911" s="63" t="str">
        <f t="shared" si="52"/>
        <v/>
      </c>
      <c r="B911" s="62"/>
      <c r="C911" s="62"/>
      <c r="D911" s="62"/>
      <c r="E911" s="62"/>
      <c r="F911" s="62"/>
      <c r="G911" s="62"/>
      <c r="H911" s="62"/>
      <c r="I911" s="66"/>
      <c r="J911" s="66"/>
      <c r="K911" s="66"/>
      <c r="L911" s="66"/>
      <c r="M911" s="66"/>
      <c r="N911" s="64" t="str">
        <f>IF(OR($B911="", $I911="", $J911="", $K911="", $L911="", $M911=""),"",ROUND(($I911*Lists!$AN$2)+($J911*Lists!$AN$3)+($K911*Lists!$AN$4)+($L911*Lists!$AN$5)+($M911*Lists!$AN$6),2))</f>
        <v/>
      </c>
      <c r="O911" s="64" t="str">
        <f>IF($A911="","",IFERROR(VLOOKUP($A911,'Risk Register'!$B$2:$I$1000,8,FALSE()),""))</f>
        <v/>
      </c>
      <c r="P911" s="66"/>
      <c r="Q911" s="66"/>
      <c r="R911" s="66"/>
      <c r="S911" s="66"/>
      <c r="T911" s="64" t="str">
        <f>IF(OR($B911="", $P911="", $Q911="", $R911="", $S911=""),"",ROUND(($P911*Lists!$AN$7)+($Q911*Lists!$AN$8)+($R911*Lists!$AN$9)+($S911*Lists!$AN$10),2))</f>
        <v/>
      </c>
      <c r="U911" s="66"/>
      <c r="V911" s="66"/>
      <c r="W911" s="66"/>
      <c r="X911" s="66"/>
      <c r="Y911" s="66"/>
      <c r="Z911" s="64" t="str">
        <f>IF(OR($B911="", $U911="", $V911="", $W911="", $X911="", $Y911=""),"",ROUND(($U911*Lists!$AN$11)+($V911*Lists!$AN$12)+($W911*Lists!$AN$13)+($X911*Lists!$AN$14)+($Y911*Lists!$AN$15),2))</f>
        <v/>
      </c>
      <c r="AA911" s="64" t="str">
        <f>IF(OR($B911="", $N911="", $O911="", $T911="", $Z911=""),"",ROUND(($N911*Lists!$AN$16)-($O911*Lists!$AN$17)-($T911*Lists!$AN$18)+($Z911*Lists!$AN$19),2))</f>
        <v/>
      </c>
      <c r="AB911" s="63" t="str">
        <f t="shared" si="53"/>
        <v/>
      </c>
      <c r="AC911" s="63" t="str">
        <f t="shared" si="54"/>
        <v/>
      </c>
      <c r="AD911" s="63" t="str">
        <f>IF($A911="","",IFERROR(IF(VLOOKUP($A911,'Risk Register'!$B$2:$H$1000,4,FALSE())&gt;=4,"Yes",""),""))</f>
        <v/>
      </c>
      <c r="AE911" s="63" t="str">
        <f t="shared" si="55"/>
        <v/>
      </c>
      <c r="AF911" s="62"/>
      <c r="AG911" s="62"/>
      <c r="AH911" s="62"/>
      <c r="AI911" s="62"/>
      <c r="AJ911" s="62"/>
      <c r="AK911" s="62"/>
      <c r="AL911" s="62"/>
      <c r="AM911" s="62"/>
      <c r="AN911" s="62"/>
      <c r="AO911" s="62"/>
      <c r="AP911" s="62"/>
      <c r="AQ911" s="80"/>
    </row>
    <row r="912" spans="1:43" ht="15.75" customHeight="1" x14ac:dyDescent="0.2">
      <c r="A912" s="63" t="str">
        <f t="shared" si="52"/>
        <v/>
      </c>
      <c r="B912" s="62"/>
      <c r="C912" s="62"/>
      <c r="D912" s="62"/>
      <c r="E912" s="62"/>
      <c r="F912" s="62"/>
      <c r="G912" s="62"/>
      <c r="H912" s="62"/>
      <c r="I912" s="66"/>
      <c r="J912" s="66"/>
      <c r="K912" s="66"/>
      <c r="L912" s="66"/>
      <c r="M912" s="66"/>
      <c r="N912" s="64" t="str">
        <f>IF(OR($B912="", $I912="", $J912="", $K912="", $L912="", $M912=""),"",ROUND(($I912*Lists!$AN$2)+($J912*Lists!$AN$3)+($K912*Lists!$AN$4)+($L912*Lists!$AN$5)+($M912*Lists!$AN$6),2))</f>
        <v/>
      </c>
      <c r="O912" s="64" t="str">
        <f>IF($A912="","",IFERROR(VLOOKUP($A912,'Risk Register'!$B$2:$I$1000,8,FALSE()),""))</f>
        <v/>
      </c>
      <c r="P912" s="66"/>
      <c r="Q912" s="66"/>
      <c r="R912" s="66"/>
      <c r="S912" s="66"/>
      <c r="T912" s="64" t="str">
        <f>IF(OR($B912="", $P912="", $Q912="", $R912="", $S912=""),"",ROUND(($P912*Lists!$AN$7)+($Q912*Lists!$AN$8)+($R912*Lists!$AN$9)+($S912*Lists!$AN$10),2))</f>
        <v/>
      </c>
      <c r="U912" s="66"/>
      <c r="V912" s="66"/>
      <c r="W912" s="66"/>
      <c r="X912" s="66"/>
      <c r="Y912" s="66"/>
      <c r="Z912" s="64" t="str">
        <f>IF(OR($B912="", $U912="", $V912="", $W912="", $X912="", $Y912=""),"",ROUND(($U912*Lists!$AN$11)+($V912*Lists!$AN$12)+($W912*Lists!$AN$13)+($X912*Lists!$AN$14)+($Y912*Lists!$AN$15),2))</f>
        <v/>
      </c>
      <c r="AA912" s="64" t="str">
        <f>IF(OR($B912="", $N912="", $O912="", $T912="", $Z912=""),"",ROUND(($N912*Lists!$AN$16)-($O912*Lists!$AN$17)-($T912*Lists!$AN$18)+($Z912*Lists!$AN$19),2))</f>
        <v/>
      </c>
      <c r="AB912" s="63" t="str">
        <f t="shared" si="53"/>
        <v/>
      </c>
      <c r="AC912" s="63" t="str">
        <f t="shared" si="54"/>
        <v/>
      </c>
      <c r="AD912" s="63" t="str">
        <f>IF($A912="","",IFERROR(IF(VLOOKUP($A912,'Risk Register'!$B$2:$H$1000,4,FALSE())&gt;=4,"Yes",""),""))</f>
        <v/>
      </c>
      <c r="AE912" s="63" t="str">
        <f t="shared" si="55"/>
        <v/>
      </c>
      <c r="AF912" s="62"/>
      <c r="AG912" s="62"/>
      <c r="AH912" s="62"/>
      <c r="AI912" s="62"/>
      <c r="AJ912" s="62"/>
      <c r="AK912" s="62"/>
      <c r="AL912" s="62"/>
      <c r="AM912" s="62"/>
      <c r="AN912" s="62"/>
      <c r="AO912" s="62"/>
      <c r="AP912" s="62"/>
      <c r="AQ912" s="80"/>
    </row>
    <row r="913" spans="1:43" ht="15.75" customHeight="1" x14ac:dyDescent="0.2">
      <c r="A913" s="63" t="str">
        <f t="shared" si="52"/>
        <v/>
      </c>
      <c r="B913" s="62"/>
      <c r="C913" s="62"/>
      <c r="D913" s="62"/>
      <c r="E913" s="62"/>
      <c r="F913" s="62"/>
      <c r="G913" s="62"/>
      <c r="H913" s="62"/>
      <c r="I913" s="66"/>
      <c r="J913" s="66"/>
      <c r="K913" s="66"/>
      <c r="L913" s="66"/>
      <c r="M913" s="66"/>
      <c r="N913" s="64" t="str">
        <f>IF(OR($B913="", $I913="", $J913="", $K913="", $L913="", $M913=""),"",ROUND(($I913*Lists!$AN$2)+($J913*Lists!$AN$3)+($K913*Lists!$AN$4)+($L913*Lists!$AN$5)+($M913*Lists!$AN$6),2))</f>
        <v/>
      </c>
      <c r="O913" s="64" t="str">
        <f>IF($A913="","",IFERROR(VLOOKUP($A913,'Risk Register'!$B$2:$I$1000,8,FALSE()),""))</f>
        <v/>
      </c>
      <c r="P913" s="66"/>
      <c r="Q913" s="66"/>
      <c r="R913" s="66"/>
      <c r="S913" s="66"/>
      <c r="T913" s="64" t="str">
        <f>IF(OR($B913="", $P913="", $Q913="", $R913="", $S913=""),"",ROUND(($P913*Lists!$AN$7)+($Q913*Lists!$AN$8)+($R913*Lists!$AN$9)+($S913*Lists!$AN$10),2))</f>
        <v/>
      </c>
      <c r="U913" s="66"/>
      <c r="V913" s="66"/>
      <c r="W913" s="66"/>
      <c r="X913" s="66"/>
      <c r="Y913" s="66"/>
      <c r="Z913" s="64" t="str">
        <f>IF(OR($B913="", $U913="", $V913="", $W913="", $X913="", $Y913=""),"",ROUND(($U913*Lists!$AN$11)+($V913*Lists!$AN$12)+($W913*Lists!$AN$13)+($X913*Lists!$AN$14)+($Y913*Lists!$AN$15),2))</f>
        <v/>
      </c>
      <c r="AA913" s="64" t="str">
        <f>IF(OR($B913="", $N913="", $O913="", $T913="", $Z913=""),"",ROUND(($N913*Lists!$AN$16)-($O913*Lists!$AN$17)-($T913*Lists!$AN$18)+($Z913*Lists!$AN$19),2))</f>
        <v/>
      </c>
      <c r="AB913" s="63" t="str">
        <f t="shared" si="53"/>
        <v/>
      </c>
      <c r="AC913" s="63" t="str">
        <f t="shared" si="54"/>
        <v/>
      </c>
      <c r="AD913" s="63" t="str">
        <f>IF($A913="","",IFERROR(IF(VLOOKUP($A913,'Risk Register'!$B$2:$H$1000,4,FALSE())&gt;=4,"Yes",""),""))</f>
        <v/>
      </c>
      <c r="AE913" s="63" t="str">
        <f t="shared" si="55"/>
        <v/>
      </c>
      <c r="AF913" s="62"/>
      <c r="AG913" s="62"/>
      <c r="AH913" s="62"/>
      <c r="AI913" s="62"/>
      <c r="AJ913" s="62"/>
      <c r="AK913" s="62"/>
      <c r="AL913" s="62"/>
      <c r="AM913" s="62"/>
      <c r="AN913" s="62"/>
      <c r="AO913" s="62"/>
      <c r="AP913" s="62"/>
      <c r="AQ913" s="80"/>
    </row>
    <row r="914" spans="1:43" ht="15.75" customHeight="1" x14ac:dyDescent="0.2">
      <c r="A914" s="63" t="str">
        <f t="shared" si="52"/>
        <v/>
      </c>
      <c r="B914" s="62"/>
      <c r="C914" s="62"/>
      <c r="D914" s="62"/>
      <c r="E914" s="62"/>
      <c r="F914" s="62"/>
      <c r="G914" s="62"/>
      <c r="H914" s="62"/>
      <c r="I914" s="66"/>
      <c r="J914" s="66"/>
      <c r="K914" s="66"/>
      <c r="L914" s="66"/>
      <c r="M914" s="66"/>
      <c r="N914" s="64" t="str">
        <f>IF(OR($B914="", $I914="", $J914="", $K914="", $L914="", $M914=""),"",ROUND(($I914*Lists!$AN$2)+($J914*Lists!$AN$3)+($K914*Lists!$AN$4)+($L914*Lists!$AN$5)+($M914*Lists!$AN$6),2))</f>
        <v/>
      </c>
      <c r="O914" s="64" t="str">
        <f>IF($A914="","",IFERROR(VLOOKUP($A914,'Risk Register'!$B$2:$I$1000,8,FALSE()),""))</f>
        <v/>
      </c>
      <c r="P914" s="66"/>
      <c r="Q914" s="66"/>
      <c r="R914" s="66"/>
      <c r="S914" s="66"/>
      <c r="T914" s="64" t="str">
        <f>IF(OR($B914="", $P914="", $Q914="", $R914="", $S914=""),"",ROUND(($P914*Lists!$AN$7)+($Q914*Lists!$AN$8)+($R914*Lists!$AN$9)+($S914*Lists!$AN$10),2))</f>
        <v/>
      </c>
      <c r="U914" s="66"/>
      <c r="V914" s="66"/>
      <c r="W914" s="66"/>
      <c r="X914" s="66"/>
      <c r="Y914" s="66"/>
      <c r="Z914" s="64" t="str">
        <f>IF(OR($B914="", $U914="", $V914="", $W914="", $X914="", $Y914=""),"",ROUND(($U914*Lists!$AN$11)+($V914*Lists!$AN$12)+($W914*Lists!$AN$13)+($X914*Lists!$AN$14)+($Y914*Lists!$AN$15),2))</f>
        <v/>
      </c>
      <c r="AA914" s="64" t="str">
        <f>IF(OR($B914="", $N914="", $O914="", $T914="", $Z914=""),"",ROUND(($N914*Lists!$AN$16)-($O914*Lists!$AN$17)-($T914*Lists!$AN$18)+($Z914*Lists!$AN$19),2))</f>
        <v/>
      </c>
      <c r="AB914" s="63" t="str">
        <f t="shared" si="53"/>
        <v/>
      </c>
      <c r="AC914" s="63" t="str">
        <f t="shared" si="54"/>
        <v/>
      </c>
      <c r="AD914" s="63" t="str">
        <f>IF($A914="","",IFERROR(IF(VLOOKUP($A914,'Risk Register'!$B$2:$H$1000,4,FALSE())&gt;=4,"Yes",""),""))</f>
        <v/>
      </c>
      <c r="AE914" s="63" t="str">
        <f t="shared" si="55"/>
        <v/>
      </c>
      <c r="AF914" s="62"/>
      <c r="AG914" s="62"/>
      <c r="AH914" s="62"/>
      <c r="AI914" s="62"/>
      <c r="AJ914" s="62"/>
      <c r="AK914" s="62"/>
      <c r="AL914" s="62"/>
      <c r="AM914" s="62"/>
      <c r="AN914" s="62"/>
      <c r="AO914" s="62"/>
      <c r="AP914" s="62"/>
      <c r="AQ914" s="80"/>
    </row>
    <row r="915" spans="1:43" ht="15.75" customHeight="1" x14ac:dyDescent="0.2">
      <c r="A915" s="63" t="str">
        <f t="shared" si="52"/>
        <v/>
      </c>
      <c r="B915" s="62"/>
      <c r="C915" s="62"/>
      <c r="D915" s="62"/>
      <c r="E915" s="62"/>
      <c r="F915" s="62"/>
      <c r="G915" s="62"/>
      <c r="H915" s="62"/>
      <c r="I915" s="66"/>
      <c r="J915" s="66"/>
      <c r="K915" s="66"/>
      <c r="L915" s="66"/>
      <c r="M915" s="66"/>
      <c r="N915" s="64" t="str">
        <f>IF(OR($B915="", $I915="", $J915="", $K915="", $L915="", $M915=""),"",ROUND(($I915*Lists!$AN$2)+($J915*Lists!$AN$3)+($K915*Lists!$AN$4)+($L915*Lists!$AN$5)+($M915*Lists!$AN$6),2))</f>
        <v/>
      </c>
      <c r="O915" s="64" t="str">
        <f>IF($A915="","",IFERROR(VLOOKUP($A915,'Risk Register'!$B$2:$I$1000,8,FALSE()),""))</f>
        <v/>
      </c>
      <c r="P915" s="66"/>
      <c r="Q915" s="66"/>
      <c r="R915" s="66"/>
      <c r="S915" s="66"/>
      <c r="T915" s="64" t="str">
        <f>IF(OR($B915="", $P915="", $Q915="", $R915="", $S915=""),"",ROUND(($P915*Lists!$AN$7)+($Q915*Lists!$AN$8)+($R915*Lists!$AN$9)+($S915*Lists!$AN$10),2))</f>
        <v/>
      </c>
      <c r="U915" s="66"/>
      <c r="V915" s="66"/>
      <c r="W915" s="66"/>
      <c r="X915" s="66"/>
      <c r="Y915" s="66"/>
      <c r="Z915" s="64" t="str">
        <f>IF(OR($B915="", $U915="", $V915="", $W915="", $X915="", $Y915=""),"",ROUND(($U915*Lists!$AN$11)+($V915*Lists!$AN$12)+($W915*Lists!$AN$13)+($X915*Lists!$AN$14)+($Y915*Lists!$AN$15),2))</f>
        <v/>
      </c>
      <c r="AA915" s="64" t="str">
        <f>IF(OR($B915="", $N915="", $O915="", $T915="", $Z915=""),"",ROUND(($N915*Lists!$AN$16)-($O915*Lists!$AN$17)-($T915*Lists!$AN$18)+($Z915*Lists!$AN$19),2))</f>
        <v/>
      </c>
      <c r="AB915" s="63" t="str">
        <f t="shared" si="53"/>
        <v/>
      </c>
      <c r="AC915" s="63" t="str">
        <f t="shared" si="54"/>
        <v/>
      </c>
      <c r="AD915" s="63" t="str">
        <f>IF($A915="","",IFERROR(IF(VLOOKUP($A915,'Risk Register'!$B$2:$H$1000,4,FALSE())&gt;=4,"Yes",""),""))</f>
        <v/>
      </c>
      <c r="AE915" s="63" t="str">
        <f t="shared" si="55"/>
        <v/>
      </c>
      <c r="AF915" s="62"/>
      <c r="AG915" s="62"/>
      <c r="AH915" s="62"/>
      <c r="AI915" s="62"/>
      <c r="AJ915" s="62"/>
      <c r="AK915" s="62"/>
      <c r="AL915" s="62"/>
      <c r="AM915" s="62"/>
      <c r="AN915" s="62"/>
      <c r="AO915" s="62"/>
      <c r="AP915" s="62"/>
      <c r="AQ915" s="80"/>
    </row>
    <row r="916" spans="1:43" ht="15.75" customHeight="1" x14ac:dyDescent="0.2">
      <c r="A916" s="63" t="str">
        <f t="shared" si="52"/>
        <v/>
      </c>
      <c r="B916" s="62"/>
      <c r="C916" s="62"/>
      <c r="D916" s="62"/>
      <c r="E916" s="62"/>
      <c r="F916" s="62"/>
      <c r="G916" s="62"/>
      <c r="H916" s="62"/>
      <c r="I916" s="66"/>
      <c r="J916" s="66"/>
      <c r="K916" s="66"/>
      <c r="L916" s="66"/>
      <c r="M916" s="66"/>
      <c r="N916" s="64" t="str">
        <f>IF(OR($B916="", $I916="", $J916="", $K916="", $L916="", $M916=""),"",ROUND(($I916*Lists!$AN$2)+($J916*Lists!$AN$3)+($K916*Lists!$AN$4)+($L916*Lists!$AN$5)+($M916*Lists!$AN$6),2))</f>
        <v/>
      </c>
      <c r="O916" s="64" t="str">
        <f>IF($A916="","",IFERROR(VLOOKUP($A916,'Risk Register'!$B$2:$I$1000,8,FALSE()),""))</f>
        <v/>
      </c>
      <c r="P916" s="66"/>
      <c r="Q916" s="66"/>
      <c r="R916" s="66"/>
      <c r="S916" s="66"/>
      <c r="T916" s="64" t="str">
        <f>IF(OR($B916="", $P916="", $Q916="", $R916="", $S916=""),"",ROUND(($P916*Lists!$AN$7)+($Q916*Lists!$AN$8)+($R916*Lists!$AN$9)+($S916*Lists!$AN$10),2))</f>
        <v/>
      </c>
      <c r="U916" s="66"/>
      <c r="V916" s="66"/>
      <c r="W916" s="66"/>
      <c r="X916" s="66"/>
      <c r="Y916" s="66"/>
      <c r="Z916" s="64" t="str">
        <f>IF(OR($B916="", $U916="", $V916="", $W916="", $X916="", $Y916=""),"",ROUND(($U916*Lists!$AN$11)+($V916*Lists!$AN$12)+($W916*Lists!$AN$13)+($X916*Lists!$AN$14)+($Y916*Lists!$AN$15),2))</f>
        <v/>
      </c>
      <c r="AA916" s="64" t="str">
        <f>IF(OR($B916="", $N916="", $O916="", $T916="", $Z916=""),"",ROUND(($N916*Lists!$AN$16)-($O916*Lists!$AN$17)-($T916*Lists!$AN$18)+($Z916*Lists!$AN$19),2))</f>
        <v/>
      </c>
      <c r="AB916" s="63" t="str">
        <f t="shared" si="53"/>
        <v/>
      </c>
      <c r="AC916" s="63" t="str">
        <f t="shared" si="54"/>
        <v/>
      </c>
      <c r="AD916" s="63" t="str">
        <f>IF($A916="","",IFERROR(IF(VLOOKUP($A916,'Risk Register'!$B$2:$H$1000,4,FALSE())&gt;=4,"Yes",""),""))</f>
        <v/>
      </c>
      <c r="AE916" s="63" t="str">
        <f t="shared" si="55"/>
        <v/>
      </c>
      <c r="AF916" s="62"/>
      <c r="AG916" s="62"/>
      <c r="AH916" s="62"/>
      <c r="AI916" s="62"/>
      <c r="AJ916" s="62"/>
      <c r="AK916" s="62"/>
      <c r="AL916" s="62"/>
      <c r="AM916" s="62"/>
      <c r="AN916" s="62"/>
      <c r="AO916" s="62"/>
      <c r="AP916" s="62"/>
      <c r="AQ916" s="80"/>
    </row>
    <row r="917" spans="1:43" ht="15.75" customHeight="1" x14ac:dyDescent="0.2">
      <c r="A917" s="63" t="str">
        <f t="shared" si="52"/>
        <v/>
      </c>
      <c r="B917" s="62"/>
      <c r="C917" s="62"/>
      <c r="D917" s="62"/>
      <c r="E917" s="62"/>
      <c r="F917" s="62"/>
      <c r="G917" s="62"/>
      <c r="H917" s="62"/>
      <c r="I917" s="66"/>
      <c r="J917" s="66"/>
      <c r="K917" s="66"/>
      <c r="L917" s="66"/>
      <c r="M917" s="66"/>
      <c r="N917" s="64" t="str">
        <f>IF(OR($B917="", $I917="", $J917="", $K917="", $L917="", $M917=""),"",ROUND(($I917*Lists!$AN$2)+($J917*Lists!$AN$3)+($K917*Lists!$AN$4)+($L917*Lists!$AN$5)+($M917*Lists!$AN$6),2))</f>
        <v/>
      </c>
      <c r="O917" s="64" t="str">
        <f>IF($A917="","",IFERROR(VLOOKUP($A917,'Risk Register'!$B$2:$I$1000,8,FALSE()),""))</f>
        <v/>
      </c>
      <c r="P917" s="66"/>
      <c r="Q917" s="66"/>
      <c r="R917" s="66"/>
      <c r="S917" s="66"/>
      <c r="T917" s="64" t="str">
        <f>IF(OR($B917="", $P917="", $Q917="", $R917="", $S917=""),"",ROUND(($P917*Lists!$AN$7)+($Q917*Lists!$AN$8)+($R917*Lists!$AN$9)+($S917*Lists!$AN$10),2))</f>
        <v/>
      </c>
      <c r="U917" s="66"/>
      <c r="V917" s="66"/>
      <c r="W917" s="66"/>
      <c r="X917" s="66"/>
      <c r="Y917" s="66"/>
      <c r="Z917" s="64" t="str">
        <f>IF(OR($B917="", $U917="", $V917="", $W917="", $X917="", $Y917=""),"",ROUND(($U917*Lists!$AN$11)+($V917*Lists!$AN$12)+($W917*Lists!$AN$13)+($X917*Lists!$AN$14)+($Y917*Lists!$AN$15),2))</f>
        <v/>
      </c>
      <c r="AA917" s="64" t="str">
        <f>IF(OR($B917="", $N917="", $O917="", $T917="", $Z917=""),"",ROUND(($N917*Lists!$AN$16)-($O917*Lists!$AN$17)-($T917*Lists!$AN$18)+($Z917*Lists!$AN$19),2))</f>
        <v/>
      </c>
      <c r="AB917" s="63" t="str">
        <f t="shared" si="53"/>
        <v/>
      </c>
      <c r="AC917" s="63" t="str">
        <f t="shared" si="54"/>
        <v/>
      </c>
      <c r="AD917" s="63" t="str">
        <f>IF($A917="","",IFERROR(IF(VLOOKUP($A917,'Risk Register'!$B$2:$H$1000,4,FALSE())&gt;=4,"Yes",""),""))</f>
        <v/>
      </c>
      <c r="AE917" s="63" t="str">
        <f t="shared" si="55"/>
        <v/>
      </c>
      <c r="AF917" s="62"/>
      <c r="AG917" s="62"/>
      <c r="AH917" s="62"/>
      <c r="AI917" s="62"/>
      <c r="AJ917" s="62"/>
      <c r="AK917" s="62"/>
      <c r="AL917" s="62"/>
      <c r="AM917" s="62"/>
      <c r="AN917" s="62"/>
      <c r="AO917" s="62"/>
      <c r="AP917" s="62"/>
      <c r="AQ917" s="80"/>
    </row>
    <row r="918" spans="1:43" ht="15.75" customHeight="1" x14ac:dyDescent="0.2">
      <c r="A918" s="63" t="str">
        <f t="shared" si="52"/>
        <v/>
      </c>
      <c r="B918" s="62"/>
      <c r="C918" s="62"/>
      <c r="D918" s="62"/>
      <c r="E918" s="62"/>
      <c r="F918" s="62"/>
      <c r="G918" s="62"/>
      <c r="H918" s="62"/>
      <c r="I918" s="66"/>
      <c r="J918" s="66"/>
      <c r="K918" s="66"/>
      <c r="L918" s="66"/>
      <c r="M918" s="66"/>
      <c r="N918" s="64" t="str">
        <f>IF(OR($B918="", $I918="", $J918="", $K918="", $L918="", $M918=""),"",ROUND(($I918*Lists!$AN$2)+($J918*Lists!$AN$3)+($K918*Lists!$AN$4)+($L918*Lists!$AN$5)+($M918*Lists!$AN$6),2))</f>
        <v/>
      </c>
      <c r="O918" s="64" t="str">
        <f>IF($A918="","",IFERROR(VLOOKUP($A918,'Risk Register'!$B$2:$I$1000,8,FALSE()),""))</f>
        <v/>
      </c>
      <c r="P918" s="66"/>
      <c r="Q918" s="66"/>
      <c r="R918" s="66"/>
      <c r="S918" s="66"/>
      <c r="T918" s="64" t="str">
        <f>IF(OR($B918="", $P918="", $Q918="", $R918="", $S918=""),"",ROUND(($P918*Lists!$AN$7)+($Q918*Lists!$AN$8)+($R918*Lists!$AN$9)+($S918*Lists!$AN$10),2))</f>
        <v/>
      </c>
      <c r="U918" s="66"/>
      <c r="V918" s="66"/>
      <c r="W918" s="66"/>
      <c r="X918" s="66"/>
      <c r="Y918" s="66"/>
      <c r="Z918" s="64" t="str">
        <f>IF(OR($B918="", $U918="", $V918="", $W918="", $X918="", $Y918=""),"",ROUND(($U918*Lists!$AN$11)+($V918*Lists!$AN$12)+($W918*Lists!$AN$13)+($X918*Lists!$AN$14)+($Y918*Lists!$AN$15),2))</f>
        <v/>
      </c>
      <c r="AA918" s="64" t="str">
        <f>IF(OR($B918="", $N918="", $O918="", $T918="", $Z918=""),"",ROUND(($N918*Lists!$AN$16)-($O918*Lists!$AN$17)-($T918*Lists!$AN$18)+($Z918*Lists!$AN$19),2))</f>
        <v/>
      </c>
      <c r="AB918" s="63" t="str">
        <f t="shared" si="53"/>
        <v/>
      </c>
      <c r="AC918" s="63" t="str">
        <f t="shared" si="54"/>
        <v/>
      </c>
      <c r="AD918" s="63" t="str">
        <f>IF($A918="","",IFERROR(IF(VLOOKUP($A918,'Risk Register'!$B$2:$H$1000,4,FALSE())&gt;=4,"Yes",""),""))</f>
        <v/>
      </c>
      <c r="AE918" s="63" t="str">
        <f t="shared" si="55"/>
        <v/>
      </c>
      <c r="AF918" s="62"/>
      <c r="AG918" s="62"/>
      <c r="AH918" s="62"/>
      <c r="AI918" s="62"/>
      <c r="AJ918" s="62"/>
      <c r="AK918" s="62"/>
      <c r="AL918" s="62"/>
      <c r="AM918" s="62"/>
      <c r="AN918" s="62"/>
      <c r="AO918" s="62"/>
      <c r="AP918" s="62"/>
      <c r="AQ918" s="80"/>
    </row>
    <row r="919" spans="1:43" ht="15.75" customHeight="1" x14ac:dyDescent="0.2">
      <c r="A919" s="63" t="str">
        <f t="shared" ref="A919:A982" si="56">IF($B919="","", "APM-" &amp; RIGHT("0000"&amp;ROW()-1,4))</f>
        <v/>
      </c>
      <c r="B919" s="62"/>
      <c r="C919" s="62"/>
      <c r="D919" s="62"/>
      <c r="E919" s="62"/>
      <c r="F919" s="62"/>
      <c r="G919" s="62"/>
      <c r="H919" s="62"/>
      <c r="I919" s="66"/>
      <c r="J919" s="66"/>
      <c r="K919" s="66"/>
      <c r="L919" s="66"/>
      <c r="M919" s="66"/>
      <c r="N919" s="64" t="str">
        <f>IF(OR($B919="", $I919="", $J919="", $K919="", $L919="", $M919=""),"",ROUND(($I919*Lists!$AN$2)+($J919*Lists!$AN$3)+($K919*Lists!$AN$4)+($L919*Lists!$AN$5)+($M919*Lists!$AN$6),2))</f>
        <v/>
      </c>
      <c r="O919" s="64" t="str">
        <f>IF($A919="","",IFERROR(VLOOKUP($A919,'Risk Register'!$B$2:$I$1000,8,FALSE()),""))</f>
        <v/>
      </c>
      <c r="P919" s="66"/>
      <c r="Q919" s="66"/>
      <c r="R919" s="66"/>
      <c r="S919" s="66"/>
      <c r="T919" s="64" t="str">
        <f>IF(OR($B919="", $P919="", $Q919="", $R919="", $S919=""),"",ROUND(($P919*Lists!$AN$7)+($Q919*Lists!$AN$8)+($R919*Lists!$AN$9)+($S919*Lists!$AN$10),2))</f>
        <v/>
      </c>
      <c r="U919" s="66"/>
      <c r="V919" s="66"/>
      <c r="W919" s="66"/>
      <c r="X919" s="66"/>
      <c r="Y919" s="66"/>
      <c r="Z919" s="64" t="str">
        <f>IF(OR($B919="", $U919="", $V919="", $W919="", $X919="", $Y919=""),"",ROUND(($U919*Lists!$AN$11)+($V919*Lists!$AN$12)+($W919*Lists!$AN$13)+($X919*Lists!$AN$14)+($Y919*Lists!$AN$15),2))</f>
        <v/>
      </c>
      <c r="AA919" s="64" t="str">
        <f>IF(OR($B919="", $N919="", $O919="", $T919="", $Z919=""),"",ROUND(($N919*Lists!$AN$16)-($O919*Lists!$AN$17)-($T919*Lists!$AN$18)+($Z919*Lists!$AN$19),2))</f>
        <v/>
      </c>
      <c r="AB919" s="63" t="str">
        <f t="shared" ref="AB919:AB982" si="57">IF($AA919="","",IF($AA919&gt;=3.5,"INVEST",IF($AA919&gt;=2.5,"TOLERATE",IF($AA919&gt;=1.5,"MIGRATE / MODERNIZE","RETIRE"))))</f>
        <v/>
      </c>
      <c r="AC919" s="63" t="str">
        <f t="shared" ref="AC919:AC982" si="58">IF($B919="","",IF($J919&gt;=4,"Yes",""))</f>
        <v/>
      </c>
      <c r="AD919" s="63" t="str">
        <f>IF($A919="","",IFERROR(IF(VLOOKUP($A919,'Risk Register'!$B$2:$H$1000,4,FALSE())&gt;=4,"Yes",""),""))</f>
        <v/>
      </c>
      <c r="AE919" s="63" t="str">
        <f t="shared" ref="AE919:AE982" si="59">IF(OR($N919="", $O919=""),"",IF($N919&gt;=3.5,IF($O919&gt;=3.5,"High Value / High Risk","High Value / Low Risk"),IF($O919&gt;=3.5,"Low Value / High Risk","Low Value / Low Risk")))</f>
        <v/>
      </c>
      <c r="AF919" s="62"/>
      <c r="AG919" s="62"/>
      <c r="AH919" s="62"/>
      <c r="AI919" s="62"/>
      <c r="AJ919" s="62"/>
      <c r="AK919" s="62"/>
      <c r="AL919" s="62"/>
      <c r="AM919" s="62"/>
      <c r="AN919" s="62"/>
      <c r="AO919" s="62"/>
      <c r="AP919" s="62"/>
      <c r="AQ919" s="80"/>
    </row>
    <row r="920" spans="1:43" ht="15.75" customHeight="1" x14ac:dyDescent="0.2">
      <c r="A920" s="63" t="str">
        <f t="shared" si="56"/>
        <v/>
      </c>
      <c r="B920" s="62"/>
      <c r="C920" s="62"/>
      <c r="D920" s="62"/>
      <c r="E920" s="62"/>
      <c r="F920" s="62"/>
      <c r="G920" s="62"/>
      <c r="H920" s="62"/>
      <c r="I920" s="66"/>
      <c r="J920" s="66"/>
      <c r="K920" s="66"/>
      <c r="L920" s="66"/>
      <c r="M920" s="66"/>
      <c r="N920" s="64" t="str">
        <f>IF(OR($B920="", $I920="", $J920="", $K920="", $L920="", $M920=""),"",ROUND(($I920*Lists!$AN$2)+($J920*Lists!$AN$3)+($K920*Lists!$AN$4)+($L920*Lists!$AN$5)+($M920*Lists!$AN$6),2))</f>
        <v/>
      </c>
      <c r="O920" s="64" t="str">
        <f>IF($A920="","",IFERROR(VLOOKUP($A920,'Risk Register'!$B$2:$I$1000,8,FALSE()),""))</f>
        <v/>
      </c>
      <c r="P920" s="66"/>
      <c r="Q920" s="66"/>
      <c r="R920" s="66"/>
      <c r="S920" s="66"/>
      <c r="T920" s="64" t="str">
        <f>IF(OR($B920="", $P920="", $Q920="", $R920="", $S920=""),"",ROUND(($P920*Lists!$AN$7)+($Q920*Lists!$AN$8)+($R920*Lists!$AN$9)+($S920*Lists!$AN$10),2))</f>
        <v/>
      </c>
      <c r="U920" s="66"/>
      <c r="V920" s="66"/>
      <c r="W920" s="66"/>
      <c r="X920" s="66"/>
      <c r="Y920" s="66"/>
      <c r="Z920" s="64" t="str">
        <f>IF(OR($B920="", $U920="", $V920="", $W920="", $X920="", $Y920=""),"",ROUND(($U920*Lists!$AN$11)+($V920*Lists!$AN$12)+($W920*Lists!$AN$13)+($X920*Lists!$AN$14)+($Y920*Lists!$AN$15),2))</f>
        <v/>
      </c>
      <c r="AA920" s="64" t="str">
        <f>IF(OR($B920="", $N920="", $O920="", $T920="", $Z920=""),"",ROUND(($N920*Lists!$AN$16)-($O920*Lists!$AN$17)-($T920*Lists!$AN$18)+($Z920*Lists!$AN$19),2))</f>
        <v/>
      </c>
      <c r="AB920" s="63" t="str">
        <f t="shared" si="57"/>
        <v/>
      </c>
      <c r="AC920" s="63" t="str">
        <f t="shared" si="58"/>
        <v/>
      </c>
      <c r="AD920" s="63" t="str">
        <f>IF($A920="","",IFERROR(IF(VLOOKUP($A920,'Risk Register'!$B$2:$H$1000,4,FALSE())&gt;=4,"Yes",""),""))</f>
        <v/>
      </c>
      <c r="AE920" s="63" t="str">
        <f t="shared" si="59"/>
        <v/>
      </c>
      <c r="AF920" s="62"/>
      <c r="AG920" s="62"/>
      <c r="AH920" s="62"/>
      <c r="AI920" s="62"/>
      <c r="AJ920" s="62"/>
      <c r="AK920" s="62"/>
      <c r="AL920" s="62"/>
      <c r="AM920" s="62"/>
      <c r="AN920" s="62"/>
      <c r="AO920" s="62"/>
      <c r="AP920" s="62"/>
      <c r="AQ920" s="80"/>
    </row>
    <row r="921" spans="1:43" ht="15.75" customHeight="1" x14ac:dyDescent="0.2">
      <c r="A921" s="63" t="str">
        <f t="shared" si="56"/>
        <v/>
      </c>
      <c r="B921" s="62"/>
      <c r="C921" s="62"/>
      <c r="D921" s="62"/>
      <c r="E921" s="62"/>
      <c r="F921" s="62"/>
      <c r="G921" s="62"/>
      <c r="H921" s="62"/>
      <c r="I921" s="66"/>
      <c r="J921" s="66"/>
      <c r="K921" s="66"/>
      <c r="L921" s="66"/>
      <c r="M921" s="66"/>
      <c r="N921" s="64" t="str">
        <f>IF(OR($B921="", $I921="", $J921="", $K921="", $L921="", $M921=""),"",ROUND(($I921*Lists!$AN$2)+($J921*Lists!$AN$3)+($K921*Lists!$AN$4)+($L921*Lists!$AN$5)+($M921*Lists!$AN$6),2))</f>
        <v/>
      </c>
      <c r="O921" s="64" t="str">
        <f>IF($A921="","",IFERROR(VLOOKUP($A921,'Risk Register'!$B$2:$I$1000,8,FALSE()),""))</f>
        <v/>
      </c>
      <c r="P921" s="66"/>
      <c r="Q921" s="66"/>
      <c r="R921" s="66"/>
      <c r="S921" s="66"/>
      <c r="T921" s="64" t="str">
        <f>IF(OR($B921="", $P921="", $Q921="", $R921="", $S921=""),"",ROUND(($P921*Lists!$AN$7)+($Q921*Lists!$AN$8)+($R921*Lists!$AN$9)+($S921*Lists!$AN$10),2))</f>
        <v/>
      </c>
      <c r="U921" s="66"/>
      <c r="V921" s="66"/>
      <c r="W921" s="66"/>
      <c r="X921" s="66"/>
      <c r="Y921" s="66"/>
      <c r="Z921" s="64" t="str">
        <f>IF(OR($B921="", $U921="", $V921="", $W921="", $X921="", $Y921=""),"",ROUND(($U921*Lists!$AN$11)+($V921*Lists!$AN$12)+($W921*Lists!$AN$13)+($X921*Lists!$AN$14)+($Y921*Lists!$AN$15),2))</f>
        <v/>
      </c>
      <c r="AA921" s="64" t="str">
        <f>IF(OR($B921="", $N921="", $O921="", $T921="", $Z921=""),"",ROUND(($N921*Lists!$AN$16)-($O921*Lists!$AN$17)-($T921*Lists!$AN$18)+($Z921*Lists!$AN$19),2))</f>
        <v/>
      </c>
      <c r="AB921" s="63" t="str">
        <f t="shared" si="57"/>
        <v/>
      </c>
      <c r="AC921" s="63" t="str">
        <f t="shared" si="58"/>
        <v/>
      </c>
      <c r="AD921" s="63" t="str">
        <f>IF($A921="","",IFERROR(IF(VLOOKUP($A921,'Risk Register'!$B$2:$H$1000,4,FALSE())&gt;=4,"Yes",""),""))</f>
        <v/>
      </c>
      <c r="AE921" s="63" t="str">
        <f t="shared" si="59"/>
        <v/>
      </c>
      <c r="AF921" s="62"/>
      <c r="AG921" s="62"/>
      <c r="AH921" s="62"/>
      <c r="AI921" s="62"/>
      <c r="AJ921" s="62"/>
      <c r="AK921" s="62"/>
      <c r="AL921" s="62"/>
      <c r="AM921" s="62"/>
      <c r="AN921" s="62"/>
      <c r="AO921" s="62"/>
      <c r="AP921" s="62"/>
      <c r="AQ921" s="80"/>
    </row>
    <row r="922" spans="1:43" ht="15.75" customHeight="1" x14ac:dyDescent="0.2">
      <c r="A922" s="63" t="str">
        <f t="shared" si="56"/>
        <v/>
      </c>
      <c r="B922" s="62"/>
      <c r="C922" s="62"/>
      <c r="D922" s="62"/>
      <c r="E922" s="62"/>
      <c r="F922" s="62"/>
      <c r="G922" s="62"/>
      <c r="H922" s="62"/>
      <c r="I922" s="66"/>
      <c r="J922" s="66"/>
      <c r="K922" s="66"/>
      <c r="L922" s="66"/>
      <c r="M922" s="66"/>
      <c r="N922" s="64" t="str">
        <f>IF(OR($B922="", $I922="", $J922="", $K922="", $L922="", $M922=""),"",ROUND(($I922*Lists!$AN$2)+($J922*Lists!$AN$3)+($K922*Lists!$AN$4)+($L922*Lists!$AN$5)+($M922*Lists!$AN$6),2))</f>
        <v/>
      </c>
      <c r="O922" s="64" t="str">
        <f>IF($A922="","",IFERROR(VLOOKUP($A922,'Risk Register'!$B$2:$I$1000,8,FALSE()),""))</f>
        <v/>
      </c>
      <c r="P922" s="66"/>
      <c r="Q922" s="66"/>
      <c r="R922" s="66"/>
      <c r="S922" s="66"/>
      <c r="T922" s="64" t="str">
        <f>IF(OR($B922="", $P922="", $Q922="", $R922="", $S922=""),"",ROUND(($P922*Lists!$AN$7)+($Q922*Lists!$AN$8)+($R922*Lists!$AN$9)+($S922*Lists!$AN$10),2))</f>
        <v/>
      </c>
      <c r="U922" s="66"/>
      <c r="V922" s="66"/>
      <c r="W922" s="66"/>
      <c r="X922" s="66"/>
      <c r="Y922" s="66"/>
      <c r="Z922" s="64" t="str">
        <f>IF(OR($B922="", $U922="", $V922="", $W922="", $X922="", $Y922=""),"",ROUND(($U922*Lists!$AN$11)+($V922*Lists!$AN$12)+($W922*Lists!$AN$13)+($X922*Lists!$AN$14)+($Y922*Lists!$AN$15),2))</f>
        <v/>
      </c>
      <c r="AA922" s="64" t="str">
        <f>IF(OR($B922="", $N922="", $O922="", $T922="", $Z922=""),"",ROUND(($N922*Lists!$AN$16)-($O922*Lists!$AN$17)-($T922*Lists!$AN$18)+($Z922*Lists!$AN$19),2))</f>
        <v/>
      </c>
      <c r="AB922" s="63" t="str">
        <f t="shared" si="57"/>
        <v/>
      </c>
      <c r="AC922" s="63" t="str">
        <f t="shared" si="58"/>
        <v/>
      </c>
      <c r="AD922" s="63" t="str">
        <f>IF($A922="","",IFERROR(IF(VLOOKUP($A922,'Risk Register'!$B$2:$H$1000,4,FALSE())&gt;=4,"Yes",""),""))</f>
        <v/>
      </c>
      <c r="AE922" s="63" t="str">
        <f t="shared" si="59"/>
        <v/>
      </c>
      <c r="AF922" s="62"/>
      <c r="AG922" s="62"/>
      <c r="AH922" s="62"/>
      <c r="AI922" s="62"/>
      <c r="AJ922" s="62"/>
      <c r="AK922" s="62"/>
      <c r="AL922" s="62"/>
      <c r="AM922" s="62"/>
      <c r="AN922" s="62"/>
      <c r="AO922" s="62"/>
      <c r="AP922" s="62"/>
      <c r="AQ922" s="80"/>
    </row>
    <row r="923" spans="1:43" ht="15.75" customHeight="1" x14ac:dyDescent="0.2">
      <c r="A923" s="63" t="str">
        <f t="shared" si="56"/>
        <v/>
      </c>
      <c r="B923" s="62"/>
      <c r="C923" s="62"/>
      <c r="D923" s="62"/>
      <c r="E923" s="62"/>
      <c r="F923" s="62"/>
      <c r="G923" s="62"/>
      <c r="H923" s="62"/>
      <c r="I923" s="66"/>
      <c r="J923" s="66"/>
      <c r="K923" s="66"/>
      <c r="L923" s="66"/>
      <c r="M923" s="66"/>
      <c r="N923" s="64" t="str">
        <f>IF(OR($B923="", $I923="", $J923="", $K923="", $L923="", $M923=""),"",ROUND(($I923*Lists!$AN$2)+($J923*Lists!$AN$3)+($K923*Lists!$AN$4)+($L923*Lists!$AN$5)+($M923*Lists!$AN$6),2))</f>
        <v/>
      </c>
      <c r="O923" s="64" t="str">
        <f>IF($A923="","",IFERROR(VLOOKUP($A923,'Risk Register'!$B$2:$I$1000,8,FALSE()),""))</f>
        <v/>
      </c>
      <c r="P923" s="66"/>
      <c r="Q923" s="66"/>
      <c r="R923" s="66"/>
      <c r="S923" s="66"/>
      <c r="T923" s="64" t="str">
        <f>IF(OR($B923="", $P923="", $Q923="", $R923="", $S923=""),"",ROUND(($P923*Lists!$AN$7)+($Q923*Lists!$AN$8)+($R923*Lists!$AN$9)+($S923*Lists!$AN$10),2))</f>
        <v/>
      </c>
      <c r="U923" s="66"/>
      <c r="V923" s="66"/>
      <c r="W923" s="66"/>
      <c r="X923" s="66"/>
      <c r="Y923" s="66"/>
      <c r="Z923" s="64" t="str">
        <f>IF(OR($B923="", $U923="", $V923="", $W923="", $X923="", $Y923=""),"",ROUND(($U923*Lists!$AN$11)+($V923*Lists!$AN$12)+($W923*Lists!$AN$13)+($X923*Lists!$AN$14)+($Y923*Lists!$AN$15),2))</f>
        <v/>
      </c>
      <c r="AA923" s="64" t="str">
        <f>IF(OR($B923="", $N923="", $O923="", $T923="", $Z923=""),"",ROUND(($N923*Lists!$AN$16)-($O923*Lists!$AN$17)-($T923*Lists!$AN$18)+($Z923*Lists!$AN$19),2))</f>
        <v/>
      </c>
      <c r="AB923" s="63" t="str">
        <f t="shared" si="57"/>
        <v/>
      </c>
      <c r="AC923" s="63" t="str">
        <f t="shared" si="58"/>
        <v/>
      </c>
      <c r="AD923" s="63" t="str">
        <f>IF($A923="","",IFERROR(IF(VLOOKUP($A923,'Risk Register'!$B$2:$H$1000,4,FALSE())&gt;=4,"Yes",""),""))</f>
        <v/>
      </c>
      <c r="AE923" s="63" t="str">
        <f t="shared" si="59"/>
        <v/>
      </c>
      <c r="AF923" s="62"/>
      <c r="AG923" s="62"/>
      <c r="AH923" s="62"/>
      <c r="AI923" s="62"/>
      <c r="AJ923" s="62"/>
      <c r="AK923" s="62"/>
      <c r="AL923" s="62"/>
      <c r="AM923" s="62"/>
      <c r="AN923" s="62"/>
      <c r="AO923" s="62"/>
      <c r="AP923" s="62"/>
      <c r="AQ923" s="80"/>
    </row>
    <row r="924" spans="1:43" ht="15.75" customHeight="1" x14ac:dyDescent="0.2">
      <c r="A924" s="63" t="str">
        <f t="shared" si="56"/>
        <v/>
      </c>
      <c r="B924" s="62"/>
      <c r="C924" s="62"/>
      <c r="D924" s="62"/>
      <c r="E924" s="62"/>
      <c r="F924" s="62"/>
      <c r="G924" s="62"/>
      <c r="H924" s="62"/>
      <c r="I924" s="66"/>
      <c r="J924" s="66"/>
      <c r="K924" s="66"/>
      <c r="L924" s="66"/>
      <c r="M924" s="66"/>
      <c r="N924" s="64" t="str">
        <f>IF(OR($B924="", $I924="", $J924="", $K924="", $L924="", $M924=""),"",ROUND(($I924*Lists!$AN$2)+($J924*Lists!$AN$3)+($K924*Lists!$AN$4)+($L924*Lists!$AN$5)+($M924*Lists!$AN$6),2))</f>
        <v/>
      </c>
      <c r="O924" s="64" t="str">
        <f>IF($A924="","",IFERROR(VLOOKUP($A924,'Risk Register'!$B$2:$I$1000,8,FALSE()),""))</f>
        <v/>
      </c>
      <c r="P924" s="66"/>
      <c r="Q924" s="66"/>
      <c r="R924" s="66"/>
      <c r="S924" s="66"/>
      <c r="T924" s="64" t="str">
        <f>IF(OR($B924="", $P924="", $Q924="", $R924="", $S924=""),"",ROUND(($P924*Lists!$AN$7)+($Q924*Lists!$AN$8)+($R924*Lists!$AN$9)+($S924*Lists!$AN$10),2))</f>
        <v/>
      </c>
      <c r="U924" s="66"/>
      <c r="V924" s="66"/>
      <c r="W924" s="66"/>
      <c r="X924" s="66"/>
      <c r="Y924" s="66"/>
      <c r="Z924" s="64" t="str">
        <f>IF(OR($B924="", $U924="", $V924="", $W924="", $X924="", $Y924=""),"",ROUND(($U924*Lists!$AN$11)+($V924*Lists!$AN$12)+($W924*Lists!$AN$13)+($X924*Lists!$AN$14)+($Y924*Lists!$AN$15),2))</f>
        <v/>
      </c>
      <c r="AA924" s="64" t="str">
        <f>IF(OR($B924="", $N924="", $O924="", $T924="", $Z924=""),"",ROUND(($N924*Lists!$AN$16)-($O924*Lists!$AN$17)-($T924*Lists!$AN$18)+($Z924*Lists!$AN$19),2))</f>
        <v/>
      </c>
      <c r="AB924" s="63" t="str">
        <f t="shared" si="57"/>
        <v/>
      </c>
      <c r="AC924" s="63" t="str">
        <f t="shared" si="58"/>
        <v/>
      </c>
      <c r="AD924" s="63" t="str">
        <f>IF($A924="","",IFERROR(IF(VLOOKUP($A924,'Risk Register'!$B$2:$H$1000,4,FALSE())&gt;=4,"Yes",""),""))</f>
        <v/>
      </c>
      <c r="AE924" s="63" t="str">
        <f t="shared" si="59"/>
        <v/>
      </c>
      <c r="AF924" s="62"/>
      <c r="AG924" s="62"/>
      <c r="AH924" s="62"/>
      <c r="AI924" s="62"/>
      <c r="AJ924" s="62"/>
      <c r="AK924" s="62"/>
      <c r="AL924" s="62"/>
      <c r="AM924" s="62"/>
      <c r="AN924" s="62"/>
      <c r="AO924" s="62"/>
      <c r="AP924" s="62"/>
      <c r="AQ924" s="80"/>
    </row>
    <row r="925" spans="1:43" ht="15.75" customHeight="1" x14ac:dyDescent="0.2">
      <c r="A925" s="63" t="str">
        <f t="shared" si="56"/>
        <v/>
      </c>
      <c r="B925" s="62"/>
      <c r="C925" s="62"/>
      <c r="D925" s="62"/>
      <c r="E925" s="62"/>
      <c r="F925" s="62"/>
      <c r="G925" s="62"/>
      <c r="H925" s="62"/>
      <c r="I925" s="66"/>
      <c r="J925" s="66"/>
      <c r="K925" s="66"/>
      <c r="L925" s="66"/>
      <c r="M925" s="66"/>
      <c r="N925" s="64" t="str">
        <f>IF(OR($B925="", $I925="", $J925="", $K925="", $L925="", $M925=""),"",ROUND(($I925*Lists!$AN$2)+($J925*Lists!$AN$3)+($K925*Lists!$AN$4)+($L925*Lists!$AN$5)+($M925*Lists!$AN$6),2))</f>
        <v/>
      </c>
      <c r="O925" s="64" t="str">
        <f>IF($A925="","",IFERROR(VLOOKUP($A925,'Risk Register'!$B$2:$I$1000,8,FALSE()),""))</f>
        <v/>
      </c>
      <c r="P925" s="66"/>
      <c r="Q925" s="66"/>
      <c r="R925" s="66"/>
      <c r="S925" s="66"/>
      <c r="T925" s="64" t="str">
        <f>IF(OR($B925="", $P925="", $Q925="", $R925="", $S925=""),"",ROUND(($P925*Lists!$AN$7)+($Q925*Lists!$AN$8)+($R925*Lists!$AN$9)+($S925*Lists!$AN$10),2))</f>
        <v/>
      </c>
      <c r="U925" s="66"/>
      <c r="V925" s="66"/>
      <c r="W925" s="66"/>
      <c r="X925" s="66"/>
      <c r="Y925" s="66"/>
      <c r="Z925" s="64" t="str">
        <f>IF(OR($B925="", $U925="", $V925="", $W925="", $X925="", $Y925=""),"",ROUND(($U925*Lists!$AN$11)+($V925*Lists!$AN$12)+($W925*Lists!$AN$13)+($X925*Lists!$AN$14)+($Y925*Lists!$AN$15),2))</f>
        <v/>
      </c>
      <c r="AA925" s="64" t="str">
        <f>IF(OR($B925="", $N925="", $O925="", $T925="", $Z925=""),"",ROUND(($N925*Lists!$AN$16)-($O925*Lists!$AN$17)-($T925*Lists!$AN$18)+($Z925*Lists!$AN$19),2))</f>
        <v/>
      </c>
      <c r="AB925" s="63" t="str">
        <f t="shared" si="57"/>
        <v/>
      </c>
      <c r="AC925" s="63" t="str">
        <f t="shared" si="58"/>
        <v/>
      </c>
      <c r="AD925" s="63" t="str">
        <f>IF($A925="","",IFERROR(IF(VLOOKUP($A925,'Risk Register'!$B$2:$H$1000,4,FALSE())&gt;=4,"Yes",""),""))</f>
        <v/>
      </c>
      <c r="AE925" s="63" t="str">
        <f t="shared" si="59"/>
        <v/>
      </c>
      <c r="AF925" s="62"/>
      <c r="AG925" s="62"/>
      <c r="AH925" s="62"/>
      <c r="AI925" s="62"/>
      <c r="AJ925" s="62"/>
      <c r="AK925" s="62"/>
      <c r="AL925" s="62"/>
      <c r="AM925" s="62"/>
      <c r="AN925" s="62"/>
      <c r="AO925" s="62"/>
      <c r="AP925" s="62"/>
      <c r="AQ925" s="80"/>
    </row>
    <row r="926" spans="1:43" ht="15.75" customHeight="1" x14ac:dyDescent="0.2">
      <c r="A926" s="63" t="str">
        <f t="shared" si="56"/>
        <v/>
      </c>
      <c r="B926" s="62"/>
      <c r="C926" s="62"/>
      <c r="D926" s="62"/>
      <c r="E926" s="62"/>
      <c r="F926" s="62"/>
      <c r="G926" s="62"/>
      <c r="H926" s="62"/>
      <c r="I926" s="66"/>
      <c r="J926" s="66"/>
      <c r="K926" s="66"/>
      <c r="L926" s="66"/>
      <c r="M926" s="66"/>
      <c r="N926" s="64" t="str">
        <f>IF(OR($B926="", $I926="", $J926="", $K926="", $L926="", $M926=""),"",ROUND(($I926*Lists!$AN$2)+($J926*Lists!$AN$3)+($K926*Lists!$AN$4)+($L926*Lists!$AN$5)+($M926*Lists!$AN$6),2))</f>
        <v/>
      </c>
      <c r="O926" s="64" t="str">
        <f>IF($A926="","",IFERROR(VLOOKUP($A926,'Risk Register'!$B$2:$I$1000,8,FALSE()),""))</f>
        <v/>
      </c>
      <c r="P926" s="66"/>
      <c r="Q926" s="66"/>
      <c r="R926" s="66"/>
      <c r="S926" s="66"/>
      <c r="T926" s="64" t="str">
        <f>IF(OR($B926="", $P926="", $Q926="", $R926="", $S926=""),"",ROUND(($P926*Lists!$AN$7)+($Q926*Lists!$AN$8)+($R926*Lists!$AN$9)+($S926*Lists!$AN$10),2))</f>
        <v/>
      </c>
      <c r="U926" s="66"/>
      <c r="V926" s="66"/>
      <c r="W926" s="66"/>
      <c r="X926" s="66"/>
      <c r="Y926" s="66"/>
      <c r="Z926" s="64" t="str">
        <f>IF(OR($B926="", $U926="", $V926="", $W926="", $X926="", $Y926=""),"",ROUND(($U926*Lists!$AN$11)+($V926*Lists!$AN$12)+($W926*Lists!$AN$13)+($X926*Lists!$AN$14)+($Y926*Lists!$AN$15),2))</f>
        <v/>
      </c>
      <c r="AA926" s="64" t="str">
        <f>IF(OR($B926="", $N926="", $O926="", $T926="", $Z926=""),"",ROUND(($N926*Lists!$AN$16)-($O926*Lists!$AN$17)-($T926*Lists!$AN$18)+($Z926*Lists!$AN$19),2))</f>
        <v/>
      </c>
      <c r="AB926" s="63" t="str">
        <f t="shared" si="57"/>
        <v/>
      </c>
      <c r="AC926" s="63" t="str">
        <f t="shared" si="58"/>
        <v/>
      </c>
      <c r="AD926" s="63" t="str">
        <f>IF($A926="","",IFERROR(IF(VLOOKUP($A926,'Risk Register'!$B$2:$H$1000,4,FALSE())&gt;=4,"Yes",""),""))</f>
        <v/>
      </c>
      <c r="AE926" s="63" t="str">
        <f t="shared" si="59"/>
        <v/>
      </c>
      <c r="AF926" s="62"/>
      <c r="AG926" s="62"/>
      <c r="AH926" s="62"/>
      <c r="AI926" s="62"/>
      <c r="AJ926" s="62"/>
      <c r="AK926" s="62"/>
      <c r="AL926" s="62"/>
      <c r="AM926" s="62"/>
      <c r="AN926" s="62"/>
      <c r="AO926" s="62"/>
      <c r="AP926" s="62"/>
      <c r="AQ926" s="80"/>
    </row>
    <row r="927" spans="1:43" ht="15.75" customHeight="1" x14ac:dyDescent="0.2">
      <c r="A927" s="63" t="str">
        <f t="shared" si="56"/>
        <v/>
      </c>
      <c r="B927" s="62"/>
      <c r="C927" s="62"/>
      <c r="D927" s="62"/>
      <c r="E927" s="62"/>
      <c r="F927" s="62"/>
      <c r="G927" s="62"/>
      <c r="H927" s="62"/>
      <c r="I927" s="66"/>
      <c r="J927" s="66"/>
      <c r="K927" s="66"/>
      <c r="L927" s="66"/>
      <c r="M927" s="66"/>
      <c r="N927" s="64" t="str">
        <f>IF(OR($B927="", $I927="", $J927="", $K927="", $L927="", $M927=""),"",ROUND(($I927*Lists!$AN$2)+($J927*Lists!$AN$3)+($K927*Lists!$AN$4)+($L927*Lists!$AN$5)+($M927*Lists!$AN$6),2))</f>
        <v/>
      </c>
      <c r="O927" s="64" t="str">
        <f>IF($A927="","",IFERROR(VLOOKUP($A927,'Risk Register'!$B$2:$I$1000,8,FALSE()),""))</f>
        <v/>
      </c>
      <c r="P927" s="66"/>
      <c r="Q927" s="66"/>
      <c r="R927" s="66"/>
      <c r="S927" s="66"/>
      <c r="T927" s="64" t="str">
        <f>IF(OR($B927="", $P927="", $Q927="", $R927="", $S927=""),"",ROUND(($P927*Lists!$AN$7)+($Q927*Lists!$AN$8)+($R927*Lists!$AN$9)+($S927*Lists!$AN$10),2))</f>
        <v/>
      </c>
      <c r="U927" s="66"/>
      <c r="V927" s="66"/>
      <c r="W927" s="66"/>
      <c r="X927" s="66"/>
      <c r="Y927" s="66"/>
      <c r="Z927" s="64" t="str">
        <f>IF(OR($B927="", $U927="", $V927="", $W927="", $X927="", $Y927=""),"",ROUND(($U927*Lists!$AN$11)+($V927*Lists!$AN$12)+($W927*Lists!$AN$13)+($X927*Lists!$AN$14)+($Y927*Lists!$AN$15),2))</f>
        <v/>
      </c>
      <c r="AA927" s="64" t="str">
        <f>IF(OR($B927="", $N927="", $O927="", $T927="", $Z927=""),"",ROUND(($N927*Lists!$AN$16)-($O927*Lists!$AN$17)-($T927*Lists!$AN$18)+($Z927*Lists!$AN$19),2))</f>
        <v/>
      </c>
      <c r="AB927" s="63" t="str">
        <f t="shared" si="57"/>
        <v/>
      </c>
      <c r="AC927" s="63" t="str">
        <f t="shared" si="58"/>
        <v/>
      </c>
      <c r="AD927" s="63" t="str">
        <f>IF($A927="","",IFERROR(IF(VLOOKUP($A927,'Risk Register'!$B$2:$H$1000,4,FALSE())&gt;=4,"Yes",""),""))</f>
        <v/>
      </c>
      <c r="AE927" s="63" t="str">
        <f t="shared" si="59"/>
        <v/>
      </c>
      <c r="AF927" s="62"/>
      <c r="AG927" s="62"/>
      <c r="AH927" s="62"/>
      <c r="AI927" s="62"/>
      <c r="AJ927" s="62"/>
      <c r="AK927" s="62"/>
      <c r="AL927" s="62"/>
      <c r="AM927" s="62"/>
      <c r="AN927" s="62"/>
      <c r="AO927" s="62"/>
      <c r="AP927" s="62"/>
      <c r="AQ927" s="80"/>
    </row>
    <row r="928" spans="1:43" ht="15.75" customHeight="1" x14ac:dyDescent="0.2">
      <c r="A928" s="63" t="str">
        <f t="shared" si="56"/>
        <v/>
      </c>
      <c r="B928" s="62"/>
      <c r="C928" s="62"/>
      <c r="D928" s="62"/>
      <c r="E928" s="62"/>
      <c r="F928" s="62"/>
      <c r="G928" s="62"/>
      <c r="H928" s="62"/>
      <c r="I928" s="66"/>
      <c r="J928" s="66"/>
      <c r="K928" s="66"/>
      <c r="L928" s="66"/>
      <c r="M928" s="66"/>
      <c r="N928" s="64" t="str">
        <f>IF(OR($B928="", $I928="", $J928="", $K928="", $L928="", $M928=""),"",ROUND(($I928*Lists!$AN$2)+($J928*Lists!$AN$3)+($K928*Lists!$AN$4)+($L928*Lists!$AN$5)+($M928*Lists!$AN$6),2))</f>
        <v/>
      </c>
      <c r="O928" s="64" t="str">
        <f>IF($A928="","",IFERROR(VLOOKUP($A928,'Risk Register'!$B$2:$I$1000,8,FALSE()),""))</f>
        <v/>
      </c>
      <c r="P928" s="66"/>
      <c r="Q928" s="66"/>
      <c r="R928" s="66"/>
      <c r="S928" s="66"/>
      <c r="T928" s="64" t="str">
        <f>IF(OR($B928="", $P928="", $Q928="", $R928="", $S928=""),"",ROUND(($P928*Lists!$AN$7)+($Q928*Lists!$AN$8)+($R928*Lists!$AN$9)+($S928*Lists!$AN$10),2))</f>
        <v/>
      </c>
      <c r="U928" s="66"/>
      <c r="V928" s="66"/>
      <c r="W928" s="66"/>
      <c r="X928" s="66"/>
      <c r="Y928" s="66"/>
      <c r="Z928" s="64" t="str">
        <f>IF(OR($B928="", $U928="", $V928="", $W928="", $X928="", $Y928=""),"",ROUND(($U928*Lists!$AN$11)+($V928*Lists!$AN$12)+($W928*Lists!$AN$13)+($X928*Lists!$AN$14)+($Y928*Lists!$AN$15),2))</f>
        <v/>
      </c>
      <c r="AA928" s="64" t="str">
        <f>IF(OR($B928="", $N928="", $O928="", $T928="", $Z928=""),"",ROUND(($N928*Lists!$AN$16)-($O928*Lists!$AN$17)-($T928*Lists!$AN$18)+($Z928*Lists!$AN$19),2))</f>
        <v/>
      </c>
      <c r="AB928" s="63" t="str">
        <f t="shared" si="57"/>
        <v/>
      </c>
      <c r="AC928" s="63" t="str">
        <f t="shared" si="58"/>
        <v/>
      </c>
      <c r="AD928" s="63" t="str">
        <f>IF($A928="","",IFERROR(IF(VLOOKUP($A928,'Risk Register'!$B$2:$H$1000,4,FALSE())&gt;=4,"Yes",""),""))</f>
        <v/>
      </c>
      <c r="AE928" s="63" t="str">
        <f t="shared" si="59"/>
        <v/>
      </c>
      <c r="AF928" s="62"/>
      <c r="AG928" s="62"/>
      <c r="AH928" s="62"/>
      <c r="AI928" s="62"/>
      <c r="AJ928" s="62"/>
      <c r="AK928" s="62"/>
      <c r="AL928" s="62"/>
      <c r="AM928" s="62"/>
      <c r="AN928" s="62"/>
      <c r="AO928" s="62"/>
      <c r="AP928" s="62"/>
      <c r="AQ928" s="80"/>
    </row>
    <row r="929" spans="1:43" ht="15.75" customHeight="1" x14ac:dyDescent="0.2">
      <c r="A929" s="63" t="str">
        <f t="shared" si="56"/>
        <v/>
      </c>
      <c r="B929" s="62"/>
      <c r="C929" s="62"/>
      <c r="D929" s="62"/>
      <c r="E929" s="62"/>
      <c r="F929" s="62"/>
      <c r="G929" s="62"/>
      <c r="H929" s="62"/>
      <c r="I929" s="66"/>
      <c r="J929" s="66"/>
      <c r="K929" s="66"/>
      <c r="L929" s="66"/>
      <c r="M929" s="66"/>
      <c r="N929" s="64" t="str">
        <f>IF(OR($B929="", $I929="", $J929="", $K929="", $L929="", $M929=""),"",ROUND(($I929*Lists!$AN$2)+($J929*Lists!$AN$3)+($K929*Lists!$AN$4)+($L929*Lists!$AN$5)+($M929*Lists!$AN$6),2))</f>
        <v/>
      </c>
      <c r="O929" s="64" t="str">
        <f>IF($A929="","",IFERROR(VLOOKUP($A929,'Risk Register'!$B$2:$I$1000,8,FALSE()),""))</f>
        <v/>
      </c>
      <c r="P929" s="66"/>
      <c r="Q929" s="66"/>
      <c r="R929" s="66"/>
      <c r="S929" s="66"/>
      <c r="T929" s="64" t="str">
        <f>IF(OR($B929="", $P929="", $Q929="", $R929="", $S929=""),"",ROUND(($P929*Lists!$AN$7)+($Q929*Lists!$AN$8)+($R929*Lists!$AN$9)+($S929*Lists!$AN$10),2))</f>
        <v/>
      </c>
      <c r="U929" s="66"/>
      <c r="V929" s="66"/>
      <c r="W929" s="66"/>
      <c r="X929" s="66"/>
      <c r="Y929" s="66"/>
      <c r="Z929" s="64" t="str">
        <f>IF(OR($B929="", $U929="", $V929="", $W929="", $X929="", $Y929=""),"",ROUND(($U929*Lists!$AN$11)+($V929*Lists!$AN$12)+($W929*Lists!$AN$13)+($X929*Lists!$AN$14)+($Y929*Lists!$AN$15),2))</f>
        <v/>
      </c>
      <c r="AA929" s="64" t="str">
        <f>IF(OR($B929="", $N929="", $O929="", $T929="", $Z929=""),"",ROUND(($N929*Lists!$AN$16)-($O929*Lists!$AN$17)-($T929*Lists!$AN$18)+($Z929*Lists!$AN$19),2))</f>
        <v/>
      </c>
      <c r="AB929" s="63" t="str">
        <f t="shared" si="57"/>
        <v/>
      </c>
      <c r="AC929" s="63" t="str">
        <f t="shared" si="58"/>
        <v/>
      </c>
      <c r="AD929" s="63" t="str">
        <f>IF($A929="","",IFERROR(IF(VLOOKUP($A929,'Risk Register'!$B$2:$H$1000,4,FALSE())&gt;=4,"Yes",""),""))</f>
        <v/>
      </c>
      <c r="AE929" s="63" t="str">
        <f t="shared" si="59"/>
        <v/>
      </c>
      <c r="AF929" s="62"/>
      <c r="AG929" s="62"/>
      <c r="AH929" s="62"/>
      <c r="AI929" s="62"/>
      <c r="AJ929" s="62"/>
      <c r="AK929" s="62"/>
      <c r="AL929" s="62"/>
      <c r="AM929" s="62"/>
      <c r="AN929" s="62"/>
      <c r="AO929" s="62"/>
      <c r="AP929" s="62"/>
      <c r="AQ929" s="80"/>
    </row>
    <row r="930" spans="1:43" ht="15.75" customHeight="1" x14ac:dyDescent="0.2">
      <c r="A930" s="63" t="str">
        <f t="shared" si="56"/>
        <v/>
      </c>
      <c r="B930" s="62"/>
      <c r="C930" s="62"/>
      <c r="D930" s="62"/>
      <c r="E930" s="62"/>
      <c r="F930" s="62"/>
      <c r="G930" s="62"/>
      <c r="H930" s="62"/>
      <c r="I930" s="66"/>
      <c r="J930" s="66"/>
      <c r="K930" s="66"/>
      <c r="L930" s="66"/>
      <c r="M930" s="66"/>
      <c r="N930" s="64" t="str">
        <f>IF(OR($B930="", $I930="", $J930="", $K930="", $L930="", $M930=""),"",ROUND(($I930*Lists!$AN$2)+($J930*Lists!$AN$3)+($K930*Lists!$AN$4)+($L930*Lists!$AN$5)+($M930*Lists!$AN$6),2))</f>
        <v/>
      </c>
      <c r="O930" s="64" t="str">
        <f>IF($A930="","",IFERROR(VLOOKUP($A930,'Risk Register'!$B$2:$I$1000,8,FALSE()),""))</f>
        <v/>
      </c>
      <c r="P930" s="66"/>
      <c r="Q930" s="66"/>
      <c r="R930" s="66"/>
      <c r="S930" s="66"/>
      <c r="T930" s="64" t="str">
        <f>IF(OR($B930="", $P930="", $Q930="", $R930="", $S930=""),"",ROUND(($P930*Lists!$AN$7)+($Q930*Lists!$AN$8)+($R930*Lists!$AN$9)+($S930*Lists!$AN$10),2))</f>
        <v/>
      </c>
      <c r="U930" s="66"/>
      <c r="V930" s="66"/>
      <c r="W930" s="66"/>
      <c r="X930" s="66"/>
      <c r="Y930" s="66"/>
      <c r="Z930" s="64" t="str">
        <f>IF(OR($B930="", $U930="", $V930="", $W930="", $X930="", $Y930=""),"",ROUND(($U930*Lists!$AN$11)+($V930*Lists!$AN$12)+($W930*Lists!$AN$13)+($X930*Lists!$AN$14)+($Y930*Lists!$AN$15),2))</f>
        <v/>
      </c>
      <c r="AA930" s="64" t="str">
        <f>IF(OR($B930="", $N930="", $O930="", $T930="", $Z930=""),"",ROUND(($N930*Lists!$AN$16)-($O930*Lists!$AN$17)-($T930*Lists!$AN$18)+($Z930*Lists!$AN$19),2))</f>
        <v/>
      </c>
      <c r="AB930" s="63" t="str">
        <f t="shared" si="57"/>
        <v/>
      </c>
      <c r="AC930" s="63" t="str">
        <f t="shared" si="58"/>
        <v/>
      </c>
      <c r="AD930" s="63" t="str">
        <f>IF($A930="","",IFERROR(IF(VLOOKUP($A930,'Risk Register'!$B$2:$H$1000,4,FALSE())&gt;=4,"Yes",""),""))</f>
        <v/>
      </c>
      <c r="AE930" s="63" t="str">
        <f t="shared" si="59"/>
        <v/>
      </c>
      <c r="AF930" s="62"/>
      <c r="AG930" s="62"/>
      <c r="AH930" s="62"/>
      <c r="AI930" s="62"/>
      <c r="AJ930" s="62"/>
      <c r="AK930" s="62"/>
      <c r="AL930" s="62"/>
      <c r="AM930" s="62"/>
      <c r="AN930" s="62"/>
      <c r="AO930" s="62"/>
      <c r="AP930" s="62"/>
      <c r="AQ930" s="80"/>
    </row>
    <row r="931" spans="1:43" ht="15.75" customHeight="1" x14ac:dyDescent="0.2">
      <c r="A931" s="63" t="str">
        <f t="shared" si="56"/>
        <v/>
      </c>
      <c r="B931" s="62"/>
      <c r="C931" s="62"/>
      <c r="D931" s="62"/>
      <c r="E931" s="62"/>
      <c r="F931" s="62"/>
      <c r="G931" s="62"/>
      <c r="H931" s="62"/>
      <c r="I931" s="66"/>
      <c r="J931" s="66"/>
      <c r="K931" s="66"/>
      <c r="L931" s="66"/>
      <c r="M931" s="66"/>
      <c r="N931" s="64" t="str">
        <f>IF(OR($B931="", $I931="", $J931="", $K931="", $L931="", $M931=""),"",ROUND(($I931*Lists!$AN$2)+($J931*Lists!$AN$3)+($K931*Lists!$AN$4)+($L931*Lists!$AN$5)+($M931*Lists!$AN$6),2))</f>
        <v/>
      </c>
      <c r="O931" s="64" t="str">
        <f>IF($A931="","",IFERROR(VLOOKUP($A931,'Risk Register'!$B$2:$I$1000,8,FALSE()),""))</f>
        <v/>
      </c>
      <c r="P931" s="66"/>
      <c r="Q931" s="66"/>
      <c r="R931" s="66"/>
      <c r="S931" s="66"/>
      <c r="T931" s="64" t="str">
        <f>IF(OR($B931="", $P931="", $Q931="", $R931="", $S931=""),"",ROUND(($P931*Lists!$AN$7)+($Q931*Lists!$AN$8)+($R931*Lists!$AN$9)+($S931*Lists!$AN$10),2))</f>
        <v/>
      </c>
      <c r="U931" s="66"/>
      <c r="V931" s="66"/>
      <c r="W931" s="66"/>
      <c r="X931" s="66"/>
      <c r="Y931" s="66"/>
      <c r="Z931" s="64" t="str">
        <f>IF(OR($B931="", $U931="", $V931="", $W931="", $X931="", $Y931=""),"",ROUND(($U931*Lists!$AN$11)+($V931*Lists!$AN$12)+($W931*Lists!$AN$13)+($X931*Lists!$AN$14)+($Y931*Lists!$AN$15),2))</f>
        <v/>
      </c>
      <c r="AA931" s="64" t="str">
        <f>IF(OR($B931="", $N931="", $O931="", $T931="", $Z931=""),"",ROUND(($N931*Lists!$AN$16)-($O931*Lists!$AN$17)-($T931*Lists!$AN$18)+($Z931*Lists!$AN$19),2))</f>
        <v/>
      </c>
      <c r="AB931" s="63" t="str">
        <f t="shared" si="57"/>
        <v/>
      </c>
      <c r="AC931" s="63" t="str">
        <f t="shared" si="58"/>
        <v/>
      </c>
      <c r="AD931" s="63" t="str">
        <f>IF($A931="","",IFERROR(IF(VLOOKUP($A931,'Risk Register'!$B$2:$H$1000,4,FALSE())&gt;=4,"Yes",""),""))</f>
        <v/>
      </c>
      <c r="AE931" s="63" t="str">
        <f t="shared" si="59"/>
        <v/>
      </c>
      <c r="AF931" s="62"/>
      <c r="AG931" s="62"/>
      <c r="AH931" s="62"/>
      <c r="AI931" s="62"/>
      <c r="AJ931" s="62"/>
      <c r="AK931" s="62"/>
      <c r="AL931" s="62"/>
      <c r="AM931" s="62"/>
      <c r="AN931" s="62"/>
      <c r="AO931" s="62"/>
      <c r="AP931" s="62"/>
      <c r="AQ931" s="80"/>
    </row>
    <row r="932" spans="1:43" ht="15.75" customHeight="1" x14ac:dyDescent="0.2">
      <c r="A932" s="63" t="str">
        <f t="shared" si="56"/>
        <v/>
      </c>
      <c r="B932" s="62"/>
      <c r="C932" s="62"/>
      <c r="D932" s="62"/>
      <c r="E932" s="62"/>
      <c r="F932" s="62"/>
      <c r="G932" s="62"/>
      <c r="H932" s="62"/>
      <c r="I932" s="66"/>
      <c r="J932" s="66"/>
      <c r="K932" s="66"/>
      <c r="L932" s="66"/>
      <c r="M932" s="66"/>
      <c r="N932" s="64" t="str">
        <f>IF(OR($B932="", $I932="", $J932="", $K932="", $L932="", $M932=""),"",ROUND(($I932*Lists!$AN$2)+($J932*Lists!$AN$3)+($K932*Lists!$AN$4)+($L932*Lists!$AN$5)+($M932*Lists!$AN$6),2))</f>
        <v/>
      </c>
      <c r="O932" s="64" t="str">
        <f>IF($A932="","",IFERROR(VLOOKUP($A932,'Risk Register'!$B$2:$I$1000,8,FALSE()),""))</f>
        <v/>
      </c>
      <c r="P932" s="66"/>
      <c r="Q932" s="66"/>
      <c r="R932" s="66"/>
      <c r="S932" s="66"/>
      <c r="T932" s="64" t="str">
        <f>IF(OR($B932="", $P932="", $Q932="", $R932="", $S932=""),"",ROUND(($P932*Lists!$AN$7)+($Q932*Lists!$AN$8)+($R932*Lists!$AN$9)+($S932*Lists!$AN$10),2))</f>
        <v/>
      </c>
      <c r="U932" s="66"/>
      <c r="V932" s="66"/>
      <c r="W932" s="66"/>
      <c r="X932" s="66"/>
      <c r="Y932" s="66"/>
      <c r="Z932" s="64" t="str">
        <f>IF(OR($B932="", $U932="", $V932="", $W932="", $X932="", $Y932=""),"",ROUND(($U932*Lists!$AN$11)+($V932*Lists!$AN$12)+($W932*Lists!$AN$13)+($X932*Lists!$AN$14)+($Y932*Lists!$AN$15),2))</f>
        <v/>
      </c>
      <c r="AA932" s="64" t="str">
        <f>IF(OR($B932="", $N932="", $O932="", $T932="", $Z932=""),"",ROUND(($N932*Lists!$AN$16)-($O932*Lists!$AN$17)-($T932*Lists!$AN$18)+($Z932*Lists!$AN$19),2))</f>
        <v/>
      </c>
      <c r="AB932" s="63" t="str">
        <f t="shared" si="57"/>
        <v/>
      </c>
      <c r="AC932" s="63" t="str">
        <f t="shared" si="58"/>
        <v/>
      </c>
      <c r="AD932" s="63" t="str">
        <f>IF($A932="","",IFERROR(IF(VLOOKUP($A932,'Risk Register'!$B$2:$H$1000,4,FALSE())&gt;=4,"Yes",""),""))</f>
        <v/>
      </c>
      <c r="AE932" s="63" t="str">
        <f t="shared" si="59"/>
        <v/>
      </c>
      <c r="AF932" s="62"/>
      <c r="AG932" s="62"/>
      <c r="AH932" s="62"/>
      <c r="AI932" s="62"/>
      <c r="AJ932" s="62"/>
      <c r="AK932" s="62"/>
      <c r="AL932" s="62"/>
      <c r="AM932" s="62"/>
      <c r="AN932" s="62"/>
      <c r="AO932" s="62"/>
      <c r="AP932" s="62"/>
      <c r="AQ932" s="80"/>
    </row>
    <row r="933" spans="1:43" ht="15.75" customHeight="1" x14ac:dyDescent="0.2">
      <c r="A933" s="63" t="str">
        <f t="shared" si="56"/>
        <v/>
      </c>
      <c r="B933" s="62"/>
      <c r="C933" s="62"/>
      <c r="D933" s="62"/>
      <c r="E933" s="62"/>
      <c r="F933" s="62"/>
      <c r="G933" s="62"/>
      <c r="H933" s="62"/>
      <c r="I933" s="66"/>
      <c r="J933" s="66"/>
      <c r="K933" s="66"/>
      <c r="L933" s="66"/>
      <c r="M933" s="66"/>
      <c r="N933" s="64" t="str">
        <f>IF(OR($B933="", $I933="", $J933="", $K933="", $L933="", $M933=""),"",ROUND(($I933*Lists!$AN$2)+($J933*Lists!$AN$3)+($K933*Lists!$AN$4)+($L933*Lists!$AN$5)+($M933*Lists!$AN$6),2))</f>
        <v/>
      </c>
      <c r="O933" s="64" t="str">
        <f>IF($A933="","",IFERROR(VLOOKUP($A933,'Risk Register'!$B$2:$I$1000,8,FALSE()),""))</f>
        <v/>
      </c>
      <c r="P933" s="66"/>
      <c r="Q933" s="66"/>
      <c r="R933" s="66"/>
      <c r="S933" s="66"/>
      <c r="T933" s="64" t="str">
        <f>IF(OR($B933="", $P933="", $Q933="", $R933="", $S933=""),"",ROUND(($P933*Lists!$AN$7)+($Q933*Lists!$AN$8)+($R933*Lists!$AN$9)+($S933*Lists!$AN$10),2))</f>
        <v/>
      </c>
      <c r="U933" s="66"/>
      <c r="V933" s="66"/>
      <c r="W933" s="66"/>
      <c r="X933" s="66"/>
      <c r="Y933" s="66"/>
      <c r="Z933" s="64" t="str">
        <f>IF(OR($B933="", $U933="", $V933="", $W933="", $X933="", $Y933=""),"",ROUND(($U933*Lists!$AN$11)+($V933*Lists!$AN$12)+($W933*Lists!$AN$13)+($X933*Lists!$AN$14)+($Y933*Lists!$AN$15),2))</f>
        <v/>
      </c>
      <c r="AA933" s="64" t="str">
        <f>IF(OR($B933="", $N933="", $O933="", $T933="", $Z933=""),"",ROUND(($N933*Lists!$AN$16)-($O933*Lists!$AN$17)-($T933*Lists!$AN$18)+($Z933*Lists!$AN$19),2))</f>
        <v/>
      </c>
      <c r="AB933" s="63" t="str">
        <f t="shared" si="57"/>
        <v/>
      </c>
      <c r="AC933" s="63" t="str">
        <f t="shared" si="58"/>
        <v/>
      </c>
      <c r="AD933" s="63" t="str">
        <f>IF($A933="","",IFERROR(IF(VLOOKUP($A933,'Risk Register'!$B$2:$H$1000,4,FALSE())&gt;=4,"Yes",""),""))</f>
        <v/>
      </c>
      <c r="AE933" s="63" t="str">
        <f t="shared" si="59"/>
        <v/>
      </c>
      <c r="AF933" s="62"/>
      <c r="AG933" s="62"/>
      <c r="AH933" s="62"/>
      <c r="AI933" s="62"/>
      <c r="AJ933" s="62"/>
      <c r="AK933" s="62"/>
      <c r="AL933" s="62"/>
      <c r="AM933" s="62"/>
      <c r="AN933" s="62"/>
      <c r="AO933" s="62"/>
      <c r="AP933" s="62"/>
      <c r="AQ933" s="80"/>
    </row>
    <row r="934" spans="1:43" ht="15.75" customHeight="1" x14ac:dyDescent="0.2">
      <c r="A934" s="63" t="str">
        <f t="shared" si="56"/>
        <v/>
      </c>
      <c r="B934" s="62"/>
      <c r="C934" s="62"/>
      <c r="D934" s="62"/>
      <c r="E934" s="62"/>
      <c r="F934" s="62"/>
      <c r="G934" s="62"/>
      <c r="H934" s="62"/>
      <c r="I934" s="66"/>
      <c r="J934" s="66"/>
      <c r="K934" s="66"/>
      <c r="L934" s="66"/>
      <c r="M934" s="66"/>
      <c r="N934" s="64" t="str">
        <f>IF(OR($B934="", $I934="", $J934="", $K934="", $L934="", $M934=""),"",ROUND(($I934*Lists!$AN$2)+($J934*Lists!$AN$3)+($K934*Lists!$AN$4)+($L934*Lists!$AN$5)+($M934*Lists!$AN$6),2))</f>
        <v/>
      </c>
      <c r="O934" s="64" t="str">
        <f>IF($A934="","",IFERROR(VLOOKUP($A934,'Risk Register'!$B$2:$I$1000,8,FALSE()),""))</f>
        <v/>
      </c>
      <c r="P934" s="66"/>
      <c r="Q934" s="66"/>
      <c r="R934" s="66"/>
      <c r="S934" s="66"/>
      <c r="T934" s="64" t="str">
        <f>IF(OR($B934="", $P934="", $Q934="", $R934="", $S934=""),"",ROUND(($P934*Lists!$AN$7)+($Q934*Lists!$AN$8)+($R934*Lists!$AN$9)+($S934*Lists!$AN$10),2))</f>
        <v/>
      </c>
      <c r="U934" s="66"/>
      <c r="V934" s="66"/>
      <c r="W934" s="66"/>
      <c r="X934" s="66"/>
      <c r="Y934" s="66"/>
      <c r="Z934" s="64" t="str">
        <f>IF(OR($B934="", $U934="", $V934="", $W934="", $X934="", $Y934=""),"",ROUND(($U934*Lists!$AN$11)+($V934*Lists!$AN$12)+($W934*Lists!$AN$13)+($X934*Lists!$AN$14)+($Y934*Lists!$AN$15),2))</f>
        <v/>
      </c>
      <c r="AA934" s="64" t="str">
        <f>IF(OR($B934="", $N934="", $O934="", $T934="", $Z934=""),"",ROUND(($N934*Lists!$AN$16)-($O934*Lists!$AN$17)-($T934*Lists!$AN$18)+($Z934*Lists!$AN$19),2))</f>
        <v/>
      </c>
      <c r="AB934" s="63" t="str">
        <f t="shared" si="57"/>
        <v/>
      </c>
      <c r="AC934" s="63" t="str">
        <f t="shared" si="58"/>
        <v/>
      </c>
      <c r="AD934" s="63" t="str">
        <f>IF($A934="","",IFERROR(IF(VLOOKUP($A934,'Risk Register'!$B$2:$H$1000,4,FALSE())&gt;=4,"Yes",""),""))</f>
        <v/>
      </c>
      <c r="AE934" s="63" t="str">
        <f t="shared" si="59"/>
        <v/>
      </c>
      <c r="AF934" s="62"/>
      <c r="AG934" s="62"/>
      <c r="AH934" s="62"/>
      <c r="AI934" s="62"/>
      <c r="AJ934" s="62"/>
      <c r="AK934" s="62"/>
      <c r="AL934" s="62"/>
      <c r="AM934" s="62"/>
      <c r="AN934" s="62"/>
      <c r="AO934" s="62"/>
      <c r="AP934" s="62"/>
      <c r="AQ934" s="80"/>
    </row>
    <row r="935" spans="1:43" ht="15.75" customHeight="1" x14ac:dyDescent="0.2">
      <c r="A935" s="63" t="str">
        <f t="shared" si="56"/>
        <v/>
      </c>
      <c r="B935" s="62"/>
      <c r="C935" s="62"/>
      <c r="D935" s="62"/>
      <c r="E935" s="62"/>
      <c r="F935" s="62"/>
      <c r="G935" s="62"/>
      <c r="H935" s="62"/>
      <c r="I935" s="66"/>
      <c r="J935" s="66"/>
      <c r="K935" s="66"/>
      <c r="L935" s="66"/>
      <c r="M935" s="66"/>
      <c r="N935" s="64" t="str">
        <f>IF(OR($B935="", $I935="", $J935="", $K935="", $L935="", $M935=""),"",ROUND(($I935*Lists!$AN$2)+($J935*Lists!$AN$3)+($K935*Lists!$AN$4)+($L935*Lists!$AN$5)+($M935*Lists!$AN$6),2))</f>
        <v/>
      </c>
      <c r="O935" s="64" t="str">
        <f>IF($A935="","",IFERROR(VLOOKUP($A935,'Risk Register'!$B$2:$I$1000,8,FALSE()),""))</f>
        <v/>
      </c>
      <c r="P935" s="66"/>
      <c r="Q935" s="66"/>
      <c r="R935" s="66"/>
      <c r="S935" s="66"/>
      <c r="T935" s="64" t="str">
        <f>IF(OR($B935="", $P935="", $Q935="", $R935="", $S935=""),"",ROUND(($P935*Lists!$AN$7)+($Q935*Lists!$AN$8)+($R935*Lists!$AN$9)+($S935*Lists!$AN$10),2))</f>
        <v/>
      </c>
      <c r="U935" s="66"/>
      <c r="V935" s="66"/>
      <c r="W935" s="66"/>
      <c r="X935" s="66"/>
      <c r="Y935" s="66"/>
      <c r="Z935" s="64" t="str">
        <f>IF(OR($B935="", $U935="", $V935="", $W935="", $X935="", $Y935=""),"",ROUND(($U935*Lists!$AN$11)+($V935*Lists!$AN$12)+($W935*Lists!$AN$13)+($X935*Lists!$AN$14)+($Y935*Lists!$AN$15),2))</f>
        <v/>
      </c>
      <c r="AA935" s="64" t="str">
        <f>IF(OR($B935="", $N935="", $O935="", $T935="", $Z935=""),"",ROUND(($N935*Lists!$AN$16)-($O935*Lists!$AN$17)-($T935*Lists!$AN$18)+($Z935*Lists!$AN$19),2))</f>
        <v/>
      </c>
      <c r="AB935" s="63" t="str">
        <f t="shared" si="57"/>
        <v/>
      </c>
      <c r="AC935" s="63" t="str">
        <f t="shared" si="58"/>
        <v/>
      </c>
      <c r="AD935" s="63" t="str">
        <f>IF($A935="","",IFERROR(IF(VLOOKUP($A935,'Risk Register'!$B$2:$H$1000,4,FALSE())&gt;=4,"Yes",""),""))</f>
        <v/>
      </c>
      <c r="AE935" s="63" t="str">
        <f t="shared" si="59"/>
        <v/>
      </c>
      <c r="AF935" s="62"/>
      <c r="AG935" s="62"/>
      <c r="AH935" s="62"/>
      <c r="AI935" s="62"/>
      <c r="AJ935" s="62"/>
      <c r="AK935" s="62"/>
      <c r="AL935" s="62"/>
      <c r="AM935" s="62"/>
      <c r="AN935" s="62"/>
      <c r="AO935" s="62"/>
      <c r="AP935" s="62"/>
      <c r="AQ935" s="80"/>
    </row>
    <row r="936" spans="1:43" ht="15.75" customHeight="1" x14ac:dyDescent="0.2">
      <c r="A936" s="63" t="str">
        <f t="shared" si="56"/>
        <v/>
      </c>
      <c r="B936" s="62"/>
      <c r="C936" s="62"/>
      <c r="D936" s="62"/>
      <c r="E936" s="62"/>
      <c r="F936" s="62"/>
      <c r="G936" s="62"/>
      <c r="H936" s="62"/>
      <c r="I936" s="66"/>
      <c r="J936" s="66"/>
      <c r="K936" s="66"/>
      <c r="L936" s="66"/>
      <c r="M936" s="66"/>
      <c r="N936" s="64" t="str">
        <f>IF(OR($B936="", $I936="", $J936="", $K936="", $L936="", $M936=""),"",ROUND(($I936*Lists!$AN$2)+($J936*Lists!$AN$3)+($K936*Lists!$AN$4)+($L936*Lists!$AN$5)+($M936*Lists!$AN$6),2))</f>
        <v/>
      </c>
      <c r="O936" s="64" t="str">
        <f>IF($A936="","",IFERROR(VLOOKUP($A936,'Risk Register'!$B$2:$I$1000,8,FALSE()),""))</f>
        <v/>
      </c>
      <c r="P936" s="66"/>
      <c r="Q936" s="66"/>
      <c r="R936" s="66"/>
      <c r="S936" s="66"/>
      <c r="T936" s="64" t="str">
        <f>IF(OR($B936="", $P936="", $Q936="", $R936="", $S936=""),"",ROUND(($P936*Lists!$AN$7)+($Q936*Lists!$AN$8)+($R936*Lists!$AN$9)+($S936*Lists!$AN$10),2))</f>
        <v/>
      </c>
      <c r="U936" s="66"/>
      <c r="V936" s="66"/>
      <c r="W936" s="66"/>
      <c r="X936" s="66"/>
      <c r="Y936" s="66"/>
      <c r="Z936" s="64" t="str">
        <f>IF(OR($B936="", $U936="", $V936="", $W936="", $X936="", $Y936=""),"",ROUND(($U936*Lists!$AN$11)+($V936*Lists!$AN$12)+($W936*Lists!$AN$13)+($X936*Lists!$AN$14)+($Y936*Lists!$AN$15),2))</f>
        <v/>
      </c>
      <c r="AA936" s="64" t="str">
        <f>IF(OR($B936="", $N936="", $O936="", $T936="", $Z936=""),"",ROUND(($N936*Lists!$AN$16)-($O936*Lists!$AN$17)-($T936*Lists!$AN$18)+($Z936*Lists!$AN$19),2))</f>
        <v/>
      </c>
      <c r="AB936" s="63" t="str">
        <f t="shared" si="57"/>
        <v/>
      </c>
      <c r="AC936" s="63" t="str">
        <f t="shared" si="58"/>
        <v/>
      </c>
      <c r="AD936" s="63" t="str">
        <f>IF($A936="","",IFERROR(IF(VLOOKUP($A936,'Risk Register'!$B$2:$H$1000,4,FALSE())&gt;=4,"Yes",""),""))</f>
        <v/>
      </c>
      <c r="AE936" s="63" t="str">
        <f t="shared" si="59"/>
        <v/>
      </c>
      <c r="AF936" s="62"/>
      <c r="AG936" s="62"/>
      <c r="AH936" s="62"/>
      <c r="AI936" s="62"/>
      <c r="AJ936" s="62"/>
      <c r="AK936" s="62"/>
      <c r="AL936" s="62"/>
      <c r="AM936" s="62"/>
      <c r="AN936" s="62"/>
      <c r="AO936" s="62"/>
      <c r="AP936" s="62"/>
      <c r="AQ936" s="80"/>
    </row>
    <row r="937" spans="1:43" ht="15.75" customHeight="1" x14ac:dyDescent="0.2">
      <c r="A937" s="63" t="str">
        <f t="shared" si="56"/>
        <v/>
      </c>
      <c r="B937" s="62"/>
      <c r="C937" s="62"/>
      <c r="D937" s="62"/>
      <c r="E937" s="62"/>
      <c r="F937" s="62"/>
      <c r="G937" s="62"/>
      <c r="H937" s="62"/>
      <c r="I937" s="66"/>
      <c r="J937" s="66"/>
      <c r="K937" s="66"/>
      <c r="L937" s="66"/>
      <c r="M937" s="66"/>
      <c r="N937" s="64" t="str">
        <f>IF(OR($B937="", $I937="", $J937="", $K937="", $L937="", $M937=""),"",ROUND(($I937*Lists!$AN$2)+($J937*Lists!$AN$3)+($K937*Lists!$AN$4)+($L937*Lists!$AN$5)+($M937*Lists!$AN$6),2))</f>
        <v/>
      </c>
      <c r="O937" s="64" t="str">
        <f>IF($A937="","",IFERROR(VLOOKUP($A937,'Risk Register'!$B$2:$I$1000,8,FALSE()),""))</f>
        <v/>
      </c>
      <c r="P937" s="66"/>
      <c r="Q937" s="66"/>
      <c r="R937" s="66"/>
      <c r="S937" s="66"/>
      <c r="T937" s="64" t="str">
        <f>IF(OR($B937="", $P937="", $Q937="", $R937="", $S937=""),"",ROUND(($P937*Lists!$AN$7)+($Q937*Lists!$AN$8)+($R937*Lists!$AN$9)+($S937*Lists!$AN$10),2))</f>
        <v/>
      </c>
      <c r="U937" s="66"/>
      <c r="V937" s="66"/>
      <c r="W937" s="66"/>
      <c r="X937" s="66"/>
      <c r="Y937" s="66"/>
      <c r="Z937" s="64" t="str">
        <f>IF(OR($B937="", $U937="", $V937="", $W937="", $X937="", $Y937=""),"",ROUND(($U937*Lists!$AN$11)+($V937*Lists!$AN$12)+($W937*Lists!$AN$13)+($X937*Lists!$AN$14)+($Y937*Lists!$AN$15),2))</f>
        <v/>
      </c>
      <c r="AA937" s="64" t="str">
        <f>IF(OR($B937="", $N937="", $O937="", $T937="", $Z937=""),"",ROUND(($N937*Lists!$AN$16)-($O937*Lists!$AN$17)-($T937*Lists!$AN$18)+($Z937*Lists!$AN$19),2))</f>
        <v/>
      </c>
      <c r="AB937" s="63" t="str">
        <f t="shared" si="57"/>
        <v/>
      </c>
      <c r="AC937" s="63" t="str">
        <f t="shared" si="58"/>
        <v/>
      </c>
      <c r="AD937" s="63" t="str">
        <f>IF($A937="","",IFERROR(IF(VLOOKUP($A937,'Risk Register'!$B$2:$H$1000,4,FALSE())&gt;=4,"Yes",""),""))</f>
        <v/>
      </c>
      <c r="AE937" s="63" t="str">
        <f t="shared" si="59"/>
        <v/>
      </c>
      <c r="AF937" s="62"/>
      <c r="AG937" s="62"/>
      <c r="AH937" s="62"/>
      <c r="AI937" s="62"/>
      <c r="AJ937" s="62"/>
      <c r="AK937" s="62"/>
      <c r="AL937" s="62"/>
      <c r="AM937" s="62"/>
      <c r="AN937" s="62"/>
      <c r="AO937" s="62"/>
      <c r="AP937" s="62"/>
      <c r="AQ937" s="80"/>
    </row>
    <row r="938" spans="1:43" ht="15.75" customHeight="1" x14ac:dyDescent="0.2">
      <c r="A938" s="63" t="str">
        <f t="shared" si="56"/>
        <v/>
      </c>
      <c r="B938" s="62"/>
      <c r="C938" s="62"/>
      <c r="D938" s="62"/>
      <c r="E938" s="62"/>
      <c r="F938" s="62"/>
      <c r="G938" s="62"/>
      <c r="H938" s="62"/>
      <c r="I938" s="66"/>
      <c r="J938" s="66"/>
      <c r="K938" s="66"/>
      <c r="L938" s="66"/>
      <c r="M938" s="66"/>
      <c r="N938" s="64" t="str">
        <f>IF(OR($B938="", $I938="", $J938="", $K938="", $L938="", $M938=""),"",ROUND(($I938*Lists!$AN$2)+($J938*Lists!$AN$3)+($K938*Lists!$AN$4)+($L938*Lists!$AN$5)+($M938*Lists!$AN$6),2))</f>
        <v/>
      </c>
      <c r="O938" s="64" t="str">
        <f>IF($A938="","",IFERROR(VLOOKUP($A938,'Risk Register'!$B$2:$I$1000,8,FALSE()),""))</f>
        <v/>
      </c>
      <c r="P938" s="66"/>
      <c r="Q938" s="66"/>
      <c r="R938" s="66"/>
      <c r="S938" s="66"/>
      <c r="T938" s="64" t="str">
        <f>IF(OR($B938="", $P938="", $Q938="", $R938="", $S938=""),"",ROUND(($P938*Lists!$AN$7)+($Q938*Lists!$AN$8)+($R938*Lists!$AN$9)+($S938*Lists!$AN$10),2))</f>
        <v/>
      </c>
      <c r="U938" s="66"/>
      <c r="V938" s="66"/>
      <c r="W938" s="66"/>
      <c r="X938" s="66"/>
      <c r="Y938" s="66"/>
      <c r="Z938" s="64" t="str">
        <f>IF(OR($B938="", $U938="", $V938="", $W938="", $X938="", $Y938=""),"",ROUND(($U938*Lists!$AN$11)+($V938*Lists!$AN$12)+($W938*Lists!$AN$13)+($X938*Lists!$AN$14)+($Y938*Lists!$AN$15),2))</f>
        <v/>
      </c>
      <c r="AA938" s="64" t="str">
        <f>IF(OR($B938="", $N938="", $O938="", $T938="", $Z938=""),"",ROUND(($N938*Lists!$AN$16)-($O938*Lists!$AN$17)-($T938*Lists!$AN$18)+($Z938*Lists!$AN$19),2))</f>
        <v/>
      </c>
      <c r="AB938" s="63" t="str">
        <f t="shared" si="57"/>
        <v/>
      </c>
      <c r="AC938" s="63" t="str">
        <f t="shared" si="58"/>
        <v/>
      </c>
      <c r="AD938" s="63" t="str">
        <f>IF($A938="","",IFERROR(IF(VLOOKUP($A938,'Risk Register'!$B$2:$H$1000,4,FALSE())&gt;=4,"Yes",""),""))</f>
        <v/>
      </c>
      <c r="AE938" s="63" t="str">
        <f t="shared" si="59"/>
        <v/>
      </c>
      <c r="AF938" s="62"/>
      <c r="AG938" s="62"/>
      <c r="AH938" s="62"/>
      <c r="AI938" s="62"/>
      <c r="AJ938" s="62"/>
      <c r="AK938" s="62"/>
      <c r="AL938" s="62"/>
      <c r="AM938" s="62"/>
      <c r="AN938" s="62"/>
      <c r="AO938" s="62"/>
      <c r="AP938" s="62"/>
      <c r="AQ938" s="80"/>
    </row>
    <row r="939" spans="1:43" ht="15.75" customHeight="1" x14ac:dyDescent="0.2">
      <c r="A939" s="63" t="str">
        <f t="shared" si="56"/>
        <v/>
      </c>
      <c r="B939" s="62"/>
      <c r="C939" s="62"/>
      <c r="D939" s="62"/>
      <c r="E939" s="62"/>
      <c r="F939" s="62"/>
      <c r="G939" s="62"/>
      <c r="H939" s="62"/>
      <c r="I939" s="66"/>
      <c r="J939" s="66"/>
      <c r="K939" s="66"/>
      <c r="L939" s="66"/>
      <c r="M939" s="66"/>
      <c r="N939" s="64" t="str">
        <f>IF(OR($B939="", $I939="", $J939="", $K939="", $L939="", $M939=""),"",ROUND(($I939*Lists!$AN$2)+($J939*Lists!$AN$3)+($K939*Lists!$AN$4)+($L939*Lists!$AN$5)+($M939*Lists!$AN$6),2))</f>
        <v/>
      </c>
      <c r="O939" s="64" t="str">
        <f>IF($A939="","",IFERROR(VLOOKUP($A939,'Risk Register'!$B$2:$I$1000,8,FALSE()),""))</f>
        <v/>
      </c>
      <c r="P939" s="66"/>
      <c r="Q939" s="66"/>
      <c r="R939" s="66"/>
      <c r="S939" s="66"/>
      <c r="T939" s="64" t="str">
        <f>IF(OR($B939="", $P939="", $Q939="", $R939="", $S939=""),"",ROUND(($P939*Lists!$AN$7)+($Q939*Lists!$AN$8)+($R939*Lists!$AN$9)+($S939*Lists!$AN$10),2))</f>
        <v/>
      </c>
      <c r="U939" s="66"/>
      <c r="V939" s="66"/>
      <c r="W939" s="66"/>
      <c r="X939" s="66"/>
      <c r="Y939" s="66"/>
      <c r="Z939" s="64" t="str">
        <f>IF(OR($B939="", $U939="", $V939="", $W939="", $X939="", $Y939=""),"",ROUND(($U939*Lists!$AN$11)+($V939*Lists!$AN$12)+($W939*Lists!$AN$13)+($X939*Lists!$AN$14)+($Y939*Lists!$AN$15),2))</f>
        <v/>
      </c>
      <c r="AA939" s="64" t="str">
        <f>IF(OR($B939="", $N939="", $O939="", $T939="", $Z939=""),"",ROUND(($N939*Lists!$AN$16)-($O939*Lists!$AN$17)-($T939*Lists!$AN$18)+($Z939*Lists!$AN$19),2))</f>
        <v/>
      </c>
      <c r="AB939" s="63" t="str">
        <f t="shared" si="57"/>
        <v/>
      </c>
      <c r="AC939" s="63" t="str">
        <f t="shared" si="58"/>
        <v/>
      </c>
      <c r="AD939" s="63" t="str">
        <f>IF($A939="","",IFERROR(IF(VLOOKUP($A939,'Risk Register'!$B$2:$H$1000,4,FALSE())&gt;=4,"Yes",""),""))</f>
        <v/>
      </c>
      <c r="AE939" s="63" t="str">
        <f t="shared" si="59"/>
        <v/>
      </c>
      <c r="AF939" s="62"/>
      <c r="AG939" s="62"/>
      <c r="AH939" s="62"/>
      <c r="AI939" s="62"/>
      <c r="AJ939" s="62"/>
      <c r="AK939" s="62"/>
      <c r="AL939" s="62"/>
      <c r="AM939" s="62"/>
      <c r="AN939" s="62"/>
      <c r="AO939" s="62"/>
      <c r="AP939" s="62"/>
      <c r="AQ939" s="80"/>
    </row>
    <row r="940" spans="1:43" ht="15.75" customHeight="1" x14ac:dyDescent="0.2">
      <c r="A940" s="63" t="str">
        <f t="shared" si="56"/>
        <v/>
      </c>
      <c r="B940" s="62"/>
      <c r="C940" s="62"/>
      <c r="D940" s="62"/>
      <c r="E940" s="62"/>
      <c r="F940" s="62"/>
      <c r="G940" s="62"/>
      <c r="H940" s="62"/>
      <c r="I940" s="66"/>
      <c r="J940" s="66"/>
      <c r="K940" s="66"/>
      <c r="L940" s="66"/>
      <c r="M940" s="66"/>
      <c r="N940" s="64" t="str">
        <f>IF(OR($B940="", $I940="", $J940="", $K940="", $L940="", $M940=""),"",ROUND(($I940*Lists!$AN$2)+($J940*Lists!$AN$3)+($K940*Lists!$AN$4)+($L940*Lists!$AN$5)+($M940*Lists!$AN$6),2))</f>
        <v/>
      </c>
      <c r="O940" s="64" t="str">
        <f>IF($A940="","",IFERROR(VLOOKUP($A940,'Risk Register'!$B$2:$I$1000,8,FALSE()),""))</f>
        <v/>
      </c>
      <c r="P940" s="66"/>
      <c r="Q940" s="66"/>
      <c r="R940" s="66"/>
      <c r="S940" s="66"/>
      <c r="T940" s="64" t="str">
        <f>IF(OR($B940="", $P940="", $Q940="", $R940="", $S940=""),"",ROUND(($P940*Lists!$AN$7)+($Q940*Lists!$AN$8)+($R940*Lists!$AN$9)+($S940*Lists!$AN$10),2))</f>
        <v/>
      </c>
      <c r="U940" s="66"/>
      <c r="V940" s="66"/>
      <c r="W940" s="66"/>
      <c r="X940" s="66"/>
      <c r="Y940" s="66"/>
      <c r="Z940" s="64" t="str">
        <f>IF(OR($B940="", $U940="", $V940="", $W940="", $X940="", $Y940=""),"",ROUND(($U940*Lists!$AN$11)+($V940*Lists!$AN$12)+($W940*Lists!$AN$13)+($X940*Lists!$AN$14)+($Y940*Lists!$AN$15),2))</f>
        <v/>
      </c>
      <c r="AA940" s="64" t="str">
        <f>IF(OR($B940="", $N940="", $O940="", $T940="", $Z940=""),"",ROUND(($N940*Lists!$AN$16)-($O940*Lists!$AN$17)-($T940*Lists!$AN$18)+($Z940*Lists!$AN$19),2))</f>
        <v/>
      </c>
      <c r="AB940" s="63" t="str">
        <f t="shared" si="57"/>
        <v/>
      </c>
      <c r="AC940" s="63" t="str">
        <f t="shared" si="58"/>
        <v/>
      </c>
      <c r="AD940" s="63" t="str">
        <f>IF($A940="","",IFERROR(IF(VLOOKUP($A940,'Risk Register'!$B$2:$H$1000,4,FALSE())&gt;=4,"Yes",""),""))</f>
        <v/>
      </c>
      <c r="AE940" s="63" t="str">
        <f t="shared" si="59"/>
        <v/>
      </c>
      <c r="AF940" s="62"/>
      <c r="AG940" s="62"/>
      <c r="AH940" s="62"/>
      <c r="AI940" s="62"/>
      <c r="AJ940" s="62"/>
      <c r="AK940" s="62"/>
      <c r="AL940" s="62"/>
      <c r="AM940" s="62"/>
      <c r="AN940" s="62"/>
      <c r="AO940" s="62"/>
      <c r="AP940" s="62"/>
      <c r="AQ940" s="80"/>
    </row>
    <row r="941" spans="1:43" ht="15.75" customHeight="1" x14ac:dyDescent="0.2">
      <c r="A941" s="63" t="str">
        <f t="shared" si="56"/>
        <v/>
      </c>
      <c r="B941" s="62"/>
      <c r="C941" s="62"/>
      <c r="D941" s="62"/>
      <c r="E941" s="62"/>
      <c r="F941" s="62"/>
      <c r="G941" s="62"/>
      <c r="H941" s="62"/>
      <c r="I941" s="66"/>
      <c r="J941" s="66"/>
      <c r="K941" s="66"/>
      <c r="L941" s="66"/>
      <c r="M941" s="66"/>
      <c r="N941" s="64" t="str">
        <f>IF(OR($B941="", $I941="", $J941="", $K941="", $L941="", $M941=""),"",ROUND(($I941*Lists!$AN$2)+($J941*Lists!$AN$3)+($K941*Lists!$AN$4)+($L941*Lists!$AN$5)+($M941*Lists!$AN$6),2))</f>
        <v/>
      </c>
      <c r="O941" s="64" t="str">
        <f>IF($A941="","",IFERROR(VLOOKUP($A941,'Risk Register'!$B$2:$I$1000,8,FALSE()),""))</f>
        <v/>
      </c>
      <c r="P941" s="66"/>
      <c r="Q941" s="66"/>
      <c r="R941" s="66"/>
      <c r="S941" s="66"/>
      <c r="T941" s="64" t="str">
        <f>IF(OR($B941="", $P941="", $Q941="", $R941="", $S941=""),"",ROUND(($P941*Lists!$AN$7)+($Q941*Lists!$AN$8)+($R941*Lists!$AN$9)+($S941*Lists!$AN$10),2))</f>
        <v/>
      </c>
      <c r="U941" s="66"/>
      <c r="V941" s="66"/>
      <c r="W941" s="66"/>
      <c r="X941" s="66"/>
      <c r="Y941" s="66"/>
      <c r="Z941" s="64" t="str">
        <f>IF(OR($B941="", $U941="", $V941="", $W941="", $X941="", $Y941=""),"",ROUND(($U941*Lists!$AN$11)+($V941*Lists!$AN$12)+($W941*Lists!$AN$13)+($X941*Lists!$AN$14)+($Y941*Lists!$AN$15),2))</f>
        <v/>
      </c>
      <c r="AA941" s="64" t="str">
        <f>IF(OR($B941="", $N941="", $O941="", $T941="", $Z941=""),"",ROUND(($N941*Lists!$AN$16)-($O941*Lists!$AN$17)-($T941*Lists!$AN$18)+($Z941*Lists!$AN$19),2))</f>
        <v/>
      </c>
      <c r="AB941" s="63" t="str">
        <f t="shared" si="57"/>
        <v/>
      </c>
      <c r="AC941" s="63" t="str">
        <f t="shared" si="58"/>
        <v/>
      </c>
      <c r="AD941" s="63" t="str">
        <f>IF($A941="","",IFERROR(IF(VLOOKUP($A941,'Risk Register'!$B$2:$H$1000,4,FALSE())&gt;=4,"Yes",""),""))</f>
        <v/>
      </c>
      <c r="AE941" s="63" t="str">
        <f t="shared" si="59"/>
        <v/>
      </c>
      <c r="AF941" s="62"/>
      <c r="AG941" s="62"/>
      <c r="AH941" s="62"/>
      <c r="AI941" s="62"/>
      <c r="AJ941" s="62"/>
      <c r="AK941" s="62"/>
      <c r="AL941" s="62"/>
      <c r="AM941" s="62"/>
      <c r="AN941" s="62"/>
      <c r="AO941" s="62"/>
      <c r="AP941" s="62"/>
      <c r="AQ941" s="80"/>
    </row>
    <row r="942" spans="1:43" ht="15.75" customHeight="1" x14ac:dyDescent="0.2">
      <c r="A942" s="63" t="str">
        <f t="shared" si="56"/>
        <v/>
      </c>
      <c r="B942" s="62"/>
      <c r="C942" s="62"/>
      <c r="D942" s="62"/>
      <c r="E942" s="62"/>
      <c r="F942" s="62"/>
      <c r="G942" s="62"/>
      <c r="H942" s="62"/>
      <c r="I942" s="66"/>
      <c r="J942" s="66"/>
      <c r="K942" s="66"/>
      <c r="L942" s="66"/>
      <c r="M942" s="66"/>
      <c r="N942" s="64" t="str">
        <f>IF(OR($B942="", $I942="", $J942="", $K942="", $L942="", $M942=""),"",ROUND(($I942*Lists!$AN$2)+($J942*Lists!$AN$3)+($K942*Lists!$AN$4)+($L942*Lists!$AN$5)+($M942*Lists!$AN$6),2))</f>
        <v/>
      </c>
      <c r="O942" s="64" t="str">
        <f>IF($A942="","",IFERROR(VLOOKUP($A942,'Risk Register'!$B$2:$I$1000,8,FALSE()),""))</f>
        <v/>
      </c>
      <c r="P942" s="66"/>
      <c r="Q942" s="66"/>
      <c r="R942" s="66"/>
      <c r="S942" s="66"/>
      <c r="T942" s="64" t="str">
        <f>IF(OR($B942="", $P942="", $Q942="", $R942="", $S942=""),"",ROUND(($P942*Lists!$AN$7)+($Q942*Lists!$AN$8)+($R942*Lists!$AN$9)+($S942*Lists!$AN$10),2))</f>
        <v/>
      </c>
      <c r="U942" s="66"/>
      <c r="V942" s="66"/>
      <c r="W942" s="66"/>
      <c r="X942" s="66"/>
      <c r="Y942" s="66"/>
      <c r="Z942" s="64" t="str">
        <f>IF(OR($B942="", $U942="", $V942="", $W942="", $X942="", $Y942=""),"",ROUND(($U942*Lists!$AN$11)+($V942*Lists!$AN$12)+($W942*Lists!$AN$13)+($X942*Lists!$AN$14)+($Y942*Lists!$AN$15),2))</f>
        <v/>
      </c>
      <c r="AA942" s="64" t="str">
        <f>IF(OR($B942="", $N942="", $O942="", $T942="", $Z942=""),"",ROUND(($N942*Lists!$AN$16)-($O942*Lists!$AN$17)-($T942*Lists!$AN$18)+($Z942*Lists!$AN$19),2))</f>
        <v/>
      </c>
      <c r="AB942" s="63" t="str">
        <f t="shared" si="57"/>
        <v/>
      </c>
      <c r="AC942" s="63" t="str">
        <f t="shared" si="58"/>
        <v/>
      </c>
      <c r="AD942" s="63" t="str">
        <f>IF($A942="","",IFERROR(IF(VLOOKUP($A942,'Risk Register'!$B$2:$H$1000,4,FALSE())&gt;=4,"Yes",""),""))</f>
        <v/>
      </c>
      <c r="AE942" s="63" t="str">
        <f t="shared" si="59"/>
        <v/>
      </c>
      <c r="AF942" s="62"/>
      <c r="AG942" s="62"/>
      <c r="AH942" s="62"/>
      <c r="AI942" s="62"/>
      <c r="AJ942" s="62"/>
      <c r="AK942" s="62"/>
      <c r="AL942" s="62"/>
      <c r="AM942" s="62"/>
      <c r="AN942" s="62"/>
      <c r="AO942" s="62"/>
      <c r="AP942" s="62"/>
      <c r="AQ942" s="80"/>
    </row>
    <row r="943" spans="1:43" ht="15.75" customHeight="1" x14ac:dyDescent="0.2">
      <c r="A943" s="63" t="str">
        <f t="shared" si="56"/>
        <v/>
      </c>
      <c r="B943" s="62"/>
      <c r="C943" s="62"/>
      <c r="D943" s="62"/>
      <c r="E943" s="62"/>
      <c r="F943" s="62"/>
      <c r="G943" s="62"/>
      <c r="H943" s="62"/>
      <c r="I943" s="66"/>
      <c r="J943" s="66"/>
      <c r="K943" s="66"/>
      <c r="L943" s="66"/>
      <c r="M943" s="66"/>
      <c r="N943" s="64" t="str">
        <f>IF(OR($B943="", $I943="", $J943="", $K943="", $L943="", $M943=""),"",ROUND(($I943*Lists!$AN$2)+($J943*Lists!$AN$3)+($K943*Lists!$AN$4)+($L943*Lists!$AN$5)+($M943*Lists!$AN$6),2))</f>
        <v/>
      </c>
      <c r="O943" s="64" t="str">
        <f>IF($A943="","",IFERROR(VLOOKUP($A943,'Risk Register'!$B$2:$I$1000,8,FALSE()),""))</f>
        <v/>
      </c>
      <c r="P943" s="66"/>
      <c r="Q943" s="66"/>
      <c r="R943" s="66"/>
      <c r="S943" s="66"/>
      <c r="T943" s="64" t="str">
        <f>IF(OR($B943="", $P943="", $Q943="", $R943="", $S943=""),"",ROUND(($P943*Lists!$AN$7)+($Q943*Lists!$AN$8)+($R943*Lists!$AN$9)+($S943*Lists!$AN$10),2))</f>
        <v/>
      </c>
      <c r="U943" s="66"/>
      <c r="V943" s="66"/>
      <c r="W943" s="66"/>
      <c r="X943" s="66"/>
      <c r="Y943" s="66"/>
      <c r="Z943" s="64" t="str">
        <f>IF(OR($B943="", $U943="", $V943="", $W943="", $X943="", $Y943=""),"",ROUND(($U943*Lists!$AN$11)+($V943*Lists!$AN$12)+($W943*Lists!$AN$13)+($X943*Lists!$AN$14)+($Y943*Lists!$AN$15),2))</f>
        <v/>
      </c>
      <c r="AA943" s="64" t="str">
        <f>IF(OR($B943="", $N943="", $O943="", $T943="", $Z943=""),"",ROUND(($N943*Lists!$AN$16)-($O943*Lists!$AN$17)-($T943*Lists!$AN$18)+($Z943*Lists!$AN$19),2))</f>
        <v/>
      </c>
      <c r="AB943" s="63" t="str">
        <f t="shared" si="57"/>
        <v/>
      </c>
      <c r="AC943" s="63" t="str">
        <f t="shared" si="58"/>
        <v/>
      </c>
      <c r="AD943" s="63" t="str">
        <f>IF($A943="","",IFERROR(IF(VLOOKUP($A943,'Risk Register'!$B$2:$H$1000,4,FALSE())&gt;=4,"Yes",""),""))</f>
        <v/>
      </c>
      <c r="AE943" s="63" t="str">
        <f t="shared" si="59"/>
        <v/>
      </c>
      <c r="AF943" s="62"/>
      <c r="AG943" s="62"/>
      <c r="AH943" s="62"/>
      <c r="AI943" s="62"/>
      <c r="AJ943" s="62"/>
      <c r="AK943" s="62"/>
      <c r="AL943" s="62"/>
      <c r="AM943" s="62"/>
      <c r="AN943" s="62"/>
      <c r="AO943" s="62"/>
      <c r="AP943" s="62"/>
      <c r="AQ943" s="80"/>
    </row>
    <row r="944" spans="1:43" ht="15.75" customHeight="1" x14ac:dyDescent="0.2">
      <c r="A944" s="63" t="str">
        <f t="shared" si="56"/>
        <v/>
      </c>
      <c r="B944" s="62"/>
      <c r="C944" s="62"/>
      <c r="D944" s="62"/>
      <c r="E944" s="62"/>
      <c r="F944" s="62"/>
      <c r="G944" s="62"/>
      <c r="H944" s="62"/>
      <c r="I944" s="66"/>
      <c r="J944" s="66"/>
      <c r="K944" s="66"/>
      <c r="L944" s="66"/>
      <c r="M944" s="66"/>
      <c r="N944" s="64" t="str">
        <f>IF(OR($B944="", $I944="", $J944="", $K944="", $L944="", $M944=""),"",ROUND(($I944*Lists!$AN$2)+($J944*Lists!$AN$3)+($K944*Lists!$AN$4)+($L944*Lists!$AN$5)+($M944*Lists!$AN$6),2))</f>
        <v/>
      </c>
      <c r="O944" s="64" t="str">
        <f>IF($A944="","",IFERROR(VLOOKUP($A944,'Risk Register'!$B$2:$I$1000,8,FALSE()),""))</f>
        <v/>
      </c>
      <c r="P944" s="66"/>
      <c r="Q944" s="66"/>
      <c r="R944" s="66"/>
      <c r="S944" s="66"/>
      <c r="T944" s="64" t="str">
        <f>IF(OR($B944="", $P944="", $Q944="", $R944="", $S944=""),"",ROUND(($P944*Lists!$AN$7)+($Q944*Lists!$AN$8)+($R944*Lists!$AN$9)+($S944*Lists!$AN$10),2))</f>
        <v/>
      </c>
      <c r="U944" s="66"/>
      <c r="V944" s="66"/>
      <c r="W944" s="66"/>
      <c r="X944" s="66"/>
      <c r="Y944" s="66"/>
      <c r="Z944" s="64" t="str">
        <f>IF(OR($B944="", $U944="", $V944="", $W944="", $X944="", $Y944=""),"",ROUND(($U944*Lists!$AN$11)+($V944*Lists!$AN$12)+($W944*Lists!$AN$13)+($X944*Lists!$AN$14)+($Y944*Lists!$AN$15),2))</f>
        <v/>
      </c>
      <c r="AA944" s="64" t="str">
        <f>IF(OR($B944="", $N944="", $O944="", $T944="", $Z944=""),"",ROUND(($N944*Lists!$AN$16)-($O944*Lists!$AN$17)-($T944*Lists!$AN$18)+($Z944*Lists!$AN$19),2))</f>
        <v/>
      </c>
      <c r="AB944" s="63" t="str">
        <f t="shared" si="57"/>
        <v/>
      </c>
      <c r="AC944" s="63" t="str">
        <f t="shared" si="58"/>
        <v/>
      </c>
      <c r="AD944" s="63" t="str">
        <f>IF($A944="","",IFERROR(IF(VLOOKUP($A944,'Risk Register'!$B$2:$H$1000,4,FALSE())&gt;=4,"Yes",""),""))</f>
        <v/>
      </c>
      <c r="AE944" s="63" t="str">
        <f t="shared" si="59"/>
        <v/>
      </c>
      <c r="AF944" s="62"/>
      <c r="AG944" s="62"/>
      <c r="AH944" s="62"/>
      <c r="AI944" s="62"/>
      <c r="AJ944" s="62"/>
      <c r="AK944" s="62"/>
      <c r="AL944" s="62"/>
      <c r="AM944" s="62"/>
      <c r="AN944" s="62"/>
      <c r="AO944" s="62"/>
      <c r="AP944" s="62"/>
      <c r="AQ944" s="80"/>
    </row>
    <row r="945" spans="1:43" ht="15.75" customHeight="1" x14ac:dyDescent="0.2">
      <c r="A945" s="63" t="str">
        <f t="shared" si="56"/>
        <v/>
      </c>
      <c r="B945" s="62"/>
      <c r="C945" s="62"/>
      <c r="D945" s="62"/>
      <c r="E945" s="62"/>
      <c r="F945" s="62"/>
      <c r="G945" s="62"/>
      <c r="H945" s="62"/>
      <c r="I945" s="66"/>
      <c r="J945" s="66"/>
      <c r="K945" s="66"/>
      <c r="L945" s="66"/>
      <c r="M945" s="66"/>
      <c r="N945" s="64" t="str">
        <f>IF(OR($B945="", $I945="", $J945="", $K945="", $L945="", $M945=""),"",ROUND(($I945*Lists!$AN$2)+($J945*Lists!$AN$3)+($K945*Lists!$AN$4)+($L945*Lists!$AN$5)+($M945*Lists!$AN$6),2))</f>
        <v/>
      </c>
      <c r="O945" s="64" t="str">
        <f>IF($A945="","",IFERROR(VLOOKUP($A945,'Risk Register'!$B$2:$I$1000,8,FALSE()),""))</f>
        <v/>
      </c>
      <c r="P945" s="66"/>
      <c r="Q945" s="66"/>
      <c r="R945" s="66"/>
      <c r="S945" s="66"/>
      <c r="T945" s="64" t="str">
        <f>IF(OR($B945="", $P945="", $Q945="", $R945="", $S945=""),"",ROUND(($P945*Lists!$AN$7)+($Q945*Lists!$AN$8)+($R945*Lists!$AN$9)+($S945*Lists!$AN$10),2))</f>
        <v/>
      </c>
      <c r="U945" s="66"/>
      <c r="V945" s="66"/>
      <c r="W945" s="66"/>
      <c r="X945" s="66"/>
      <c r="Y945" s="66"/>
      <c r="Z945" s="64" t="str">
        <f>IF(OR($B945="", $U945="", $V945="", $W945="", $X945="", $Y945=""),"",ROUND(($U945*Lists!$AN$11)+($V945*Lists!$AN$12)+($W945*Lists!$AN$13)+($X945*Lists!$AN$14)+($Y945*Lists!$AN$15),2))</f>
        <v/>
      </c>
      <c r="AA945" s="64" t="str">
        <f>IF(OR($B945="", $N945="", $O945="", $T945="", $Z945=""),"",ROUND(($N945*Lists!$AN$16)-($O945*Lists!$AN$17)-($T945*Lists!$AN$18)+($Z945*Lists!$AN$19),2))</f>
        <v/>
      </c>
      <c r="AB945" s="63" t="str">
        <f t="shared" si="57"/>
        <v/>
      </c>
      <c r="AC945" s="63" t="str">
        <f t="shared" si="58"/>
        <v/>
      </c>
      <c r="AD945" s="63" t="str">
        <f>IF($A945="","",IFERROR(IF(VLOOKUP($A945,'Risk Register'!$B$2:$H$1000,4,FALSE())&gt;=4,"Yes",""),""))</f>
        <v/>
      </c>
      <c r="AE945" s="63" t="str">
        <f t="shared" si="59"/>
        <v/>
      </c>
      <c r="AF945" s="62"/>
      <c r="AG945" s="62"/>
      <c r="AH945" s="62"/>
      <c r="AI945" s="62"/>
      <c r="AJ945" s="62"/>
      <c r="AK945" s="62"/>
      <c r="AL945" s="62"/>
      <c r="AM945" s="62"/>
      <c r="AN945" s="62"/>
      <c r="AO945" s="62"/>
      <c r="AP945" s="62"/>
      <c r="AQ945" s="80"/>
    </row>
    <row r="946" spans="1:43" ht="15.75" customHeight="1" x14ac:dyDescent="0.2">
      <c r="A946" s="63" t="str">
        <f t="shared" si="56"/>
        <v/>
      </c>
      <c r="B946" s="62"/>
      <c r="C946" s="62"/>
      <c r="D946" s="62"/>
      <c r="E946" s="62"/>
      <c r="F946" s="62"/>
      <c r="G946" s="62"/>
      <c r="H946" s="62"/>
      <c r="I946" s="66"/>
      <c r="J946" s="66"/>
      <c r="K946" s="66"/>
      <c r="L946" s="66"/>
      <c r="M946" s="66"/>
      <c r="N946" s="64" t="str">
        <f>IF(OR($B946="", $I946="", $J946="", $K946="", $L946="", $M946=""),"",ROUND(($I946*Lists!$AN$2)+($J946*Lists!$AN$3)+($K946*Lists!$AN$4)+($L946*Lists!$AN$5)+($M946*Lists!$AN$6),2))</f>
        <v/>
      </c>
      <c r="O946" s="64" t="str">
        <f>IF($A946="","",IFERROR(VLOOKUP($A946,'Risk Register'!$B$2:$I$1000,8,FALSE()),""))</f>
        <v/>
      </c>
      <c r="P946" s="66"/>
      <c r="Q946" s="66"/>
      <c r="R946" s="66"/>
      <c r="S946" s="66"/>
      <c r="T946" s="64" t="str">
        <f>IF(OR($B946="", $P946="", $Q946="", $R946="", $S946=""),"",ROUND(($P946*Lists!$AN$7)+($Q946*Lists!$AN$8)+($R946*Lists!$AN$9)+($S946*Lists!$AN$10),2))</f>
        <v/>
      </c>
      <c r="U946" s="66"/>
      <c r="V946" s="66"/>
      <c r="W946" s="66"/>
      <c r="X946" s="66"/>
      <c r="Y946" s="66"/>
      <c r="Z946" s="64" t="str">
        <f>IF(OR($B946="", $U946="", $V946="", $W946="", $X946="", $Y946=""),"",ROUND(($U946*Lists!$AN$11)+($V946*Lists!$AN$12)+($W946*Lists!$AN$13)+($X946*Lists!$AN$14)+($Y946*Lists!$AN$15),2))</f>
        <v/>
      </c>
      <c r="AA946" s="64" t="str">
        <f>IF(OR($B946="", $N946="", $O946="", $T946="", $Z946=""),"",ROUND(($N946*Lists!$AN$16)-($O946*Lists!$AN$17)-($T946*Lists!$AN$18)+($Z946*Lists!$AN$19),2))</f>
        <v/>
      </c>
      <c r="AB946" s="63" t="str">
        <f t="shared" si="57"/>
        <v/>
      </c>
      <c r="AC946" s="63" t="str">
        <f t="shared" si="58"/>
        <v/>
      </c>
      <c r="AD946" s="63" t="str">
        <f>IF($A946="","",IFERROR(IF(VLOOKUP($A946,'Risk Register'!$B$2:$H$1000,4,FALSE())&gt;=4,"Yes",""),""))</f>
        <v/>
      </c>
      <c r="AE946" s="63" t="str">
        <f t="shared" si="59"/>
        <v/>
      </c>
      <c r="AF946" s="62"/>
      <c r="AG946" s="62"/>
      <c r="AH946" s="62"/>
      <c r="AI946" s="62"/>
      <c r="AJ946" s="62"/>
      <c r="AK946" s="62"/>
      <c r="AL946" s="62"/>
      <c r="AM946" s="62"/>
      <c r="AN946" s="62"/>
      <c r="AO946" s="62"/>
      <c r="AP946" s="62"/>
      <c r="AQ946" s="80"/>
    </row>
    <row r="947" spans="1:43" ht="15.75" customHeight="1" x14ac:dyDescent="0.2">
      <c r="A947" s="63" t="str">
        <f t="shared" si="56"/>
        <v/>
      </c>
      <c r="B947" s="62"/>
      <c r="C947" s="62"/>
      <c r="D947" s="62"/>
      <c r="E947" s="62"/>
      <c r="F947" s="62"/>
      <c r="G947" s="62"/>
      <c r="H947" s="62"/>
      <c r="I947" s="66"/>
      <c r="J947" s="66"/>
      <c r="K947" s="66"/>
      <c r="L947" s="66"/>
      <c r="M947" s="66"/>
      <c r="N947" s="64" t="str">
        <f>IF(OR($B947="", $I947="", $J947="", $K947="", $L947="", $M947=""),"",ROUND(($I947*Lists!$AN$2)+($J947*Lists!$AN$3)+($K947*Lists!$AN$4)+($L947*Lists!$AN$5)+($M947*Lists!$AN$6),2))</f>
        <v/>
      </c>
      <c r="O947" s="64" t="str">
        <f>IF($A947="","",IFERROR(VLOOKUP($A947,'Risk Register'!$B$2:$I$1000,8,FALSE()),""))</f>
        <v/>
      </c>
      <c r="P947" s="66"/>
      <c r="Q947" s="66"/>
      <c r="R947" s="66"/>
      <c r="S947" s="66"/>
      <c r="T947" s="64" t="str">
        <f>IF(OR($B947="", $P947="", $Q947="", $R947="", $S947=""),"",ROUND(($P947*Lists!$AN$7)+($Q947*Lists!$AN$8)+($R947*Lists!$AN$9)+($S947*Lists!$AN$10),2))</f>
        <v/>
      </c>
      <c r="U947" s="66"/>
      <c r="V947" s="66"/>
      <c r="W947" s="66"/>
      <c r="X947" s="66"/>
      <c r="Y947" s="66"/>
      <c r="Z947" s="64" t="str">
        <f>IF(OR($B947="", $U947="", $V947="", $W947="", $X947="", $Y947=""),"",ROUND(($U947*Lists!$AN$11)+($V947*Lists!$AN$12)+($W947*Lists!$AN$13)+($X947*Lists!$AN$14)+($Y947*Lists!$AN$15),2))</f>
        <v/>
      </c>
      <c r="AA947" s="64" t="str">
        <f>IF(OR($B947="", $N947="", $O947="", $T947="", $Z947=""),"",ROUND(($N947*Lists!$AN$16)-($O947*Lists!$AN$17)-($T947*Lists!$AN$18)+($Z947*Lists!$AN$19),2))</f>
        <v/>
      </c>
      <c r="AB947" s="63" t="str">
        <f t="shared" si="57"/>
        <v/>
      </c>
      <c r="AC947" s="63" t="str">
        <f t="shared" si="58"/>
        <v/>
      </c>
      <c r="AD947" s="63" t="str">
        <f>IF($A947="","",IFERROR(IF(VLOOKUP($A947,'Risk Register'!$B$2:$H$1000,4,FALSE())&gt;=4,"Yes",""),""))</f>
        <v/>
      </c>
      <c r="AE947" s="63" t="str">
        <f t="shared" si="59"/>
        <v/>
      </c>
      <c r="AF947" s="62"/>
      <c r="AG947" s="62"/>
      <c r="AH947" s="62"/>
      <c r="AI947" s="62"/>
      <c r="AJ947" s="62"/>
      <c r="AK947" s="62"/>
      <c r="AL947" s="62"/>
      <c r="AM947" s="62"/>
      <c r="AN947" s="62"/>
      <c r="AO947" s="62"/>
      <c r="AP947" s="62"/>
      <c r="AQ947" s="80"/>
    </row>
    <row r="948" spans="1:43" ht="15.75" customHeight="1" x14ac:dyDescent="0.2">
      <c r="A948" s="63" t="str">
        <f t="shared" si="56"/>
        <v/>
      </c>
      <c r="B948" s="62"/>
      <c r="C948" s="62"/>
      <c r="D948" s="62"/>
      <c r="E948" s="62"/>
      <c r="F948" s="62"/>
      <c r="G948" s="62"/>
      <c r="H948" s="62"/>
      <c r="I948" s="66"/>
      <c r="J948" s="66"/>
      <c r="K948" s="66"/>
      <c r="L948" s="66"/>
      <c r="M948" s="66"/>
      <c r="N948" s="64" t="str">
        <f>IF(OR($B948="", $I948="", $J948="", $K948="", $L948="", $M948=""),"",ROUND(($I948*Lists!$AN$2)+($J948*Lists!$AN$3)+($K948*Lists!$AN$4)+($L948*Lists!$AN$5)+($M948*Lists!$AN$6),2))</f>
        <v/>
      </c>
      <c r="O948" s="64" t="str">
        <f>IF($A948="","",IFERROR(VLOOKUP($A948,'Risk Register'!$B$2:$I$1000,8,FALSE()),""))</f>
        <v/>
      </c>
      <c r="P948" s="66"/>
      <c r="Q948" s="66"/>
      <c r="R948" s="66"/>
      <c r="S948" s="66"/>
      <c r="T948" s="64" t="str">
        <f>IF(OR($B948="", $P948="", $Q948="", $R948="", $S948=""),"",ROUND(($P948*Lists!$AN$7)+($Q948*Lists!$AN$8)+($R948*Lists!$AN$9)+($S948*Lists!$AN$10),2))</f>
        <v/>
      </c>
      <c r="U948" s="66"/>
      <c r="V948" s="66"/>
      <c r="W948" s="66"/>
      <c r="X948" s="66"/>
      <c r="Y948" s="66"/>
      <c r="Z948" s="64" t="str">
        <f>IF(OR($B948="", $U948="", $V948="", $W948="", $X948="", $Y948=""),"",ROUND(($U948*Lists!$AN$11)+($V948*Lists!$AN$12)+($W948*Lists!$AN$13)+($X948*Lists!$AN$14)+($Y948*Lists!$AN$15),2))</f>
        <v/>
      </c>
      <c r="AA948" s="64" t="str">
        <f>IF(OR($B948="", $N948="", $O948="", $T948="", $Z948=""),"",ROUND(($N948*Lists!$AN$16)-($O948*Lists!$AN$17)-($T948*Lists!$AN$18)+($Z948*Lists!$AN$19),2))</f>
        <v/>
      </c>
      <c r="AB948" s="63" t="str">
        <f t="shared" si="57"/>
        <v/>
      </c>
      <c r="AC948" s="63" t="str">
        <f t="shared" si="58"/>
        <v/>
      </c>
      <c r="AD948" s="63" t="str">
        <f>IF($A948="","",IFERROR(IF(VLOOKUP($A948,'Risk Register'!$B$2:$H$1000,4,FALSE())&gt;=4,"Yes",""),""))</f>
        <v/>
      </c>
      <c r="AE948" s="63" t="str">
        <f t="shared" si="59"/>
        <v/>
      </c>
      <c r="AF948" s="62"/>
      <c r="AG948" s="62"/>
      <c r="AH948" s="62"/>
      <c r="AI948" s="62"/>
      <c r="AJ948" s="62"/>
      <c r="AK948" s="62"/>
      <c r="AL948" s="62"/>
      <c r="AM948" s="62"/>
      <c r="AN948" s="62"/>
      <c r="AO948" s="62"/>
      <c r="AP948" s="62"/>
      <c r="AQ948" s="80"/>
    </row>
    <row r="949" spans="1:43" ht="15.75" customHeight="1" x14ac:dyDescent="0.2">
      <c r="A949" s="63" t="str">
        <f t="shared" si="56"/>
        <v/>
      </c>
      <c r="B949" s="62"/>
      <c r="C949" s="62"/>
      <c r="D949" s="62"/>
      <c r="E949" s="62"/>
      <c r="F949" s="62"/>
      <c r="G949" s="62"/>
      <c r="H949" s="62"/>
      <c r="I949" s="66"/>
      <c r="J949" s="66"/>
      <c r="K949" s="66"/>
      <c r="L949" s="66"/>
      <c r="M949" s="66"/>
      <c r="N949" s="64" t="str">
        <f>IF(OR($B949="", $I949="", $J949="", $K949="", $L949="", $M949=""),"",ROUND(($I949*Lists!$AN$2)+($J949*Lists!$AN$3)+($K949*Lists!$AN$4)+($L949*Lists!$AN$5)+($M949*Lists!$AN$6),2))</f>
        <v/>
      </c>
      <c r="O949" s="64" t="str">
        <f>IF($A949="","",IFERROR(VLOOKUP($A949,'Risk Register'!$B$2:$I$1000,8,FALSE()),""))</f>
        <v/>
      </c>
      <c r="P949" s="66"/>
      <c r="Q949" s="66"/>
      <c r="R949" s="66"/>
      <c r="S949" s="66"/>
      <c r="T949" s="64" t="str">
        <f>IF(OR($B949="", $P949="", $Q949="", $R949="", $S949=""),"",ROUND(($P949*Lists!$AN$7)+($Q949*Lists!$AN$8)+($R949*Lists!$AN$9)+($S949*Lists!$AN$10),2))</f>
        <v/>
      </c>
      <c r="U949" s="66"/>
      <c r="V949" s="66"/>
      <c r="W949" s="66"/>
      <c r="X949" s="66"/>
      <c r="Y949" s="66"/>
      <c r="Z949" s="64" t="str">
        <f>IF(OR($B949="", $U949="", $V949="", $W949="", $X949="", $Y949=""),"",ROUND(($U949*Lists!$AN$11)+($V949*Lists!$AN$12)+($W949*Lists!$AN$13)+($X949*Lists!$AN$14)+($Y949*Lists!$AN$15),2))</f>
        <v/>
      </c>
      <c r="AA949" s="64" t="str">
        <f>IF(OR($B949="", $N949="", $O949="", $T949="", $Z949=""),"",ROUND(($N949*Lists!$AN$16)-($O949*Lists!$AN$17)-($T949*Lists!$AN$18)+($Z949*Lists!$AN$19),2))</f>
        <v/>
      </c>
      <c r="AB949" s="63" t="str">
        <f t="shared" si="57"/>
        <v/>
      </c>
      <c r="AC949" s="63" t="str">
        <f t="shared" si="58"/>
        <v/>
      </c>
      <c r="AD949" s="63" t="str">
        <f>IF($A949="","",IFERROR(IF(VLOOKUP($A949,'Risk Register'!$B$2:$H$1000,4,FALSE())&gt;=4,"Yes",""),""))</f>
        <v/>
      </c>
      <c r="AE949" s="63" t="str">
        <f t="shared" si="59"/>
        <v/>
      </c>
      <c r="AF949" s="62"/>
      <c r="AG949" s="62"/>
      <c r="AH949" s="62"/>
      <c r="AI949" s="62"/>
      <c r="AJ949" s="62"/>
      <c r="AK949" s="62"/>
      <c r="AL949" s="62"/>
      <c r="AM949" s="62"/>
      <c r="AN949" s="62"/>
      <c r="AO949" s="62"/>
      <c r="AP949" s="62"/>
      <c r="AQ949" s="80"/>
    </row>
    <row r="950" spans="1:43" ht="15.75" customHeight="1" x14ac:dyDescent="0.2">
      <c r="A950" s="63" t="str">
        <f t="shared" si="56"/>
        <v/>
      </c>
      <c r="B950" s="62"/>
      <c r="C950" s="62"/>
      <c r="D950" s="62"/>
      <c r="E950" s="62"/>
      <c r="F950" s="62"/>
      <c r="G950" s="62"/>
      <c r="H950" s="62"/>
      <c r="I950" s="66"/>
      <c r="J950" s="66"/>
      <c r="K950" s="66"/>
      <c r="L950" s="66"/>
      <c r="M950" s="66"/>
      <c r="N950" s="64" t="str">
        <f>IF(OR($B950="", $I950="", $J950="", $K950="", $L950="", $M950=""),"",ROUND(($I950*Lists!$AN$2)+($J950*Lists!$AN$3)+($K950*Lists!$AN$4)+($L950*Lists!$AN$5)+($M950*Lists!$AN$6),2))</f>
        <v/>
      </c>
      <c r="O950" s="64" t="str">
        <f>IF($A950="","",IFERROR(VLOOKUP($A950,'Risk Register'!$B$2:$I$1000,8,FALSE()),""))</f>
        <v/>
      </c>
      <c r="P950" s="66"/>
      <c r="Q950" s="66"/>
      <c r="R950" s="66"/>
      <c r="S950" s="66"/>
      <c r="T950" s="64" t="str">
        <f>IF(OR($B950="", $P950="", $Q950="", $R950="", $S950=""),"",ROUND(($P950*Lists!$AN$7)+($Q950*Lists!$AN$8)+($R950*Lists!$AN$9)+($S950*Lists!$AN$10),2))</f>
        <v/>
      </c>
      <c r="U950" s="66"/>
      <c r="V950" s="66"/>
      <c r="W950" s="66"/>
      <c r="X950" s="66"/>
      <c r="Y950" s="66"/>
      <c r="Z950" s="64" t="str">
        <f>IF(OR($B950="", $U950="", $V950="", $W950="", $X950="", $Y950=""),"",ROUND(($U950*Lists!$AN$11)+($V950*Lists!$AN$12)+($W950*Lists!$AN$13)+($X950*Lists!$AN$14)+($Y950*Lists!$AN$15),2))</f>
        <v/>
      </c>
      <c r="AA950" s="64" t="str">
        <f>IF(OR($B950="", $N950="", $O950="", $T950="", $Z950=""),"",ROUND(($N950*Lists!$AN$16)-($O950*Lists!$AN$17)-($T950*Lists!$AN$18)+($Z950*Lists!$AN$19),2))</f>
        <v/>
      </c>
      <c r="AB950" s="63" t="str">
        <f t="shared" si="57"/>
        <v/>
      </c>
      <c r="AC950" s="63" t="str">
        <f t="shared" si="58"/>
        <v/>
      </c>
      <c r="AD950" s="63" t="str">
        <f>IF($A950="","",IFERROR(IF(VLOOKUP($A950,'Risk Register'!$B$2:$H$1000,4,FALSE())&gt;=4,"Yes",""),""))</f>
        <v/>
      </c>
      <c r="AE950" s="63" t="str">
        <f t="shared" si="59"/>
        <v/>
      </c>
      <c r="AF950" s="62"/>
      <c r="AG950" s="62"/>
      <c r="AH950" s="62"/>
      <c r="AI950" s="62"/>
      <c r="AJ950" s="62"/>
      <c r="AK950" s="62"/>
      <c r="AL950" s="62"/>
      <c r="AM950" s="62"/>
      <c r="AN950" s="62"/>
      <c r="AO950" s="62"/>
      <c r="AP950" s="62"/>
      <c r="AQ950" s="80"/>
    </row>
    <row r="951" spans="1:43" ht="15.75" customHeight="1" x14ac:dyDescent="0.2">
      <c r="A951" s="63" t="str">
        <f t="shared" si="56"/>
        <v/>
      </c>
      <c r="B951" s="62"/>
      <c r="C951" s="62"/>
      <c r="D951" s="62"/>
      <c r="E951" s="62"/>
      <c r="F951" s="62"/>
      <c r="G951" s="62"/>
      <c r="H951" s="62"/>
      <c r="I951" s="66"/>
      <c r="J951" s="66"/>
      <c r="K951" s="66"/>
      <c r="L951" s="66"/>
      <c r="M951" s="66"/>
      <c r="N951" s="64" t="str">
        <f>IF(OR($B951="", $I951="", $J951="", $K951="", $L951="", $M951=""),"",ROUND(($I951*Lists!$AN$2)+($J951*Lists!$AN$3)+($K951*Lists!$AN$4)+($L951*Lists!$AN$5)+($M951*Lists!$AN$6),2))</f>
        <v/>
      </c>
      <c r="O951" s="64" t="str">
        <f>IF($A951="","",IFERROR(VLOOKUP($A951,'Risk Register'!$B$2:$I$1000,8,FALSE()),""))</f>
        <v/>
      </c>
      <c r="P951" s="66"/>
      <c r="Q951" s="66"/>
      <c r="R951" s="66"/>
      <c r="S951" s="66"/>
      <c r="T951" s="64" t="str">
        <f>IF(OR($B951="", $P951="", $Q951="", $R951="", $S951=""),"",ROUND(($P951*Lists!$AN$7)+($Q951*Lists!$AN$8)+($R951*Lists!$AN$9)+($S951*Lists!$AN$10),2))</f>
        <v/>
      </c>
      <c r="U951" s="66"/>
      <c r="V951" s="66"/>
      <c r="W951" s="66"/>
      <c r="X951" s="66"/>
      <c r="Y951" s="66"/>
      <c r="Z951" s="64" t="str">
        <f>IF(OR($B951="", $U951="", $V951="", $W951="", $X951="", $Y951=""),"",ROUND(($U951*Lists!$AN$11)+($V951*Lists!$AN$12)+($W951*Lists!$AN$13)+($X951*Lists!$AN$14)+($Y951*Lists!$AN$15),2))</f>
        <v/>
      </c>
      <c r="AA951" s="64" t="str">
        <f>IF(OR($B951="", $N951="", $O951="", $T951="", $Z951=""),"",ROUND(($N951*Lists!$AN$16)-($O951*Lists!$AN$17)-($T951*Lists!$AN$18)+($Z951*Lists!$AN$19),2))</f>
        <v/>
      </c>
      <c r="AB951" s="63" t="str">
        <f t="shared" si="57"/>
        <v/>
      </c>
      <c r="AC951" s="63" t="str">
        <f t="shared" si="58"/>
        <v/>
      </c>
      <c r="AD951" s="63" t="str">
        <f>IF($A951="","",IFERROR(IF(VLOOKUP($A951,'Risk Register'!$B$2:$H$1000,4,FALSE())&gt;=4,"Yes",""),""))</f>
        <v/>
      </c>
      <c r="AE951" s="63" t="str">
        <f t="shared" si="59"/>
        <v/>
      </c>
      <c r="AF951" s="62"/>
      <c r="AG951" s="62"/>
      <c r="AH951" s="62"/>
      <c r="AI951" s="62"/>
      <c r="AJ951" s="62"/>
      <c r="AK951" s="62"/>
      <c r="AL951" s="62"/>
      <c r="AM951" s="62"/>
      <c r="AN951" s="62"/>
      <c r="AO951" s="62"/>
      <c r="AP951" s="62"/>
      <c r="AQ951" s="80"/>
    </row>
    <row r="952" spans="1:43" ht="15.75" customHeight="1" x14ac:dyDescent="0.2">
      <c r="A952" s="63" t="str">
        <f t="shared" si="56"/>
        <v/>
      </c>
      <c r="B952" s="62"/>
      <c r="C952" s="62"/>
      <c r="D952" s="62"/>
      <c r="E952" s="62"/>
      <c r="F952" s="62"/>
      <c r="G952" s="62"/>
      <c r="H952" s="62"/>
      <c r="I952" s="66"/>
      <c r="J952" s="66"/>
      <c r="K952" s="66"/>
      <c r="L952" s="66"/>
      <c r="M952" s="66"/>
      <c r="N952" s="64" t="str">
        <f>IF(OR($B952="", $I952="", $J952="", $K952="", $L952="", $M952=""),"",ROUND(($I952*Lists!$AN$2)+($J952*Lists!$AN$3)+($K952*Lists!$AN$4)+($L952*Lists!$AN$5)+($M952*Lists!$AN$6),2))</f>
        <v/>
      </c>
      <c r="O952" s="64" t="str">
        <f>IF($A952="","",IFERROR(VLOOKUP($A952,'Risk Register'!$B$2:$I$1000,8,FALSE()),""))</f>
        <v/>
      </c>
      <c r="P952" s="66"/>
      <c r="Q952" s="66"/>
      <c r="R952" s="66"/>
      <c r="S952" s="66"/>
      <c r="T952" s="64" t="str">
        <f>IF(OR($B952="", $P952="", $Q952="", $R952="", $S952=""),"",ROUND(($P952*Lists!$AN$7)+($Q952*Lists!$AN$8)+($R952*Lists!$AN$9)+($S952*Lists!$AN$10),2))</f>
        <v/>
      </c>
      <c r="U952" s="66"/>
      <c r="V952" s="66"/>
      <c r="W952" s="66"/>
      <c r="X952" s="66"/>
      <c r="Y952" s="66"/>
      <c r="Z952" s="64" t="str">
        <f>IF(OR($B952="", $U952="", $V952="", $W952="", $X952="", $Y952=""),"",ROUND(($U952*Lists!$AN$11)+($V952*Lists!$AN$12)+($W952*Lists!$AN$13)+($X952*Lists!$AN$14)+($Y952*Lists!$AN$15),2))</f>
        <v/>
      </c>
      <c r="AA952" s="64" t="str">
        <f>IF(OR($B952="", $N952="", $O952="", $T952="", $Z952=""),"",ROUND(($N952*Lists!$AN$16)-($O952*Lists!$AN$17)-($T952*Lists!$AN$18)+($Z952*Lists!$AN$19),2))</f>
        <v/>
      </c>
      <c r="AB952" s="63" t="str">
        <f t="shared" si="57"/>
        <v/>
      </c>
      <c r="AC952" s="63" t="str">
        <f t="shared" si="58"/>
        <v/>
      </c>
      <c r="AD952" s="63" t="str">
        <f>IF($A952="","",IFERROR(IF(VLOOKUP($A952,'Risk Register'!$B$2:$H$1000,4,FALSE())&gt;=4,"Yes",""),""))</f>
        <v/>
      </c>
      <c r="AE952" s="63" t="str">
        <f t="shared" si="59"/>
        <v/>
      </c>
      <c r="AF952" s="62"/>
      <c r="AG952" s="62"/>
      <c r="AH952" s="62"/>
      <c r="AI952" s="62"/>
      <c r="AJ952" s="62"/>
      <c r="AK952" s="62"/>
      <c r="AL952" s="62"/>
      <c r="AM952" s="62"/>
      <c r="AN952" s="62"/>
      <c r="AO952" s="62"/>
      <c r="AP952" s="62"/>
      <c r="AQ952" s="80"/>
    </row>
    <row r="953" spans="1:43" ht="15.75" customHeight="1" x14ac:dyDescent="0.2">
      <c r="A953" s="63" t="str">
        <f t="shared" si="56"/>
        <v/>
      </c>
      <c r="B953" s="62"/>
      <c r="C953" s="62"/>
      <c r="D953" s="62"/>
      <c r="E953" s="62"/>
      <c r="F953" s="62"/>
      <c r="G953" s="62"/>
      <c r="H953" s="62"/>
      <c r="I953" s="66"/>
      <c r="J953" s="66"/>
      <c r="K953" s="66"/>
      <c r="L953" s="66"/>
      <c r="M953" s="66"/>
      <c r="N953" s="64" t="str">
        <f>IF(OR($B953="", $I953="", $J953="", $K953="", $L953="", $M953=""),"",ROUND(($I953*Lists!$AN$2)+($J953*Lists!$AN$3)+($K953*Lists!$AN$4)+($L953*Lists!$AN$5)+($M953*Lists!$AN$6),2))</f>
        <v/>
      </c>
      <c r="O953" s="64" t="str">
        <f>IF($A953="","",IFERROR(VLOOKUP($A953,'Risk Register'!$B$2:$I$1000,8,FALSE()),""))</f>
        <v/>
      </c>
      <c r="P953" s="66"/>
      <c r="Q953" s="66"/>
      <c r="R953" s="66"/>
      <c r="S953" s="66"/>
      <c r="T953" s="64" t="str">
        <f>IF(OR($B953="", $P953="", $Q953="", $R953="", $S953=""),"",ROUND(($P953*Lists!$AN$7)+($Q953*Lists!$AN$8)+($R953*Lists!$AN$9)+($S953*Lists!$AN$10),2))</f>
        <v/>
      </c>
      <c r="U953" s="66"/>
      <c r="V953" s="66"/>
      <c r="W953" s="66"/>
      <c r="X953" s="66"/>
      <c r="Y953" s="66"/>
      <c r="Z953" s="64" t="str">
        <f>IF(OR($B953="", $U953="", $V953="", $W953="", $X953="", $Y953=""),"",ROUND(($U953*Lists!$AN$11)+($V953*Lists!$AN$12)+($W953*Lists!$AN$13)+($X953*Lists!$AN$14)+($Y953*Lists!$AN$15),2))</f>
        <v/>
      </c>
      <c r="AA953" s="64" t="str">
        <f>IF(OR($B953="", $N953="", $O953="", $T953="", $Z953=""),"",ROUND(($N953*Lists!$AN$16)-($O953*Lists!$AN$17)-($T953*Lists!$AN$18)+($Z953*Lists!$AN$19),2))</f>
        <v/>
      </c>
      <c r="AB953" s="63" t="str">
        <f t="shared" si="57"/>
        <v/>
      </c>
      <c r="AC953" s="63" t="str">
        <f t="shared" si="58"/>
        <v/>
      </c>
      <c r="AD953" s="63" t="str">
        <f>IF($A953="","",IFERROR(IF(VLOOKUP($A953,'Risk Register'!$B$2:$H$1000,4,FALSE())&gt;=4,"Yes",""),""))</f>
        <v/>
      </c>
      <c r="AE953" s="63" t="str">
        <f t="shared" si="59"/>
        <v/>
      </c>
      <c r="AF953" s="62"/>
      <c r="AG953" s="62"/>
      <c r="AH953" s="62"/>
      <c r="AI953" s="62"/>
      <c r="AJ953" s="62"/>
      <c r="AK953" s="62"/>
      <c r="AL953" s="62"/>
      <c r="AM953" s="62"/>
      <c r="AN953" s="62"/>
      <c r="AO953" s="62"/>
      <c r="AP953" s="62"/>
      <c r="AQ953" s="80"/>
    </row>
    <row r="954" spans="1:43" ht="15.75" customHeight="1" x14ac:dyDescent="0.2">
      <c r="A954" s="63" t="str">
        <f t="shared" si="56"/>
        <v/>
      </c>
      <c r="B954" s="62"/>
      <c r="C954" s="62"/>
      <c r="D954" s="62"/>
      <c r="E954" s="62"/>
      <c r="F954" s="62"/>
      <c r="G954" s="62"/>
      <c r="H954" s="62"/>
      <c r="I954" s="66"/>
      <c r="J954" s="66"/>
      <c r="K954" s="66"/>
      <c r="L954" s="66"/>
      <c r="M954" s="66"/>
      <c r="N954" s="64" t="str">
        <f>IF(OR($B954="", $I954="", $J954="", $K954="", $L954="", $M954=""),"",ROUND(($I954*Lists!$AN$2)+($J954*Lists!$AN$3)+($K954*Lists!$AN$4)+($L954*Lists!$AN$5)+($M954*Lists!$AN$6),2))</f>
        <v/>
      </c>
      <c r="O954" s="64" t="str">
        <f>IF($A954="","",IFERROR(VLOOKUP($A954,'Risk Register'!$B$2:$I$1000,8,FALSE()),""))</f>
        <v/>
      </c>
      <c r="P954" s="66"/>
      <c r="Q954" s="66"/>
      <c r="R954" s="66"/>
      <c r="S954" s="66"/>
      <c r="T954" s="64" t="str">
        <f>IF(OR($B954="", $P954="", $Q954="", $R954="", $S954=""),"",ROUND(($P954*Lists!$AN$7)+($Q954*Lists!$AN$8)+($R954*Lists!$AN$9)+($S954*Lists!$AN$10),2))</f>
        <v/>
      </c>
      <c r="U954" s="66"/>
      <c r="V954" s="66"/>
      <c r="W954" s="66"/>
      <c r="X954" s="66"/>
      <c r="Y954" s="66"/>
      <c r="Z954" s="64" t="str">
        <f>IF(OR($B954="", $U954="", $V954="", $W954="", $X954="", $Y954=""),"",ROUND(($U954*Lists!$AN$11)+($V954*Lists!$AN$12)+($W954*Lists!$AN$13)+($X954*Lists!$AN$14)+($Y954*Lists!$AN$15),2))</f>
        <v/>
      </c>
      <c r="AA954" s="64" t="str">
        <f>IF(OR($B954="", $N954="", $O954="", $T954="", $Z954=""),"",ROUND(($N954*Lists!$AN$16)-($O954*Lists!$AN$17)-($T954*Lists!$AN$18)+($Z954*Lists!$AN$19),2))</f>
        <v/>
      </c>
      <c r="AB954" s="63" t="str">
        <f t="shared" si="57"/>
        <v/>
      </c>
      <c r="AC954" s="63" t="str">
        <f t="shared" si="58"/>
        <v/>
      </c>
      <c r="AD954" s="63" t="str">
        <f>IF($A954="","",IFERROR(IF(VLOOKUP($A954,'Risk Register'!$B$2:$H$1000,4,FALSE())&gt;=4,"Yes",""),""))</f>
        <v/>
      </c>
      <c r="AE954" s="63" t="str">
        <f t="shared" si="59"/>
        <v/>
      </c>
      <c r="AF954" s="62"/>
      <c r="AG954" s="62"/>
      <c r="AH954" s="62"/>
      <c r="AI954" s="62"/>
      <c r="AJ954" s="62"/>
      <c r="AK954" s="62"/>
      <c r="AL954" s="62"/>
      <c r="AM954" s="62"/>
      <c r="AN954" s="62"/>
      <c r="AO954" s="62"/>
      <c r="AP954" s="62"/>
      <c r="AQ954" s="80"/>
    </row>
    <row r="955" spans="1:43" ht="15.75" customHeight="1" x14ac:dyDescent="0.2">
      <c r="A955" s="63" t="str">
        <f t="shared" si="56"/>
        <v/>
      </c>
      <c r="B955" s="62"/>
      <c r="C955" s="62"/>
      <c r="D955" s="62"/>
      <c r="E955" s="62"/>
      <c r="F955" s="62"/>
      <c r="G955" s="62"/>
      <c r="H955" s="62"/>
      <c r="I955" s="66"/>
      <c r="J955" s="66"/>
      <c r="K955" s="66"/>
      <c r="L955" s="66"/>
      <c r="M955" s="66"/>
      <c r="N955" s="64" t="str">
        <f>IF(OR($B955="", $I955="", $J955="", $K955="", $L955="", $M955=""),"",ROUND(($I955*Lists!$AN$2)+($J955*Lists!$AN$3)+($K955*Lists!$AN$4)+($L955*Lists!$AN$5)+($M955*Lists!$AN$6),2))</f>
        <v/>
      </c>
      <c r="O955" s="64" t="str">
        <f>IF($A955="","",IFERROR(VLOOKUP($A955,'Risk Register'!$B$2:$I$1000,8,FALSE()),""))</f>
        <v/>
      </c>
      <c r="P955" s="66"/>
      <c r="Q955" s="66"/>
      <c r="R955" s="66"/>
      <c r="S955" s="66"/>
      <c r="T955" s="64" t="str">
        <f>IF(OR($B955="", $P955="", $Q955="", $R955="", $S955=""),"",ROUND(($P955*Lists!$AN$7)+($Q955*Lists!$AN$8)+($R955*Lists!$AN$9)+($S955*Lists!$AN$10),2))</f>
        <v/>
      </c>
      <c r="U955" s="66"/>
      <c r="V955" s="66"/>
      <c r="W955" s="66"/>
      <c r="X955" s="66"/>
      <c r="Y955" s="66"/>
      <c r="Z955" s="64" t="str">
        <f>IF(OR($B955="", $U955="", $V955="", $W955="", $X955="", $Y955=""),"",ROUND(($U955*Lists!$AN$11)+($V955*Lists!$AN$12)+($W955*Lists!$AN$13)+($X955*Lists!$AN$14)+($Y955*Lists!$AN$15),2))</f>
        <v/>
      </c>
      <c r="AA955" s="64" t="str">
        <f>IF(OR($B955="", $N955="", $O955="", $T955="", $Z955=""),"",ROUND(($N955*Lists!$AN$16)-($O955*Lists!$AN$17)-($T955*Lists!$AN$18)+($Z955*Lists!$AN$19),2))</f>
        <v/>
      </c>
      <c r="AB955" s="63" t="str">
        <f t="shared" si="57"/>
        <v/>
      </c>
      <c r="AC955" s="63" t="str">
        <f t="shared" si="58"/>
        <v/>
      </c>
      <c r="AD955" s="63" t="str">
        <f>IF($A955="","",IFERROR(IF(VLOOKUP($A955,'Risk Register'!$B$2:$H$1000,4,FALSE())&gt;=4,"Yes",""),""))</f>
        <v/>
      </c>
      <c r="AE955" s="63" t="str">
        <f t="shared" si="59"/>
        <v/>
      </c>
      <c r="AF955" s="62"/>
      <c r="AG955" s="62"/>
      <c r="AH955" s="62"/>
      <c r="AI955" s="62"/>
      <c r="AJ955" s="62"/>
      <c r="AK955" s="62"/>
      <c r="AL955" s="62"/>
      <c r="AM955" s="62"/>
      <c r="AN955" s="62"/>
      <c r="AO955" s="62"/>
      <c r="AP955" s="62"/>
      <c r="AQ955" s="80"/>
    </row>
    <row r="956" spans="1:43" ht="15.75" customHeight="1" x14ac:dyDescent="0.2">
      <c r="A956" s="63" t="str">
        <f t="shared" si="56"/>
        <v/>
      </c>
      <c r="B956" s="62"/>
      <c r="C956" s="62"/>
      <c r="D956" s="62"/>
      <c r="E956" s="62"/>
      <c r="F956" s="62"/>
      <c r="G956" s="62"/>
      <c r="H956" s="62"/>
      <c r="I956" s="66"/>
      <c r="J956" s="66"/>
      <c r="K956" s="66"/>
      <c r="L956" s="66"/>
      <c r="M956" s="66"/>
      <c r="N956" s="64" t="str">
        <f>IF(OR($B956="", $I956="", $J956="", $K956="", $L956="", $M956=""),"",ROUND(($I956*Lists!$AN$2)+($J956*Lists!$AN$3)+($K956*Lists!$AN$4)+($L956*Lists!$AN$5)+($M956*Lists!$AN$6),2))</f>
        <v/>
      </c>
      <c r="O956" s="64" t="str">
        <f>IF($A956="","",IFERROR(VLOOKUP($A956,'Risk Register'!$B$2:$I$1000,8,FALSE()),""))</f>
        <v/>
      </c>
      <c r="P956" s="66"/>
      <c r="Q956" s="66"/>
      <c r="R956" s="66"/>
      <c r="S956" s="66"/>
      <c r="T956" s="64" t="str">
        <f>IF(OR($B956="", $P956="", $Q956="", $R956="", $S956=""),"",ROUND(($P956*Lists!$AN$7)+($Q956*Lists!$AN$8)+($R956*Lists!$AN$9)+($S956*Lists!$AN$10),2))</f>
        <v/>
      </c>
      <c r="U956" s="66"/>
      <c r="V956" s="66"/>
      <c r="W956" s="66"/>
      <c r="X956" s="66"/>
      <c r="Y956" s="66"/>
      <c r="Z956" s="64" t="str">
        <f>IF(OR($B956="", $U956="", $V956="", $W956="", $X956="", $Y956=""),"",ROUND(($U956*Lists!$AN$11)+($V956*Lists!$AN$12)+($W956*Lists!$AN$13)+($X956*Lists!$AN$14)+($Y956*Lists!$AN$15),2))</f>
        <v/>
      </c>
      <c r="AA956" s="64" t="str">
        <f>IF(OR($B956="", $N956="", $O956="", $T956="", $Z956=""),"",ROUND(($N956*Lists!$AN$16)-($O956*Lists!$AN$17)-($T956*Lists!$AN$18)+($Z956*Lists!$AN$19),2))</f>
        <v/>
      </c>
      <c r="AB956" s="63" t="str">
        <f t="shared" si="57"/>
        <v/>
      </c>
      <c r="AC956" s="63" t="str">
        <f t="shared" si="58"/>
        <v/>
      </c>
      <c r="AD956" s="63" t="str">
        <f>IF($A956="","",IFERROR(IF(VLOOKUP($A956,'Risk Register'!$B$2:$H$1000,4,FALSE())&gt;=4,"Yes",""),""))</f>
        <v/>
      </c>
      <c r="AE956" s="63" t="str">
        <f t="shared" si="59"/>
        <v/>
      </c>
      <c r="AF956" s="62"/>
      <c r="AG956" s="62"/>
      <c r="AH956" s="62"/>
      <c r="AI956" s="62"/>
      <c r="AJ956" s="62"/>
      <c r="AK956" s="62"/>
      <c r="AL956" s="62"/>
      <c r="AM956" s="62"/>
      <c r="AN956" s="62"/>
      <c r="AO956" s="62"/>
      <c r="AP956" s="62"/>
      <c r="AQ956" s="80"/>
    </row>
    <row r="957" spans="1:43" ht="15.75" customHeight="1" x14ac:dyDescent="0.2">
      <c r="A957" s="63" t="str">
        <f t="shared" si="56"/>
        <v/>
      </c>
      <c r="B957" s="62"/>
      <c r="C957" s="62"/>
      <c r="D957" s="62"/>
      <c r="E957" s="62"/>
      <c r="F957" s="62"/>
      <c r="G957" s="62"/>
      <c r="H957" s="62"/>
      <c r="I957" s="66"/>
      <c r="J957" s="66"/>
      <c r="K957" s="66"/>
      <c r="L957" s="66"/>
      <c r="M957" s="66"/>
      <c r="N957" s="64" t="str">
        <f>IF(OR($B957="", $I957="", $J957="", $K957="", $L957="", $M957=""),"",ROUND(($I957*Lists!$AN$2)+($J957*Lists!$AN$3)+($K957*Lists!$AN$4)+($L957*Lists!$AN$5)+($M957*Lists!$AN$6),2))</f>
        <v/>
      </c>
      <c r="O957" s="64" t="str">
        <f>IF($A957="","",IFERROR(VLOOKUP($A957,'Risk Register'!$B$2:$I$1000,8,FALSE()),""))</f>
        <v/>
      </c>
      <c r="P957" s="66"/>
      <c r="Q957" s="66"/>
      <c r="R957" s="66"/>
      <c r="S957" s="66"/>
      <c r="T957" s="64" t="str">
        <f>IF(OR($B957="", $P957="", $Q957="", $R957="", $S957=""),"",ROUND(($P957*Lists!$AN$7)+($Q957*Lists!$AN$8)+($R957*Lists!$AN$9)+($S957*Lists!$AN$10),2))</f>
        <v/>
      </c>
      <c r="U957" s="66"/>
      <c r="V957" s="66"/>
      <c r="W957" s="66"/>
      <c r="X957" s="66"/>
      <c r="Y957" s="66"/>
      <c r="Z957" s="64" t="str">
        <f>IF(OR($B957="", $U957="", $V957="", $W957="", $X957="", $Y957=""),"",ROUND(($U957*Lists!$AN$11)+($V957*Lists!$AN$12)+($W957*Lists!$AN$13)+($X957*Lists!$AN$14)+($Y957*Lists!$AN$15),2))</f>
        <v/>
      </c>
      <c r="AA957" s="64" t="str">
        <f>IF(OR($B957="", $N957="", $O957="", $T957="", $Z957=""),"",ROUND(($N957*Lists!$AN$16)-($O957*Lists!$AN$17)-($T957*Lists!$AN$18)+($Z957*Lists!$AN$19),2))</f>
        <v/>
      </c>
      <c r="AB957" s="63" t="str">
        <f t="shared" si="57"/>
        <v/>
      </c>
      <c r="AC957" s="63" t="str">
        <f t="shared" si="58"/>
        <v/>
      </c>
      <c r="AD957" s="63" t="str">
        <f>IF($A957="","",IFERROR(IF(VLOOKUP($A957,'Risk Register'!$B$2:$H$1000,4,FALSE())&gt;=4,"Yes",""),""))</f>
        <v/>
      </c>
      <c r="AE957" s="63" t="str">
        <f t="shared" si="59"/>
        <v/>
      </c>
      <c r="AF957" s="62"/>
      <c r="AG957" s="62"/>
      <c r="AH957" s="62"/>
      <c r="AI957" s="62"/>
      <c r="AJ957" s="62"/>
      <c r="AK957" s="62"/>
      <c r="AL957" s="62"/>
      <c r="AM957" s="62"/>
      <c r="AN957" s="62"/>
      <c r="AO957" s="62"/>
      <c r="AP957" s="62"/>
      <c r="AQ957" s="80"/>
    </row>
    <row r="958" spans="1:43" ht="15.75" customHeight="1" x14ac:dyDescent="0.2">
      <c r="A958" s="63" t="str">
        <f t="shared" si="56"/>
        <v/>
      </c>
      <c r="B958" s="62"/>
      <c r="C958" s="62"/>
      <c r="D958" s="62"/>
      <c r="E958" s="62"/>
      <c r="F958" s="62"/>
      <c r="G958" s="62"/>
      <c r="H958" s="62"/>
      <c r="I958" s="66"/>
      <c r="J958" s="66"/>
      <c r="K958" s="66"/>
      <c r="L958" s="66"/>
      <c r="M958" s="66"/>
      <c r="N958" s="64" t="str">
        <f>IF(OR($B958="", $I958="", $J958="", $K958="", $L958="", $M958=""),"",ROUND(($I958*Lists!$AN$2)+($J958*Lists!$AN$3)+($K958*Lists!$AN$4)+($L958*Lists!$AN$5)+($M958*Lists!$AN$6),2))</f>
        <v/>
      </c>
      <c r="O958" s="64" t="str">
        <f>IF($A958="","",IFERROR(VLOOKUP($A958,'Risk Register'!$B$2:$I$1000,8,FALSE()),""))</f>
        <v/>
      </c>
      <c r="P958" s="66"/>
      <c r="Q958" s="66"/>
      <c r="R958" s="66"/>
      <c r="S958" s="66"/>
      <c r="T958" s="64" t="str">
        <f>IF(OR($B958="", $P958="", $Q958="", $R958="", $S958=""),"",ROUND(($P958*Lists!$AN$7)+($Q958*Lists!$AN$8)+($R958*Lists!$AN$9)+($S958*Lists!$AN$10),2))</f>
        <v/>
      </c>
      <c r="U958" s="66"/>
      <c r="V958" s="66"/>
      <c r="W958" s="66"/>
      <c r="X958" s="66"/>
      <c r="Y958" s="66"/>
      <c r="Z958" s="64" t="str">
        <f>IF(OR($B958="", $U958="", $V958="", $W958="", $X958="", $Y958=""),"",ROUND(($U958*Lists!$AN$11)+($V958*Lists!$AN$12)+($W958*Lists!$AN$13)+($X958*Lists!$AN$14)+($Y958*Lists!$AN$15),2))</f>
        <v/>
      </c>
      <c r="AA958" s="64" t="str">
        <f>IF(OR($B958="", $N958="", $O958="", $T958="", $Z958=""),"",ROUND(($N958*Lists!$AN$16)-($O958*Lists!$AN$17)-($T958*Lists!$AN$18)+($Z958*Lists!$AN$19),2))</f>
        <v/>
      </c>
      <c r="AB958" s="63" t="str">
        <f t="shared" si="57"/>
        <v/>
      </c>
      <c r="AC958" s="63" t="str">
        <f t="shared" si="58"/>
        <v/>
      </c>
      <c r="AD958" s="63" t="str">
        <f>IF($A958="","",IFERROR(IF(VLOOKUP($A958,'Risk Register'!$B$2:$H$1000,4,FALSE())&gt;=4,"Yes",""),""))</f>
        <v/>
      </c>
      <c r="AE958" s="63" t="str">
        <f t="shared" si="59"/>
        <v/>
      </c>
      <c r="AF958" s="62"/>
      <c r="AG958" s="62"/>
      <c r="AH958" s="62"/>
      <c r="AI958" s="62"/>
      <c r="AJ958" s="62"/>
      <c r="AK958" s="62"/>
      <c r="AL958" s="62"/>
      <c r="AM958" s="62"/>
      <c r="AN958" s="62"/>
      <c r="AO958" s="62"/>
      <c r="AP958" s="62"/>
      <c r="AQ958" s="80"/>
    </row>
    <row r="959" spans="1:43" ht="15.75" customHeight="1" x14ac:dyDescent="0.2">
      <c r="A959" s="63" t="str">
        <f t="shared" si="56"/>
        <v/>
      </c>
      <c r="B959" s="62"/>
      <c r="C959" s="62"/>
      <c r="D959" s="62"/>
      <c r="E959" s="62"/>
      <c r="F959" s="62"/>
      <c r="G959" s="62"/>
      <c r="H959" s="62"/>
      <c r="I959" s="66"/>
      <c r="J959" s="66"/>
      <c r="K959" s="66"/>
      <c r="L959" s="66"/>
      <c r="M959" s="66"/>
      <c r="N959" s="64" t="str">
        <f>IF(OR($B959="", $I959="", $J959="", $K959="", $L959="", $M959=""),"",ROUND(($I959*Lists!$AN$2)+($J959*Lists!$AN$3)+($K959*Lists!$AN$4)+($L959*Lists!$AN$5)+($M959*Lists!$AN$6),2))</f>
        <v/>
      </c>
      <c r="O959" s="64" t="str">
        <f>IF($A959="","",IFERROR(VLOOKUP($A959,'Risk Register'!$B$2:$I$1000,8,FALSE()),""))</f>
        <v/>
      </c>
      <c r="P959" s="66"/>
      <c r="Q959" s="66"/>
      <c r="R959" s="66"/>
      <c r="S959" s="66"/>
      <c r="T959" s="64" t="str">
        <f>IF(OR($B959="", $P959="", $Q959="", $R959="", $S959=""),"",ROUND(($P959*Lists!$AN$7)+($Q959*Lists!$AN$8)+($R959*Lists!$AN$9)+($S959*Lists!$AN$10),2))</f>
        <v/>
      </c>
      <c r="U959" s="66"/>
      <c r="V959" s="66"/>
      <c r="W959" s="66"/>
      <c r="X959" s="66"/>
      <c r="Y959" s="66"/>
      <c r="Z959" s="64" t="str">
        <f>IF(OR($B959="", $U959="", $V959="", $W959="", $X959="", $Y959=""),"",ROUND(($U959*Lists!$AN$11)+($V959*Lists!$AN$12)+($W959*Lists!$AN$13)+($X959*Lists!$AN$14)+($Y959*Lists!$AN$15),2))</f>
        <v/>
      </c>
      <c r="AA959" s="64" t="str">
        <f>IF(OR($B959="", $N959="", $O959="", $T959="", $Z959=""),"",ROUND(($N959*Lists!$AN$16)-($O959*Lists!$AN$17)-($T959*Lists!$AN$18)+($Z959*Lists!$AN$19),2))</f>
        <v/>
      </c>
      <c r="AB959" s="63" t="str">
        <f t="shared" si="57"/>
        <v/>
      </c>
      <c r="AC959" s="63" t="str">
        <f t="shared" si="58"/>
        <v/>
      </c>
      <c r="AD959" s="63" t="str">
        <f>IF($A959="","",IFERROR(IF(VLOOKUP($A959,'Risk Register'!$B$2:$H$1000,4,FALSE())&gt;=4,"Yes",""),""))</f>
        <v/>
      </c>
      <c r="AE959" s="63" t="str">
        <f t="shared" si="59"/>
        <v/>
      </c>
      <c r="AF959" s="62"/>
      <c r="AG959" s="62"/>
      <c r="AH959" s="62"/>
      <c r="AI959" s="62"/>
      <c r="AJ959" s="62"/>
      <c r="AK959" s="62"/>
      <c r="AL959" s="62"/>
      <c r="AM959" s="62"/>
      <c r="AN959" s="62"/>
      <c r="AO959" s="62"/>
      <c r="AP959" s="62"/>
      <c r="AQ959" s="80"/>
    </row>
    <row r="960" spans="1:43" ht="15.75" customHeight="1" x14ac:dyDescent="0.2">
      <c r="A960" s="63" t="str">
        <f t="shared" si="56"/>
        <v/>
      </c>
      <c r="B960" s="62"/>
      <c r="C960" s="62"/>
      <c r="D960" s="62"/>
      <c r="E960" s="62"/>
      <c r="F960" s="62"/>
      <c r="G960" s="62"/>
      <c r="H960" s="62"/>
      <c r="I960" s="66"/>
      <c r="J960" s="66"/>
      <c r="K960" s="66"/>
      <c r="L960" s="66"/>
      <c r="M960" s="66"/>
      <c r="N960" s="64" t="str">
        <f>IF(OR($B960="", $I960="", $J960="", $K960="", $L960="", $M960=""),"",ROUND(($I960*Lists!$AN$2)+($J960*Lists!$AN$3)+($K960*Lists!$AN$4)+($L960*Lists!$AN$5)+($M960*Lists!$AN$6),2))</f>
        <v/>
      </c>
      <c r="O960" s="64" t="str">
        <f>IF($A960="","",IFERROR(VLOOKUP($A960,'Risk Register'!$B$2:$I$1000,8,FALSE()),""))</f>
        <v/>
      </c>
      <c r="P960" s="66"/>
      <c r="Q960" s="66"/>
      <c r="R960" s="66"/>
      <c r="S960" s="66"/>
      <c r="T960" s="64" t="str">
        <f>IF(OR($B960="", $P960="", $Q960="", $R960="", $S960=""),"",ROUND(($P960*Lists!$AN$7)+($Q960*Lists!$AN$8)+($R960*Lists!$AN$9)+($S960*Lists!$AN$10),2))</f>
        <v/>
      </c>
      <c r="U960" s="66"/>
      <c r="V960" s="66"/>
      <c r="W960" s="66"/>
      <c r="X960" s="66"/>
      <c r="Y960" s="66"/>
      <c r="Z960" s="64" t="str">
        <f>IF(OR($B960="", $U960="", $V960="", $W960="", $X960="", $Y960=""),"",ROUND(($U960*Lists!$AN$11)+($V960*Lists!$AN$12)+($W960*Lists!$AN$13)+($X960*Lists!$AN$14)+($Y960*Lists!$AN$15),2))</f>
        <v/>
      </c>
      <c r="AA960" s="64" t="str">
        <f>IF(OR($B960="", $N960="", $O960="", $T960="", $Z960=""),"",ROUND(($N960*Lists!$AN$16)-($O960*Lists!$AN$17)-($T960*Lists!$AN$18)+($Z960*Lists!$AN$19),2))</f>
        <v/>
      </c>
      <c r="AB960" s="63" t="str">
        <f t="shared" si="57"/>
        <v/>
      </c>
      <c r="AC960" s="63" t="str">
        <f t="shared" si="58"/>
        <v/>
      </c>
      <c r="AD960" s="63" t="str">
        <f>IF($A960="","",IFERROR(IF(VLOOKUP($A960,'Risk Register'!$B$2:$H$1000,4,FALSE())&gt;=4,"Yes",""),""))</f>
        <v/>
      </c>
      <c r="AE960" s="63" t="str">
        <f t="shared" si="59"/>
        <v/>
      </c>
      <c r="AF960" s="62"/>
      <c r="AG960" s="62"/>
      <c r="AH960" s="62"/>
      <c r="AI960" s="62"/>
      <c r="AJ960" s="62"/>
      <c r="AK960" s="62"/>
      <c r="AL960" s="62"/>
      <c r="AM960" s="62"/>
      <c r="AN960" s="62"/>
      <c r="AO960" s="62"/>
      <c r="AP960" s="62"/>
      <c r="AQ960" s="80"/>
    </row>
    <row r="961" spans="1:43" ht="15.75" customHeight="1" x14ac:dyDescent="0.2">
      <c r="A961" s="63" t="str">
        <f t="shared" si="56"/>
        <v/>
      </c>
      <c r="B961" s="62"/>
      <c r="C961" s="62"/>
      <c r="D961" s="62"/>
      <c r="E961" s="62"/>
      <c r="F961" s="62"/>
      <c r="G961" s="62"/>
      <c r="H961" s="62"/>
      <c r="I961" s="66"/>
      <c r="J961" s="66"/>
      <c r="K961" s="66"/>
      <c r="L961" s="66"/>
      <c r="M961" s="66"/>
      <c r="N961" s="64" t="str">
        <f>IF(OR($B961="", $I961="", $J961="", $K961="", $L961="", $M961=""),"",ROUND(($I961*Lists!$AN$2)+($J961*Lists!$AN$3)+($K961*Lists!$AN$4)+($L961*Lists!$AN$5)+($M961*Lists!$AN$6),2))</f>
        <v/>
      </c>
      <c r="O961" s="64" t="str">
        <f>IF($A961="","",IFERROR(VLOOKUP($A961,'Risk Register'!$B$2:$I$1000,8,FALSE()),""))</f>
        <v/>
      </c>
      <c r="P961" s="66"/>
      <c r="Q961" s="66"/>
      <c r="R961" s="66"/>
      <c r="S961" s="66"/>
      <c r="T961" s="64" t="str">
        <f>IF(OR($B961="", $P961="", $Q961="", $R961="", $S961=""),"",ROUND(($P961*Lists!$AN$7)+($Q961*Lists!$AN$8)+($R961*Lists!$AN$9)+($S961*Lists!$AN$10),2))</f>
        <v/>
      </c>
      <c r="U961" s="66"/>
      <c r="V961" s="66"/>
      <c r="W961" s="66"/>
      <c r="X961" s="66"/>
      <c r="Y961" s="66"/>
      <c r="Z961" s="64" t="str">
        <f>IF(OR($B961="", $U961="", $V961="", $W961="", $X961="", $Y961=""),"",ROUND(($U961*Lists!$AN$11)+($V961*Lists!$AN$12)+($W961*Lists!$AN$13)+($X961*Lists!$AN$14)+($Y961*Lists!$AN$15),2))</f>
        <v/>
      </c>
      <c r="AA961" s="64" t="str">
        <f>IF(OR($B961="", $N961="", $O961="", $T961="", $Z961=""),"",ROUND(($N961*Lists!$AN$16)-($O961*Lists!$AN$17)-($T961*Lists!$AN$18)+($Z961*Lists!$AN$19),2))</f>
        <v/>
      </c>
      <c r="AB961" s="63" t="str">
        <f t="shared" si="57"/>
        <v/>
      </c>
      <c r="AC961" s="63" t="str">
        <f t="shared" si="58"/>
        <v/>
      </c>
      <c r="AD961" s="63" t="str">
        <f>IF($A961="","",IFERROR(IF(VLOOKUP($A961,'Risk Register'!$B$2:$H$1000,4,FALSE())&gt;=4,"Yes",""),""))</f>
        <v/>
      </c>
      <c r="AE961" s="63" t="str">
        <f t="shared" si="59"/>
        <v/>
      </c>
      <c r="AF961" s="62"/>
      <c r="AG961" s="62"/>
      <c r="AH961" s="62"/>
      <c r="AI961" s="62"/>
      <c r="AJ961" s="62"/>
      <c r="AK961" s="62"/>
      <c r="AL961" s="62"/>
      <c r="AM961" s="62"/>
      <c r="AN961" s="62"/>
      <c r="AO961" s="62"/>
      <c r="AP961" s="62"/>
      <c r="AQ961" s="80"/>
    </row>
    <row r="962" spans="1:43" ht="15.75" customHeight="1" x14ac:dyDescent="0.2">
      <c r="A962" s="63" t="str">
        <f t="shared" si="56"/>
        <v/>
      </c>
      <c r="B962" s="62"/>
      <c r="C962" s="62"/>
      <c r="D962" s="62"/>
      <c r="E962" s="62"/>
      <c r="F962" s="62"/>
      <c r="G962" s="62"/>
      <c r="H962" s="62"/>
      <c r="I962" s="66"/>
      <c r="J962" s="66"/>
      <c r="K962" s="66"/>
      <c r="L962" s="66"/>
      <c r="M962" s="66"/>
      <c r="N962" s="64" t="str">
        <f>IF(OR($B962="", $I962="", $J962="", $K962="", $L962="", $M962=""),"",ROUND(($I962*Lists!$AN$2)+($J962*Lists!$AN$3)+($K962*Lists!$AN$4)+($L962*Lists!$AN$5)+($M962*Lists!$AN$6),2))</f>
        <v/>
      </c>
      <c r="O962" s="64" t="str">
        <f>IF($A962="","",IFERROR(VLOOKUP($A962,'Risk Register'!$B$2:$I$1000,8,FALSE()),""))</f>
        <v/>
      </c>
      <c r="P962" s="66"/>
      <c r="Q962" s="66"/>
      <c r="R962" s="66"/>
      <c r="S962" s="66"/>
      <c r="T962" s="64" t="str">
        <f>IF(OR($B962="", $P962="", $Q962="", $R962="", $S962=""),"",ROUND(($P962*Lists!$AN$7)+($Q962*Lists!$AN$8)+($R962*Lists!$AN$9)+($S962*Lists!$AN$10),2))</f>
        <v/>
      </c>
      <c r="U962" s="66"/>
      <c r="V962" s="66"/>
      <c r="W962" s="66"/>
      <c r="X962" s="66"/>
      <c r="Y962" s="66"/>
      <c r="Z962" s="64" t="str">
        <f>IF(OR($B962="", $U962="", $V962="", $W962="", $X962="", $Y962=""),"",ROUND(($U962*Lists!$AN$11)+($V962*Lists!$AN$12)+($W962*Lists!$AN$13)+($X962*Lists!$AN$14)+($Y962*Lists!$AN$15),2))</f>
        <v/>
      </c>
      <c r="AA962" s="64" t="str">
        <f>IF(OR($B962="", $N962="", $O962="", $T962="", $Z962=""),"",ROUND(($N962*Lists!$AN$16)-($O962*Lists!$AN$17)-($T962*Lists!$AN$18)+($Z962*Lists!$AN$19),2))</f>
        <v/>
      </c>
      <c r="AB962" s="63" t="str">
        <f t="shared" si="57"/>
        <v/>
      </c>
      <c r="AC962" s="63" t="str">
        <f t="shared" si="58"/>
        <v/>
      </c>
      <c r="AD962" s="63" t="str">
        <f>IF($A962="","",IFERROR(IF(VLOOKUP($A962,'Risk Register'!$B$2:$H$1000,4,FALSE())&gt;=4,"Yes",""),""))</f>
        <v/>
      </c>
      <c r="AE962" s="63" t="str">
        <f t="shared" si="59"/>
        <v/>
      </c>
      <c r="AF962" s="62"/>
      <c r="AG962" s="62"/>
      <c r="AH962" s="62"/>
      <c r="AI962" s="62"/>
      <c r="AJ962" s="62"/>
      <c r="AK962" s="62"/>
      <c r="AL962" s="62"/>
      <c r="AM962" s="62"/>
      <c r="AN962" s="62"/>
      <c r="AO962" s="62"/>
      <c r="AP962" s="62"/>
      <c r="AQ962" s="80"/>
    </row>
    <row r="963" spans="1:43" ht="15.75" customHeight="1" x14ac:dyDescent="0.2">
      <c r="A963" s="63" t="str">
        <f t="shared" si="56"/>
        <v/>
      </c>
      <c r="B963" s="62"/>
      <c r="C963" s="62"/>
      <c r="D963" s="62"/>
      <c r="E963" s="62"/>
      <c r="F963" s="62"/>
      <c r="G963" s="62"/>
      <c r="H963" s="62"/>
      <c r="I963" s="66"/>
      <c r="J963" s="66"/>
      <c r="K963" s="66"/>
      <c r="L963" s="66"/>
      <c r="M963" s="66"/>
      <c r="N963" s="64" t="str">
        <f>IF(OR($B963="", $I963="", $J963="", $K963="", $L963="", $M963=""),"",ROUND(($I963*Lists!$AN$2)+($J963*Lists!$AN$3)+($K963*Lists!$AN$4)+($L963*Lists!$AN$5)+($M963*Lists!$AN$6),2))</f>
        <v/>
      </c>
      <c r="O963" s="64" t="str">
        <f>IF($A963="","",IFERROR(VLOOKUP($A963,'Risk Register'!$B$2:$I$1000,8,FALSE()),""))</f>
        <v/>
      </c>
      <c r="P963" s="66"/>
      <c r="Q963" s="66"/>
      <c r="R963" s="66"/>
      <c r="S963" s="66"/>
      <c r="T963" s="64" t="str">
        <f>IF(OR($B963="", $P963="", $Q963="", $R963="", $S963=""),"",ROUND(($P963*Lists!$AN$7)+($Q963*Lists!$AN$8)+($R963*Lists!$AN$9)+($S963*Lists!$AN$10),2))</f>
        <v/>
      </c>
      <c r="U963" s="66"/>
      <c r="V963" s="66"/>
      <c r="W963" s="66"/>
      <c r="X963" s="66"/>
      <c r="Y963" s="66"/>
      <c r="Z963" s="64" t="str">
        <f>IF(OR($B963="", $U963="", $V963="", $W963="", $X963="", $Y963=""),"",ROUND(($U963*Lists!$AN$11)+($V963*Lists!$AN$12)+($W963*Lists!$AN$13)+($X963*Lists!$AN$14)+($Y963*Lists!$AN$15),2))</f>
        <v/>
      </c>
      <c r="AA963" s="64" t="str">
        <f>IF(OR($B963="", $N963="", $O963="", $T963="", $Z963=""),"",ROUND(($N963*Lists!$AN$16)-($O963*Lists!$AN$17)-($T963*Lists!$AN$18)+($Z963*Lists!$AN$19),2))</f>
        <v/>
      </c>
      <c r="AB963" s="63" t="str">
        <f t="shared" si="57"/>
        <v/>
      </c>
      <c r="AC963" s="63" t="str">
        <f t="shared" si="58"/>
        <v/>
      </c>
      <c r="AD963" s="63" t="str">
        <f>IF($A963="","",IFERROR(IF(VLOOKUP($A963,'Risk Register'!$B$2:$H$1000,4,FALSE())&gt;=4,"Yes",""),""))</f>
        <v/>
      </c>
      <c r="AE963" s="63" t="str">
        <f t="shared" si="59"/>
        <v/>
      </c>
      <c r="AF963" s="62"/>
      <c r="AG963" s="62"/>
      <c r="AH963" s="62"/>
      <c r="AI963" s="62"/>
      <c r="AJ963" s="62"/>
      <c r="AK963" s="62"/>
      <c r="AL963" s="62"/>
      <c r="AM963" s="62"/>
      <c r="AN963" s="62"/>
      <c r="AO963" s="62"/>
      <c r="AP963" s="62"/>
      <c r="AQ963" s="80"/>
    </row>
    <row r="964" spans="1:43" ht="15.75" customHeight="1" x14ac:dyDescent="0.2">
      <c r="A964" s="63" t="str">
        <f t="shared" si="56"/>
        <v/>
      </c>
      <c r="B964" s="62"/>
      <c r="C964" s="62"/>
      <c r="D964" s="62"/>
      <c r="E964" s="62"/>
      <c r="F964" s="62"/>
      <c r="G964" s="62"/>
      <c r="H964" s="62"/>
      <c r="I964" s="66"/>
      <c r="J964" s="66"/>
      <c r="K964" s="66"/>
      <c r="L964" s="66"/>
      <c r="M964" s="66"/>
      <c r="N964" s="64" t="str">
        <f>IF(OR($B964="", $I964="", $J964="", $K964="", $L964="", $M964=""),"",ROUND(($I964*Lists!$AN$2)+($J964*Lists!$AN$3)+($K964*Lists!$AN$4)+($L964*Lists!$AN$5)+($M964*Lists!$AN$6),2))</f>
        <v/>
      </c>
      <c r="O964" s="64" t="str">
        <f>IF($A964="","",IFERROR(VLOOKUP($A964,'Risk Register'!$B$2:$I$1000,8,FALSE()),""))</f>
        <v/>
      </c>
      <c r="P964" s="66"/>
      <c r="Q964" s="66"/>
      <c r="R964" s="66"/>
      <c r="S964" s="66"/>
      <c r="T964" s="64" t="str">
        <f>IF(OR($B964="", $P964="", $Q964="", $R964="", $S964=""),"",ROUND(($P964*Lists!$AN$7)+($Q964*Lists!$AN$8)+($R964*Lists!$AN$9)+($S964*Lists!$AN$10),2))</f>
        <v/>
      </c>
      <c r="U964" s="66"/>
      <c r="V964" s="66"/>
      <c r="W964" s="66"/>
      <c r="X964" s="66"/>
      <c r="Y964" s="66"/>
      <c r="Z964" s="64" t="str">
        <f>IF(OR($B964="", $U964="", $V964="", $W964="", $X964="", $Y964=""),"",ROUND(($U964*Lists!$AN$11)+($V964*Lists!$AN$12)+($W964*Lists!$AN$13)+($X964*Lists!$AN$14)+($Y964*Lists!$AN$15),2))</f>
        <v/>
      </c>
      <c r="AA964" s="64" t="str">
        <f>IF(OR($B964="", $N964="", $O964="", $T964="", $Z964=""),"",ROUND(($N964*Lists!$AN$16)-($O964*Lists!$AN$17)-($T964*Lists!$AN$18)+($Z964*Lists!$AN$19),2))</f>
        <v/>
      </c>
      <c r="AB964" s="63" t="str">
        <f t="shared" si="57"/>
        <v/>
      </c>
      <c r="AC964" s="63" t="str">
        <f t="shared" si="58"/>
        <v/>
      </c>
      <c r="AD964" s="63" t="str">
        <f>IF($A964="","",IFERROR(IF(VLOOKUP($A964,'Risk Register'!$B$2:$H$1000,4,FALSE())&gt;=4,"Yes",""),""))</f>
        <v/>
      </c>
      <c r="AE964" s="63" t="str">
        <f t="shared" si="59"/>
        <v/>
      </c>
      <c r="AF964" s="62"/>
      <c r="AG964" s="62"/>
      <c r="AH964" s="62"/>
      <c r="AI964" s="62"/>
      <c r="AJ964" s="62"/>
      <c r="AK964" s="62"/>
      <c r="AL964" s="62"/>
      <c r="AM964" s="62"/>
      <c r="AN964" s="62"/>
      <c r="AO964" s="62"/>
      <c r="AP964" s="62"/>
      <c r="AQ964" s="80"/>
    </row>
    <row r="965" spans="1:43" ht="15.75" customHeight="1" x14ac:dyDescent="0.2">
      <c r="A965" s="63" t="str">
        <f t="shared" si="56"/>
        <v/>
      </c>
      <c r="B965" s="62"/>
      <c r="C965" s="62"/>
      <c r="D965" s="62"/>
      <c r="E965" s="62"/>
      <c r="F965" s="62"/>
      <c r="G965" s="62"/>
      <c r="H965" s="62"/>
      <c r="I965" s="66"/>
      <c r="J965" s="66"/>
      <c r="K965" s="66"/>
      <c r="L965" s="66"/>
      <c r="M965" s="66"/>
      <c r="N965" s="64" t="str">
        <f>IF(OR($B965="", $I965="", $J965="", $K965="", $L965="", $M965=""),"",ROUND(($I965*Lists!$AN$2)+($J965*Lists!$AN$3)+($K965*Lists!$AN$4)+($L965*Lists!$AN$5)+($M965*Lists!$AN$6),2))</f>
        <v/>
      </c>
      <c r="O965" s="64" t="str">
        <f>IF($A965="","",IFERROR(VLOOKUP($A965,'Risk Register'!$B$2:$I$1000,8,FALSE()),""))</f>
        <v/>
      </c>
      <c r="P965" s="66"/>
      <c r="Q965" s="66"/>
      <c r="R965" s="66"/>
      <c r="S965" s="66"/>
      <c r="T965" s="64" t="str">
        <f>IF(OR($B965="", $P965="", $Q965="", $R965="", $S965=""),"",ROUND(($P965*Lists!$AN$7)+($Q965*Lists!$AN$8)+($R965*Lists!$AN$9)+($S965*Lists!$AN$10),2))</f>
        <v/>
      </c>
      <c r="U965" s="66"/>
      <c r="V965" s="66"/>
      <c r="W965" s="66"/>
      <c r="X965" s="66"/>
      <c r="Y965" s="66"/>
      <c r="Z965" s="64" t="str">
        <f>IF(OR($B965="", $U965="", $V965="", $W965="", $X965="", $Y965=""),"",ROUND(($U965*Lists!$AN$11)+($V965*Lists!$AN$12)+($W965*Lists!$AN$13)+($X965*Lists!$AN$14)+($Y965*Lists!$AN$15),2))</f>
        <v/>
      </c>
      <c r="AA965" s="64" t="str">
        <f>IF(OR($B965="", $N965="", $O965="", $T965="", $Z965=""),"",ROUND(($N965*Lists!$AN$16)-($O965*Lists!$AN$17)-($T965*Lists!$AN$18)+($Z965*Lists!$AN$19),2))</f>
        <v/>
      </c>
      <c r="AB965" s="63" t="str">
        <f t="shared" si="57"/>
        <v/>
      </c>
      <c r="AC965" s="63" t="str">
        <f t="shared" si="58"/>
        <v/>
      </c>
      <c r="AD965" s="63" t="str">
        <f>IF($A965="","",IFERROR(IF(VLOOKUP($A965,'Risk Register'!$B$2:$H$1000,4,FALSE())&gt;=4,"Yes",""),""))</f>
        <v/>
      </c>
      <c r="AE965" s="63" t="str">
        <f t="shared" si="59"/>
        <v/>
      </c>
      <c r="AF965" s="62"/>
      <c r="AG965" s="62"/>
      <c r="AH965" s="62"/>
      <c r="AI965" s="62"/>
      <c r="AJ965" s="62"/>
      <c r="AK965" s="62"/>
      <c r="AL965" s="62"/>
      <c r="AM965" s="62"/>
      <c r="AN965" s="62"/>
      <c r="AO965" s="62"/>
      <c r="AP965" s="62"/>
      <c r="AQ965" s="80"/>
    </row>
    <row r="966" spans="1:43" ht="15.75" customHeight="1" x14ac:dyDescent="0.2">
      <c r="A966" s="63" t="str">
        <f t="shared" si="56"/>
        <v/>
      </c>
      <c r="B966" s="62"/>
      <c r="C966" s="62"/>
      <c r="D966" s="62"/>
      <c r="E966" s="62"/>
      <c r="F966" s="62"/>
      <c r="G966" s="62"/>
      <c r="H966" s="62"/>
      <c r="I966" s="66"/>
      <c r="J966" s="66"/>
      <c r="K966" s="66"/>
      <c r="L966" s="66"/>
      <c r="M966" s="66"/>
      <c r="N966" s="64" t="str">
        <f>IF(OR($B966="", $I966="", $J966="", $K966="", $L966="", $M966=""),"",ROUND(($I966*Lists!$AN$2)+($J966*Lists!$AN$3)+($K966*Lists!$AN$4)+($L966*Lists!$AN$5)+($M966*Lists!$AN$6),2))</f>
        <v/>
      </c>
      <c r="O966" s="64" t="str">
        <f>IF($A966="","",IFERROR(VLOOKUP($A966,'Risk Register'!$B$2:$I$1000,8,FALSE()),""))</f>
        <v/>
      </c>
      <c r="P966" s="66"/>
      <c r="Q966" s="66"/>
      <c r="R966" s="66"/>
      <c r="S966" s="66"/>
      <c r="T966" s="64" t="str">
        <f>IF(OR($B966="", $P966="", $Q966="", $R966="", $S966=""),"",ROUND(($P966*Lists!$AN$7)+($Q966*Lists!$AN$8)+($R966*Lists!$AN$9)+($S966*Lists!$AN$10),2))</f>
        <v/>
      </c>
      <c r="U966" s="66"/>
      <c r="V966" s="66"/>
      <c r="W966" s="66"/>
      <c r="X966" s="66"/>
      <c r="Y966" s="66"/>
      <c r="Z966" s="64" t="str">
        <f>IF(OR($B966="", $U966="", $V966="", $W966="", $X966="", $Y966=""),"",ROUND(($U966*Lists!$AN$11)+($V966*Lists!$AN$12)+($W966*Lists!$AN$13)+($X966*Lists!$AN$14)+($Y966*Lists!$AN$15),2))</f>
        <v/>
      </c>
      <c r="AA966" s="64" t="str">
        <f>IF(OR($B966="", $N966="", $O966="", $T966="", $Z966=""),"",ROUND(($N966*Lists!$AN$16)-($O966*Lists!$AN$17)-($T966*Lists!$AN$18)+($Z966*Lists!$AN$19),2))</f>
        <v/>
      </c>
      <c r="AB966" s="63" t="str">
        <f t="shared" si="57"/>
        <v/>
      </c>
      <c r="AC966" s="63" t="str">
        <f t="shared" si="58"/>
        <v/>
      </c>
      <c r="AD966" s="63" t="str">
        <f>IF($A966="","",IFERROR(IF(VLOOKUP($A966,'Risk Register'!$B$2:$H$1000,4,FALSE())&gt;=4,"Yes",""),""))</f>
        <v/>
      </c>
      <c r="AE966" s="63" t="str">
        <f t="shared" si="59"/>
        <v/>
      </c>
      <c r="AF966" s="62"/>
      <c r="AG966" s="62"/>
      <c r="AH966" s="62"/>
      <c r="AI966" s="62"/>
      <c r="AJ966" s="62"/>
      <c r="AK966" s="62"/>
      <c r="AL966" s="62"/>
      <c r="AM966" s="62"/>
      <c r="AN966" s="62"/>
      <c r="AO966" s="62"/>
      <c r="AP966" s="62"/>
      <c r="AQ966" s="80"/>
    </row>
    <row r="967" spans="1:43" ht="15.75" customHeight="1" x14ac:dyDescent="0.2">
      <c r="A967" s="63" t="str">
        <f t="shared" si="56"/>
        <v/>
      </c>
      <c r="B967" s="62"/>
      <c r="C967" s="62"/>
      <c r="D967" s="62"/>
      <c r="E967" s="62"/>
      <c r="F967" s="62"/>
      <c r="G967" s="62"/>
      <c r="H967" s="62"/>
      <c r="I967" s="66"/>
      <c r="J967" s="66"/>
      <c r="K967" s="66"/>
      <c r="L967" s="66"/>
      <c r="M967" s="66"/>
      <c r="N967" s="64" t="str">
        <f>IF(OR($B967="", $I967="", $J967="", $K967="", $L967="", $M967=""),"",ROUND(($I967*Lists!$AN$2)+($J967*Lists!$AN$3)+($K967*Lists!$AN$4)+($L967*Lists!$AN$5)+($M967*Lists!$AN$6),2))</f>
        <v/>
      </c>
      <c r="O967" s="64" t="str">
        <f>IF($A967="","",IFERROR(VLOOKUP($A967,'Risk Register'!$B$2:$I$1000,8,FALSE()),""))</f>
        <v/>
      </c>
      <c r="P967" s="66"/>
      <c r="Q967" s="66"/>
      <c r="R967" s="66"/>
      <c r="S967" s="66"/>
      <c r="T967" s="64" t="str">
        <f>IF(OR($B967="", $P967="", $Q967="", $R967="", $S967=""),"",ROUND(($P967*Lists!$AN$7)+($Q967*Lists!$AN$8)+($R967*Lists!$AN$9)+($S967*Lists!$AN$10),2))</f>
        <v/>
      </c>
      <c r="U967" s="66"/>
      <c r="V967" s="66"/>
      <c r="W967" s="66"/>
      <c r="X967" s="66"/>
      <c r="Y967" s="66"/>
      <c r="Z967" s="64" t="str">
        <f>IF(OR($B967="", $U967="", $V967="", $W967="", $X967="", $Y967=""),"",ROUND(($U967*Lists!$AN$11)+($V967*Lists!$AN$12)+($W967*Lists!$AN$13)+($X967*Lists!$AN$14)+($Y967*Lists!$AN$15),2))</f>
        <v/>
      </c>
      <c r="AA967" s="64" t="str">
        <f>IF(OR($B967="", $N967="", $O967="", $T967="", $Z967=""),"",ROUND(($N967*Lists!$AN$16)-($O967*Lists!$AN$17)-($T967*Lists!$AN$18)+($Z967*Lists!$AN$19),2))</f>
        <v/>
      </c>
      <c r="AB967" s="63" t="str">
        <f t="shared" si="57"/>
        <v/>
      </c>
      <c r="AC967" s="63" t="str">
        <f t="shared" si="58"/>
        <v/>
      </c>
      <c r="AD967" s="63" t="str">
        <f>IF($A967="","",IFERROR(IF(VLOOKUP($A967,'Risk Register'!$B$2:$H$1000,4,FALSE())&gt;=4,"Yes",""),""))</f>
        <v/>
      </c>
      <c r="AE967" s="63" t="str">
        <f t="shared" si="59"/>
        <v/>
      </c>
      <c r="AF967" s="62"/>
      <c r="AG967" s="62"/>
      <c r="AH967" s="62"/>
      <c r="AI967" s="62"/>
      <c r="AJ967" s="62"/>
      <c r="AK967" s="62"/>
      <c r="AL967" s="62"/>
      <c r="AM967" s="62"/>
      <c r="AN967" s="62"/>
      <c r="AO967" s="62"/>
      <c r="AP967" s="62"/>
      <c r="AQ967" s="80"/>
    </row>
    <row r="968" spans="1:43" ht="15.75" customHeight="1" x14ac:dyDescent="0.2">
      <c r="A968" s="63" t="str">
        <f t="shared" si="56"/>
        <v/>
      </c>
      <c r="B968" s="62"/>
      <c r="C968" s="62"/>
      <c r="D968" s="62"/>
      <c r="E968" s="62"/>
      <c r="F968" s="62"/>
      <c r="G968" s="62"/>
      <c r="H968" s="62"/>
      <c r="I968" s="66"/>
      <c r="J968" s="66"/>
      <c r="K968" s="66"/>
      <c r="L968" s="66"/>
      <c r="M968" s="66"/>
      <c r="N968" s="64" t="str">
        <f>IF(OR($B968="", $I968="", $J968="", $K968="", $L968="", $M968=""),"",ROUND(($I968*Lists!$AN$2)+($J968*Lists!$AN$3)+($K968*Lists!$AN$4)+($L968*Lists!$AN$5)+($M968*Lists!$AN$6),2))</f>
        <v/>
      </c>
      <c r="O968" s="64" t="str">
        <f>IF($A968="","",IFERROR(VLOOKUP($A968,'Risk Register'!$B$2:$I$1000,8,FALSE()),""))</f>
        <v/>
      </c>
      <c r="P968" s="66"/>
      <c r="Q968" s="66"/>
      <c r="R968" s="66"/>
      <c r="S968" s="66"/>
      <c r="T968" s="64" t="str">
        <f>IF(OR($B968="", $P968="", $Q968="", $R968="", $S968=""),"",ROUND(($P968*Lists!$AN$7)+($Q968*Lists!$AN$8)+($R968*Lists!$AN$9)+($S968*Lists!$AN$10),2))</f>
        <v/>
      </c>
      <c r="U968" s="66"/>
      <c r="V968" s="66"/>
      <c r="W968" s="66"/>
      <c r="X968" s="66"/>
      <c r="Y968" s="66"/>
      <c r="Z968" s="64" t="str">
        <f>IF(OR($B968="", $U968="", $V968="", $W968="", $X968="", $Y968=""),"",ROUND(($U968*Lists!$AN$11)+($V968*Lists!$AN$12)+($W968*Lists!$AN$13)+($X968*Lists!$AN$14)+($Y968*Lists!$AN$15),2))</f>
        <v/>
      </c>
      <c r="AA968" s="64" t="str">
        <f>IF(OR($B968="", $N968="", $O968="", $T968="", $Z968=""),"",ROUND(($N968*Lists!$AN$16)-($O968*Lists!$AN$17)-($T968*Lists!$AN$18)+($Z968*Lists!$AN$19),2))</f>
        <v/>
      </c>
      <c r="AB968" s="63" t="str">
        <f t="shared" si="57"/>
        <v/>
      </c>
      <c r="AC968" s="63" t="str">
        <f t="shared" si="58"/>
        <v/>
      </c>
      <c r="AD968" s="63" t="str">
        <f>IF($A968="","",IFERROR(IF(VLOOKUP($A968,'Risk Register'!$B$2:$H$1000,4,FALSE())&gt;=4,"Yes",""),""))</f>
        <v/>
      </c>
      <c r="AE968" s="63" t="str">
        <f t="shared" si="59"/>
        <v/>
      </c>
      <c r="AF968" s="62"/>
      <c r="AG968" s="62"/>
      <c r="AH968" s="62"/>
      <c r="AI968" s="62"/>
      <c r="AJ968" s="62"/>
      <c r="AK968" s="62"/>
      <c r="AL968" s="62"/>
      <c r="AM968" s="62"/>
      <c r="AN968" s="62"/>
      <c r="AO968" s="62"/>
      <c r="AP968" s="62"/>
      <c r="AQ968" s="80"/>
    </row>
    <row r="969" spans="1:43" ht="15.75" customHeight="1" x14ac:dyDescent="0.2">
      <c r="A969" s="63" t="str">
        <f t="shared" si="56"/>
        <v/>
      </c>
      <c r="B969" s="62"/>
      <c r="C969" s="62"/>
      <c r="D969" s="62"/>
      <c r="E969" s="62"/>
      <c r="F969" s="62"/>
      <c r="G969" s="62"/>
      <c r="H969" s="62"/>
      <c r="I969" s="66"/>
      <c r="J969" s="66"/>
      <c r="K969" s="66"/>
      <c r="L969" s="66"/>
      <c r="M969" s="66"/>
      <c r="N969" s="64" t="str">
        <f>IF(OR($B969="", $I969="", $J969="", $K969="", $L969="", $M969=""),"",ROUND(($I969*Lists!$AN$2)+($J969*Lists!$AN$3)+($K969*Lists!$AN$4)+($L969*Lists!$AN$5)+($M969*Lists!$AN$6),2))</f>
        <v/>
      </c>
      <c r="O969" s="64" t="str">
        <f>IF($A969="","",IFERROR(VLOOKUP($A969,'Risk Register'!$B$2:$I$1000,8,FALSE()),""))</f>
        <v/>
      </c>
      <c r="P969" s="66"/>
      <c r="Q969" s="66"/>
      <c r="R969" s="66"/>
      <c r="S969" s="66"/>
      <c r="T969" s="64" t="str">
        <f>IF(OR($B969="", $P969="", $Q969="", $R969="", $S969=""),"",ROUND(($P969*Lists!$AN$7)+($Q969*Lists!$AN$8)+($R969*Lists!$AN$9)+($S969*Lists!$AN$10),2))</f>
        <v/>
      </c>
      <c r="U969" s="66"/>
      <c r="V969" s="66"/>
      <c r="W969" s="66"/>
      <c r="X969" s="66"/>
      <c r="Y969" s="66"/>
      <c r="Z969" s="64" t="str">
        <f>IF(OR($B969="", $U969="", $V969="", $W969="", $X969="", $Y969=""),"",ROUND(($U969*Lists!$AN$11)+($V969*Lists!$AN$12)+($W969*Lists!$AN$13)+($X969*Lists!$AN$14)+($Y969*Lists!$AN$15),2))</f>
        <v/>
      </c>
      <c r="AA969" s="64" t="str">
        <f>IF(OR($B969="", $N969="", $O969="", $T969="", $Z969=""),"",ROUND(($N969*Lists!$AN$16)-($O969*Lists!$AN$17)-($T969*Lists!$AN$18)+($Z969*Lists!$AN$19),2))</f>
        <v/>
      </c>
      <c r="AB969" s="63" t="str">
        <f t="shared" si="57"/>
        <v/>
      </c>
      <c r="AC969" s="63" t="str">
        <f t="shared" si="58"/>
        <v/>
      </c>
      <c r="AD969" s="63" t="str">
        <f>IF($A969="","",IFERROR(IF(VLOOKUP($A969,'Risk Register'!$B$2:$H$1000,4,FALSE())&gt;=4,"Yes",""),""))</f>
        <v/>
      </c>
      <c r="AE969" s="63" t="str">
        <f t="shared" si="59"/>
        <v/>
      </c>
      <c r="AF969" s="62"/>
      <c r="AG969" s="62"/>
      <c r="AH969" s="62"/>
      <c r="AI969" s="62"/>
      <c r="AJ969" s="62"/>
      <c r="AK969" s="62"/>
      <c r="AL969" s="62"/>
      <c r="AM969" s="62"/>
      <c r="AN969" s="62"/>
      <c r="AO969" s="62"/>
      <c r="AP969" s="62"/>
      <c r="AQ969" s="80"/>
    </row>
    <row r="970" spans="1:43" ht="15.75" customHeight="1" x14ac:dyDescent="0.2">
      <c r="A970" s="63" t="str">
        <f t="shared" si="56"/>
        <v/>
      </c>
      <c r="B970" s="62"/>
      <c r="C970" s="62"/>
      <c r="D970" s="62"/>
      <c r="E970" s="62"/>
      <c r="F970" s="62"/>
      <c r="G970" s="62"/>
      <c r="H970" s="62"/>
      <c r="I970" s="66"/>
      <c r="J970" s="66"/>
      <c r="K970" s="66"/>
      <c r="L970" s="66"/>
      <c r="M970" s="66"/>
      <c r="N970" s="64" t="str">
        <f>IF(OR($B970="", $I970="", $J970="", $K970="", $L970="", $M970=""),"",ROUND(($I970*Lists!$AN$2)+($J970*Lists!$AN$3)+($K970*Lists!$AN$4)+($L970*Lists!$AN$5)+($M970*Lists!$AN$6),2))</f>
        <v/>
      </c>
      <c r="O970" s="64" t="str">
        <f>IF($A970="","",IFERROR(VLOOKUP($A970,'Risk Register'!$B$2:$I$1000,8,FALSE()),""))</f>
        <v/>
      </c>
      <c r="P970" s="66"/>
      <c r="Q970" s="66"/>
      <c r="R970" s="66"/>
      <c r="S970" s="66"/>
      <c r="T970" s="64" t="str">
        <f>IF(OR($B970="", $P970="", $Q970="", $R970="", $S970=""),"",ROUND(($P970*Lists!$AN$7)+($Q970*Lists!$AN$8)+($R970*Lists!$AN$9)+($S970*Lists!$AN$10),2))</f>
        <v/>
      </c>
      <c r="U970" s="66"/>
      <c r="V970" s="66"/>
      <c r="W970" s="66"/>
      <c r="X970" s="66"/>
      <c r="Y970" s="66"/>
      <c r="Z970" s="64" t="str">
        <f>IF(OR($B970="", $U970="", $V970="", $W970="", $X970="", $Y970=""),"",ROUND(($U970*Lists!$AN$11)+($V970*Lists!$AN$12)+($W970*Lists!$AN$13)+($X970*Lists!$AN$14)+($Y970*Lists!$AN$15),2))</f>
        <v/>
      </c>
      <c r="AA970" s="64" t="str">
        <f>IF(OR($B970="", $N970="", $O970="", $T970="", $Z970=""),"",ROUND(($N970*Lists!$AN$16)-($O970*Lists!$AN$17)-($T970*Lists!$AN$18)+($Z970*Lists!$AN$19),2))</f>
        <v/>
      </c>
      <c r="AB970" s="63" t="str">
        <f t="shared" si="57"/>
        <v/>
      </c>
      <c r="AC970" s="63" t="str">
        <f t="shared" si="58"/>
        <v/>
      </c>
      <c r="AD970" s="63" t="str">
        <f>IF($A970="","",IFERROR(IF(VLOOKUP($A970,'Risk Register'!$B$2:$H$1000,4,FALSE())&gt;=4,"Yes",""),""))</f>
        <v/>
      </c>
      <c r="AE970" s="63" t="str">
        <f t="shared" si="59"/>
        <v/>
      </c>
      <c r="AF970" s="62"/>
      <c r="AG970" s="62"/>
      <c r="AH970" s="62"/>
      <c r="AI970" s="62"/>
      <c r="AJ970" s="62"/>
      <c r="AK970" s="62"/>
      <c r="AL970" s="62"/>
      <c r="AM970" s="62"/>
      <c r="AN970" s="62"/>
      <c r="AO970" s="62"/>
      <c r="AP970" s="62"/>
      <c r="AQ970" s="80"/>
    </row>
    <row r="971" spans="1:43" ht="15.75" customHeight="1" x14ac:dyDescent="0.2">
      <c r="A971" s="63" t="str">
        <f t="shared" si="56"/>
        <v/>
      </c>
      <c r="B971" s="62"/>
      <c r="C971" s="62"/>
      <c r="D971" s="62"/>
      <c r="E971" s="62"/>
      <c r="F971" s="62"/>
      <c r="G971" s="62"/>
      <c r="H971" s="62"/>
      <c r="I971" s="66"/>
      <c r="J971" s="66"/>
      <c r="K971" s="66"/>
      <c r="L971" s="66"/>
      <c r="M971" s="66"/>
      <c r="N971" s="64" t="str">
        <f>IF(OR($B971="", $I971="", $J971="", $K971="", $L971="", $M971=""),"",ROUND(($I971*Lists!$AN$2)+($J971*Lists!$AN$3)+($K971*Lists!$AN$4)+($L971*Lists!$AN$5)+($M971*Lists!$AN$6),2))</f>
        <v/>
      </c>
      <c r="O971" s="64" t="str">
        <f>IF($A971="","",IFERROR(VLOOKUP($A971,'Risk Register'!$B$2:$I$1000,8,FALSE()),""))</f>
        <v/>
      </c>
      <c r="P971" s="66"/>
      <c r="Q971" s="66"/>
      <c r="R971" s="66"/>
      <c r="S971" s="66"/>
      <c r="T971" s="64" t="str">
        <f>IF(OR($B971="", $P971="", $Q971="", $R971="", $S971=""),"",ROUND(($P971*Lists!$AN$7)+($Q971*Lists!$AN$8)+($R971*Lists!$AN$9)+($S971*Lists!$AN$10),2))</f>
        <v/>
      </c>
      <c r="U971" s="66"/>
      <c r="V971" s="66"/>
      <c r="W971" s="66"/>
      <c r="X971" s="66"/>
      <c r="Y971" s="66"/>
      <c r="Z971" s="64" t="str">
        <f>IF(OR($B971="", $U971="", $V971="", $W971="", $X971="", $Y971=""),"",ROUND(($U971*Lists!$AN$11)+($V971*Lists!$AN$12)+($W971*Lists!$AN$13)+($X971*Lists!$AN$14)+($Y971*Lists!$AN$15),2))</f>
        <v/>
      </c>
      <c r="AA971" s="64" t="str">
        <f>IF(OR($B971="", $N971="", $O971="", $T971="", $Z971=""),"",ROUND(($N971*Lists!$AN$16)-($O971*Lists!$AN$17)-($T971*Lists!$AN$18)+($Z971*Lists!$AN$19),2))</f>
        <v/>
      </c>
      <c r="AB971" s="63" t="str">
        <f t="shared" si="57"/>
        <v/>
      </c>
      <c r="AC971" s="63" t="str">
        <f t="shared" si="58"/>
        <v/>
      </c>
      <c r="AD971" s="63" t="str">
        <f>IF($A971="","",IFERROR(IF(VLOOKUP($A971,'Risk Register'!$B$2:$H$1000,4,FALSE())&gt;=4,"Yes",""),""))</f>
        <v/>
      </c>
      <c r="AE971" s="63" t="str">
        <f t="shared" si="59"/>
        <v/>
      </c>
      <c r="AF971" s="62"/>
      <c r="AG971" s="62"/>
      <c r="AH971" s="62"/>
      <c r="AI971" s="62"/>
      <c r="AJ971" s="62"/>
      <c r="AK971" s="62"/>
      <c r="AL971" s="62"/>
      <c r="AM971" s="62"/>
      <c r="AN971" s="62"/>
      <c r="AO971" s="62"/>
      <c r="AP971" s="62"/>
      <c r="AQ971" s="80"/>
    </row>
    <row r="972" spans="1:43" ht="15.75" customHeight="1" x14ac:dyDescent="0.2">
      <c r="A972" s="63" t="str">
        <f t="shared" si="56"/>
        <v/>
      </c>
      <c r="B972" s="62"/>
      <c r="C972" s="62"/>
      <c r="D972" s="62"/>
      <c r="E972" s="62"/>
      <c r="F972" s="62"/>
      <c r="G972" s="62"/>
      <c r="H972" s="62"/>
      <c r="I972" s="66"/>
      <c r="J972" s="66"/>
      <c r="K972" s="66"/>
      <c r="L972" s="66"/>
      <c r="M972" s="66"/>
      <c r="N972" s="64" t="str">
        <f>IF(OR($B972="", $I972="", $J972="", $K972="", $L972="", $M972=""),"",ROUND(($I972*Lists!$AN$2)+($J972*Lists!$AN$3)+($K972*Lists!$AN$4)+($L972*Lists!$AN$5)+($M972*Lists!$AN$6),2))</f>
        <v/>
      </c>
      <c r="O972" s="64" t="str">
        <f>IF($A972="","",IFERROR(VLOOKUP($A972,'Risk Register'!$B$2:$I$1000,8,FALSE()),""))</f>
        <v/>
      </c>
      <c r="P972" s="66"/>
      <c r="Q972" s="66"/>
      <c r="R972" s="66"/>
      <c r="S972" s="66"/>
      <c r="T972" s="64" t="str">
        <f>IF(OR($B972="", $P972="", $Q972="", $R972="", $S972=""),"",ROUND(($P972*Lists!$AN$7)+($Q972*Lists!$AN$8)+($R972*Lists!$AN$9)+($S972*Lists!$AN$10),2))</f>
        <v/>
      </c>
      <c r="U972" s="66"/>
      <c r="V972" s="66"/>
      <c r="W972" s="66"/>
      <c r="X972" s="66"/>
      <c r="Y972" s="66"/>
      <c r="Z972" s="64" t="str">
        <f>IF(OR($B972="", $U972="", $V972="", $W972="", $X972="", $Y972=""),"",ROUND(($U972*Lists!$AN$11)+($V972*Lists!$AN$12)+($W972*Lists!$AN$13)+($X972*Lists!$AN$14)+($Y972*Lists!$AN$15),2))</f>
        <v/>
      </c>
      <c r="AA972" s="64" t="str">
        <f>IF(OR($B972="", $N972="", $O972="", $T972="", $Z972=""),"",ROUND(($N972*Lists!$AN$16)-($O972*Lists!$AN$17)-($T972*Lists!$AN$18)+($Z972*Lists!$AN$19),2))</f>
        <v/>
      </c>
      <c r="AB972" s="63" t="str">
        <f t="shared" si="57"/>
        <v/>
      </c>
      <c r="AC972" s="63" t="str">
        <f t="shared" si="58"/>
        <v/>
      </c>
      <c r="AD972" s="63" t="str">
        <f>IF($A972="","",IFERROR(IF(VLOOKUP($A972,'Risk Register'!$B$2:$H$1000,4,FALSE())&gt;=4,"Yes",""),""))</f>
        <v/>
      </c>
      <c r="AE972" s="63" t="str">
        <f t="shared" si="59"/>
        <v/>
      </c>
      <c r="AF972" s="62"/>
      <c r="AG972" s="62"/>
      <c r="AH972" s="62"/>
      <c r="AI972" s="62"/>
      <c r="AJ972" s="62"/>
      <c r="AK972" s="62"/>
      <c r="AL972" s="62"/>
      <c r="AM972" s="62"/>
      <c r="AN972" s="62"/>
      <c r="AO972" s="62"/>
      <c r="AP972" s="62"/>
      <c r="AQ972" s="80"/>
    </row>
    <row r="973" spans="1:43" ht="15.75" customHeight="1" x14ac:dyDescent="0.2">
      <c r="A973" s="63" t="str">
        <f t="shared" si="56"/>
        <v/>
      </c>
      <c r="B973" s="62"/>
      <c r="C973" s="62"/>
      <c r="D973" s="62"/>
      <c r="E973" s="62"/>
      <c r="F973" s="62"/>
      <c r="G973" s="62"/>
      <c r="H973" s="62"/>
      <c r="I973" s="66"/>
      <c r="J973" s="66"/>
      <c r="K973" s="66"/>
      <c r="L973" s="66"/>
      <c r="M973" s="66"/>
      <c r="N973" s="64" t="str">
        <f>IF(OR($B973="", $I973="", $J973="", $K973="", $L973="", $M973=""),"",ROUND(($I973*Lists!$AN$2)+($J973*Lists!$AN$3)+($K973*Lists!$AN$4)+($L973*Lists!$AN$5)+($M973*Lists!$AN$6),2))</f>
        <v/>
      </c>
      <c r="O973" s="64" t="str">
        <f>IF($A973="","",IFERROR(VLOOKUP($A973,'Risk Register'!$B$2:$I$1000,8,FALSE()),""))</f>
        <v/>
      </c>
      <c r="P973" s="66"/>
      <c r="Q973" s="66"/>
      <c r="R973" s="66"/>
      <c r="S973" s="66"/>
      <c r="T973" s="64" t="str">
        <f>IF(OR($B973="", $P973="", $Q973="", $R973="", $S973=""),"",ROUND(($P973*Lists!$AN$7)+($Q973*Lists!$AN$8)+($R973*Lists!$AN$9)+($S973*Lists!$AN$10),2))</f>
        <v/>
      </c>
      <c r="U973" s="66"/>
      <c r="V973" s="66"/>
      <c r="W973" s="66"/>
      <c r="X973" s="66"/>
      <c r="Y973" s="66"/>
      <c r="Z973" s="64" t="str">
        <f>IF(OR($B973="", $U973="", $V973="", $W973="", $X973="", $Y973=""),"",ROUND(($U973*Lists!$AN$11)+($V973*Lists!$AN$12)+($W973*Lists!$AN$13)+($X973*Lists!$AN$14)+($Y973*Lists!$AN$15),2))</f>
        <v/>
      </c>
      <c r="AA973" s="64" t="str">
        <f>IF(OR($B973="", $N973="", $O973="", $T973="", $Z973=""),"",ROUND(($N973*Lists!$AN$16)-($O973*Lists!$AN$17)-($T973*Lists!$AN$18)+($Z973*Lists!$AN$19),2))</f>
        <v/>
      </c>
      <c r="AB973" s="63" t="str">
        <f t="shared" si="57"/>
        <v/>
      </c>
      <c r="AC973" s="63" t="str">
        <f t="shared" si="58"/>
        <v/>
      </c>
      <c r="AD973" s="63" t="str">
        <f>IF($A973="","",IFERROR(IF(VLOOKUP($A973,'Risk Register'!$B$2:$H$1000,4,FALSE())&gt;=4,"Yes",""),""))</f>
        <v/>
      </c>
      <c r="AE973" s="63" t="str">
        <f t="shared" si="59"/>
        <v/>
      </c>
      <c r="AF973" s="62"/>
      <c r="AG973" s="62"/>
      <c r="AH973" s="62"/>
      <c r="AI973" s="62"/>
      <c r="AJ973" s="62"/>
      <c r="AK973" s="62"/>
      <c r="AL973" s="62"/>
      <c r="AM973" s="62"/>
      <c r="AN973" s="62"/>
      <c r="AO973" s="62"/>
      <c r="AP973" s="62"/>
      <c r="AQ973" s="80"/>
    </row>
    <row r="974" spans="1:43" ht="15.75" customHeight="1" x14ac:dyDescent="0.2">
      <c r="A974" s="63" t="str">
        <f t="shared" si="56"/>
        <v/>
      </c>
      <c r="B974" s="62"/>
      <c r="C974" s="62"/>
      <c r="D974" s="62"/>
      <c r="E974" s="62"/>
      <c r="F974" s="62"/>
      <c r="G974" s="62"/>
      <c r="H974" s="62"/>
      <c r="I974" s="66"/>
      <c r="J974" s="66"/>
      <c r="K974" s="66"/>
      <c r="L974" s="66"/>
      <c r="M974" s="66"/>
      <c r="N974" s="64" t="str">
        <f>IF(OR($B974="", $I974="", $J974="", $K974="", $L974="", $M974=""),"",ROUND(($I974*Lists!$AN$2)+($J974*Lists!$AN$3)+($K974*Lists!$AN$4)+($L974*Lists!$AN$5)+($M974*Lists!$AN$6),2))</f>
        <v/>
      </c>
      <c r="O974" s="64" t="str">
        <f>IF($A974="","",IFERROR(VLOOKUP($A974,'Risk Register'!$B$2:$I$1000,8,FALSE()),""))</f>
        <v/>
      </c>
      <c r="P974" s="66"/>
      <c r="Q974" s="66"/>
      <c r="R974" s="66"/>
      <c r="S974" s="66"/>
      <c r="T974" s="64" t="str">
        <f>IF(OR($B974="", $P974="", $Q974="", $R974="", $S974=""),"",ROUND(($P974*Lists!$AN$7)+($Q974*Lists!$AN$8)+($R974*Lists!$AN$9)+($S974*Lists!$AN$10),2))</f>
        <v/>
      </c>
      <c r="U974" s="66"/>
      <c r="V974" s="66"/>
      <c r="W974" s="66"/>
      <c r="X974" s="66"/>
      <c r="Y974" s="66"/>
      <c r="Z974" s="64" t="str">
        <f>IF(OR($B974="", $U974="", $V974="", $W974="", $X974="", $Y974=""),"",ROUND(($U974*Lists!$AN$11)+($V974*Lists!$AN$12)+($W974*Lists!$AN$13)+($X974*Lists!$AN$14)+($Y974*Lists!$AN$15),2))</f>
        <v/>
      </c>
      <c r="AA974" s="64" t="str">
        <f>IF(OR($B974="", $N974="", $O974="", $T974="", $Z974=""),"",ROUND(($N974*Lists!$AN$16)-($O974*Lists!$AN$17)-($T974*Lists!$AN$18)+($Z974*Lists!$AN$19),2))</f>
        <v/>
      </c>
      <c r="AB974" s="63" t="str">
        <f t="shared" si="57"/>
        <v/>
      </c>
      <c r="AC974" s="63" t="str">
        <f t="shared" si="58"/>
        <v/>
      </c>
      <c r="AD974" s="63" t="str">
        <f>IF($A974="","",IFERROR(IF(VLOOKUP($A974,'Risk Register'!$B$2:$H$1000,4,FALSE())&gt;=4,"Yes",""),""))</f>
        <v/>
      </c>
      <c r="AE974" s="63" t="str">
        <f t="shared" si="59"/>
        <v/>
      </c>
      <c r="AF974" s="62"/>
      <c r="AG974" s="62"/>
      <c r="AH974" s="62"/>
      <c r="AI974" s="62"/>
      <c r="AJ974" s="62"/>
      <c r="AK974" s="62"/>
      <c r="AL974" s="62"/>
      <c r="AM974" s="62"/>
      <c r="AN974" s="62"/>
      <c r="AO974" s="62"/>
      <c r="AP974" s="62"/>
      <c r="AQ974" s="80"/>
    </row>
    <row r="975" spans="1:43" ht="15.75" customHeight="1" x14ac:dyDescent="0.2">
      <c r="A975" s="63" t="str">
        <f t="shared" si="56"/>
        <v/>
      </c>
      <c r="B975" s="62"/>
      <c r="C975" s="62"/>
      <c r="D975" s="62"/>
      <c r="E975" s="62"/>
      <c r="F975" s="62"/>
      <c r="G975" s="62"/>
      <c r="H975" s="62"/>
      <c r="I975" s="66"/>
      <c r="J975" s="66"/>
      <c r="K975" s="66"/>
      <c r="L975" s="66"/>
      <c r="M975" s="66"/>
      <c r="N975" s="64" t="str">
        <f>IF(OR($B975="", $I975="", $J975="", $K975="", $L975="", $M975=""),"",ROUND(($I975*Lists!$AN$2)+($J975*Lists!$AN$3)+($K975*Lists!$AN$4)+($L975*Lists!$AN$5)+($M975*Lists!$AN$6),2))</f>
        <v/>
      </c>
      <c r="O975" s="64" t="str">
        <f>IF($A975="","",IFERROR(VLOOKUP($A975,'Risk Register'!$B$2:$I$1000,8,FALSE()),""))</f>
        <v/>
      </c>
      <c r="P975" s="66"/>
      <c r="Q975" s="66"/>
      <c r="R975" s="66"/>
      <c r="S975" s="66"/>
      <c r="T975" s="64" t="str">
        <f>IF(OR($B975="", $P975="", $Q975="", $R975="", $S975=""),"",ROUND(($P975*Lists!$AN$7)+($Q975*Lists!$AN$8)+($R975*Lists!$AN$9)+($S975*Lists!$AN$10),2))</f>
        <v/>
      </c>
      <c r="U975" s="66"/>
      <c r="V975" s="66"/>
      <c r="W975" s="66"/>
      <c r="X975" s="66"/>
      <c r="Y975" s="66"/>
      <c r="Z975" s="64" t="str">
        <f>IF(OR($B975="", $U975="", $V975="", $W975="", $X975="", $Y975=""),"",ROUND(($U975*Lists!$AN$11)+($V975*Lists!$AN$12)+($W975*Lists!$AN$13)+($X975*Lists!$AN$14)+($Y975*Lists!$AN$15),2))</f>
        <v/>
      </c>
      <c r="AA975" s="64" t="str">
        <f>IF(OR($B975="", $N975="", $O975="", $T975="", $Z975=""),"",ROUND(($N975*Lists!$AN$16)-($O975*Lists!$AN$17)-($T975*Lists!$AN$18)+($Z975*Lists!$AN$19),2))</f>
        <v/>
      </c>
      <c r="AB975" s="63" t="str">
        <f t="shared" si="57"/>
        <v/>
      </c>
      <c r="AC975" s="63" t="str">
        <f t="shared" si="58"/>
        <v/>
      </c>
      <c r="AD975" s="63" t="str">
        <f>IF($A975="","",IFERROR(IF(VLOOKUP($A975,'Risk Register'!$B$2:$H$1000,4,FALSE())&gt;=4,"Yes",""),""))</f>
        <v/>
      </c>
      <c r="AE975" s="63" t="str">
        <f t="shared" si="59"/>
        <v/>
      </c>
      <c r="AF975" s="62"/>
      <c r="AG975" s="62"/>
      <c r="AH975" s="62"/>
      <c r="AI975" s="62"/>
      <c r="AJ975" s="62"/>
      <c r="AK975" s="62"/>
      <c r="AL975" s="62"/>
      <c r="AM975" s="62"/>
      <c r="AN975" s="62"/>
      <c r="AO975" s="62"/>
      <c r="AP975" s="62"/>
      <c r="AQ975" s="80"/>
    </row>
    <row r="976" spans="1:43" ht="15.75" customHeight="1" x14ac:dyDescent="0.2">
      <c r="A976" s="63" t="str">
        <f t="shared" si="56"/>
        <v/>
      </c>
      <c r="B976" s="62"/>
      <c r="C976" s="62"/>
      <c r="D976" s="62"/>
      <c r="E976" s="62"/>
      <c r="F976" s="62"/>
      <c r="G976" s="62"/>
      <c r="H976" s="62"/>
      <c r="I976" s="66"/>
      <c r="J976" s="66"/>
      <c r="K976" s="66"/>
      <c r="L976" s="66"/>
      <c r="M976" s="66"/>
      <c r="N976" s="64" t="str">
        <f>IF(OR($B976="", $I976="", $J976="", $K976="", $L976="", $M976=""),"",ROUND(($I976*Lists!$AN$2)+($J976*Lists!$AN$3)+($K976*Lists!$AN$4)+($L976*Lists!$AN$5)+($M976*Lists!$AN$6),2))</f>
        <v/>
      </c>
      <c r="O976" s="64" t="str">
        <f>IF($A976="","",IFERROR(VLOOKUP($A976,'Risk Register'!$B$2:$I$1000,8,FALSE()),""))</f>
        <v/>
      </c>
      <c r="P976" s="66"/>
      <c r="Q976" s="66"/>
      <c r="R976" s="66"/>
      <c r="S976" s="66"/>
      <c r="T976" s="64" t="str">
        <f>IF(OR($B976="", $P976="", $Q976="", $R976="", $S976=""),"",ROUND(($P976*Lists!$AN$7)+($Q976*Lists!$AN$8)+($R976*Lists!$AN$9)+($S976*Lists!$AN$10),2))</f>
        <v/>
      </c>
      <c r="U976" s="66"/>
      <c r="V976" s="66"/>
      <c r="W976" s="66"/>
      <c r="X976" s="66"/>
      <c r="Y976" s="66"/>
      <c r="Z976" s="64" t="str">
        <f>IF(OR($B976="", $U976="", $V976="", $W976="", $X976="", $Y976=""),"",ROUND(($U976*Lists!$AN$11)+($V976*Lists!$AN$12)+($W976*Lists!$AN$13)+($X976*Lists!$AN$14)+($Y976*Lists!$AN$15),2))</f>
        <v/>
      </c>
      <c r="AA976" s="64" t="str">
        <f>IF(OR($B976="", $N976="", $O976="", $T976="", $Z976=""),"",ROUND(($N976*Lists!$AN$16)-($O976*Lists!$AN$17)-($T976*Lists!$AN$18)+($Z976*Lists!$AN$19),2))</f>
        <v/>
      </c>
      <c r="AB976" s="63" t="str">
        <f t="shared" si="57"/>
        <v/>
      </c>
      <c r="AC976" s="63" t="str">
        <f t="shared" si="58"/>
        <v/>
      </c>
      <c r="AD976" s="63" t="str">
        <f>IF($A976="","",IFERROR(IF(VLOOKUP($A976,'Risk Register'!$B$2:$H$1000,4,FALSE())&gt;=4,"Yes",""),""))</f>
        <v/>
      </c>
      <c r="AE976" s="63" t="str">
        <f t="shared" si="59"/>
        <v/>
      </c>
      <c r="AF976" s="62"/>
      <c r="AG976" s="62"/>
      <c r="AH976" s="62"/>
      <c r="AI976" s="62"/>
      <c r="AJ976" s="62"/>
      <c r="AK976" s="62"/>
      <c r="AL976" s="62"/>
      <c r="AM976" s="62"/>
      <c r="AN976" s="62"/>
      <c r="AO976" s="62"/>
      <c r="AP976" s="62"/>
      <c r="AQ976" s="80"/>
    </row>
    <row r="977" spans="1:43" ht="15.75" customHeight="1" x14ac:dyDescent="0.2">
      <c r="A977" s="63" t="str">
        <f t="shared" si="56"/>
        <v/>
      </c>
      <c r="B977" s="62"/>
      <c r="C977" s="62"/>
      <c r="D977" s="62"/>
      <c r="E977" s="62"/>
      <c r="F977" s="62"/>
      <c r="G977" s="62"/>
      <c r="H977" s="62"/>
      <c r="I977" s="66"/>
      <c r="J977" s="66"/>
      <c r="K977" s="66"/>
      <c r="L977" s="66"/>
      <c r="M977" s="66"/>
      <c r="N977" s="64" t="str">
        <f>IF(OR($B977="", $I977="", $J977="", $K977="", $L977="", $M977=""),"",ROUND(($I977*Lists!$AN$2)+($J977*Lists!$AN$3)+($K977*Lists!$AN$4)+($L977*Lists!$AN$5)+($M977*Lists!$AN$6),2))</f>
        <v/>
      </c>
      <c r="O977" s="64" t="str">
        <f>IF($A977="","",IFERROR(VLOOKUP($A977,'Risk Register'!$B$2:$I$1000,8,FALSE()),""))</f>
        <v/>
      </c>
      <c r="P977" s="66"/>
      <c r="Q977" s="66"/>
      <c r="R977" s="66"/>
      <c r="S977" s="66"/>
      <c r="T977" s="64" t="str">
        <f>IF(OR($B977="", $P977="", $Q977="", $R977="", $S977=""),"",ROUND(($P977*Lists!$AN$7)+($Q977*Lists!$AN$8)+($R977*Lists!$AN$9)+($S977*Lists!$AN$10),2))</f>
        <v/>
      </c>
      <c r="U977" s="66"/>
      <c r="V977" s="66"/>
      <c r="W977" s="66"/>
      <c r="X977" s="66"/>
      <c r="Y977" s="66"/>
      <c r="Z977" s="64" t="str">
        <f>IF(OR($B977="", $U977="", $V977="", $W977="", $X977="", $Y977=""),"",ROUND(($U977*Lists!$AN$11)+($V977*Lists!$AN$12)+($W977*Lists!$AN$13)+($X977*Lists!$AN$14)+($Y977*Lists!$AN$15),2))</f>
        <v/>
      </c>
      <c r="AA977" s="64" t="str">
        <f>IF(OR($B977="", $N977="", $O977="", $T977="", $Z977=""),"",ROUND(($N977*Lists!$AN$16)-($O977*Lists!$AN$17)-($T977*Lists!$AN$18)+($Z977*Lists!$AN$19),2))</f>
        <v/>
      </c>
      <c r="AB977" s="63" t="str">
        <f t="shared" si="57"/>
        <v/>
      </c>
      <c r="AC977" s="63" t="str">
        <f t="shared" si="58"/>
        <v/>
      </c>
      <c r="AD977" s="63" t="str">
        <f>IF($A977="","",IFERROR(IF(VLOOKUP($A977,'Risk Register'!$B$2:$H$1000,4,FALSE())&gt;=4,"Yes",""),""))</f>
        <v/>
      </c>
      <c r="AE977" s="63" t="str">
        <f t="shared" si="59"/>
        <v/>
      </c>
      <c r="AF977" s="62"/>
      <c r="AG977" s="62"/>
      <c r="AH977" s="62"/>
      <c r="AI977" s="62"/>
      <c r="AJ977" s="62"/>
      <c r="AK977" s="62"/>
      <c r="AL977" s="62"/>
      <c r="AM977" s="62"/>
      <c r="AN977" s="62"/>
      <c r="AO977" s="62"/>
      <c r="AP977" s="62"/>
      <c r="AQ977" s="80"/>
    </row>
    <row r="978" spans="1:43" ht="15.75" customHeight="1" x14ac:dyDescent="0.2">
      <c r="A978" s="63" t="str">
        <f t="shared" si="56"/>
        <v/>
      </c>
      <c r="B978" s="62"/>
      <c r="C978" s="62"/>
      <c r="D978" s="62"/>
      <c r="E978" s="62"/>
      <c r="F978" s="62"/>
      <c r="G978" s="62"/>
      <c r="H978" s="62"/>
      <c r="I978" s="66"/>
      <c r="J978" s="66"/>
      <c r="K978" s="66"/>
      <c r="L978" s="66"/>
      <c r="M978" s="66"/>
      <c r="N978" s="64" t="str">
        <f>IF(OR($B978="", $I978="", $J978="", $K978="", $L978="", $M978=""),"",ROUND(($I978*Lists!$AN$2)+($J978*Lists!$AN$3)+($K978*Lists!$AN$4)+($L978*Lists!$AN$5)+($M978*Lists!$AN$6),2))</f>
        <v/>
      </c>
      <c r="O978" s="64" t="str">
        <f>IF($A978="","",IFERROR(VLOOKUP($A978,'Risk Register'!$B$2:$I$1000,8,FALSE()),""))</f>
        <v/>
      </c>
      <c r="P978" s="66"/>
      <c r="Q978" s="66"/>
      <c r="R978" s="66"/>
      <c r="S978" s="66"/>
      <c r="T978" s="64" t="str">
        <f>IF(OR($B978="", $P978="", $Q978="", $R978="", $S978=""),"",ROUND(($P978*Lists!$AN$7)+($Q978*Lists!$AN$8)+($R978*Lists!$AN$9)+($S978*Lists!$AN$10),2))</f>
        <v/>
      </c>
      <c r="U978" s="66"/>
      <c r="V978" s="66"/>
      <c r="W978" s="66"/>
      <c r="X978" s="66"/>
      <c r="Y978" s="66"/>
      <c r="Z978" s="64" t="str">
        <f>IF(OR($B978="", $U978="", $V978="", $W978="", $X978="", $Y978=""),"",ROUND(($U978*Lists!$AN$11)+($V978*Lists!$AN$12)+($W978*Lists!$AN$13)+($X978*Lists!$AN$14)+($Y978*Lists!$AN$15),2))</f>
        <v/>
      </c>
      <c r="AA978" s="64" t="str">
        <f>IF(OR($B978="", $N978="", $O978="", $T978="", $Z978=""),"",ROUND(($N978*Lists!$AN$16)-($O978*Lists!$AN$17)-($T978*Lists!$AN$18)+($Z978*Lists!$AN$19),2))</f>
        <v/>
      </c>
      <c r="AB978" s="63" t="str">
        <f t="shared" si="57"/>
        <v/>
      </c>
      <c r="AC978" s="63" t="str">
        <f t="shared" si="58"/>
        <v/>
      </c>
      <c r="AD978" s="63" t="str">
        <f>IF($A978="","",IFERROR(IF(VLOOKUP($A978,'Risk Register'!$B$2:$H$1000,4,FALSE())&gt;=4,"Yes",""),""))</f>
        <v/>
      </c>
      <c r="AE978" s="63" t="str">
        <f t="shared" si="59"/>
        <v/>
      </c>
      <c r="AF978" s="62"/>
      <c r="AG978" s="62"/>
      <c r="AH978" s="62"/>
      <c r="AI978" s="62"/>
      <c r="AJ978" s="62"/>
      <c r="AK978" s="62"/>
      <c r="AL978" s="62"/>
      <c r="AM978" s="62"/>
      <c r="AN978" s="62"/>
      <c r="AO978" s="62"/>
      <c r="AP978" s="62"/>
      <c r="AQ978" s="80"/>
    </row>
    <row r="979" spans="1:43" ht="15.75" customHeight="1" x14ac:dyDescent="0.2">
      <c r="A979" s="63" t="str">
        <f t="shared" si="56"/>
        <v/>
      </c>
      <c r="B979" s="62"/>
      <c r="C979" s="62"/>
      <c r="D979" s="62"/>
      <c r="E979" s="62"/>
      <c r="F979" s="62"/>
      <c r="G979" s="62"/>
      <c r="H979" s="62"/>
      <c r="I979" s="66"/>
      <c r="J979" s="66"/>
      <c r="K979" s="66"/>
      <c r="L979" s="66"/>
      <c r="M979" s="66"/>
      <c r="N979" s="64" t="str">
        <f>IF(OR($B979="", $I979="", $J979="", $K979="", $L979="", $M979=""),"",ROUND(($I979*Lists!$AN$2)+($J979*Lists!$AN$3)+($K979*Lists!$AN$4)+($L979*Lists!$AN$5)+($M979*Lists!$AN$6),2))</f>
        <v/>
      </c>
      <c r="O979" s="64" t="str">
        <f>IF($A979="","",IFERROR(VLOOKUP($A979,'Risk Register'!$B$2:$I$1000,8,FALSE()),""))</f>
        <v/>
      </c>
      <c r="P979" s="66"/>
      <c r="Q979" s="66"/>
      <c r="R979" s="66"/>
      <c r="S979" s="66"/>
      <c r="T979" s="64" t="str">
        <f>IF(OR($B979="", $P979="", $Q979="", $R979="", $S979=""),"",ROUND(($P979*Lists!$AN$7)+($Q979*Lists!$AN$8)+($R979*Lists!$AN$9)+($S979*Lists!$AN$10),2))</f>
        <v/>
      </c>
      <c r="U979" s="66"/>
      <c r="V979" s="66"/>
      <c r="W979" s="66"/>
      <c r="X979" s="66"/>
      <c r="Y979" s="66"/>
      <c r="Z979" s="64" t="str">
        <f>IF(OR($B979="", $U979="", $V979="", $W979="", $X979="", $Y979=""),"",ROUND(($U979*Lists!$AN$11)+($V979*Lists!$AN$12)+($W979*Lists!$AN$13)+($X979*Lists!$AN$14)+($Y979*Lists!$AN$15),2))</f>
        <v/>
      </c>
      <c r="AA979" s="64" t="str">
        <f>IF(OR($B979="", $N979="", $O979="", $T979="", $Z979=""),"",ROUND(($N979*Lists!$AN$16)-($O979*Lists!$AN$17)-($T979*Lists!$AN$18)+($Z979*Lists!$AN$19),2))</f>
        <v/>
      </c>
      <c r="AB979" s="63" t="str">
        <f t="shared" si="57"/>
        <v/>
      </c>
      <c r="AC979" s="63" t="str">
        <f t="shared" si="58"/>
        <v/>
      </c>
      <c r="AD979" s="63" t="str">
        <f>IF($A979="","",IFERROR(IF(VLOOKUP($A979,'Risk Register'!$B$2:$H$1000,4,FALSE())&gt;=4,"Yes",""),""))</f>
        <v/>
      </c>
      <c r="AE979" s="63" t="str">
        <f t="shared" si="59"/>
        <v/>
      </c>
      <c r="AF979" s="62"/>
      <c r="AG979" s="62"/>
      <c r="AH979" s="62"/>
      <c r="AI979" s="62"/>
      <c r="AJ979" s="62"/>
      <c r="AK979" s="62"/>
      <c r="AL979" s="62"/>
      <c r="AM979" s="62"/>
      <c r="AN979" s="62"/>
      <c r="AO979" s="62"/>
      <c r="AP979" s="62"/>
      <c r="AQ979" s="80"/>
    </row>
    <row r="980" spans="1:43" ht="15.75" customHeight="1" x14ac:dyDescent="0.2">
      <c r="A980" s="63" t="str">
        <f t="shared" si="56"/>
        <v/>
      </c>
      <c r="B980" s="62"/>
      <c r="C980" s="62"/>
      <c r="D980" s="62"/>
      <c r="E980" s="62"/>
      <c r="F980" s="62"/>
      <c r="G980" s="62"/>
      <c r="H980" s="62"/>
      <c r="I980" s="66"/>
      <c r="J980" s="66"/>
      <c r="K980" s="66"/>
      <c r="L980" s="66"/>
      <c r="M980" s="66"/>
      <c r="N980" s="64" t="str">
        <f>IF(OR($B980="", $I980="", $J980="", $K980="", $L980="", $M980=""),"",ROUND(($I980*Lists!$AN$2)+($J980*Lists!$AN$3)+($K980*Lists!$AN$4)+($L980*Lists!$AN$5)+($M980*Lists!$AN$6),2))</f>
        <v/>
      </c>
      <c r="O980" s="64" t="str">
        <f>IF($A980="","",IFERROR(VLOOKUP($A980,'Risk Register'!$B$2:$I$1000,8,FALSE()),""))</f>
        <v/>
      </c>
      <c r="P980" s="66"/>
      <c r="Q980" s="66"/>
      <c r="R980" s="66"/>
      <c r="S980" s="66"/>
      <c r="T980" s="64" t="str">
        <f>IF(OR($B980="", $P980="", $Q980="", $R980="", $S980=""),"",ROUND(($P980*Lists!$AN$7)+($Q980*Lists!$AN$8)+($R980*Lists!$AN$9)+($S980*Lists!$AN$10),2))</f>
        <v/>
      </c>
      <c r="U980" s="66"/>
      <c r="V980" s="66"/>
      <c r="W980" s="66"/>
      <c r="X980" s="66"/>
      <c r="Y980" s="66"/>
      <c r="Z980" s="64" t="str">
        <f>IF(OR($B980="", $U980="", $V980="", $W980="", $X980="", $Y980=""),"",ROUND(($U980*Lists!$AN$11)+($V980*Lists!$AN$12)+($W980*Lists!$AN$13)+($X980*Lists!$AN$14)+($Y980*Lists!$AN$15),2))</f>
        <v/>
      </c>
      <c r="AA980" s="64" t="str">
        <f>IF(OR($B980="", $N980="", $O980="", $T980="", $Z980=""),"",ROUND(($N980*Lists!$AN$16)-($O980*Lists!$AN$17)-($T980*Lists!$AN$18)+($Z980*Lists!$AN$19),2))</f>
        <v/>
      </c>
      <c r="AB980" s="63" t="str">
        <f t="shared" si="57"/>
        <v/>
      </c>
      <c r="AC980" s="63" t="str">
        <f t="shared" si="58"/>
        <v/>
      </c>
      <c r="AD980" s="63" t="str">
        <f>IF($A980="","",IFERROR(IF(VLOOKUP($A980,'Risk Register'!$B$2:$H$1000,4,FALSE())&gt;=4,"Yes",""),""))</f>
        <v/>
      </c>
      <c r="AE980" s="63" t="str">
        <f t="shared" si="59"/>
        <v/>
      </c>
      <c r="AF980" s="62"/>
      <c r="AG980" s="62"/>
      <c r="AH980" s="62"/>
      <c r="AI980" s="62"/>
      <c r="AJ980" s="62"/>
      <c r="AK980" s="62"/>
      <c r="AL980" s="62"/>
      <c r="AM980" s="62"/>
      <c r="AN980" s="62"/>
      <c r="AO980" s="62"/>
      <c r="AP980" s="62"/>
      <c r="AQ980" s="80"/>
    </row>
    <row r="981" spans="1:43" ht="15.75" customHeight="1" x14ac:dyDescent="0.2">
      <c r="A981" s="63" t="str">
        <f t="shared" si="56"/>
        <v/>
      </c>
      <c r="B981" s="62"/>
      <c r="C981" s="62"/>
      <c r="D981" s="62"/>
      <c r="E981" s="62"/>
      <c r="F981" s="62"/>
      <c r="G981" s="62"/>
      <c r="H981" s="62"/>
      <c r="I981" s="66"/>
      <c r="J981" s="66"/>
      <c r="K981" s="66"/>
      <c r="L981" s="66"/>
      <c r="M981" s="66"/>
      <c r="N981" s="64" t="str">
        <f>IF(OR($B981="", $I981="", $J981="", $K981="", $L981="", $M981=""),"",ROUND(($I981*Lists!$AN$2)+($J981*Lists!$AN$3)+($K981*Lists!$AN$4)+($L981*Lists!$AN$5)+($M981*Lists!$AN$6),2))</f>
        <v/>
      </c>
      <c r="O981" s="64" t="str">
        <f>IF($A981="","",IFERROR(VLOOKUP($A981,'Risk Register'!$B$2:$I$1000,8,FALSE()),""))</f>
        <v/>
      </c>
      <c r="P981" s="66"/>
      <c r="Q981" s="66"/>
      <c r="R981" s="66"/>
      <c r="S981" s="66"/>
      <c r="T981" s="64" t="str">
        <f>IF(OR($B981="", $P981="", $Q981="", $R981="", $S981=""),"",ROUND(($P981*Lists!$AN$7)+($Q981*Lists!$AN$8)+($R981*Lists!$AN$9)+($S981*Lists!$AN$10),2))</f>
        <v/>
      </c>
      <c r="U981" s="66"/>
      <c r="V981" s="66"/>
      <c r="W981" s="66"/>
      <c r="X981" s="66"/>
      <c r="Y981" s="66"/>
      <c r="Z981" s="64" t="str">
        <f>IF(OR($B981="", $U981="", $V981="", $W981="", $X981="", $Y981=""),"",ROUND(($U981*Lists!$AN$11)+($V981*Lists!$AN$12)+($W981*Lists!$AN$13)+($X981*Lists!$AN$14)+($Y981*Lists!$AN$15),2))</f>
        <v/>
      </c>
      <c r="AA981" s="64" t="str">
        <f>IF(OR($B981="", $N981="", $O981="", $T981="", $Z981=""),"",ROUND(($N981*Lists!$AN$16)-($O981*Lists!$AN$17)-($T981*Lists!$AN$18)+($Z981*Lists!$AN$19),2))</f>
        <v/>
      </c>
      <c r="AB981" s="63" t="str">
        <f t="shared" si="57"/>
        <v/>
      </c>
      <c r="AC981" s="63" t="str">
        <f t="shared" si="58"/>
        <v/>
      </c>
      <c r="AD981" s="63" t="str">
        <f>IF($A981="","",IFERROR(IF(VLOOKUP($A981,'Risk Register'!$B$2:$H$1000,4,FALSE())&gt;=4,"Yes",""),""))</f>
        <v/>
      </c>
      <c r="AE981" s="63" t="str">
        <f t="shared" si="59"/>
        <v/>
      </c>
      <c r="AF981" s="62"/>
      <c r="AG981" s="62"/>
      <c r="AH981" s="62"/>
      <c r="AI981" s="62"/>
      <c r="AJ981" s="62"/>
      <c r="AK981" s="62"/>
      <c r="AL981" s="62"/>
      <c r="AM981" s="62"/>
      <c r="AN981" s="62"/>
      <c r="AO981" s="62"/>
      <c r="AP981" s="62"/>
      <c r="AQ981" s="80"/>
    </row>
    <row r="982" spans="1:43" ht="15.75" customHeight="1" x14ac:dyDescent="0.2">
      <c r="A982" s="63" t="str">
        <f t="shared" si="56"/>
        <v/>
      </c>
      <c r="B982" s="62"/>
      <c r="C982" s="62"/>
      <c r="D982" s="62"/>
      <c r="E982" s="62"/>
      <c r="F982" s="62"/>
      <c r="G982" s="62"/>
      <c r="H982" s="62"/>
      <c r="I982" s="66"/>
      <c r="J982" s="66"/>
      <c r="K982" s="66"/>
      <c r="L982" s="66"/>
      <c r="M982" s="66"/>
      <c r="N982" s="64" t="str">
        <f>IF(OR($B982="", $I982="", $J982="", $K982="", $L982="", $M982=""),"",ROUND(($I982*Lists!$AN$2)+($J982*Lists!$AN$3)+($K982*Lists!$AN$4)+($L982*Lists!$AN$5)+($M982*Lists!$AN$6),2))</f>
        <v/>
      </c>
      <c r="O982" s="64" t="str">
        <f>IF($A982="","",IFERROR(VLOOKUP($A982,'Risk Register'!$B$2:$I$1000,8,FALSE()),""))</f>
        <v/>
      </c>
      <c r="P982" s="66"/>
      <c r="Q982" s="66"/>
      <c r="R982" s="66"/>
      <c r="S982" s="66"/>
      <c r="T982" s="64" t="str">
        <f>IF(OR($B982="", $P982="", $Q982="", $R982="", $S982=""),"",ROUND(($P982*Lists!$AN$7)+($Q982*Lists!$AN$8)+($R982*Lists!$AN$9)+($S982*Lists!$AN$10),2))</f>
        <v/>
      </c>
      <c r="U982" s="66"/>
      <c r="V982" s="66"/>
      <c r="W982" s="66"/>
      <c r="X982" s="66"/>
      <c r="Y982" s="66"/>
      <c r="Z982" s="64" t="str">
        <f>IF(OR($B982="", $U982="", $V982="", $W982="", $X982="", $Y982=""),"",ROUND(($U982*Lists!$AN$11)+($V982*Lists!$AN$12)+($W982*Lists!$AN$13)+($X982*Lists!$AN$14)+($Y982*Lists!$AN$15),2))</f>
        <v/>
      </c>
      <c r="AA982" s="64" t="str">
        <f>IF(OR($B982="", $N982="", $O982="", $T982="", $Z982=""),"",ROUND(($N982*Lists!$AN$16)-($O982*Lists!$AN$17)-($T982*Lists!$AN$18)+($Z982*Lists!$AN$19),2))</f>
        <v/>
      </c>
      <c r="AB982" s="63" t="str">
        <f t="shared" si="57"/>
        <v/>
      </c>
      <c r="AC982" s="63" t="str">
        <f t="shared" si="58"/>
        <v/>
      </c>
      <c r="AD982" s="63" t="str">
        <f>IF($A982="","",IFERROR(IF(VLOOKUP($A982,'Risk Register'!$B$2:$H$1000,4,FALSE())&gt;=4,"Yes",""),""))</f>
        <v/>
      </c>
      <c r="AE982" s="63" t="str">
        <f t="shared" si="59"/>
        <v/>
      </c>
      <c r="AF982" s="62"/>
      <c r="AG982" s="62"/>
      <c r="AH982" s="62"/>
      <c r="AI982" s="62"/>
      <c r="AJ982" s="62"/>
      <c r="AK982" s="62"/>
      <c r="AL982" s="62"/>
      <c r="AM982" s="62"/>
      <c r="AN982" s="62"/>
      <c r="AO982" s="62"/>
      <c r="AP982" s="62"/>
      <c r="AQ982" s="80"/>
    </row>
    <row r="983" spans="1:43" ht="15.75" customHeight="1" x14ac:dyDescent="0.2">
      <c r="A983" s="63" t="str">
        <f t="shared" ref="A983:A1000" si="60">IF($B983="","", "APM-" &amp; RIGHT("0000"&amp;ROW()-1,4))</f>
        <v/>
      </c>
      <c r="B983" s="62"/>
      <c r="C983" s="62"/>
      <c r="D983" s="62"/>
      <c r="E983" s="62"/>
      <c r="F983" s="62"/>
      <c r="G983" s="62"/>
      <c r="H983" s="62"/>
      <c r="I983" s="66"/>
      <c r="J983" s="66"/>
      <c r="K983" s="66"/>
      <c r="L983" s="66"/>
      <c r="M983" s="66"/>
      <c r="N983" s="64" t="str">
        <f>IF(OR($B983="", $I983="", $J983="", $K983="", $L983="", $M983=""),"",ROUND(($I983*Lists!$AN$2)+($J983*Lists!$AN$3)+($K983*Lists!$AN$4)+($L983*Lists!$AN$5)+($M983*Lists!$AN$6),2))</f>
        <v/>
      </c>
      <c r="O983" s="64" t="str">
        <f>IF($A983="","",IFERROR(VLOOKUP($A983,'Risk Register'!$B$2:$I$1000,8,FALSE()),""))</f>
        <v/>
      </c>
      <c r="P983" s="66"/>
      <c r="Q983" s="66"/>
      <c r="R983" s="66"/>
      <c r="S983" s="66"/>
      <c r="T983" s="64" t="str">
        <f>IF(OR($B983="", $P983="", $Q983="", $R983="", $S983=""),"",ROUND(($P983*Lists!$AN$7)+($Q983*Lists!$AN$8)+($R983*Lists!$AN$9)+($S983*Lists!$AN$10),2))</f>
        <v/>
      </c>
      <c r="U983" s="66"/>
      <c r="V983" s="66"/>
      <c r="W983" s="66"/>
      <c r="X983" s="66"/>
      <c r="Y983" s="66"/>
      <c r="Z983" s="64" t="str">
        <f>IF(OR($B983="", $U983="", $V983="", $W983="", $X983="", $Y983=""),"",ROUND(($U983*Lists!$AN$11)+($V983*Lists!$AN$12)+($W983*Lists!$AN$13)+($X983*Lists!$AN$14)+($Y983*Lists!$AN$15),2))</f>
        <v/>
      </c>
      <c r="AA983" s="64" t="str">
        <f>IF(OR($B983="", $N983="", $O983="", $T983="", $Z983=""),"",ROUND(($N983*Lists!$AN$16)-($O983*Lists!$AN$17)-($T983*Lists!$AN$18)+($Z983*Lists!$AN$19),2))</f>
        <v/>
      </c>
      <c r="AB983" s="63" t="str">
        <f t="shared" ref="AB983:AB1000" si="61">IF($AA983="","",IF($AA983&gt;=3.5,"INVEST",IF($AA983&gt;=2.5,"TOLERATE",IF($AA983&gt;=1.5,"MIGRATE / MODERNIZE","RETIRE"))))</f>
        <v/>
      </c>
      <c r="AC983" s="63" t="str">
        <f t="shared" ref="AC983:AC1000" si="62">IF($B983="","",IF($J983&gt;=4,"Yes",""))</f>
        <v/>
      </c>
      <c r="AD983" s="63" t="str">
        <f>IF($A983="","",IFERROR(IF(VLOOKUP($A983,'Risk Register'!$B$2:$H$1000,4,FALSE())&gt;=4,"Yes",""),""))</f>
        <v/>
      </c>
      <c r="AE983" s="63" t="str">
        <f t="shared" ref="AE983:AE1000" si="63">IF(OR($N983="", $O983=""),"",IF($N983&gt;=3.5,IF($O983&gt;=3.5,"High Value / High Risk","High Value / Low Risk"),IF($O983&gt;=3.5,"Low Value / High Risk","Low Value / Low Risk")))</f>
        <v/>
      </c>
      <c r="AF983" s="62"/>
      <c r="AG983" s="62"/>
      <c r="AH983" s="62"/>
      <c r="AI983" s="62"/>
      <c r="AJ983" s="62"/>
      <c r="AK983" s="62"/>
      <c r="AL983" s="62"/>
      <c r="AM983" s="62"/>
      <c r="AN983" s="62"/>
      <c r="AO983" s="62"/>
      <c r="AP983" s="62"/>
      <c r="AQ983" s="80"/>
    </row>
    <row r="984" spans="1:43" ht="15.75" customHeight="1" x14ac:dyDescent="0.2">
      <c r="A984" s="63" t="str">
        <f t="shared" si="60"/>
        <v/>
      </c>
      <c r="B984" s="62"/>
      <c r="C984" s="62"/>
      <c r="D984" s="62"/>
      <c r="E984" s="62"/>
      <c r="F984" s="62"/>
      <c r="G984" s="62"/>
      <c r="H984" s="62"/>
      <c r="I984" s="66"/>
      <c r="J984" s="66"/>
      <c r="K984" s="66"/>
      <c r="L984" s="66"/>
      <c r="M984" s="66"/>
      <c r="N984" s="64" t="str">
        <f>IF(OR($B984="", $I984="", $J984="", $K984="", $L984="", $M984=""),"",ROUND(($I984*Lists!$AN$2)+($J984*Lists!$AN$3)+($K984*Lists!$AN$4)+($L984*Lists!$AN$5)+($M984*Lists!$AN$6),2))</f>
        <v/>
      </c>
      <c r="O984" s="64" t="str">
        <f>IF($A984="","",IFERROR(VLOOKUP($A984,'Risk Register'!$B$2:$I$1000,8,FALSE()),""))</f>
        <v/>
      </c>
      <c r="P984" s="66"/>
      <c r="Q984" s="66"/>
      <c r="R984" s="66"/>
      <c r="S984" s="66"/>
      <c r="T984" s="64" t="str">
        <f>IF(OR($B984="", $P984="", $Q984="", $R984="", $S984=""),"",ROUND(($P984*Lists!$AN$7)+($Q984*Lists!$AN$8)+($R984*Lists!$AN$9)+($S984*Lists!$AN$10),2))</f>
        <v/>
      </c>
      <c r="U984" s="66"/>
      <c r="V984" s="66"/>
      <c r="W984" s="66"/>
      <c r="X984" s="66"/>
      <c r="Y984" s="66"/>
      <c r="Z984" s="64" t="str">
        <f>IF(OR($B984="", $U984="", $V984="", $W984="", $X984="", $Y984=""),"",ROUND(($U984*Lists!$AN$11)+($V984*Lists!$AN$12)+($W984*Lists!$AN$13)+($X984*Lists!$AN$14)+($Y984*Lists!$AN$15),2))</f>
        <v/>
      </c>
      <c r="AA984" s="64" t="str">
        <f>IF(OR($B984="", $N984="", $O984="", $T984="", $Z984=""),"",ROUND(($N984*Lists!$AN$16)-($O984*Lists!$AN$17)-($T984*Lists!$AN$18)+($Z984*Lists!$AN$19),2))</f>
        <v/>
      </c>
      <c r="AB984" s="63" t="str">
        <f t="shared" si="61"/>
        <v/>
      </c>
      <c r="AC984" s="63" t="str">
        <f t="shared" si="62"/>
        <v/>
      </c>
      <c r="AD984" s="63" t="str">
        <f>IF($A984="","",IFERROR(IF(VLOOKUP($A984,'Risk Register'!$B$2:$H$1000,4,FALSE())&gt;=4,"Yes",""),""))</f>
        <v/>
      </c>
      <c r="AE984" s="63" t="str">
        <f t="shared" si="63"/>
        <v/>
      </c>
      <c r="AF984" s="62"/>
      <c r="AG984" s="62"/>
      <c r="AH984" s="62"/>
      <c r="AI984" s="62"/>
      <c r="AJ984" s="62"/>
      <c r="AK984" s="62"/>
      <c r="AL984" s="62"/>
      <c r="AM984" s="62"/>
      <c r="AN984" s="62"/>
      <c r="AO984" s="62"/>
      <c r="AP984" s="62"/>
      <c r="AQ984" s="80"/>
    </row>
    <row r="985" spans="1:43" ht="15.75" customHeight="1" x14ac:dyDescent="0.2">
      <c r="A985" s="63" t="str">
        <f t="shared" si="60"/>
        <v/>
      </c>
      <c r="B985" s="62"/>
      <c r="C985" s="62"/>
      <c r="D985" s="62"/>
      <c r="E985" s="62"/>
      <c r="F985" s="62"/>
      <c r="G985" s="62"/>
      <c r="H985" s="62"/>
      <c r="I985" s="66"/>
      <c r="J985" s="66"/>
      <c r="K985" s="66"/>
      <c r="L985" s="66"/>
      <c r="M985" s="66"/>
      <c r="N985" s="64" t="str">
        <f>IF(OR($B985="", $I985="", $J985="", $K985="", $L985="", $M985=""),"",ROUND(($I985*Lists!$AN$2)+($J985*Lists!$AN$3)+($K985*Lists!$AN$4)+($L985*Lists!$AN$5)+($M985*Lists!$AN$6),2))</f>
        <v/>
      </c>
      <c r="O985" s="64" t="str">
        <f>IF($A985="","",IFERROR(VLOOKUP($A985,'Risk Register'!$B$2:$I$1000,8,FALSE()),""))</f>
        <v/>
      </c>
      <c r="P985" s="66"/>
      <c r="Q985" s="66"/>
      <c r="R985" s="66"/>
      <c r="S985" s="66"/>
      <c r="T985" s="64" t="str">
        <f>IF(OR($B985="", $P985="", $Q985="", $R985="", $S985=""),"",ROUND(($P985*Lists!$AN$7)+($Q985*Lists!$AN$8)+($R985*Lists!$AN$9)+($S985*Lists!$AN$10),2))</f>
        <v/>
      </c>
      <c r="U985" s="66"/>
      <c r="V985" s="66"/>
      <c r="W985" s="66"/>
      <c r="X985" s="66"/>
      <c r="Y985" s="66"/>
      <c r="Z985" s="64" t="str">
        <f>IF(OR($B985="", $U985="", $V985="", $W985="", $X985="", $Y985=""),"",ROUND(($U985*Lists!$AN$11)+($V985*Lists!$AN$12)+($W985*Lists!$AN$13)+($X985*Lists!$AN$14)+($Y985*Lists!$AN$15),2))</f>
        <v/>
      </c>
      <c r="AA985" s="64" t="str">
        <f>IF(OR($B985="", $N985="", $O985="", $T985="", $Z985=""),"",ROUND(($N985*Lists!$AN$16)-($O985*Lists!$AN$17)-($T985*Lists!$AN$18)+($Z985*Lists!$AN$19),2))</f>
        <v/>
      </c>
      <c r="AB985" s="63" t="str">
        <f t="shared" si="61"/>
        <v/>
      </c>
      <c r="AC985" s="63" t="str">
        <f t="shared" si="62"/>
        <v/>
      </c>
      <c r="AD985" s="63" t="str">
        <f>IF($A985="","",IFERROR(IF(VLOOKUP($A985,'Risk Register'!$B$2:$H$1000,4,FALSE())&gt;=4,"Yes",""),""))</f>
        <v/>
      </c>
      <c r="AE985" s="63" t="str">
        <f t="shared" si="63"/>
        <v/>
      </c>
      <c r="AF985" s="62"/>
      <c r="AG985" s="62"/>
      <c r="AH985" s="62"/>
      <c r="AI985" s="62"/>
      <c r="AJ985" s="62"/>
      <c r="AK985" s="62"/>
      <c r="AL985" s="62"/>
      <c r="AM985" s="62"/>
      <c r="AN985" s="62"/>
      <c r="AO985" s="62"/>
      <c r="AP985" s="62"/>
      <c r="AQ985" s="80"/>
    </row>
    <row r="986" spans="1:43" ht="15.75" customHeight="1" x14ac:dyDescent="0.2">
      <c r="A986" s="63" t="str">
        <f t="shared" si="60"/>
        <v/>
      </c>
      <c r="B986" s="62"/>
      <c r="C986" s="62"/>
      <c r="D986" s="62"/>
      <c r="E986" s="62"/>
      <c r="F986" s="62"/>
      <c r="G986" s="62"/>
      <c r="H986" s="62"/>
      <c r="I986" s="66"/>
      <c r="J986" s="66"/>
      <c r="K986" s="66"/>
      <c r="L986" s="66"/>
      <c r="M986" s="66"/>
      <c r="N986" s="64" t="str">
        <f>IF(OR($B986="", $I986="", $J986="", $K986="", $L986="", $M986=""),"",ROUND(($I986*Lists!$AN$2)+($J986*Lists!$AN$3)+($K986*Lists!$AN$4)+($L986*Lists!$AN$5)+($M986*Lists!$AN$6),2))</f>
        <v/>
      </c>
      <c r="O986" s="64" t="str">
        <f>IF($A986="","",IFERROR(VLOOKUP($A986,'Risk Register'!$B$2:$I$1000,8,FALSE()),""))</f>
        <v/>
      </c>
      <c r="P986" s="66"/>
      <c r="Q986" s="66"/>
      <c r="R986" s="66"/>
      <c r="S986" s="66"/>
      <c r="T986" s="64" t="str">
        <f>IF(OR($B986="", $P986="", $Q986="", $R986="", $S986=""),"",ROUND(($P986*Lists!$AN$7)+($Q986*Lists!$AN$8)+($R986*Lists!$AN$9)+($S986*Lists!$AN$10),2))</f>
        <v/>
      </c>
      <c r="U986" s="66"/>
      <c r="V986" s="66"/>
      <c r="W986" s="66"/>
      <c r="X986" s="66"/>
      <c r="Y986" s="66"/>
      <c r="Z986" s="64" t="str">
        <f>IF(OR($B986="", $U986="", $V986="", $W986="", $X986="", $Y986=""),"",ROUND(($U986*Lists!$AN$11)+($V986*Lists!$AN$12)+($W986*Lists!$AN$13)+($X986*Lists!$AN$14)+($Y986*Lists!$AN$15),2))</f>
        <v/>
      </c>
      <c r="AA986" s="64" t="str">
        <f>IF(OR($B986="", $N986="", $O986="", $T986="", $Z986=""),"",ROUND(($N986*Lists!$AN$16)-($O986*Lists!$AN$17)-($T986*Lists!$AN$18)+($Z986*Lists!$AN$19),2))</f>
        <v/>
      </c>
      <c r="AB986" s="63" t="str">
        <f t="shared" si="61"/>
        <v/>
      </c>
      <c r="AC986" s="63" t="str">
        <f t="shared" si="62"/>
        <v/>
      </c>
      <c r="AD986" s="63" t="str">
        <f>IF($A986="","",IFERROR(IF(VLOOKUP($A986,'Risk Register'!$B$2:$H$1000,4,FALSE())&gt;=4,"Yes",""),""))</f>
        <v/>
      </c>
      <c r="AE986" s="63" t="str">
        <f t="shared" si="63"/>
        <v/>
      </c>
      <c r="AF986" s="62"/>
      <c r="AG986" s="62"/>
      <c r="AH986" s="62"/>
      <c r="AI986" s="62"/>
      <c r="AJ986" s="62"/>
      <c r="AK986" s="62"/>
      <c r="AL986" s="62"/>
      <c r="AM986" s="62"/>
      <c r="AN986" s="62"/>
      <c r="AO986" s="62"/>
      <c r="AP986" s="62"/>
      <c r="AQ986" s="80"/>
    </row>
    <row r="987" spans="1:43" ht="15.75" customHeight="1" x14ac:dyDescent="0.2">
      <c r="A987" s="63" t="str">
        <f t="shared" si="60"/>
        <v/>
      </c>
      <c r="B987" s="62"/>
      <c r="C987" s="62"/>
      <c r="D987" s="62"/>
      <c r="E987" s="62"/>
      <c r="F987" s="62"/>
      <c r="G987" s="62"/>
      <c r="H987" s="62"/>
      <c r="I987" s="66"/>
      <c r="J987" s="66"/>
      <c r="K987" s="66"/>
      <c r="L987" s="66"/>
      <c r="M987" s="66"/>
      <c r="N987" s="64" t="str">
        <f>IF(OR($B987="", $I987="", $J987="", $K987="", $L987="", $M987=""),"",ROUND(($I987*Lists!$AN$2)+($J987*Lists!$AN$3)+($K987*Lists!$AN$4)+($L987*Lists!$AN$5)+($M987*Lists!$AN$6),2))</f>
        <v/>
      </c>
      <c r="O987" s="64" t="str">
        <f>IF($A987="","",IFERROR(VLOOKUP($A987,'Risk Register'!$B$2:$I$1000,8,FALSE()),""))</f>
        <v/>
      </c>
      <c r="P987" s="66"/>
      <c r="Q987" s="66"/>
      <c r="R987" s="66"/>
      <c r="S987" s="66"/>
      <c r="T987" s="64" t="str">
        <f>IF(OR($B987="", $P987="", $Q987="", $R987="", $S987=""),"",ROUND(($P987*Lists!$AN$7)+($Q987*Lists!$AN$8)+($R987*Lists!$AN$9)+($S987*Lists!$AN$10),2))</f>
        <v/>
      </c>
      <c r="U987" s="66"/>
      <c r="V987" s="66"/>
      <c r="W987" s="66"/>
      <c r="X987" s="66"/>
      <c r="Y987" s="66"/>
      <c r="Z987" s="64" t="str">
        <f>IF(OR($B987="", $U987="", $V987="", $W987="", $X987="", $Y987=""),"",ROUND(($U987*Lists!$AN$11)+($V987*Lists!$AN$12)+($W987*Lists!$AN$13)+($X987*Lists!$AN$14)+($Y987*Lists!$AN$15),2))</f>
        <v/>
      </c>
      <c r="AA987" s="64" t="str">
        <f>IF(OR($B987="", $N987="", $O987="", $T987="", $Z987=""),"",ROUND(($N987*Lists!$AN$16)-($O987*Lists!$AN$17)-($T987*Lists!$AN$18)+($Z987*Lists!$AN$19),2))</f>
        <v/>
      </c>
      <c r="AB987" s="63" t="str">
        <f t="shared" si="61"/>
        <v/>
      </c>
      <c r="AC987" s="63" t="str">
        <f t="shared" si="62"/>
        <v/>
      </c>
      <c r="AD987" s="63" t="str">
        <f>IF($A987="","",IFERROR(IF(VLOOKUP($A987,'Risk Register'!$B$2:$H$1000,4,FALSE())&gt;=4,"Yes",""),""))</f>
        <v/>
      </c>
      <c r="AE987" s="63" t="str">
        <f t="shared" si="63"/>
        <v/>
      </c>
      <c r="AF987" s="62"/>
      <c r="AG987" s="62"/>
      <c r="AH987" s="62"/>
      <c r="AI987" s="62"/>
      <c r="AJ987" s="62"/>
      <c r="AK987" s="62"/>
      <c r="AL987" s="62"/>
      <c r="AM987" s="62"/>
      <c r="AN987" s="62"/>
      <c r="AO987" s="62"/>
      <c r="AP987" s="62"/>
      <c r="AQ987" s="80"/>
    </row>
    <row r="988" spans="1:43" ht="15.75" customHeight="1" x14ac:dyDescent="0.2">
      <c r="A988" s="63" t="str">
        <f t="shared" si="60"/>
        <v/>
      </c>
      <c r="B988" s="62"/>
      <c r="C988" s="62"/>
      <c r="D988" s="62"/>
      <c r="E988" s="62"/>
      <c r="F988" s="62"/>
      <c r="G988" s="62"/>
      <c r="H988" s="62"/>
      <c r="I988" s="66"/>
      <c r="J988" s="66"/>
      <c r="K988" s="66"/>
      <c r="L988" s="66"/>
      <c r="M988" s="66"/>
      <c r="N988" s="64" t="str">
        <f>IF(OR($B988="", $I988="", $J988="", $K988="", $L988="", $M988=""),"",ROUND(($I988*Lists!$AN$2)+($J988*Lists!$AN$3)+($K988*Lists!$AN$4)+($L988*Lists!$AN$5)+($M988*Lists!$AN$6),2))</f>
        <v/>
      </c>
      <c r="O988" s="64" t="str">
        <f>IF($A988="","",IFERROR(VLOOKUP($A988,'Risk Register'!$B$2:$I$1000,8,FALSE()),""))</f>
        <v/>
      </c>
      <c r="P988" s="66"/>
      <c r="Q988" s="66"/>
      <c r="R988" s="66"/>
      <c r="S988" s="66"/>
      <c r="T988" s="64" t="str">
        <f>IF(OR($B988="", $P988="", $Q988="", $R988="", $S988=""),"",ROUND(($P988*Lists!$AN$7)+($Q988*Lists!$AN$8)+($R988*Lists!$AN$9)+($S988*Lists!$AN$10),2))</f>
        <v/>
      </c>
      <c r="U988" s="66"/>
      <c r="V988" s="66"/>
      <c r="W988" s="66"/>
      <c r="X988" s="66"/>
      <c r="Y988" s="66"/>
      <c r="Z988" s="64" t="str">
        <f>IF(OR($B988="", $U988="", $V988="", $W988="", $X988="", $Y988=""),"",ROUND(($U988*Lists!$AN$11)+($V988*Lists!$AN$12)+($W988*Lists!$AN$13)+($X988*Lists!$AN$14)+($Y988*Lists!$AN$15),2))</f>
        <v/>
      </c>
      <c r="AA988" s="64" t="str">
        <f>IF(OR($B988="", $N988="", $O988="", $T988="", $Z988=""),"",ROUND(($N988*Lists!$AN$16)-($O988*Lists!$AN$17)-($T988*Lists!$AN$18)+($Z988*Lists!$AN$19),2))</f>
        <v/>
      </c>
      <c r="AB988" s="63" t="str">
        <f t="shared" si="61"/>
        <v/>
      </c>
      <c r="AC988" s="63" t="str">
        <f t="shared" si="62"/>
        <v/>
      </c>
      <c r="AD988" s="63" t="str">
        <f>IF($A988="","",IFERROR(IF(VLOOKUP($A988,'Risk Register'!$B$2:$H$1000,4,FALSE())&gt;=4,"Yes",""),""))</f>
        <v/>
      </c>
      <c r="AE988" s="63" t="str">
        <f t="shared" si="63"/>
        <v/>
      </c>
      <c r="AF988" s="62"/>
      <c r="AG988" s="62"/>
      <c r="AH988" s="62"/>
      <c r="AI988" s="62"/>
      <c r="AJ988" s="62"/>
      <c r="AK988" s="62"/>
      <c r="AL988" s="62"/>
      <c r="AM988" s="62"/>
      <c r="AN988" s="62"/>
      <c r="AO988" s="62"/>
      <c r="AP988" s="62"/>
      <c r="AQ988" s="80"/>
    </row>
    <row r="989" spans="1:43" ht="15.75" customHeight="1" x14ac:dyDescent="0.2">
      <c r="A989" s="63" t="str">
        <f t="shared" si="60"/>
        <v/>
      </c>
      <c r="B989" s="62"/>
      <c r="C989" s="62"/>
      <c r="D989" s="62"/>
      <c r="E989" s="62"/>
      <c r="F989" s="62"/>
      <c r="G989" s="62"/>
      <c r="H989" s="62"/>
      <c r="I989" s="66"/>
      <c r="J989" s="66"/>
      <c r="K989" s="66"/>
      <c r="L989" s="66"/>
      <c r="M989" s="66"/>
      <c r="N989" s="64" t="str">
        <f>IF(OR($B989="", $I989="", $J989="", $K989="", $L989="", $M989=""),"",ROUND(($I989*Lists!$AN$2)+($J989*Lists!$AN$3)+($K989*Lists!$AN$4)+($L989*Lists!$AN$5)+($M989*Lists!$AN$6),2))</f>
        <v/>
      </c>
      <c r="O989" s="64" t="str">
        <f>IF($A989="","",IFERROR(VLOOKUP($A989,'Risk Register'!$B$2:$I$1000,8,FALSE()),""))</f>
        <v/>
      </c>
      <c r="P989" s="66"/>
      <c r="Q989" s="66"/>
      <c r="R989" s="66"/>
      <c r="S989" s="66"/>
      <c r="T989" s="64" t="str">
        <f>IF(OR($B989="", $P989="", $Q989="", $R989="", $S989=""),"",ROUND(($P989*Lists!$AN$7)+($Q989*Lists!$AN$8)+($R989*Lists!$AN$9)+($S989*Lists!$AN$10),2))</f>
        <v/>
      </c>
      <c r="U989" s="66"/>
      <c r="V989" s="66"/>
      <c r="W989" s="66"/>
      <c r="X989" s="66"/>
      <c r="Y989" s="66"/>
      <c r="Z989" s="64" t="str">
        <f>IF(OR($B989="", $U989="", $V989="", $W989="", $X989="", $Y989=""),"",ROUND(($U989*Lists!$AN$11)+($V989*Lists!$AN$12)+($W989*Lists!$AN$13)+($X989*Lists!$AN$14)+($Y989*Lists!$AN$15),2))</f>
        <v/>
      </c>
      <c r="AA989" s="64" t="str">
        <f>IF(OR($B989="", $N989="", $O989="", $T989="", $Z989=""),"",ROUND(($N989*Lists!$AN$16)-($O989*Lists!$AN$17)-($T989*Lists!$AN$18)+($Z989*Lists!$AN$19),2))</f>
        <v/>
      </c>
      <c r="AB989" s="63" t="str">
        <f t="shared" si="61"/>
        <v/>
      </c>
      <c r="AC989" s="63" t="str">
        <f t="shared" si="62"/>
        <v/>
      </c>
      <c r="AD989" s="63" t="str">
        <f>IF($A989="","",IFERROR(IF(VLOOKUP($A989,'Risk Register'!$B$2:$H$1000,4,FALSE())&gt;=4,"Yes",""),""))</f>
        <v/>
      </c>
      <c r="AE989" s="63" t="str">
        <f t="shared" si="63"/>
        <v/>
      </c>
      <c r="AF989" s="62"/>
      <c r="AG989" s="62"/>
      <c r="AH989" s="62"/>
      <c r="AI989" s="62"/>
      <c r="AJ989" s="62"/>
      <c r="AK989" s="62"/>
      <c r="AL989" s="62"/>
      <c r="AM989" s="62"/>
      <c r="AN989" s="62"/>
      <c r="AO989" s="62"/>
      <c r="AP989" s="62"/>
      <c r="AQ989" s="80"/>
    </row>
    <row r="990" spans="1:43" ht="15.75" customHeight="1" x14ac:dyDescent="0.2">
      <c r="A990" s="63" t="str">
        <f t="shared" si="60"/>
        <v/>
      </c>
      <c r="B990" s="62"/>
      <c r="C990" s="62"/>
      <c r="D990" s="62"/>
      <c r="E990" s="62"/>
      <c r="F990" s="62"/>
      <c r="G990" s="62"/>
      <c r="H990" s="62"/>
      <c r="I990" s="66"/>
      <c r="J990" s="66"/>
      <c r="K990" s="66"/>
      <c r="L990" s="66"/>
      <c r="M990" s="66"/>
      <c r="N990" s="64" t="str">
        <f>IF(OR($B990="", $I990="", $J990="", $K990="", $L990="", $M990=""),"",ROUND(($I990*Lists!$AN$2)+($J990*Lists!$AN$3)+($K990*Lists!$AN$4)+($L990*Lists!$AN$5)+($M990*Lists!$AN$6),2))</f>
        <v/>
      </c>
      <c r="O990" s="64" t="str">
        <f>IF($A990="","",IFERROR(VLOOKUP($A990,'Risk Register'!$B$2:$I$1000,8,FALSE()),""))</f>
        <v/>
      </c>
      <c r="P990" s="66"/>
      <c r="Q990" s="66"/>
      <c r="R990" s="66"/>
      <c r="S990" s="66"/>
      <c r="T990" s="64" t="str">
        <f>IF(OR($B990="", $P990="", $Q990="", $R990="", $S990=""),"",ROUND(($P990*Lists!$AN$7)+($Q990*Lists!$AN$8)+($R990*Lists!$AN$9)+($S990*Lists!$AN$10),2))</f>
        <v/>
      </c>
      <c r="U990" s="66"/>
      <c r="V990" s="66"/>
      <c r="W990" s="66"/>
      <c r="X990" s="66"/>
      <c r="Y990" s="66"/>
      <c r="Z990" s="64" t="str">
        <f>IF(OR($B990="", $U990="", $V990="", $W990="", $X990="", $Y990=""),"",ROUND(($U990*Lists!$AN$11)+($V990*Lists!$AN$12)+($W990*Lists!$AN$13)+($X990*Lists!$AN$14)+($Y990*Lists!$AN$15),2))</f>
        <v/>
      </c>
      <c r="AA990" s="64" t="str">
        <f>IF(OR($B990="", $N990="", $O990="", $T990="", $Z990=""),"",ROUND(($N990*Lists!$AN$16)-($O990*Lists!$AN$17)-($T990*Lists!$AN$18)+($Z990*Lists!$AN$19),2))</f>
        <v/>
      </c>
      <c r="AB990" s="63" t="str">
        <f t="shared" si="61"/>
        <v/>
      </c>
      <c r="AC990" s="63" t="str">
        <f t="shared" si="62"/>
        <v/>
      </c>
      <c r="AD990" s="63" t="str">
        <f>IF($A990="","",IFERROR(IF(VLOOKUP($A990,'Risk Register'!$B$2:$H$1000,4,FALSE())&gt;=4,"Yes",""),""))</f>
        <v/>
      </c>
      <c r="AE990" s="63" t="str">
        <f t="shared" si="63"/>
        <v/>
      </c>
      <c r="AF990" s="62"/>
      <c r="AG990" s="62"/>
      <c r="AH990" s="62"/>
      <c r="AI990" s="62"/>
      <c r="AJ990" s="62"/>
      <c r="AK990" s="62"/>
      <c r="AL990" s="62"/>
      <c r="AM990" s="62"/>
      <c r="AN990" s="62"/>
      <c r="AO990" s="62"/>
      <c r="AP990" s="62"/>
      <c r="AQ990" s="80"/>
    </row>
    <row r="991" spans="1:43" ht="15.75" customHeight="1" x14ac:dyDescent="0.2">
      <c r="A991" s="63" t="str">
        <f t="shared" si="60"/>
        <v/>
      </c>
      <c r="B991" s="62"/>
      <c r="C991" s="62"/>
      <c r="D991" s="62"/>
      <c r="E991" s="62"/>
      <c r="F991" s="62"/>
      <c r="G991" s="62"/>
      <c r="H991" s="62"/>
      <c r="I991" s="66"/>
      <c r="J991" s="66"/>
      <c r="K991" s="66"/>
      <c r="L991" s="66"/>
      <c r="M991" s="66"/>
      <c r="N991" s="64" t="str">
        <f>IF(OR($B991="", $I991="", $J991="", $K991="", $L991="", $M991=""),"",ROUND(($I991*Lists!$AN$2)+($J991*Lists!$AN$3)+($K991*Lists!$AN$4)+($L991*Lists!$AN$5)+($M991*Lists!$AN$6),2))</f>
        <v/>
      </c>
      <c r="O991" s="64" t="str">
        <f>IF($A991="","",IFERROR(VLOOKUP($A991,'Risk Register'!$B$2:$I$1000,8,FALSE()),""))</f>
        <v/>
      </c>
      <c r="P991" s="66"/>
      <c r="Q991" s="66"/>
      <c r="R991" s="66"/>
      <c r="S991" s="66"/>
      <c r="T991" s="64" t="str">
        <f>IF(OR($B991="", $P991="", $Q991="", $R991="", $S991=""),"",ROUND(($P991*Lists!$AN$7)+($Q991*Lists!$AN$8)+($R991*Lists!$AN$9)+($S991*Lists!$AN$10),2))</f>
        <v/>
      </c>
      <c r="U991" s="66"/>
      <c r="V991" s="66"/>
      <c r="W991" s="66"/>
      <c r="X991" s="66"/>
      <c r="Y991" s="66"/>
      <c r="Z991" s="64" t="str">
        <f>IF(OR($B991="", $U991="", $V991="", $W991="", $X991="", $Y991=""),"",ROUND(($U991*Lists!$AN$11)+($V991*Lists!$AN$12)+($W991*Lists!$AN$13)+($X991*Lists!$AN$14)+($Y991*Lists!$AN$15),2))</f>
        <v/>
      </c>
      <c r="AA991" s="64" t="str">
        <f>IF(OR($B991="", $N991="", $O991="", $T991="", $Z991=""),"",ROUND(($N991*Lists!$AN$16)-($O991*Lists!$AN$17)-($T991*Lists!$AN$18)+($Z991*Lists!$AN$19),2))</f>
        <v/>
      </c>
      <c r="AB991" s="63" t="str">
        <f t="shared" si="61"/>
        <v/>
      </c>
      <c r="AC991" s="63" t="str">
        <f t="shared" si="62"/>
        <v/>
      </c>
      <c r="AD991" s="63" t="str">
        <f>IF($A991="","",IFERROR(IF(VLOOKUP($A991,'Risk Register'!$B$2:$H$1000,4,FALSE())&gt;=4,"Yes",""),""))</f>
        <v/>
      </c>
      <c r="AE991" s="63" t="str">
        <f t="shared" si="63"/>
        <v/>
      </c>
      <c r="AF991" s="62"/>
      <c r="AG991" s="62"/>
      <c r="AH991" s="62"/>
      <c r="AI991" s="62"/>
      <c r="AJ991" s="62"/>
      <c r="AK991" s="62"/>
      <c r="AL991" s="62"/>
      <c r="AM991" s="62"/>
      <c r="AN991" s="62"/>
      <c r="AO991" s="62"/>
      <c r="AP991" s="62"/>
      <c r="AQ991" s="80"/>
    </row>
    <row r="992" spans="1:43" ht="15.75" customHeight="1" x14ac:dyDescent="0.2">
      <c r="A992" s="63" t="str">
        <f t="shared" si="60"/>
        <v/>
      </c>
      <c r="B992" s="62"/>
      <c r="C992" s="62"/>
      <c r="D992" s="62"/>
      <c r="E992" s="62"/>
      <c r="F992" s="62"/>
      <c r="G992" s="62"/>
      <c r="H992" s="62"/>
      <c r="I992" s="66"/>
      <c r="J992" s="66"/>
      <c r="K992" s="66"/>
      <c r="L992" s="66"/>
      <c r="M992" s="66"/>
      <c r="N992" s="64" t="str">
        <f>IF(OR($B992="", $I992="", $J992="", $K992="", $L992="", $M992=""),"",ROUND(($I992*Lists!$AN$2)+($J992*Lists!$AN$3)+($K992*Lists!$AN$4)+($L992*Lists!$AN$5)+($M992*Lists!$AN$6),2))</f>
        <v/>
      </c>
      <c r="O992" s="64" t="str">
        <f>IF($A992="","",IFERROR(VLOOKUP($A992,'Risk Register'!$B$2:$I$1000,8,FALSE()),""))</f>
        <v/>
      </c>
      <c r="P992" s="66"/>
      <c r="Q992" s="66"/>
      <c r="R992" s="66"/>
      <c r="S992" s="66"/>
      <c r="T992" s="64" t="str">
        <f>IF(OR($B992="", $P992="", $Q992="", $R992="", $S992=""),"",ROUND(($P992*Lists!$AN$7)+($Q992*Lists!$AN$8)+($R992*Lists!$AN$9)+($S992*Lists!$AN$10),2))</f>
        <v/>
      </c>
      <c r="U992" s="66"/>
      <c r="V992" s="66"/>
      <c r="W992" s="66"/>
      <c r="X992" s="66"/>
      <c r="Y992" s="66"/>
      <c r="Z992" s="64" t="str">
        <f>IF(OR($B992="", $U992="", $V992="", $W992="", $X992="", $Y992=""),"",ROUND(($U992*Lists!$AN$11)+($V992*Lists!$AN$12)+($W992*Lists!$AN$13)+($X992*Lists!$AN$14)+($Y992*Lists!$AN$15),2))</f>
        <v/>
      </c>
      <c r="AA992" s="64" t="str">
        <f>IF(OR($B992="", $N992="", $O992="", $T992="", $Z992=""),"",ROUND(($N992*Lists!$AN$16)-($O992*Lists!$AN$17)-($T992*Lists!$AN$18)+($Z992*Lists!$AN$19),2))</f>
        <v/>
      </c>
      <c r="AB992" s="63" t="str">
        <f t="shared" si="61"/>
        <v/>
      </c>
      <c r="AC992" s="63" t="str">
        <f t="shared" si="62"/>
        <v/>
      </c>
      <c r="AD992" s="63" t="str">
        <f>IF($A992="","",IFERROR(IF(VLOOKUP($A992,'Risk Register'!$B$2:$H$1000,4,FALSE())&gt;=4,"Yes",""),""))</f>
        <v/>
      </c>
      <c r="AE992" s="63" t="str">
        <f t="shared" si="63"/>
        <v/>
      </c>
      <c r="AF992" s="62"/>
      <c r="AG992" s="62"/>
      <c r="AH992" s="62"/>
      <c r="AI992" s="62"/>
      <c r="AJ992" s="62"/>
      <c r="AK992" s="62"/>
      <c r="AL992" s="62"/>
      <c r="AM992" s="62"/>
      <c r="AN992" s="62"/>
      <c r="AO992" s="62"/>
      <c r="AP992" s="62"/>
      <c r="AQ992" s="80"/>
    </row>
    <row r="993" spans="1:43" ht="15.75" customHeight="1" x14ac:dyDescent="0.2">
      <c r="A993" s="63" t="str">
        <f t="shared" si="60"/>
        <v/>
      </c>
      <c r="B993" s="62"/>
      <c r="C993" s="62"/>
      <c r="D993" s="62"/>
      <c r="E993" s="62"/>
      <c r="F993" s="62"/>
      <c r="G993" s="62"/>
      <c r="H993" s="62"/>
      <c r="I993" s="66"/>
      <c r="J993" s="66"/>
      <c r="K993" s="66"/>
      <c r="L993" s="66"/>
      <c r="M993" s="66"/>
      <c r="N993" s="64" t="str">
        <f>IF(OR($B993="", $I993="", $J993="", $K993="", $L993="", $M993=""),"",ROUND(($I993*Lists!$AN$2)+($J993*Lists!$AN$3)+($K993*Lists!$AN$4)+($L993*Lists!$AN$5)+($M993*Lists!$AN$6),2))</f>
        <v/>
      </c>
      <c r="O993" s="64" t="str">
        <f>IF($A993="","",IFERROR(VLOOKUP($A993,'Risk Register'!$B$2:$I$1000,8,FALSE()),""))</f>
        <v/>
      </c>
      <c r="P993" s="66"/>
      <c r="Q993" s="66"/>
      <c r="R993" s="66"/>
      <c r="S993" s="66"/>
      <c r="T993" s="64" t="str">
        <f>IF(OR($B993="", $P993="", $Q993="", $R993="", $S993=""),"",ROUND(($P993*Lists!$AN$7)+($Q993*Lists!$AN$8)+($R993*Lists!$AN$9)+($S993*Lists!$AN$10),2))</f>
        <v/>
      </c>
      <c r="U993" s="66"/>
      <c r="V993" s="66"/>
      <c r="W993" s="66"/>
      <c r="X993" s="66"/>
      <c r="Y993" s="66"/>
      <c r="Z993" s="64" t="str">
        <f>IF(OR($B993="", $U993="", $V993="", $W993="", $X993="", $Y993=""),"",ROUND(($U993*Lists!$AN$11)+($V993*Lists!$AN$12)+($W993*Lists!$AN$13)+($X993*Lists!$AN$14)+($Y993*Lists!$AN$15),2))</f>
        <v/>
      </c>
      <c r="AA993" s="64" t="str">
        <f>IF(OR($B993="", $N993="", $O993="", $T993="", $Z993=""),"",ROUND(($N993*Lists!$AN$16)-($O993*Lists!$AN$17)-($T993*Lists!$AN$18)+($Z993*Lists!$AN$19),2))</f>
        <v/>
      </c>
      <c r="AB993" s="63" t="str">
        <f t="shared" si="61"/>
        <v/>
      </c>
      <c r="AC993" s="63" t="str">
        <f t="shared" si="62"/>
        <v/>
      </c>
      <c r="AD993" s="63" t="str">
        <f>IF($A993="","",IFERROR(IF(VLOOKUP($A993,'Risk Register'!$B$2:$H$1000,4,FALSE())&gt;=4,"Yes",""),""))</f>
        <v/>
      </c>
      <c r="AE993" s="63" t="str">
        <f t="shared" si="63"/>
        <v/>
      </c>
      <c r="AF993" s="62"/>
      <c r="AG993" s="62"/>
      <c r="AH993" s="62"/>
      <c r="AI993" s="62"/>
      <c r="AJ993" s="62"/>
      <c r="AK993" s="62"/>
      <c r="AL993" s="62"/>
      <c r="AM993" s="62"/>
      <c r="AN993" s="62"/>
      <c r="AO993" s="62"/>
      <c r="AP993" s="62"/>
      <c r="AQ993" s="80"/>
    </row>
    <row r="994" spans="1:43" ht="15.75" customHeight="1" x14ac:dyDescent="0.2">
      <c r="A994" s="63" t="str">
        <f t="shared" si="60"/>
        <v/>
      </c>
      <c r="B994" s="62"/>
      <c r="C994" s="62"/>
      <c r="D994" s="62"/>
      <c r="E994" s="62"/>
      <c r="F994" s="62"/>
      <c r="G994" s="62"/>
      <c r="H994" s="62"/>
      <c r="I994" s="66"/>
      <c r="J994" s="66"/>
      <c r="K994" s="66"/>
      <c r="L994" s="66"/>
      <c r="M994" s="66"/>
      <c r="N994" s="64" t="str">
        <f>IF(OR($B994="", $I994="", $J994="", $K994="", $L994="", $M994=""),"",ROUND(($I994*Lists!$AN$2)+($J994*Lists!$AN$3)+($K994*Lists!$AN$4)+($L994*Lists!$AN$5)+($M994*Lists!$AN$6),2))</f>
        <v/>
      </c>
      <c r="O994" s="64" t="str">
        <f>IF($A994="","",IFERROR(VLOOKUP($A994,'Risk Register'!$B$2:$I$1000,8,FALSE()),""))</f>
        <v/>
      </c>
      <c r="P994" s="66"/>
      <c r="Q994" s="66"/>
      <c r="R994" s="66"/>
      <c r="S994" s="66"/>
      <c r="T994" s="64" t="str">
        <f>IF(OR($B994="", $P994="", $Q994="", $R994="", $S994=""),"",ROUND(($P994*Lists!$AN$7)+($Q994*Lists!$AN$8)+($R994*Lists!$AN$9)+($S994*Lists!$AN$10),2))</f>
        <v/>
      </c>
      <c r="U994" s="66"/>
      <c r="V994" s="66"/>
      <c r="W994" s="66"/>
      <c r="X994" s="66"/>
      <c r="Y994" s="66"/>
      <c r="Z994" s="64" t="str">
        <f>IF(OR($B994="", $U994="", $V994="", $W994="", $X994="", $Y994=""),"",ROUND(($U994*Lists!$AN$11)+($V994*Lists!$AN$12)+($W994*Lists!$AN$13)+($X994*Lists!$AN$14)+($Y994*Lists!$AN$15),2))</f>
        <v/>
      </c>
      <c r="AA994" s="64" t="str">
        <f>IF(OR($B994="", $N994="", $O994="", $T994="", $Z994=""),"",ROUND(($N994*Lists!$AN$16)-($O994*Lists!$AN$17)-($T994*Lists!$AN$18)+($Z994*Lists!$AN$19),2))</f>
        <v/>
      </c>
      <c r="AB994" s="63" t="str">
        <f t="shared" si="61"/>
        <v/>
      </c>
      <c r="AC994" s="63" t="str">
        <f t="shared" si="62"/>
        <v/>
      </c>
      <c r="AD994" s="63" t="str">
        <f>IF($A994="","",IFERROR(IF(VLOOKUP($A994,'Risk Register'!$B$2:$H$1000,4,FALSE())&gt;=4,"Yes",""),""))</f>
        <v/>
      </c>
      <c r="AE994" s="63" t="str">
        <f t="shared" si="63"/>
        <v/>
      </c>
      <c r="AF994" s="62"/>
      <c r="AG994" s="62"/>
      <c r="AH994" s="62"/>
      <c r="AI994" s="62"/>
      <c r="AJ994" s="62"/>
      <c r="AK994" s="62"/>
      <c r="AL994" s="62"/>
      <c r="AM994" s="62"/>
      <c r="AN994" s="62"/>
      <c r="AO994" s="62"/>
      <c r="AP994" s="62"/>
      <c r="AQ994" s="80"/>
    </row>
    <row r="995" spans="1:43" ht="15.75" customHeight="1" x14ac:dyDescent="0.2">
      <c r="A995" s="63" t="str">
        <f t="shared" si="60"/>
        <v/>
      </c>
      <c r="B995" s="62"/>
      <c r="C995" s="62"/>
      <c r="D995" s="62"/>
      <c r="E995" s="62"/>
      <c r="F995" s="62"/>
      <c r="G995" s="62"/>
      <c r="H995" s="62"/>
      <c r="I995" s="66"/>
      <c r="J995" s="66"/>
      <c r="K995" s="66"/>
      <c r="L995" s="66"/>
      <c r="M995" s="66"/>
      <c r="N995" s="64" t="str">
        <f>IF(OR($B995="", $I995="", $J995="", $K995="", $L995="", $M995=""),"",ROUND(($I995*Lists!$AN$2)+($J995*Lists!$AN$3)+($K995*Lists!$AN$4)+($L995*Lists!$AN$5)+($M995*Lists!$AN$6),2))</f>
        <v/>
      </c>
      <c r="O995" s="64" t="str">
        <f>IF($A995="","",IFERROR(VLOOKUP($A995,'Risk Register'!$B$2:$I$1000,8,FALSE()),""))</f>
        <v/>
      </c>
      <c r="P995" s="66"/>
      <c r="Q995" s="66"/>
      <c r="R995" s="66"/>
      <c r="S995" s="66"/>
      <c r="T995" s="64" t="str">
        <f>IF(OR($B995="", $P995="", $Q995="", $R995="", $S995=""),"",ROUND(($P995*Lists!$AN$7)+($Q995*Lists!$AN$8)+($R995*Lists!$AN$9)+($S995*Lists!$AN$10),2))</f>
        <v/>
      </c>
      <c r="U995" s="66"/>
      <c r="V995" s="66"/>
      <c r="W995" s="66"/>
      <c r="X995" s="66"/>
      <c r="Y995" s="66"/>
      <c r="Z995" s="64" t="str">
        <f>IF(OR($B995="", $U995="", $V995="", $W995="", $X995="", $Y995=""),"",ROUND(($U995*Lists!$AN$11)+($V995*Lists!$AN$12)+($W995*Lists!$AN$13)+($X995*Lists!$AN$14)+($Y995*Lists!$AN$15),2))</f>
        <v/>
      </c>
      <c r="AA995" s="64" t="str">
        <f>IF(OR($B995="", $N995="", $O995="", $T995="", $Z995=""),"",ROUND(($N995*Lists!$AN$16)-($O995*Lists!$AN$17)-($T995*Lists!$AN$18)+($Z995*Lists!$AN$19),2))</f>
        <v/>
      </c>
      <c r="AB995" s="63" t="str">
        <f t="shared" si="61"/>
        <v/>
      </c>
      <c r="AC995" s="63" t="str">
        <f t="shared" si="62"/>
        <v/>
      </c>
      <c r="AD995" s="63" t="str">
        <f>IF($A995="","",IFERROR(IF(VLOOKUP($A995,'Risk Register'!$B$2:$H$1000,4,FALSE())&gt;=4,"Yes",""),""))</f>
        <v/>
      </c>
      <c r="AE995" s="63" t="str">
        <f t="shared" si="63"/>
        <v/>
      </c>
      <c r="AF995" s="62"/>
      <c r="AG995" s="62"/>
      <c r="AH995" s="62"/>
      <c r="AI995" s="62"/>
      <c r="AJ995" s="62"/>
      <c r="AK995" s="62"/>
      <c r="AL995" s="62"/>
      <c r="AM995" s="62"/>
      <c r="AN995" s="62"/>
      <c r="AO995" s="62"/>
      <c r="AP995" s="62"/>
      <c r="AQ995" s="80"/>
    </row>
    <row r="996" spans="1:43" ht="15.75" customHeight="1" x14ac:dyDescent="0.2">
      <c r="A996" s="63" t="str">
        <f t="shared" si="60"/>
        <v/>
      </c>
      <c r="B996" s="62"/>
      <c r="C996" s="62"/>
      <c r="D996" s="62"/>
      <c r="E996" s="62"/>
      <c r="F996" s="62"/>
      <c r="G996" s="62"/>
      <c r="H996" s="62"/>
      <c r="I996" s="66"/>
      <c r="J996" s="66"/>
      <c r="K996" s="66"/>
      <c r="L996" s="66"/>
      <c r="M996" s="66"/>
      <c r="N996" s="64" t="str">
        <f>IF(OR($B996="", $I996="", $J996="", $K996="", $L996="", $M996=""),"",ROUND(($I996*Lists!$AN$2)+($J996*Lists!$AN$3)+($K996*Lists!$AN$4)+($L996*Lists!$AN$5)+($M996*Lists!$AN$6),2))</f>
        <v/>
      </c>
      <c r="O996" s="64" t="str">
        <f>IF($A996="","",IFERROR(VLOOKUP($A996,'Risk Register'!$B$2:$I$1000,8,FALSE()),""))</f>
        <v/>
      </c>
      <c r="P996" s="66"/>
      <c r="Q996" s="66"/>
      <c r="R996" s="66"/>
      <c r="S996" s="66"/>
      <c r="T996" s="64" t="str">
        <f>IF(OR($B996="", $P996="", $Q996="", $R996="", $S996=""),"",ROUND(($P996*Lists!$AN$7)+($Q996*Lists!$AN$8)+($R996*Lists!$AN$9)+($S996*Lists!$AN$10),2))</f>
        <v/>
      </c>
      <c r="U996" s="66"/>
      <c r="V996" s="66"/>
      <c r="W996" s="66"/>
      <c r="X996" s="66"/>
      <c r="Y996" s="66"/>
      <c r="Z996" s="64" t="str">
        <f>IF(OR($B996="", $U996="", $V996="", $W996="", $X996="", $Y996=""),"",ROUND(($U996*Lists!$AN$11)+($V996*Lists!$AN$12)+($W996*Lists!$AN$13)+($X996*Lists!$AN$14)+($Y996*Lists!$AN$15),2))</f>
        <v/>
      </c>
      <c r="AA996" s="64" t="str">
        <f>IF(OR($B996="", $N996="", $O996="", $T996="", $Z996=""),"",ROUND(($N996*Lists!$AN$16)-($O996*Lists!$AN$17)-($T996*Lists!$AN$18)+($Z996*Lists!$AN$19),2))</f>
        <v/>
      </c>
      <c r="AB996" s="63" t="str">
        <f t="shared" si="61"/>
        <v/>
      </c>
      <c r="AC996" s="63" t="str">
        <f t="shared" si="62"/>
        <v/>
      </c>
      <c r="AD996" s="63" t="str">
        <f>IF($A996="","",IFERROR(IF(VLOOKUP($A996,'Risk Register'!$B$2:$H$1000,4,FALSE())&gt;=4,"Yes",""),""))</f>
        <v/>
      </c>
      <c r="AE996" s="63" t="str">
        <f t="shared" si="63"/>
        <v/>
      </c>
      <c r="AF996" s="62"/>
      <c r="AG996" s="62"/>
      <c r="AH996" s="62"/>
      <c r="AI996" s="62"/>
      <c r="AJ996" s="62"/>
      <c r="AK996" s="62"/>
      <c r="AL996" s="62"/>
      <c r="AM996" s="62"/>
      <c r="AN996" s="62"/>
      <c r="AO996" s="62"/>
      <c r="AP996" s="62"/>
      <c r="AQ996" s="80"/>
    </row>
    <row r="997" spans="1:43" ht="15.75" customHeight="1" x14ac:dyDescent="0.2">
      <c r="A997" s="63" t="str">
        <f t="shared" si="60"/>
        <v/>
      </c>
      <c r="B997" s="62"/>
      <c r="C997" s="62"/>
      <c r="D997" s="62"/>
      <c r="E997" s="62"/>
      <c r="F997" s="62"/>
      <c r="G997" s="62"/>
      <c r="H997" s="62"/>
      <c r="I997" s="66"/>
      <c r="J997" s="66"/>
      <c r="K997" s="66"/>
      <c r="L997" s="66"/>
      <c r="M997" s="66"/>
      <c r="N997" s="64" t="str">
        <f>IF(OR($B997="", $I997="", $J997="", $K997="", $L997="", $M997=""),"",ROUND(($I997*Lists!$AN$2)+($J997*Lists!$AN$3)+($K997*Lists!$AN$4)+($L997*Lists!$AN$5)+($M997*Lists!$AN$6),2))</f>
        <v/>
      </c>
      <c r="O997" s="64" t="str">
        <f>IF($A997="","",IFERROR(VLOOKUP($A997,'Risk Register'!$B$2:$I$1000,8,FALSE()),""))</f>
        <v/>
      </c>
      <c r="P997" s="66"/>
      <c r="Q997" s="66"/>
      <c r="R997" s="66"/>
      <c r="S997" s="66"/>
      <c r="T997" s="64" t="str">
        <f>IF(OR($B997="", $P997="", $Q997="", $R997="", $S997=""),"",ROUND(($P997*Lists!$AN$7)+($Q997*Lists!$AN$8)+($R997*Lists!$AN$9)+($S997*Lists!$AN$10),2))</f>
        <v/>
      </c>
      <c r="U997" s="66"/>
      <c r="V997" s="66"/>
      <c r="W997" s="66"/>
      <c r="X997" s="66"/>
      <c r="Y997" s="66"/>
      <c r="Z997" s="64" t="str">
        <f>IF(OR($B997="", $U997="", $V997="", $W997="", $X997="", $Y997=""),"",ROUND(($U997*Lists!$AN$11)+($V997*Lists!$AN$12)+($W997*Lists!$AN$13)+($X997*Lists!$AN$14)+($Y997*Lists!$AN$15),2))</f>
        <v/>
      </c>
      <c r="AA997" s="64" t="str">
        <f>IF(OR($B997="", $N997="", $O997="", $T997="", $Z997=""),"",ROUND(($N997*Lists!$AN$16)-($O997*Lists!$AN$17)-($T997*Lists!$AN$18)+($Z997*Lists!$AN$19),2))</f>
        <v/>
      </c>
      <c r="AB997" s="63" t="str">
        <f t="shared" si="61"/>
        <v/>
      </c>
      <c r="AC997" s="63" t="str">
        <f t="shared" si="62"/>
        <v/>
      </c>
      <c r="AD997" s="63" t="str">
        <f>IF($A997="","",IFERROR(IF(VLOOKUP($A997,'Risk Register'!$B$2:$H$1000,4,FALSE())&gt;=4,"Yes",""),""))</f>
        <v/>
      </c>
      <c r="AE997" s="63" t="str">
        <f t="shared" si="63"/>
        <v/>
      </c>
      <c r="AF997" s="62"/>
      <c r="AG997" s="62"/>
      <c r="AH997" s="62"/>
      <c r="AI997" s="62"/>
      <c r="AJ997" s="62"/>
      <c r="AK997" s="62"/>
      <c r="AL997" s="62"/>
      <c r="AM997" s="62"/>
      <c r="AN997" s="62"/>
      <c r="AO997" s="62"/>
      <c r="AP997" s="62"/>
      <c r="AQ997" s="80"/>
    </row>
    <row r="998" spans="1:43" ht="15.75" customHeight="1" x14ac:dyDescent="0.2">
      <c r="A998" s="63" t="str">
        <f t="shared" si="60"/>
        <v/>
      </c>
      <c r="B998" s="62"/>
      <c r="C998" s="62"/>
      <c r="D998" s="62"/>
      <c r="E998" s="62"/>
      <c r="F998" s="62"/>
      <c r="G998" s="62"/>
      <c r="H998" s="62"/>
      <c r="I998" s="66"/>
      <c r="J998" s="66"/>
      <c r="K998" s="66"/>
      <c r="L998" s="66"/>
      <c r="M998" s="66"/>
      <c r="N998" s="64" t="str">
        <f>IF(OR($B998="", $I998="", $J998="", $K998="", $L998="", $M998=""),"",ROUND(($I998*Lists!$AN$2)+($J998*Lists!$AN$3)+($K998*Lists!$AN$4)+($L998*Lists!$AN$5)+($M998*Lists!$AN$6),2))</f>
        <v/>
      </c>
      <c r="O998" s="64" t="str">
        <f>IF($A998="","",IFERROR(VLOOKUP($A998,'Risk Register'!$B$2:$I$1000,8,FALSE()),""))</f>
        <v/>
      </c>
      <c r="P998" s="66"/>
      <c r="Q998" s="66"/>
      <c r="R998" s="66"/>
      <c r="S998" s="66"/>
      <c r="T998" s="64" t="str">
        <f>IF(OR($B998="", $P998="", $Q998="", $R998="", $S998=""),"",ROUND(($P998*Lists!$AN$7)+($Q998*Lists!$AN$8)+($R998*Lists!$AN$9)+($S998*Lists!$AN$10),2))</f>
        <v/>
      </c>
      <c r="U998" s="66"/>
      <c r="V998" s="66"/>
      <c r="W998" s="66"/>
      <c r="X998" s="66"/>
      <c r="Y998" s="66"/>
      <c r="Z998" s="64" t="str">
        <f>IF(OR($B998="", $U998="", $V998="", $W998="", $X998="", $Y998=""),"",ROUND(($U998*Lists!$AN$11)+($V998*Lists!$AN$12)+($W998*Lists!$AN$13)+($X998*Lists!$AN$14)+($Y998*Lists!$AN$15),2))</f>
        <v/>
      </c>
      <c r="AA998" s="64" t="str">
        <f>IF(OR($B998="", $N998="", $O998="", $T998="", $Z998=""),"",ROUND(($N998*Lists!$AN$16)-($O998*Lists!$AN$17)-($T998*Lists!$AN$18)+($Z998*Lists!$AN$19),2))</f>
        <v/>
      </c>
      <c r="AB998" s="63" t="str">
        <f t="shared" si="61"/>
        <v/>
      </c>
      <c r="AC998" s="63" t="str">
        <f t="shared" si="62"/>
        <v/>
      </c>
      <c r="AD998" s="63" t="str">
        <f>IF($A998="","",IFERROR(IF(VLOOKUP($A998,'Risk Register'!$B$2:$H$1000,4,FALSE())&gt;=4,"Yes",""),""))</f>
        <v/>
      </c>
      <c r="AE998" s="63" t="str">
        <f t="shared" si="63"/>
        <v/>
      </c>
      <c r="AF998" s="62"/>
      <c r="AG998" s="62"/>
      <c r="AH998" s="62"/>
      <c r="AI998" s="62"/>
      <c r="AJ998" s="62"/>
      <c r="AK998" s="62"/>
      <c r="AL998" s="62"/>
      <c r="AM998" s="62"/>
      <c r="AN998" s="62"/>
      <c r="AO998" s="62"/>
      <c r="AP998" s="62"/>
      <c r="AQ998" s="80"/>
    </row>
    <row r="999" spans="1:43" ht="15.75" customHeight="1" x14ac:dyDescent="0.2">
      <c r="A999" s="63" t="str">
        <f t="shared" si="60"/>
        <v/>
      </c>
      <c r="B999" s="62"/>
      <c r="C999" s="62"/>
      <c r="D999" s="62"/>
      <c r="E999" s="62"/>
      <c r="F999" s="62"/>
      <c r="G999" s="62"/>
      <c r="H999" s="62"/>
      <c r="I999" s="66"/>
      <c r="J999" s="66"/>
      <c r="K999" s="66"/>
      <c r="L999" s="66"/>
      <c r="M999" s="66"/>
      <c r="N999" s="64" t="str">
        <f>IF(OR($B999="", $I999="", $J999="", $K999="", $L999="", $M999=""),"",ROUND(($I999*Lists!$AN$2)+($J999*Lists!$AN$3)+($K999*Lists!$AN$4)+($L999*Lists!$AN$5)+($M999*Lists!$AN$6),2))</f>
        <v/>
      </c>
      <c r="O999" s="64" t="str">
        <f>IF($A999="","",IFERROR(VLOOKUP($A999,'Risk Register'!$B$2:$I$1000,8,FALSE()),""))</f>
        <v/>
      </c>
      <c r="P999" s="66"/>
      <c r="Q999" s="66"/>
      <c r="R999" s="66"/>
      <c r="S999" s="66"/>
      <c r="T999" s="64" t="str">
        <f>IF(OR($B999="", $P999="", $Q999="", $R999="", $S999=""),"",ROUND(($P999*Lists!$AN$7)+($Q999*Lists!$AN$8)+($R999*Lists!$AN$9)+($S999*Lists!$AN$10),2))</f>
        <v/>
      </c>
      <c r="U999" s="66"/>
      <c r="V999" s="66"/>
      <c r="W999" s="66"/>
      <c r="X999" s="66"/>
      <c r="Y999" s="66"/>
      <c r="Z999" s="64" t="str">
        <f>IF(OR($B999="", $U999="", $V999="", $W999="", $X999="", $Y999=""),"",ROUND(($U999*Lists!$AN$11)+($V999*Lists!$AN$12)+($W999*Lists!$AN$13)+($X999*Lists!$AN$14)+($Y999*Lists!$AN$15),2))</f>
        <v/>
      </c>
      <c r="AA999" s="64" t="str">
        <f>IF(OR($B999="", $N999="", $O999="", $T999="", $Z999=""),"",ROUND(($N999*Lists!$AN$16)-($O999*Lists!$AN$17)-($T999*Lists!$AN$18)+($Z999*Lists!$AN$19),2))</f>
        <v/>
      </c>
      <c r="AB999" s="63" t="str">
        <f t="shared" si="61"/>
        <v/>
      </c>
      <c r="AC999" s="63" t="str">
        <f t="shared" si="62"/>
        <v/>
      </c>
      <c r="AD999" s="63" t="str">
        <f>IF($A999="","",IFERROR(IF(VLOOKUP($A999,'Risk Register'!$B$2:$H$1000,4,FALSE())&gt;=4,"Yes",""),""))</f>
        <v/>
      </c>
      <c r="AE999" s="63" t="str">
        <f t="shared" si="63"/>
        <v/>
      </c>
      <c r="AF999" s="62"/>
      <c r="AG999" s="62"/>
      <c r="AH999" s="62"/>
      <c r="AI999" s="62"/>
      <c r="AJ999" s="62"/>
      <c r="AK999" s="62"/>
      <c r="AL999" s="62"/>
      <c r="AM999" s="62"/>
      <c r="AN999" s="62"/>
      <c r="AO999" s="62"/>
      <c r="AP999" s="62"/>
      <c r="AQ999" s="80"/>
    </row>
    <row r="1000" spans="1:43" ht="15.75" customHeight="1" x14ac:dyDescent="0.2">
      <c r="A1000" s="63" t="str">
        <f t="shared" si="60"/>
        <v/>
      </c>
      <c r="B1000" s="62"/>
      <c r="C1000" s="62"/>
      <c r="D1000" s="62"/>
      <c r="E1000" s="62"/>
      <c r="F1000" s="62"/>
      <c r="G1000" s="62"/>
      <c r="H1000" s="62"/>
      <c r="I1000" s="66"/>
      <c r="J1000" s="66"/>
      <c r="K1000" s="66"/>
      <c r="L1000" s="66"/>
      <c r="M1000" s="66"/>
      <c r="N1000" s="64" t="str">
        <f>IF(OR($B1000="", $I1000="", $J1000="", $K1000="", $L1000="", $M1000=""),"",ROUND(($I1000*Lists!$AN$2)+($J1000*Lists!$AN$3)+($K1000*Lists!$AN$4)+($L1000*Lists!$AN$5)+($M1000*Lists!$AN$6),2))</f>
        <v/>
      </c>
      <c r="O1000" s="64" t="str">
        <f>IF($A1000="","",IFERROR(VLOOKUP($A1000,'Risk Register'!$B$2:$I$1000,8,FALSE()),""))</f>
        <v/>
      </c>
      <c r="P1000" s="66"/>
      <c r="Q1000" s="66"/>
      <c r="R1000" s="66"/>
      <c r="S1000" s="66"/>
      <c r="T1000" s="64" t="str">
        <f>IF(OR($B1000="", $P1000="", $Q1000="", $R1000="", $S1000=""),"",ROUND(($P1000*Lists!$AN$7)+($Q1000*Lists!$AN$8)+($R1000*Lists!$AN$9)+($S1000*Lists!$AN$10),2))</f>
        <v/>
      </c>
      <c r="U1000" s="66"/>
      <c r="V1000" s="66"/>
      <c r="W1000" s="66"/>
      <c r="X1000" s="66"/>
      <c r="Y1000" s="66"/>
      <c r="Z1000" s="64" t="str">
        <f>IF(OR($B1000="", $U1000="", $V1000="", $W1000="", $X1000="", $Y1000=""),"",ROUND(($U1000*Lists!$AN$11)+($V1000*Lists!$AN$12)+($W1000*Lists!$AN$13)+($X1000*Lists!$AN$14)+($Y1000*Lists!$AN$15),2))</f>
        <v/>
      </c>
      <c r="AA1000" s="64" t="str">
        <f>IF(OR($B1000="", $N1000="", $O1000="", $T1000="", $Z1000=""),"",ROUND(($N1000*Lists!$AN$16)-($O1000*Lists!$AN$17)-($T1000*Lists!$AN$18)+($Z1000*Lists!$AN$19),2))</f>
        <v/>
      </c>
      <c r="AB1000" s="63" t="str">
        <f t="shared" si="61"/>
        <v/>
      </c>
      <c r="AC1000" s="63" t="str">
        <f t="shared" si="62"/>
        <v/>
      </c>
      <c r="AD1000" s="63" t="str">
        <f>IF($A1000="","",IFERROR(IF(VLOOKUP($A1000,'Risk Register'!$B$2:$H$1000,4,FALSE())&gt;=4,"Yes",""),""))</f>
        <v/>
      </c>
      <c r="AE1000" s="63" t="str">
        <f t="shared" si="63"/>
        <v/>
      </c>
      <c r="AF1000" s="62"/>
      <c r="AG1000" s="62"/>
      <c r="AH1000" s="62"/>
      <c r="AI1000" s="62"/>
      <c r="AJ1000" s="62"/>
      <c r="AK1000" s="62"/>
      <c r="AL1000" s="62"/>
      <c r="AM1000" s="62"/>
      <c r="AN1000" s="62"/>
      <c r="AO1000" s="62"/>
      <c r="AP1000" s="62"/>
      <c r="AQ1000" s="80"/>
    </row>
  </sheetData>
  <conditionalFormatting sqref="N2:N1000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">
      <colorScale>
        <cfvo type="num" val="1"/>
        <cfvo type="num" val="3"/>
        <cfvo type="num" val="5"/>
        <color rgb="FFFCA5A5"/>
        <color rgb="FFFDE68A"/>
        <color rgb="FF86EFAC"/>
      </colorScale>
    </cfRule>
  </conditionalFormatting>
  <conditionalFormatting sqref="O2:O1000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">
      <colorScale>
        <cfvo type="num" val="1"/>
        <cfvo type="num" val="3"/>
        <cfvo type="num" val="5"/>
        <color rgb="FF86EFAC"/>
        <color rgb="FFFDE68A"/>
        <color rgb="FFFCA5A5"/>
      </colorScale>
    </cfRule>
  </conditionalFormatting>
  <conditionalFormatting sqref="T2:T1000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">
      <colorScale>
        <cfvo type="num" val="1"/>
        <cfvo type="num" val="3"/>
        <cfvo type="num" val="5"/>
        <color rgb="FF86EFAC"/>
        <color rgb="FFFDE68A"/>
        <color rgb="FFFCA5A5"/>
      </colorScale>
    </cfRule>
  </conditionalFormatting>
  <conditionalFormatting sqref="Z2:Z1000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">
      <colorScale>
        <cfvo type="num" val="1"/>
        <cfvo type="num" val="3"/>
        <cfvo type="num" val="5"/>
        <color rgb="FFFCA5A5"/>
        <color rgb="FFFDE68A"/>
        <color rgb="FF86EFAC"/>
      </colorScale>
    </cfRule>
  </conditionalFormatting>
  <conditionalFormatting sqref="AA2:AA1000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1">
      <colorScale>
        <cfvo type="num" val="-1"/>
        <cfvo type="num" val="1.5"/>
        <cfvo type="num" val="3"/>
        <color rgb="FFFCA5A5"/>
        <color rgb="FFFDE68A"/>
        <color rgb="FF86EFAC"/>
      </colorScale>
    </cfRule>
  </conditionalFormatting>
  <conditionalFormatting sqref="AB2:AB1000">
    <cfRule type="expression" dxfId="7" priority="12">
      <formula>$AB2="INVEST"</formula>
    </cfRule>
    <cfRule type="expression" dxfId="6" priority="13">
      <formula>$AB2="TOLERATE"</formula>
    </cfRule>
    <cfRule type="expression" dxfId="5" priority="14">
      <formula>$AB2="MIGRATE / MODERNIZE"</formula>
    </cfRule>
    <cfRule type="expression" dxfId="4" priority="15">
      <formula>$AB2="RETIRE"</formula>
    </cfRule>
    <cfRule type="expression" dxfId="3" priority="16">
      <formula>EXACT($AB2,"Invest")</formula>
    </cfRule>
    <cfRule type="expression" dxfId="2" priority="17">
      <formula>EXACT($AB2,"Migrate")</formula>
    </cfRule>
    <cfRule type="expression" dxfId="1" priority="18">
      <formula>EXACT($AB2,"Tolerate")</formula>
    </cfRule>
    <cfRule type="expression" dxfId="0" priority="19">
      <formula>EXACT($AB2,"Eliminate")</formula>
    </cfRule>
  </conditionalFormatting>
  <dataValidations count="11">
    <dataValidation type="list" allowBlank="1" errorTitle="Invalid selection" error="Invalid value" promptTitle="Tier (from CSV)" prompt="Select a Tier value from the list." sqref="AG2:AG1000" xr:uid="{00000000-0002-0000-0300-000000000000}">
      <formula1>lstTier</formula1>
      <formula2>0</formula2>
    </dataValidation>
    <dataValidation type="list" allowBlank="1" errorTitle="Invalid selection" error="Invalid value" promptTitle="Functional Fit (from CSV)" prompt="Select a Functional Fit value from the list." sqref="AH2:AH1000" xr:uid="{00000000-0002-0000-0300-000001000000}">
      <formula1>lstFunctionalFit</formula1>
      <formula2>0</formula2>
    </dataValidation>
    <dataValidation type="list" allowBlank="1" errorTitle="Invalid selection" error="Invalid value" promptTitle="Technical Fit (from CSV)" prompt="Select a Technical Fit value from the list." sqref="AI2:AI1000" xr:uid="{00000000-0002-0000-0300-000002000000}">
      <formula1>lstTechnicalFit</formula1>
      <formula2>0</formula2>
    </dataValidation>
    <dataValidation type="list" allowBlank="1" errorTitle="Invalid selection" error="Invalid value" promptTitle="TIME Classification (from CSV)" prompt="Select a TIME Classification value from the list." sqref="AJ2:AJ1000" xr:uid="{00000000-0002-0000-0300-000003000000}">
      <formula1>lstTIMEClassification</formula1>
      <formula2>0</formula2>
    </dataValidation>
    <dataValidation type="list" allowBlank="1" errorTitle="Invalid selection" error="Invalid value" promptTitle="Incidents (from CSV)" prompt="Select an Incidents value from the list." sqref="AK2:AK1000" xr:uid="{00000000-0002-0000-0300-000004000000}">
      <formula1>lstIncidents</formula1>
      <formula2>0</formula2>
    </dataValidation>
    <dataValidation type="list" allowBlank="1" errorTitle="Invalid selection" error="Invalid value" promptTitle="Solution Type (from CSV)" prompt="Select a Solution Type value from the list." sqref="AL2:AL1000" xr:uid="{00000000-0002-0000-0300-000005000000}">
      <formula1>lstSolutionType</formula1>
      <formula2>0</formula2>
    </dataValidation>
    <dataValidation type="list" allowBlank="1" errorTitle="Invalid selection" error="Invalid value" promptTitle="AppRat Phase (from CSV)" prompt="Select an AppRat Phase value from the list." sqref="AM2:AM1000" xr:uid="{00000000-0002-0000-0300-000006000000}">
      <formula1>lstAppRatPhase</formula1>
      <formula2>0</formula2>
    </dataValidation>
    <dataValidation type="list" allowBlank="1" errorTitle="Invalid selection" error="Invalid value" promptTitle="AppRat Confidence (from CSV)" prompt="Select an AppRat Confidence value from the list." sqref="AN2:AN1000" xr:uid="{00000000-0002-0000-0300-000007000000}">
      <formula1>lstAppRatConfidence</formula1>
      <formula2>0</formula2>
    </dataValidation>
    <dataValidation type="list" allowBlank="1" errorTitle="Invalid selection" error="Invalid value" promptTitle="AppRat Effort (from CSV)" prompt="Select an AppRat Effort value from the list." sqref="AO2:AO1000" xr:uid="{00000000-0002-0000-0300-000008000000}">
      <formula1>lstAppRatEffort</formula1>
      <formula2>0</formula2>
    </dataValidation>
    <dataValidation type="list" allowBlank="1" sqref="I2:N1000 P2:S1000 U2:Y1000" xr:uid="{00000000-0002-0000-0300-000009000000}">
      <formula1>"1,2,3,4,5"</formula1>
      <formula2>0</formula2>
    </dataValidation>
    <dataValidation type="list" allowBlank="1" sqref="AP2:AP1000" xr:uid="{00000000-0002-0000-0300-00000A000000}">
      <formula1>"HDT Budg,SC Budg,Corp Budg,HFN Budg,P&amp;S Budg,PC ISO Budg,Bundled"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N26"/>
  <sheetViews>
    <sheetView showGridLines="0" topLeftCell="A4" zoomScaleNormal="100" workbookViewId="0"/>
  </sheetViews>
  <sheetFormatPr baseColWidth="10" defaultColWidth="8.83203125" defaultRowHeight="15" x14ac:dyDescent="0.2"/>
  <cols>
    <col min="1" max="1" width="22" customWidth="1"/>
    <col min="2" max="2" width="3" customWidth="1"/>
    <col min="3" max="3" width="22" customWidth="1"/>
    <col min="4" max="4" width="3" customWidth="1"/>
    <col min="5" max="6" width="12" customWidth="1"/>
    <col min="7" max="7" width="3" customWidth="1"/>
    <col min="8" max="9" width="12" customWidth="1"/>
    <col min="10" max="10" width="3" customWidth="1"/>
    <col min="11" max="12" width="14" customWidth="1"/>
    <col min="13" max="13" width="3" customWidth="1"/>
    <col min="14" max="15" width="10" customWidth="1"/>
    <col min="16" max="16" width="3" customWidth="1"/>
    <col min="17" max="17" width="12" customWidth="1"/>
    <col min="18" max="18" width="3" customWidth="1"/>
    <col min="19" max="19" width="14" customWidth="1"/>
    <col min="20" max="20" width="3" customWidth="1"/>
    <col min="21" max="21" width="14" customWidth="1"/>
    <col min="22" max="22" width="3" customWidth="1"/>
    <col min="23" max="23" width="18" customWidth="1"/>
    <col min="24" max="24" width="3" customWidth="1"/>
    <col min="25" max="25" width="10" customWidth="1"/>
    <col min="26" max="26" width="3" customWidth="1"/>
    <col min="27" max="27" width="18" customWidth="1"/>
    <col min="28" max="28" width="3" customWidth="1"/>
    <col min="29" max="30" width="18" customWidth="1"/>
    <col min="31" max="31" width="20" customWidth="1"/>
    <col min="32" max="32" width="16" customWidth="1"/>
    <col min="33" max="33" width="10" customWidth="1"/>
    <col min="34" max="34" width="14" customWidth="1"/>
    <col min="35" max="35" width="22" customWidth="1"/>
    <col min="36" max="37" width="12" customWidth="1"/>
    <col min="39" max="39" width="34" customWidth="1"/>
    <col min="40" max="40" width="10" customWidth="1"/>
  </cols>
  <sheetData>
    <row r="1" spans="1:40" ht="27.75" customHeight="1" x14ac:dyDescent="0.2">
      <c r="A1" s="16" t="s">
        <v>71</v>
      </c>
      <c r="C1" s="16" t="s">
        <v>72</v>
      </c>
      <c r="E1" s="16" t="s">
        <v>17</v>
      </c>
      <c r="F1" s="16" t="s">
        <v>257</v>
      </c>
      <c r="H1" s="16" t="s">
        <v>73</v>
      </c>
      <c r="I1" s="16" t="s">
        <v>258</v>
      </c>
      <c r="K1" s="16" t="s">
        <v>74</v>
      </c>
      <c r="L1" s="16" t="s">
        <v>259</v>
      </c>
      <c r="N1" s="16" t="s">
        <v>75</v>
      </c>
      <c r="O1" s="16" t="s">
        <v>260</v>
      </c>
      <c r="Q1" s="16" t="s">
        <v>77</v>
      </c>
      <c r="S1" s="16" t="s">
        <v>15</v>
      </c>
      <c r="U1" s="16" t="s">
        <v>79</v>
      </c>
      <c r="W1" s="16" t="s">
        <v>82</v>
      </c>
      <c r="Y1" s="16" t="s">
        <v>261</v>
      </c>
      <c r="AA1" s="16" t="s">
        <v>210</v>
      </c>
      <c r="AC1" s="16" t="s">
        <v>262</v>
      </c>
      <c r="AD1" s="16" t="s">
        <v>263</v>
      </c>
      <c r="AE1" s="16" t="s">
        <v>264</v>
      </c>
      <c r="AF1" s="16" t="s">
        <v>265</v>
      </c>
      <c r="AG1" s="16" t="s">
        <v>266</v>
      </c>
      <c r="AH1" s="16" t="s">
        <v>267</v>
      </c>
      <c r="AI1" s="16" t="s">
        <v>268</v>
      </c>
      <c r="AJ1" s="16" t="s">
        <v>269</v>
      </c>
      <c r="AK1" s="16" t="s">
        <v>270</v>
      </c>
      <c r="AM1" s="81" t="s">
        <v>271</v>
      </c>
      <c r="AN1" s="81" t="s">
        <v>272</v>
      </c>
    </row>
    <row r="2" spans="1:40" x14ac:dyDescent="0.2">
      <c r="A2" s="82" t="s">
        <v>120</v>
      </c>
      <c r="C2" s="82" t="s">
        <v>132</v>
      </c>
      <c r="E2" s="82" t="s">
        <v>19</v>
      </c>
      <c r="F2" s="67">
        <v>4</v>
      </c>
      <c r="H2" s="82" t="s">
        <v>21</v>
      </c>
      <c r="I2" s="67">
        <v>3</v>
      </c>
      <c r="K2" s="82" t="s">
        <v>21</v>
      </c>
      <c r="L2" s="67">
        <v>1</v>
      </c>
      <c r="N2" s="82" t="s">
        <v>160</v>
      </c>
      <c r="O2" s="67">
        <v>1</v>
      </c>
      <c r="Q2" s="82" t="s">
        <v>273</v>
      </c>
      <c r="S2" s="82" t="s">
        <v>18</v>
      </c>
      <c r="U2" s="82" t="s">
        <v>99</v>
      </c>
      <c r="W2" s="82" t="s">
        <v>162</v>
      </c>
      <c r="Y2" s="83">
        <v>1</v>
      </c>
      <c r="AA2" s="82" t="s">
        <v>54</v>
      </c>
      <c r="AC2" s="82" t="s">
        <v>274</v>
      </c>
      <c r="AD2" s="82" t="s">
        <v>275</v>
      </c>
      <c r="AE2" s="82" t="s">
        <v>276</v>
      </c>
      <c r="AF2" s="82" t="s">
        <v>58</v>
      </c>
      <c r="AG2" s="82" t="s">
        <v>277</v>
      </c>
      <c r="AH2" s="82" t="s">
        <v>278</v>
      </c>
      <c r="AI2" s="82" t="s">
        <v>279</v>
      </c>
      <c r="AJ2" s="82" t="s">
        <v>21</v>
      </c>
      <c r="AK2" s="82" t="s">
        <v>21</v>
      </c>
      <c r="AM2" s="84" t="s">
        <v>280</v>
      </c>
      <c r="AN2" s="85">
        <v>0.2</v>
      </c>
    </row>
    <row r="3" spans="1:40" x14ac:dyDescent="0.2">
      <c r="A3" s="86" t="s">
        <v>281</v>
      </c>
      <c r="C3" s="86" t="s">
        <v>282</v>
      </c>
      <c r="E3" s="86" t="s">
        <v>21</v>
      </c>
      <c r="F3" s="67">
        <v>3</v>
      </c>
      <c r="H3" s="86" t="s">
        <v>23</v>
      </c>
      <c r="I3" s="67">
        <v>2</v>
      </c>
      <c r="K3" s="86" t="s">
        <v>23</v>
      </c>
      <c r="L3" s="67">
        <v>0.8</v>
      </c>
      <c r="N3" s="86" t="s">
        <v>122</v>
      </c>
      <c r="O3" s="67">
        <v>2</v>
      </c>
      <c r="Q3" s="86" t="s">
        <v>283</v>
      </c>
      <c r="S3" s="86" t="s">
        <v>20</v>
      </c>
      <c r="U3" s="86" t="s">
        <v>124</v>
      </c>
      <c r="W3" s="86" t="s">
        <v>113</v>
      </c>
      <c r="Y3" s="87">
        <v>2</v>
      </c>
      <c r="AA3" s="86" t="s">
        <v>56</v>
      </c>
      <c r="AC3" s="86" t="s">
        <v>284</v>
      </c>
      <c r="AD3" s="86" t="s">
        <v>285</v>
      </c>
      <c r="AE3" s="86" t="s">
        <v>286</v>
      </c>
      <c r="AF3" s="86" t="s">
        <v>54</v>
      </c>
      <c r="AI3" s="86" t="s">
        <v>287</v>
      </c>
      <c r="AJ3" s="86" t="s">
        <v>25</v>
      </c>
      <c r="AK3" s="86" t="s">
        <v>25</v>
      </c>
      <c r="AM3" s="84" t="s">
        <v>288</v>
      </c>
      <c r="AN3" s="85">
        <v>0.2</v>
      </c>
    </row>
    <row r="4" spans="1:40" x14ac:dyDescent="0.2">
      <c r="A4" s="82" t="s">
        <v>108</v>
      </c>
      <c r="C4" s="82" t="s">
        <v>96</v>
      </c>
      <c r="E4" s="82" t="s">
        <v>23</v>
      </c>
      <c r="F4" s="67">
        <v>2</v>
      </c>
      <c r="H4" s="82" t="s">
        <v>25</v>
      </c>
      <c r="I4" s="67">
        <v>1</v>
      </c>
      <c r="K4" s="82" t="s">
        <v>25</v>
      </c>
      <c r="L4" s="67">
        <v>0.6</v>
      </c>
      <c r="N4" s="82" t="s">
        <v>110</v>
      </c>
      <c r="O4" s="67">
        <v>3</v>
      </c>
      <c r="Q4" s="82" t="s">
        <v>289</v>
      </c>
      <c r="S4" s="82" t="s">
        <v>22</v>
      </c>
      <c r="U4" s="82" t="s">
        <v>143</v>
      </c>
      <c r="W4" s="82" t="s">
        <v>125</v>
      </c>
      <c r="Y4" s="83">
        <v>3</v>
      </c>
      <c r="AA4" s="82" t="s">
        <v>58</v>
      </c>
      <c r="AD4" s="82" t="s">
        <v>290</v>
      </c>
      <c r="AE4" s="82" t="s">
        <v>291</v>
      </c>
      <c r="AF4" s="82" t="s">
        <v>56</v>
      </c>
      <c r="AI4" s="82" t="s">
        <v>292</v>
      </c>
      <c r="AJ4" s="82" t="s">
        <v>23</v>
      </c>
      <c r="AK4" s="82" t="s">
        <v>23</v>
      </c>
      <c r="AM4" s="84" t="s">
        <v>293</v>
      </c>
      <c r="AN4" s="85">
        <v>0.2</v>
      </c>
    </row>
    <row r="5" spans="1:40" x14ac:dyDescent="0.2">
      <c r="A5" s="86" t="s">
        <v>96</v>
      </c>
      <c r="C5" s="86" t="s">
        <v>109</v>
      </c>
      <c r="E5" s="86" t="s">
        <v>25</v>
      </c>
      <c r="F5" s="67">
        <v>1</v>
      </c>
      <c r="N5" s="86" t="s">
        <v>97</v>
      </c>
      <c r="O5" s="67">
        <v>5</v>
      </c>
      <c r="Q5" s="86" t="s">
        <v>294</v>
      </c>
      <c r="S5" s="86" t="s">
        <v>24</v>
      </c>
      <c r="U5" s="86" t="s">
        <v>295</v>
      </c>
      <c r="W5" s="86" t="s">
        <v>100</v>
      </c>
      <c r="Y5" s="87">
        <v>4</v>
      </c>
      <c r="AA5" s="86" t="s">
        <v>60</v>
      </c>
      <c r="AE5" s="86" t="s">
        <v>296</v>
      </c>
      <c r="AF5" s="86" t="s">
        <v>60</v>
      </c>
      <c r="AM5" s="84" t="s">
        <v>297</v>
      </c>
      <c r="AN5" s="85">
        <v>0.2</v>
      </c>
    </row>
    <row r="6" spans="1:40" x14ac:dyDescent="0.2">
      <c r="A6" s="82" t="s">
        <v>150</v>
      </c>
      <c r="C6" s="82" t="s">
        <v>121</v>
      </c>
      <c r="N6" s="82" t="s">
        <v>298</v>
      </c>
      <c r="O6" s="67">
        <v>8</v>
      </c>
      <c r="S6" s="82" t="s">
        <v>26</v>
      </c>
      <c r="U6" s="82" t="s">
        <v>112</v>
      </c>
      <c r="W6" s="82" t="s">
        <v>134</v>
      </c>
      <c r="Y6" s="83">
        <v>5</v>
      </c>
      <c r="AM6" s="84" t="s">
        <v>299</v>
      </c>
      <c r="AN6" s="85">
        <v>0.2</v>
      </c>
    </row>
    <row r="7" spans="1:40" x14ac:dyDescent="0.2">
      <c r="A7" s="86" t="s">
        <v>131</v>
      </c>
      <c r="C7" s="86" t="s">
        <v>141</v>
      </c>
      <c r="S7" s="86" t="s">
        <v>27</v>
      </c>
      <c r="U7" s="86" t="s">
        <v>152</v>
      </c>
      <c r="W7" s="86" t="s">
        <v>300</v>
      </c>
      <c r="AM7" s="84" t="s">
        <v>301</v>
      </c>
      <c r="AN7" s="85">
        <v>0.25</v>
      </c>
    </row>
    <row r="8" spans="1:40" x14ac:dyDescent="0.2">
      <c r="A8" s="82" t="s">
        <v>159</v>
      </c>
      <c r="C8" s="82" t="s">
        <v>302</v>
      </c>
      <c r="S8" s="82" t="s">
        <v>28</v>
      </c>
      <c r="U8" s="82" t="s">
        <v>96</v>
      </c>
      <c r="AM8" s="84" t="s">
        <v>303</v>
      </c>
      <c r="AN8" s="85">
        <v>0.25</v>
      </c>
    </row>
    <row r="9" spans="1:40" x14ac:dyDescent="0.2">
      <c r="A9" s="86" t="s">
        <v>140</v>
      </c>
      <c r="C9" s="86" t="s">
        <v>304</v>
      </c>
      <c r="S9" s="86" t="s">
        <v>29</v>
      </c>
      <c r="U9" s="86" t="s">
        <v>133</v>
      </c>
      <c r="AM9" s="84" t="s">
        <v>305</v>
      </c>
      <c r="AN9" s="85">
        <v>0.25</v>
      </c>
    </row>
    <row r="10" spans="1:40" x14ac:dyDescent="0.2">
      <c r="A10" s="82" t="s">
        <v>109</v>
      </c>
      <c r="C10" s="82" t="s">
        <v>306</v>
      </c>
      <c r="U10" s="82" t="s">
        <v>307</v>
      </c>
      <c r="AM10" s="84" t="s">
        <v>308</v>
      </c>
      <c r="AN10" s="85">
        <v>0.25</v>
      </c>
    </row>
    <row r="11" spans="1:40" x14ac:dyDescent="0.2">
      <c r="A11" s="86" t="s">
        <v>309</v>
      </c>
      <c r="C11" s="86" t="s">
        <v>307</v>
      </c>
      <c r="AM11" s="84" t="s">
        <v>310</v>
      </c>
      <c r="AN11" s="85">
        <v>0.2</v>
      </c>
    </row>
    <row r="12" spans="1:40" x14ac:dyDescent="0.2">
      <c r="A12" s="82" t="s">
        <v>311</v>
      </c>
      <c r="AM12" s="84" t="s">
        <v>312</v>
      </c>
      <c r="AN12" s="85">
        <v>0.2</v>
      </c>
    </row>
    <row r="13" spans="1:40" x14ac:dyDescent="0.2">
      <c r="A13" s="86" t="s">
        <v>307</v>
      </c>
      <c r="AM13" s="84" t="s">
        <v>313</v>
      </c>
      <c r="AN13" s="85">
        <v>0.2</v>
      </c>
    </row>
    <row r="14" spans="1:40" x14ac:dyDescent="0.2">
      <c r="AM14" s="84" t="s">
        <v>314</v>
      </c>
      <c r="AN14" s="85">
        <v>0.2</v>
      </c>
    </row>
    <row r="15" spans="1:40" x14ac:dyDescent="0.2">
      <c r="AM15" s="84" t="s">
        <v>315</v>
      </c>
      <c r="AN15" s="85">
        <v>0.2</v>
      </c>
    </row>
    <row r="16" spans="1:40" x14ac:dyDescent="0.2">
      <c r="AM16" s="84" t="s">
        <v>316</v>
      </c>
      <c r="AN16" s="85">
        <v>0.25</v>
      </c>
    </row>
    <row r="17" spans="39:40" x14ac:dyDescent="0.2">
      <c r="AM17" s="84" t="s">
        <v>317</v>
      </c>
      <c r="AN17" s="85">
        <v>0.25</v>
      </c>
    </row>
    <row r="18" spans="39:40" x14ac:dyDescent="0.2">
      <c r="AM18" s="84" t="s">
        <v>318</v>
      </c>
      <c r="AN18" s="85">
        <v>0.25</v>
      </c>
    </row>
    <row r="19" spans="39:40" x14ac:dyDescent="0.2">
      <c r="AM19" s="84" t="s">
        <v>319</v>
      </c>
      <c r="AN19" s="85">
        <v>0.25</v>
      </c>
    </row>
    <row r="20" spans="39:40" x14ac:dyDescent="0.2">
      <c r="AM20" s="84" t="s">
        <v>320</v>
      </c>
      <c r="AN20" s="85">
        <v>0.2</v>
      </c>
    </row>
    <row r="21" spans="39:40" x14ac:dyDescent="0.2">
      <c r="AM21" s="84" t="s">
        <v>321</v>
      </c>
      <c r="AN21" s="85">
        <v>0.2</v>
      </c>
    </row>
    <row r="22" spans="39:40" x14ac:dyDescent="0.2">
      <c r="AM22" s="84" t="s">
        <v>322</v>
      </c>
      <c r="AN22" s="85">
        <v>0.2</v>
      </c>
    </row>
    <row r="23" spans="39:40" x14ac:dyDescent="0.2">
      <c r="AM23" s="84" t="s">
        <v>323</v>
      </c>
      <c r="AN23" s="85">
        <v>0.2</v>
      </c>
    </row>
    <row r="24" spans="39:40" x14ac:dyDescent="0.2">
      <c r="AM24" s="84" t="s">
        <v>324</v>
      </c>
      <c r="AN24" s="85">
        <v>0.2</v>
      </c>
    </row>
    <row r="26" spans="39:40" x14ac:dyDescent="0.2">
      <c r="AM26" s="88" t="s">
        <v>325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23</vt:i4>
      </vt:variant>
    </vt:vector>
  </HeadingPairs>
  <TitlesOfParts>
    <vt:vector size="28" baseType="lpstr">
      <vt:lpstr>Overview</vt:lpstr>
      <vt:lpstr>Debt Backlog</vt:lpstr>
      <vt:lpstr>Risk Register</vt:lpstr>
      <vt:lpstr>Application Portfolio</vt:lpstr>
      <vt:lpstr>Lists</vt:lpstr>
      <vt:lpstr>lstAppID</vt:lpstr>
      <vt:lpstr>lstAppName</vt:lpstr>
      <vt:lpstr>lstAppRatConfidence</vt:lpstr>
      <vt:lpstr>lstAppRatEffort</vt:lpstr>
      <vt:lpstr>lstAppRatPhase</vt:lpstr>
      <vt:lpstr>lstConfidence</vt:lpstr>
      <vt:lpstr>lstDebtType</vt:lpstr>
      <vt:lpstr>lstEffort</vt:lpstr>
      <vt:lpstr>lstFunctionalFit</vt:lpstr>
      <vt:lpstr>lstImpact</vt:lpstr>
      <vt:lpstr>lstImpactArea</vt:lpstr>
      <vt:lpstr>lstIncidents</vt:lpstr>
      <vt:lpstr>lstLifecycle</vt:lpstr>
      <vt:lpstr>lstPriority</vt:lpstr>
      <vt:lpstr>lstScore1to5</vt:lpstr>
      <vt:lpstr>lstSeverity</vt:lpstr>
      <vt:lpstr>lstSolutionType</vt:lpstr>
      <vt:lpstr>lstStatus</vt:lpstr>
      <vt:lpstr>lstTargetWindow</vt:lpstr>
      <vt:lpstr>lstTeam</vt:lpstr>
      <vt:lpstr>lstTechnicalFit</vt:lpstr>
      <vt:lpstr>lstTier</vt:lpstr>
      <vt:lpstr>lstTIMEClassification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KF</dc:creator>
  <cp:keywords/>
  <dc:description/>
  <cp:lastModifiedBy>Kevin Forbes</cp:lastModifiedBy>
  <cp:revision>0</cp:revision>
  <dcterms:created xsi:type="dcterms:W3CDTF">2026-01-23T22:23:33Z</dcterms:created>
  <dcterms:modified xsi:type="dcterms:W3CDTF">2026-09-05T00:07:24Z</dcterms:modified>
  <cp:category/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fe6093c5-5d4a-4c08-b8f5-884c0d254e34_ActionId">
    <vt:lpwstr>311704a9-8168-4f1f-a01e-f6dff8ae177a</vt:lpwstr>
  </property>
  <property fmtid="{D5CDD505-2E9C-101B-9397-08002B2CF9AE}" pid="3" name="MSIP_Label_fe6093c5-5d4a-4c08-b8f5-884c0d254e34_ContentBits">
    <vt:lpwstr>0</vt:lpwstr>
  </property>
  <property fmtid="{D5CDD505-2E9C-101B-9397-08002B2CF9AE}" pid="4" name="MSIP_Label_fe6093c5-5d4a-4c08-b8f5-884c0d254e34_Enabled">
    <vt:lpwstr>true</vt:lpwstr>
  </property>
  <property fmtid="{D5CDD505-2E9C-101B-9397-08002B2CF9AE}" pid="5" name="MSIP_Label_fe6093c5-5d4a-4c08-b8f5-884c0d254e34_Method">
    <vt:lpwstr>Standard</vt:lpwstr>
  </property>
  <property fmtid="{D5CDD505-2E9C-101B-9397-08002B2CF9AE}" pid="6" name="MSIP_Label_fe6093c5-5d4a-4c08-b8f5-884c0d254e34_Name">
    <vt:lpwstr>Internal Use</vt:lpwstr>
  </property>
  <property fmtid="{D5CDD505-2E9C-101B-9397-08002B2CF9AE}" pid="7" name="MSIP_Label_fe6093c5-5d4a-4c08-b8f5-884c0d254e34_SetDate">
    <vt:lpwstr>2026-01-23T22:35:43Z</vt:lpwstr>
  </property>
  <property fmtid="{D5CDD505-2E9C-101B-9397-08002B2CF9AE}" pid="8" name="MSIP_Label_fe6093c5-5d4a-4c08-b8f5-884c0d254e34_SiteId">
    <vt:lpwstr>9509bb4a-3c51-4dd9-b158-a3cd39773650</vt:lpwstr>
  </property>
  <property fmtid="{D5CDD505-2E9C-101B-9397-08002B2CF9AE}" pid="9" name="MSIP_Label_fe6093c5-5d4a-4c08-b8f5-884c0d254e34_Tag">
    <vt:lpwstr>10, 3, 0, 1</vt:lpwstr>
  </property>
</Properties>
</file>