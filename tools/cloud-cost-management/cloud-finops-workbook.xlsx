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ightsizing Tracker" sheetId="2" state="visible" r:id="rId4"/>
    <sheet name="Reserved Capacity Break-Even" sheetId="3" state="visible" r:id="rId5"/>
    <sheet name="Showback-Chargeback" sheetId="4" state="visible" r:id="rId6"/>
    <sheet name="Maturity Assessment" sheetId="5" state="visible" r:id="rId7"/>
    <sheet name="Savings Opportunity 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<sst xmlns="http://schemas.openxmlformats.org/spreadsheetml/2006/main" count="129" uniqueCount="109">
  <si>
    <t xml:space="preserve">Cloud FinOps Workbook</t>
  </si>
  <si>
    <t xml:space="preserve">Companion workbook to the Cloud FinOps page. Fill in blue cells; everything else calculates.</t>
  </si>
  <si>
    <t xml:space="preserve">How to use this workbook</t>
  </si>
  <si>
    <t xml:space="preserve">Rightsizing Tracker</t>
  </si>
  <si>
    <t xml:space="preserve">Log oversized or idle resources found during a rightsizing sweep. Savings calculate automatically per line.</t>
  </si>
  <si>
    <t xml:space="preserve">Reserved Capacity Break-Even</t>
  </si>
  <si>
    <t xml:space="preserve">Model whether a commitment discount pays off at your measured utilization rate, before you sign it.</t>
  </si>
  <si>
    <t xml:space="preserve">Showback / Chargeback</t>
  </si>
  <si>
    <t xml:space="preserve">Track tagged spend by team against total spend, and the untagged gap nobody currently owns.</t>
  </si>
  <si>
    <t xml:space="preserve">Maturity Assessment</t>
  </si>
  <si>
    <t xml:space="preserve">The same six FinOps Foundation domains as the in-browser calculator, scored here for your own record.</t>
  </si>
  <si>
    <t xml:space="preserve">Savings Opportunity Log</t>
  </si>
  <si>
    <t xml:space="preserve">Every identified saving, whether it's been actioned, and who owns it. The list that makes a rightsizing effort a practice instead of a memory.</t>
  </si>
  <si>
    <t xml:space="preserve">Legend</t>
  </si>
  <si>
    <t xml:space="preserve">Blue text</t>
  </si>
  <si>
    <t xml:space="preserve">A cell you fill in</t>
  </si>
  <si>
    <t xml:space="preserve">Black text</t>
  </si>
  <si>
    <t xml:space="preserve">A formula; don't overwrite</t>
  </si>
  <si>
    <t xml:space="preserve">Yellow fill</t>
  </si>
  <si>
    <t xml:space="preserve">Example row, replace with your own data</t>
  </si>
  <si>
    <t xml:space="preserve">Source</t>
  </si>
  <si>
    <t xml:space="preserve">Phases, maturity stages, and FOCUS references are drawn from the FinOps Foundation's published framework (finops.org). Figures below are illustrative examples for you to overwrite.</t>
  </si>
  <si>
    <t xml:space="preserve">Resources flagged as oversized or idle. Savings and percent reduction calculate automatically.</t>
  </si>
  <si>
    <t xml:space="preserve">Resource</t>
  </si>
  <si>
    <t xml:space="preserve">Environment</t>
  </si>
  <si>
    <t xml:space="preserve">Current Monthly Cost</t>
  </si>
  <si>
    <t xml:space="preserve">Right-Sized Monthly Cost</t>
  </si>
  <si>
    <t xml:space="preserve">Monthly Savings</t>
  </si>
  <si>
    <t xml:space="preserve">% Reduction</t>
  </si>
  <si>
    <t xml:space="preserve">Status</t>
  </si>
  <si>
    <t xml:space="preserve">prod-api-cluster-03</t>
  </si>
  <si>
    <t xml:space="preserve">Production</t>
  </si>
  <si>
    <t xml:space="preserve">Actioned</t>
  </si>
  <si>
    <t xml:space="preserve">staging-web-01 through 12</t>
  </si>
  <si>
    <t xml:space="preserve">Staging</t>
  </si>
  <si>
    <t xml:space="preserve">analytics-batch-nodes</t>
  </si>
  <si>
    <t xml:space="preserve">In progress</t>
  </si>
  <si>
    <t xml:space="preserve">dev-sandbox-pool</t>
  </si>
  <si>
    <t xml:space="preserve">Dev</t>
  </si>
  <si>
    <t xml:space="preserve">Not started</t>
  </si>
  <si>
    <t xml:space="preserve">Total</t>
  </si>
  <si>
    <t xml:space="preserve">Annualized savings</t>
  </si>
  <si>
    <t xml:space="preserve">Model whether a commitment discount pays off at your actual utilization before signing it.</t>
  </si>
  <si>
    <t xml:space="preserve">Workload</t>
  </si>
  <si>
    <t xml:space="preserve">On-Demand Monthly Rate</t>
  </si>
  <si>
    <t xml:space="preserve">Commitment Discount %</t>
  </si>
  <si>
    <t xml:space="preserve">Break-Even Utilization %</t>
  </si>
  <si>
    <t xml:space="preserve">Actual Utilization %</t>
  </si>
  <si>
    <t xml:space="preserve">Net Monthly Savings</t>
  </si>
  <si>
    <t xml:space="preserve">Core compute fleet</t>
  </si>
  <si>
    <t xml:space="preserve">Database tier</t>
  </si>
  <si>
    <t xml:space="preserve">Batch processing pool</t>
  </si>
  <si>
    <t xml:space="preserve">If measured utilization is below the break-even line, the commitment is currently losing money versus paying on-demand for only what's used. Revisit before renewal, not after.</t>
  </si>
  <si>
    <t xml:space="preserve">Tagged spend by team against total spend. The untagged gap is what governance is failing to attribute.</t>
  </si>
  <si>
    <t xml:space="preserve">Team</t>
  </si>
  <si>
    <t xml:space="preserve">Tagged Spend</t>
  </si>
  <si>
    <t xml:space="preserve">% of Total Spend</t>
  </si>
  <si>
    <t xml:space="preserve">Allocation Method</t>
  </si>
  <si>
    <t xml:space="preserve">Notes</t>
  </si>
  <si>
    <t xml:space="preserve">Platform</t>
  </si>
  <si>
    <t xml:space="preserve">Showback</t>
  </si>
  <si>
    <t xml:space="preserve">Direct tagging, high confidence</t>
  </si>
  <si>
    <t xml:space="preserve">Payments</t>
  </si>
  <si>
    <t xml:space="preserve">Chargeback</t>
  </si>
  <si>
    <t xml:space="preserve">Growth</t>
  </si>
  <si>
    <t xml:space="preserve">Partial tagging, shared services split proportionally</t>
  </si>
  <si>
    <t xml:space="preserve">Data</t>
  </si>
  <si>
    <t xml:space="preserve">Untagged / Unattributed</t>
  </si>
  <si>
    <t xml:space="preserve">None</t>
  </si>
  <si>
    <t xml:space="preserve">Owner unknown; investigate before next review</t>
  </si>
  <si>
    <t xml:space="preserve">FinOps Maturity Assessment</t>
  </si>
  <si>
    <t xml:space="preserve">The same six FinOps Foundation domains as the in-browser calculator on the page. Score 1 to 5 each.</t>
  </si>
  <si>
    <t xml:space="preserve">Domain</t>
  </si>
  <si>
    <t xml:space="preserve">Score (1-5)</t>
  </si>
  <si>
    <t xml:space="preserve">Cost allocation &amp; tagging</t>
  </si>
  <si>
    <t xml:space="preserve">Tagging enforced at creation for new resources; legacy backlog not yet remediated</t>
  </si>
  <si>
    <t xml:space="preserve">Rate optimization</t>
  </si>
  <si>
    <t xml:space="preserve">Reserved capacity laddered; savings plans reviewed quarterly</t>
  </si>
  <si>
    <t xml:space="preserve">Anomaly management</t>
  </si>
  <si>
    <t xml:space="preserve">No automated detection yet; caught manually during monthly review</t>
  </si>
  <si>
    <t xml:space="preserve">Forecasting &amp; budgeting</t>
  </si>
  <si>
    <t xml:space="preserve">Budgets set annually and never revisited when actuals drift</t>
  </si>
  <si>
    <t xml:space="preserve">Unit economics</t>
  </si>
  <si>
    <t xml:space="preserve">Cost per customer tracked for one product line only</t>
  </si>
  <si>
    <t xml:space="preserve">Governance &amp; accountability</t>
  </si>
  <si>
    <t xml:space="preserve">Showback running; chargeback not yet trusted enough to activate</t>
  </si>
  <si>
    <t xml:space="preserve">Average score</t>
  </si>
  <si>
    <t xml:space="preserve">Stage (Crawl &lt;2.5, Walk 2.5-4.0, Run &gt;=4.0)</t>
  </si>
  <si>
    <t xml:space="preserve">Effective stage (allocation below 3 caps the stage at Crawl)</t>
  </si>
  <si>
    <t xml:space="preserve">Every identified saving, actioned or not. This is what makes a rightsizing sweep a practice instead of a memory.</t>
  </si>
  <si>
    <t xml:space="preserve">Finding</t>
  </si>
  <si>
    <t xml:space="preserve">Category</t>
  </si>
  <si>
    <t xml:space="preserve">Est. Annual Savings</t>
  </si>
  <si>
    <t xml:space="preserve">Owner</t>
  </si>
  <si>
    <t xml:space="preserve">Oversized prod API cluster</t>
  </si>
  <si>
    <t xml:space="preserve">Rightsizing</t>
  </si>
  <si>
    <t xml:space="preserve">Platform team</t>
  </si>
  <si>
    <t xml:space="preserve">See Rightsizing Tracker</t>
  </si>
  <si>
    <t xml:space="preserve">Tagging</t>
  </si>
  <si>
    <t xml:space="preserve">FinOps lead</t>
  </si>
  <si>
    <t xml:space="preserve">Root cause: shared services not split correctly</t>
  </si>
  <si>
    <t xml:space="preserve">Idle staging environments overnight</t>
  </si>
  <si>
    <t xml:space="preserve">Scheduling</t>
  </si>
  <si>
    <t xml:space="preserve">Automated shutdown policy proposed, not yet approved</t>
  </si>
  <si>
    <t xml:space="preserve">Database reserved capacity underutilized</t>
  </si>
  <si>
    <t xml:space="preserve">Data team</t>
  </si>
  <si>
    <t xml:space="preserve">See Reserved Capacity Break-Even tab</t>
  </si>
  <si>
    <t xml:space="preserve">Total identified</t>
  </si>
  <si>
    <t xml:space="preserve">Actioned to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</si>
</sst>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1E1B"/>
      <name val="Arial"/>
      <family val="0"/>
      <charset val="1"/>
    </font>
    <font>
      <i val="true"/>
      <sz val="10"/>
      <color rgb="FF52564F"/>
      <name val="Arial"/>
      <family val="0"/>
      <charset val="1"/>
    </font>
    <font>
      <b val="true"/>
      <sz val="12"/>
      <color rgb="FF2E5E4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2E5E4E"/>
        <bgColor rgb="FF52564F"/>
      </patternFill>
    </fill>
    <fill>
      <patternFill patternType="solid">
        <fgColor rgb="FFE4EDE8"/>
        <bgColor rgb="FFDCDA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AD2"/>
      </left>
      <right style="thin">
        <color rgb="FFDCDAD2"/>
      </right>
      <top style="thin">
        <color rgb="FFDCDAD2"/>
      </top>
      <bottom style="thin">
        <color rgb="FFDCDA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5E4E"/>
      <rgbColor rgb="FFC0C0C0"/>
      <rgbColor rgb="FF808080"/>
      <rgbColor rgb="FF9999FF"/>
      <rgbColor rgb="FF993366"/>
      <rgbColor rgb="FFFFFFCC"/>
      <rgbColor rgb="FFE4EDE8"/>
      <rgbColor rgb="FF660066"/>
      <rgbColor rgb="FFFF8080"/>
      <rgbColor rgb="FF0066CC"/>
      <rgbColor rgb="FFDCDA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64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E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</cols>
  <sheetData>
    <row r="1" customFormat="false" ht="19.5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15.75" hidden="false" customHeight="true" outlineLevel="0" collapsed="false">
      <c r="A4" s="3" t="s">
        <v>2</v>
      </c>
      <c r="B4" s="3"/>
    </row>
    <row r="6" customFormat="false" ht="30" hidden="false" customHeight="true" outlineLevel="0" collapsed="false">
      <c r="A6" s="4" t="s">
        <v>3</v>
      </c>
      <c r="B6" s="5" t="s">
        <v>4</v>
      </c>
    </row>
    <row r="7" customFormat="false" ht="30" hidden="false" customHeight="true" outlineLevel="0" collapsed="false">
      <c r="A7" s="4" t="s">
        <v>5</v>
      </c>
      <c r="B7" s="5" t="s">
        <v>6</v>
      </c>
    </row>
    <row r="8" customFormat="false" ht="30" hidden="false" customHeight="true" outlineLevel="0" collapsed="false">
      <c r="A8" s="4" t="s">
        <v>7</v>
      </c>
      <c r="B8" s="5" t="s">
        <v>8</v>
      </c>
    </row>
    <row r="9" customFormat="false" ht="30" hidden="false" customHeight="true" outlineLevel="0" collapsed="false">
      <c r="A9" s="4" t="s">
        <v>9</v>
      </c>
      <c r="B9" s="5" t="s">
        <v>10</v>
      </c>
    </row>
    <row r="10" customFormat="false" ht="30" hidden="false" customHeight="true" outlineLevel="0" collapsed="false">
      <c r="A10" s="4" t="s">
        <v>11</v>
      </c>
      <c r="B10" s="5" t="s">
        <v>12</v>
      </c>
    </row>
    <row r="12" customFormat="false" ht="15.75" hidden="false" customHeight="true" outlineLevel="0" collapsed="false">
      <c r="A12" s="3" t="s">
        <v>13</v>
      </c>
      <c r="B12" s="3"/>
    </row>
    <row r="14" customFormat="false" ht="15" hidden="false" customHeight="false" outlineLevel="0" collapsed="false">
      <c r="A14" s="6" t="s">
        <v>14</v>
      </c>
      <c r="B14" s="7" t="s">
        <v>15</v>
      </c>
    </row>
    <row r="15" customFormat="false" ht="15" hidden="false" customHeight="false" outlineLevel="0" collapsed="false">
      <c r="A15" s="4" t="s">
        <v>16</v>
      </c>
      <c r="B15" s="7" t="s">
        <v>17</v>
      </c>
    </row>
    <row r="16" customFormat="false" ht="15" hidden="false" customHeight="false" outlineLevel="0" collapsed="false">
      <c r="A16" s="8" t="s">
        <v>18</v>
      </c>
      <c r="B16" s="7" t="s">
        <v>19</v>
      </c>
    </row>
    <row r="19" customFormat="false" ht="15.75" hidden="false" customHeight="true" outlineLevel="0" collapsed="false">
      <c r="A19" s="9" t="s">
        <v>20</v>
      </c>
    </row>
    <row r="20" customFormat="false" ht="23.25" hidden="false" customHeight="true" outlineLevel="0" collapsed="false">
      <c r="A20" s="10" t="s">
        <v>21</v>
      </c>
      <c r="B20" s="10"/>
    </row>
  </sheetData>
  <mergeCells count="5">
    <mergeCell ref="A1:B1"/>
    <mergeCell ref="A2:B2"/>
    <mergeCell ref="A4:B4"/>
    <mergeCell ref="A12:B12"/>
    <mergeCell ref="A20:B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19.5" hidden="false" customHeight="true" outlineLevel="0" collapsed="false">
      <c r="A1" s="1" t="s">
        <v>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22</v>
      </c>
      <c r="B2" s="2"/>
      <c r="C2" s="2"/>
      <c r="D2" s="2"/>
      <c r="E2" s="2"/>
      <c r="F2" s="2"/>
      <c r="G2" s="2"/>
    </row>
    <row r="4" customFormat="false" ht="27.75" hidden="false" customHeight="true" outlineLevel="0" collapsed="false">
      <c r="A4" s="11" t="s">
        <v>23</v>
      </c>
      <c r="B4" s="11" t="s">
        <v>24</v>
      </c>
      <c r="C4" s="11" t="s">
        <v>25</v>
      </c>
      <c r="D4" s="11" t="s">
        <v>26</v>
      </c>
      <c r="E4" s="11" t="s">
        <v>27</v>
      </c>
      <c r="F4" s="11" t="s">
        <v>28</v>
      </c>
      <c r="G4" s="11" t="s">
        <v>29</v>
      </c>
    </row>
    <row r="5" customFormat="false" ht="15" hidden="false" customHeight="false" outlineLevel="0" collapsed="false">
      <c r="A5" s="12" t="s">
        <v>30</v>
      </c>
      <c r="B5" s="12" t="s">
        <v>31</v>
      </c>
      <c r="C5" s="13" t="n">
        <v>4200</v>
      </c>
      <c r="D5" s="13" t="n">
        <v>2800</v>
      </c>
      <c r="E5" s="14" t="n">
        <f aca="false">C5-D5</f>
        <v>1400</v>
      </c>
      <c r="F5" s="15" t="n">
        <f aca="false">IFERROR(E5/C5,0)</f>
        <v>0.333333333333333</v>
      </c>
      <c r="G5" s="12" t="s">
        <v>32</v>
      </c>
    </row>
    <row r="6" customFormat="false" ht="15" hidden="false" customHeight="false" outlineLevel="0" collapsed="false">
      <c r="A6" s="12" t="s">
        <v>33</v>
      </c>
      <c r="B6" s="12" t="s">
        <v>34</v>
      </c>
      <c r="C6" s="13" t="n">
        <v>3100</v>
      </c>
      <c r="D6" s="13" t="n">
        <v>900</v>
      </c>
      <c r="E6" s="14" t="n">
        <f aca="false">C6-D6</f>
        <v>2200</v>
      </c>
      <c r="F6" s="15" t="n">
        <f aca="false">IFERROR(E6/C6,0)</f>
        <v>0.709677419354839</v>
      </c>
      <c r="G6" s="12" t="s">
        <v>32</v>
      </c>
    </row>
    <row r="7" customFormat="false" ht="15" hidden="false" customHeight="false" outlineLevel="0" collapsed="false">
      <c r="A7" s="12" t="s">
        <v>35</v>
      </c>
      <c r="B7" s="12" t="s">
        <v>31</v>
      </c>
      <c r="C7" s="13" t="n">
        <v>6800</v>
      </c>
      <c r="D7" s="13" t="n">
        <v>4900</v>
      </c>
      <c r="E7" s="14" t="n">
        <f aca="false">C7-D7</f>
        <v>1900</v>
      </c>
      <c r="F7" s="15" t="n">
        <f aca="false">IFERROR(E7/C7,0)</f>
        <v>0.279411764705882</v>
      </c>
      <c r="G7" s="12" t="s">
        <v>36</v>
      </c>
    </row>
    <row r="8" customFormat="false" ht="15" hidden="false" customHeight="false" outlineLevel="0" collapsed="false">
      <c r="A8" s="12" t="s">
        <v>37</v>
      </c>
      <c r="B8" s="12" t="s">
        <v>38</v>
      </c>
      <c r="C8" s="13" t="n">
        <v>1400</v>
      </c>
      <c r="D8" s="13" t="n">
        <v>350</v>
      </c>
      <c r="E8" s="14" t="n">
        <f aca="false">C8-D8</f>
        <v>1050</v>
      </c>
      <c r="F8" s="15" t="n">
        <f aca="false">IFERROR(E8/C8,0)</f>
        <v>0.75</v>
      </c>
      <c r="G8" s="12" t="s">
        <v>39</v>
      </c>
    </row>
    <row r="9" customFormat="false" ht="15" hidden="false" customHeight="false" outlineLevel="0" collapsed="false">
      <c r="A9" s="16"/>
      <c r="B9" s="16"/>
      <c r="C9" s="16"/>
      <c r="D9" s="16"/>
      <c r="E9" s="14" t="n">
        <f aca="false">C9-D9</f>
        <v>0</v>
      </c>
      <c r="F9" s="15" t="n">
        <f aca="false">IFERROR(E9/C9,0)</f>
        <v>0</v>
      </c>
      <c r="G9" s="16"/>
    </row>
    <row r="10" customFormat="false" ht="15" hidden="false" customHeight="false" outlineLevel="0" collapsed="false">
      <c r="A10" s="16"/>
      <c r="B10" s="16"/>
      <c r="C10" s="16"/>
      <c r="D10" s="16"/>
      <c r="E10" s="14" t="n">
        <f aca="false">C10-D10</f>
        <v>0</v>
      </c>
      <c r="F10" s="15" t="n">
        <f aca="false">IFERROR(E10/C10,0)</f>
        <v>0</v>
      </c>
      <c r="G10" s="16"/>
    </row>
    <row r="11" customFormat="false" ht="15" hidden="false" customHeight="false" outlineLevel="0" collapsed="false">
      <c r="A11" s="16"/>
      <c r="B11" s="16"/>
      <c r="C11" s="16"/>
      <c r="D11" s="16"/>
      <c r="E11" s="14" t="n">
        <f aca="false">C11-D11</f>
        <v>0</v>
      </c>
      <c r="F11" s="15" t="n">
        <f aca="false">IFERROR(E11/C11,0)</f>
        <v>0</v>
      </c>
      <c r="G11" s="16"/>
    </row>
    <row r="12" customFormat="false" ht="15" hidden="false" customHeight="false" outlineLevel="0" collapsed="false">
      <c r="A12" s="16"/>
      <c r="B12" s="16"/>
      <c r="C12" s="16"/>
      <c r="D12" s="16"/>
      <c r="E12" s="14" t="n">
        <f aca="false">C12-D12</f>
        <v>0</v>
      </c>
      <c r="F12" s="15" t="n">
        <f aca="false">IFERROR(E12/C12,0)</f>
        <v>0</v>
      </c>
      <c r="G12" s="16"/>
    </row>
    <row r="13" customFormat="false" ht="15" hidden="false" customHeight="false" outlineLevel="0" collapsed="false">
      <c r="A13" s="17" t="s">
        <v>40</v>
      </c>
      <c r="B13" s="18"/>
      <c r="C13" s="19" t="n">
        <f aca="false">SUM(C5:C12)</f>
        <v>15500</v>
      </c>
      <c r="D13" s="19" t="n">
        <f aca="false">SUM(D5:D12)</f>
        <v>8950</v>
      </c>
      <c r="E13" s="19" t="n">
        <f aca="false">SUM(E5:E12)</f>
        <v>6550</v>
      </c>
      <c r="F13" s="20" t="n">
        <f aca="false">IFERROR(E13/C13,0)</f>
        <v>0.42258064516129</v>
      </c>
      <c r="G13" s="18"/>
    </row>
    <row r="14" customFormat="false" ht="15" hidden="false" customHeight="false" outlineLevel="0" collapsed="false">
      <c r="A14" s="17" t="s">
        <v>41</v>
      </c>
      <c r="E14" s="19" t="n">
        <f aca="false">E13*12</f>
        <v>78600</v>
      </c>
    </row>
  </sheetData>
  <mergeCells count="2">
    <mergeCell ref="A1:G1"/>
    <mergeCell ref="A2:G2"/>
  </mergeCells>
  <dataValidations count="2">
    <dataValidation allowBlank="true" errorStyle="stop" operator="between" showDropDown="false" showErrorMessage="true" showInputMessage="false" sqref="G5:G12" type="list">
      <formula1>"Actioned,In progress,Not started"</formula1>
      <formula2>0</formula2>
    </dataValidation>
    <dataValidation allowBlank="true" error="Enter a cost of zero or more." errorStyle="stop" operator="greaterThanOrEqual" showDropDown="false" showErrorMessage="true" showInputMessage="false" sqref="C5:D1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6" min="5" style="0" width="16"/>
  </cols>
  <sheetData>
    <row r="1" customFormat="false" ht="19.5" hidden="false" customHeight="true" outlineLevel="0" collapsed="false">
      <c r="A1" s="1" t="s">
        <v>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42</v>
      </c>
      <c r="B2" s="2"/>
      <c r="C2" s="2"/>
      <c r="D2" s="2"/>
      <c r="E2" s="2"/>
      <c r="F2" s="2"/>
      <c r="G2" s="2"/>
    </row>
    <row r="4" customFormat="false" ht="27.75" hidden="false" customHeight="true" outlineLevel="0" collapsed="false">
      <c r="A4" s="11" t="s">
        <v>43</v>
      </c>
      <c r="B4" s="11" t="s">
        <v>44</v>
      </c>
      <c r="C4" s="11" t="s">
        <v>45</v>
      </c>
      <c r="D4" s="11" t="s">
        <v>46</v>
      </c>
      <c r="E4" s="11" t="s">
        <v>47</v>
      </c>
      <c r="F4" s="11" t="s">
        <v>48</v>
      </c>
    </row>
    <row r="5" customFormat="false" ht="15" hidden="false" customHeight="false" outlineLevel="0" collapsed="false">
      <c r="A5" s="12" t="s">
        <v>49</v>
      </c>
      <c r="B5" s="13" t="n">
        <v>50000</v>
      </c>
      <c r="C5" s="21" t="n">
        <v>0.35</v>
      </c>
      <c r="D5" s="15" t="n">
        <f aca="false">IF(B5=0,"",1-C5)</f>
        <v>0.65</v>
      </c>
      <c r="E5" s="21" t="n">
        <v>0.78</v>
      </c>
      <c r="F5" s="14" t="n">
        <f aca="false">IF(B5=0,"",(B5*E5)-(B5*(1-C5)))</f>
        <v>6500</v>
      </c>
    </row>
    <row r="6" customFormat="false" ht="15" hidden="false" customHeight="false" outlineLevel="0" collapsed="false">
      <c r="A6" s="12" t="s">
        <v>50</v>
      </c>
      <c r="B6" s="13" t="n">
        <v>22000</v>
      </c>
      <c r="C6" s="21" t="n">
        <v>0.28</v>
      </c>
      <c r="D6" s="15" t="n">
        <f aca="false">IF(B6=0,"",1-C6)</f>
        <v>0.72</v>
      </c>
      <c r="E6" s="21" t="n">
        <v>0.55</v>
      </c>
      <c r="F6" s="14" t="n">
        <f aca="false">IF(B6=0,"",(B6*E6)-(B6*(1-C6)))</f>
        <v>-3740</v>
      </c>
    </row>
    <row r="7" customFormat="false" ht="15" hidden="false" customHeight="false" outlineLevel="0" collapsed="false">
      <c r="A7" s="12" t="s">
        <v>51</v>
      </c>
      <c r="B7" s="13" t="n">
        <v>15000</v>
      </c>
      <c r="C7" s="21" t="n">
        <v>0.4</v>
      </c>
      <c r="D7" s="15" t="n">
        <f aca="false">IF(B7=0,"",1-C7)</f>
        <v>0.6</v>
      </c>
      <c r="E7" s="21" t="n">
        <v>0.68</v>
      </c>
      <c r="F7" s="14" t="n">
        <f aca="false">IF(B7=0,"",(B7*E7)-(B7*(1-C7)))</f>
        <v>1200</v>
      </c>
    </row>
    <row r="8" customFormat="false" ht="15" hidden="false" customHeight="false" outlineLevel="0" collapsed="false">
      <c r="A8" s="16"/>
      <c r="B8" s="16"/>
      <c r="C8" s="16"/>
      <c r="D8" s="15" t="str">
        <f aca="false">IF(B8=0,"",1-C8)</f>
        <v/>
      </c>
      <c r="E8" s="16"/>
      <c r="F8" s="14" t="str">
        <f aca="false">IF(B8=0,"",(B8*E8)-(B8*(1-C8)))</f>
        <v/>
      </c>
    </row>
    <row r="9" customFormat="false" ht="15" hidden="false" customHeight="false" outlineLevel="0" collapsed="false">
      <c r="A9" s="16"/>
      <c r="B9" s="16"/>
      <c r="C9" s="16"/>
      <c r="D9" s="15" t="str">
        <f aca="false">IF(B9=0,"",1-C9)</f>
        <v/>
      </c>
      <c r="E9" s="16"/>
      <c r="F9" s="14" t="str">
        <f aca="false">IF(B9=0,"",(B9*E9)-(B9*(1-C9)))</f>
        <v/>
      </c>
    </row>
    <row r="10" customFormat="false" ht="15" hidden="false" customHeight="false" outlineLevel="0" collapsed="false">
      <c r="A10" s="16"/>
      <c r="B10" s="16"/>
      <c r="C10" s="16"/>
      <c r="D10" s="15" t="str">
        <f aca="false">IF(B10=0,"",1-C10)</f>
        <v/>
      </c>
      <c r="E10" s="16"/>
      <c r="F10" s="14" t="str">
        <f aca="false">IF(B10=0,"",(B10*E10)-(B10*(1-C10)))</f>
        <v/>
      </c>
    </row>
    <row r="12" customFormat="false" ht="23.25" hidden="false" customHeight="true" outlineLevel="0" collapsed="false">
      <c r="A12" s="22" t="s">
        <v>52</v>
      </c>
      <c r="B12" s="22"/>
      <c r="C12" s="22"/>
      <c r="D12" s="22"/>
      <c r="E12" s="22"/>
      <c r="F12" s="22"/>
    </row>
  </sheetData>
  <mergeCells count="3">
    <mergeCell ref="A1:G1"/>
    <mergeCell ref="A2:G2"/>
    <mergeCell ref="A12:F12"/>
  </mergeCells>
  <dataValidations count="2">
    <dataValidation allowBlank="true" error="Enter the discount as a percentage between 0 and 100." errorStyle="stop" operator="between" showDropDown="false" showErrorMessage="true" showInputMessage="false" sqref="C5:C10" type="decimal">
      <formula1>0</formula1>
      <formula2>1</formula2>
    </dataValidation>
    <dataValidation allowBlank="true" error="Enter utilization as a percentage between 0 and 100." errorStyle="stop" operator="between" showDropDown="false" showErrorMessage="true" showInputMessage="false" sqref="E5:E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8"/>
  </cols>
  <sheetData>
    <row r="1" customFormat="false" ht="19.5" hidden="false" customHeight="true" outlineLevel="0" collapsed="false">
      <c r="A1" s="1" t="s">
        <v>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</row>
    <row r="5" customFormat="false" ht="28.5" hidden="false" customHeight="true" outlineLevel="0" collapsed="false">
      <c r="A5" s="12" t="s">
        <v>59</v>
      </c>
      <c r="B5" s="13" t="n">
        <v>380000</v>
      </c>
      <c r="C5" s="15" t="n">
        <f aca="false">IFERROR(B5/SUM($B$5:$B$9),0)</f>
        <v>0.428410372040586</v>
      </c>
      <c r="D5" s="12" t="s">
        <v>60</v>
      </c>
      <c r="E5" s="23" t="s">
        <v>61</v>
      </c>
    </row>
    <row r="6" customFormat="false" ht="28.5" hidden="false" customHeight="true" outlineLevel="0" collapsed="false">
      <c r="A6" s="12" t="s">
        <v>62</v>
      </c>
      <c r="B6" s="13" t="n">
        <v>210000</v>
      </c>
      <c r="C6" s="15" t="n">
        <f aca="false">IFERROR(B6/SUM($B$5:$B$9),0)</f>
        <v>0.236753100338219</v>
      </c>
      <c r="D6" s="12" t="s">
        <v>63</v>
      </c>
      <c r="E6" s="23" t="s">
        <v>61</v>
      </c>
    </row>
    <row r="7" customFormat="false" ht="42.75" hidden="false" customHeight="true" outlineLevel="0" collapsed="false">
      <c r="A7" s="12" t="s">
        <v>64</v>
      </c>
      <c r="B7" s="13" t="n">
        <v>95000</v>
      </c>
      <c r="C7" s="15" t="n">
        <f aca="false">IFERROR(B7/SUM($B$5:$B$9),0)</f>
        <v>0.107102593010147</v>
      </c>
      <c r="D7" s="12" t="s">
        <v>60</v>
      </c>
      <c r="E7" s="23" t="s">
        <v>65</v>
      </c>
    </row>
    <row r="8" customFormat="false" ht="28.5" hidden="false" customHeight="true" outlineLevel="0" collapsed="false">
      <c r="A8" s="12" t="s">
        <v>66</v>
      </c>
      <c r="B8" s="13" t="n">
        <v>140000</v>
      </c>
      <c r="C8" s="15" t="n">
        <f aca="false">IFERROR(B8/SUM($B$5:$B$9),0)</f>
        <v>0.157835400225479</v>
      </c>
      <c r="D8" s="12" t="s">
        <v>60</v>
      </c>
      <c r="E8" s="23" t="s">
        <v>61</v>
      </c>
    </row>
    <row r="9" customFormat="false" ht="42.75" hidden="false" customHeight="true" outlineLevel="0" collapsed="false">
      <c r="A9" s="12" t="s">
        <v>67</v>
      </c>
      <c r="B9" s="13" t="n">
        <v>62000</v>
      </c>
      <c r="C9" s="15" t="n">
        <f aca="false">IFERROR(B9/SUM($B$5:$B$9),0)</f>
        <v>0.0698985343855693</v>
      </c>
      <c r="D9" s="12" t="s">
        <v>68</v>
      </c>
      <c r="E9" s="23" t="s">
        <v>69</v>
      </c>
    </row>
    <row r="10" customFormat="false" ht="15" hidden="false" customHeight="false" outlineLevel="0" collapsed="false">
      <c r="A10" s="17" t="s">
        <v>40</v>
      </c>
      <c r="B10" s="19" t="n">
        <f aca="false">SUM(B5:B9)</f>
        <v>887000</v>
      </c>
      <c r="C10" s="20" t="n">
        <f aca="false">SUM(C5:C9)</f>
        <v>1</v>
      </c>
      <c r="D10" s="18"/>
      <c r="E10" s="18"/>
    </row>
  </sheetData>
  <mergeCells count="2">
    <mergeCell ref="A1:G1"/>
    <mergeCell ref="A2:G2"/>
  </mergeCells>
  <dataValidations count="1">
    <dataValidation allowBlank="true" errorStyle="stop" operator="between" showDropDown="false" showErrorMessage="true" showInputMessage="false" sqref="D5:D9" type="list">
      <formula1>"Showback,Chargeback,None"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19.5" hidden="false" customHeight="true" outlineLevel="0" collapsed="false">
      <c r="A1" s="1" t="s">
        <v>70</v>
      </c>
      <c r="B1" s="1"/>
      <c r="C1" s="1"/>
    </row>
    <row r="2" customFormat="false" ht="15" hidden="false" customHeight="false" outlineLevel="0" collapsed="false">
      <c r="A2" s="2" t="s">
        <v>71</v>
      </c>
      <c r="B2" s="2"/>
      <c r="C2" s="2"/>
    </row>
    <row r="4" customFormat="false" ht="15" hidden="false" customHeight="false" outlineLevel="0" collapsed="false">
      <c r="A4" s="11" t="s">
        <v>72</v>
      </c>
      <c r="B4" s="11" t="s">
        <v>73</v>
      </c>
      <c r="C4" s="11" t="s">
        <v>58</v>
      </c>
    </row>
    <row r="5" customFormat="false" ht="27.75" hidden="false" customHeight="true" outlineLevel="0" collapsed="false">
      <c r="A5" s="12" t="s">
        <v>74</v>
      </c>
      <c r="B5" s="24" t="n">
        <v>3</v>
      </c>
      <c r="C5" s="23" t="s">
        <v>75</v>
      </c>
    </row>
    <row r="6" customFormat="false" ht="27.75" hidden="false" customHeight="true" outlineLevel="0" collapsed="false">
      <c r="A6" s="12" t="s">
        <v>76</v>
      </c>
      <c r="B6" s="24" t="n">
        <v>4</v>
      </c>
      <c r="C6" s="23" t="s">
        <v>77</v>
      </c>
    </row>
    <row r="7" customFormat="false" ht="27.75" hidden="false" customHeight="true" outlineLevel="0" collapsed="false">
      <c r="A7" s="12" t="s">
        <v>78</v>
      </c>
      <c r="B7" s="24" t="n">
        <v>2</v>
      </c>
      <c r="C7" s="23" t="s">
        <v>79</v>
      </c>
    </row>
    <row r="8" customFormat="false" ht="27.75" hidden="false" customHeight="true" outlineLevel="0" collapsed="false">
      <c r="A8" s="12" t="s">
        <v>80</v>
      </c>
      <c r="B8" s="24" t="n">
        <v>3</v>
      </c>
      <c r="C8" s="23" t="s">
        <v>81</v>
      </c>
    </row>
    <row r="9" customFormat="false" ht="27.75" hidden="false" customHeight="true" outlineLevel="0" collapsed="false">
      <c r="A9" s="12" t="s">
        <v>82</v>
      </c>
      <c r="B9" s="24" t="n">
        <v>2</v>
      </c>
      <c r="C9" s="23" t="s">
        <v>83</v>
      </c>
    </row>
    <row r="10" customFormat="false" ht="27.75" hidden="false" customHeight="true" outlineLevel="0" collapsed="false">
      <c r="A10" s="12" t="s">
        <v>84</v>
      </c>
      <c r="B10" s="24" t="n">
        <v>3</v>
      </c>
      <c r="C10" s="23" t="s">
        <v>85</v>
      </c>
    </row>
    <row r="12" customFormat="false" ht="15" hidden="false" customHeight="false" outlineLevel="0" collapsed="false">
      <c r="A12" s="17" t="s">
        <v>86</v>
      </c>
      <c r="B12" s="25" t="n">
        <f aca="false">AVERAGE(B5:B10)</f>
        <v>2.83333333333333</v>
      </c>
    </row>
    <row r="13" customFormat="false" ht="15" hidden="false" customHeight="false" outlineLevel="0" collapsed="false">
      <c r="A13" s="7" t="s">
        <v>87</v>
      </c>
      <c r="B13" s="4" t="str">
        <f aca="false">IF(B12&lt;2.5,"Crawl",IF(B12&lt;4,"Walk","Run"))</f>
        <v>Walk</v>
      </c>
    </row>
    <row r="14" customFormat="false" ht="15" hidden="false" customHeight="false" outlineLevel="0" collapsed="false">
      <c r="A14" s="7" t="s">
        <v>88</v>
      </c>
      <c r="B14" s="4" t="str">
        <f aca="false">IF(AND(B5&lt;3,B13&lt;&gt;"Crawl"),"Crawl",B13)</f>
        <v>Walk</v>
      </c>
    </row>
  </sheetData>
  <mergeCells count="2">
    <mergeCell ref="A1:C1"/>
    <mergeCell ref="A2:C2"/>
  </mergeCells>
  <dataValidations count="1">
    <dataValidation allowBlank="true" error="Score 1 to 5." errorStyle="stop" operator="between" showDropDown="false" showErrorMessage="true" showInputMessage="false" sqref="B5:B1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6"/>
  </cols>
  <sheetData>
    <row r="1" customFormat="false" ht="19.5" hidden="false" customHeight="true" outlineLevel="0" collapsed="false">
      <c r="A1" s="1" t="s">
        <v>11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89</v>
      </c>
      <c r="B2" s="2"/>
      <c r="C2" s="2"/>
      <c r="D2" s="2"/>
      <c r="E2" s="2"/>
      <c r="F2" s="2"/>
      <c r="G2" s="2"/>
    </row>
    <row r="4" customFormat="false" ht="27.75" hidden="false" customHeight="true" outlineLevel="0" collapsed="false">
      <c r="A4" s="11" t="s">
        <v>90</v>
      </c>
      <c r="B4" s="11" t="s">
        <v>91</v>
      </c>
      <c r="C4" s="11" t="s">
        <v>92</v>
      </c>
      <c r="D4" s="11" t="s">
        <v>29</v>
      </c>
      <c r="E4" s="11" t="s">
        <v>93</v>
      </c>
      <c r="F4" s="11" t="s">
        <v>58</v>
      </c>
    </row>
    <row r="5" customFormat="false" ht="15" hidden="false" customHeight="false" outlineLevel="0" collapsed="false">
      <c r="A5" s="12" t="s">
        <v>94</v>
      </c>
      <c r="B5" s="12" t="s">
        <v>95</v>
      </c>
      <c r="C5" s="13" t="n">
        <f aca="false">'Rightsizing Tracker'!E5*12</f>
        <v>16800</v>
      </c>
      <c r="D5" s="12" t="s">
        <v>32</v>
      </c>
      <c r="E5" s="12" t="s">
        <v>96</v>
      </c>
      <c r="F5" s="23" t="s">
        <v>97</v>
      </c>
    </row>
    <row r="6" customFormat="false" ht="28.5" hidden="false" customHeight="true" outlineLevel="0" collapsed="false">
      <c r="A6" s="12" t="str">
        <f aca="false">"Untagged spend, "&amp;TEXT('Showback-Chargeback'!C9,"0.0%")&amp;" of total"</f>
        <v>Untagged spend, 7.0% of total</v>
      </c>
      <c r="B6" s="12" t="s">
        <v>98</v>
      </c>
      <c r="C6" s="13" t="n">
        <v>74000</v>
      </c>
      <c r="D6" s="12" t="s">
        <v>36</v>
      </c>
      <c r="E6" s="12" t="s">
        <v>99</v>
      </c>
      <c r="F6" s="23" t="s">
        <v>100</v>
      </c>
    </row>
    <row r="7" customFormat="false" ht="28.5" hidden="false" customHeight="true" outlineLevel="0" collapsed="false">
      <c r="A7" s="12" t="s">
        <v>101</v>
      </c>
      <c r="B7" s="12" t="s">
        <v>102</v>
      </c>
      <c r="C7" s="13" t="n">
        <v>27000</v>
      </c>
      <c r="D7" s="12" t="s">
        <v>39</v>
      </c>
      <c r="E7" s="12" t="s">
        <v>96</v>
      </c>
      <c r="F7" s="23" t="s">
        <v>103</v>
      </c>
    </row>
    <row r="8" customFormat="false" ht="28.5" hidden="false" customHeight="true" outlineLevel="0" collapsed="false">
      <c r="A8" s="12" t="s">
        <v>104</v>
      </c>
      <c r="B8" s="12" t="s">
        <v>76</v>
      </c>
      <c r="C8" s="13" t="n">
        <f aca="false">MAX(0,-'Reserved Capacity Break-Even'!F6*12)</f>
        <v>44880</v>
      </c>
      <c r="D8" s="12" t="s">
        <v>39</v>
      </c>
      <c r="E8" s="12" t="s">
        <v>105</v>
      </c>
      <c r="F8" s="23" t="s">
        <v>106</v>
      </c>
    </row>
    <row r="9" customFormat="false" ht="15" hidden="false" customHeight="false" outlineLevel="0" collapsed="false">
      <c r="A9" s="16"/>
      <c r="B9" s="16"/>
      <c r="C9" s="16"/>
      <c r="D9" s="16"/>
      <c r="E9" s="16"/>
      <c r="F9" s="16"/>
    </row>
    <row r="10" customFormat="false" ht="15" hidden="false" customHeight="false" outlineLevel="0" collapsed="false">
      <c r="A10" s="16"/>
      <c r="B10" s="16"/>
      <c r="C10" s="16"/>
      <c r="D10" s="16"/>
      <c r="E10" s="16"/>
      <c r="F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</row>
    <row r="13" customFormat="false" ht="15" hidden="false" customHeight="false" outlineLevel="0" collapsed="false">
      <c r="A13" s="17" t="s">
        <v>107</v>
      </c>
      <c r="B13" s="18"/>
      <c r="C13" s="19" t="n">
        <f aca="false">SUM(C5:C12)</f>
        <v>162680</v>
      </c>
      <c r="D13" s="18"/>
      <c r="E13" s="18"/>
      <c r="F13" s="18"/>
    </row>
    <row r="14" customFormat="false" ht="15" hidden="false" customHeight="false" outlineLevel="0" collapsed="false">
      <c r="A14" s="17" t="s">
        <v>108</v>
      </c>
      <c r="C14" s="19" t="n">
        <f aca="false">SUMIF(D5:D12,"Actioned",C5:C12)</f>
        <v>16800</v>
      </c>
    </row>
  </sheetData>
  <mergeCells count="2">
    <mergeCell ref="A1:G1"/>
    <mergeCell ref="A2:G2"/>
  </mergeCells>
  <dataValidations count="1">
    <dataValidation allowBlank="true" errorStyle="stop" operator="between" showDropDown="false" showErrorMessage="true" showInputMessage="false" sqref="D5:D12" type="list">
      <formula1>"Actioned,In progress,Not started"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2026-08-30T14:12:39Z</dcterms:created>
  <dc:creator>KF</dc:creator>
  <dc:description/>
  <dc:language>en-US</dc:language>
  <cp:lastModifiedBy>Kevin Forbes</cp:lastModifiedBy>
  <dcterms:modified xsi:type="dcterms:W3CDTF">2026-09-24T18:23:06Z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