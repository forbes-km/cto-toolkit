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kevinforbes/Downloads/cto-toolkit-main/tools/cloud-cost-management/"/>
    </mc:Choice>
  </mc:AlternateContent>
  <xr:revisionPtr revIDLastSave="0" documentId="13_ncr:1_{5EAABBC2-4334-7B40-A0A5-19450CD1493E}" xr6:coauthVersionLast="47" xr6:coauthVersionMax="47" xr10:uidLastSave="{00000000-0000-0000-0000-000000000000}"/>
  <bookViews>
    <workbookView xWindow="0" yWindow="780" windowWidth="16380" windowHeight="8200" tabRatio="500" xr2:uid="{00000000-000D-0000-FFFF-FFFF00000000}"/>
  </bookViews>
  <sheets>
    <sheet name="Instructions" sheetId="1" r:id="rId1"/>
    <sheet name="Rightsizing Tracker" sheetId="2" r:id="rId2"/>
    <sheet name="Reserved Capacity Break-Even" sheetId="3" r:id="rId3"/>
    <sheet name="Showback-Chargeback" sheetId="4" r:id="rId4"/>
    <sheet name="Maturity Assessment" sheetId="5" r:id="rId5"/>
    <sheet name="Savings Opportunity Lo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6" l="1"/>
  <c r="B12" i="5"/>
  <c r="B13" i="5" s="1"/>
  <c r="B10" i="4"/>
  <c r="C9" i="4"/>
  <c r="C8" i="4"/>
  <c r="C7" i="4"/>
  <c r="C6" i="4"/>
  <c r="C5" i="4"/>
  <c r="C10" i="4" s="1"/>
  <c r="F10" i="3"/>
  <c r="D10" i="3"/>
  <c r="F9" i="3"/>
  <c r="D9" i="3"/>
  <c r="F8" i="3"/>
  <c r="D8" i="3"/>
  <c r="F7" i="3"/>
  <c r="D7" i="3"/>
  <c r="F6" i="3"/>
  <c r="D6" i="3"/>
  <c r="F5" i="3"/>
  <c r="D5" i="3"/>
  <c r="D13" i="2"/>
  <c r="C13" i="2"/>
  <c r="F12" i="2"/>
  <c r="E12" i="2"/>
  <c r="E11" i="2"/>
  <c r="F11" i="2" s="1"/>
  <c r="E10" i="2"/>
  <c r="F10" i="2" s="1"/>
  <c r="E9" i="2"/>
  <c r="F9" i="2" s="1"/>
  <c r="F8" i="2"/>
  <c r="E8" i="2"/>
  <c r="E13" i="2" s="1"/>
  <c r="F7" i="2"/>
  <c r="E7" i="2"/>
  <c r="E6" i="2"/>
  <c r="F6" i="2" s="1"/>
  <c r="E5" i="2"/>
  <c r="F5" i="2" s="1"/>
</calcChain>
</file>

<file path=xl/sharedStrings.xml><?xml version="1.0" encoding="utf-8"?>
<sst xmlns="http://schemas.openxmlformats.org/spreadsheetml/2006/main" count="127" uniqueCount="107">
  <si>
    <t>Cloud FinOps Workbook</t>
  </si>
  <si>
    <t>Companion workbook to the Cloud FinOps page. Fill in blue cells; everything else calculates.</t>
  </si>
  <si>
    <t>How to use this workbook</t>
  </si>
  <si>
    <t>Rightsizing Tracker</t>
  </si>
  <si>
    <t>Log oversized or idle resources found during a rightsizing sweep. Savings calculate automatically per line.</t>
  </si>
  <si>
    <t>Reserved Capacity Break-Even</t>
  </si>
  <si>
    <t>Model whether a commitment discount pays off at your measured utilization rate, before you sign it.</t>
  </si>
  <si>
    <t>Showback / Chargeback</t>
  </si>
  <si>
    <t>Track tagged spend by team against total spend, and the untagged gap nobody currently owns.</t>
  </si>
  <si>
    <t>Maturity Assessment</t>
  </si>
  <si>
    <t>The same six FinOps Foundation domains as the in-browser calculator, scored here for your own record.</t>
  </si>
  <si>
    <t>Savings Opportunity Log</t>
  </si>
  <si>
    <t>Every identified saving, whether it's been actioned, and who owns it. The list that makes a rightsizing effort a practice instead of a memory.</t>
  </si>
  <si>
    <t>Legend</t>
  </si>
  <si>
    <t>Blue text</t>
  </si>
  <si>
    <t>A cell you fill in</t>
  </si>
  <si>
    <t>Black text</t>
  </si>
  <si>
    <t>A formula; don't overwrite</t>
  </si>
  <si>
    <t>Yellow fill</t>
  </si>
  <si>
    <t>Example row, replace with your own data</t>
  </si>
  <si>
    <t>Source</t>
  </si>
  <si>
    <t>Phases, maturity stages, and FOCUS references are drawn from the FinOps Foundation's published framework (finops.org). Figures below are illustrative examples for you to overwrite.</t>
  </si>
  <si>
    <t>Resources flagged as oversized or idle. Savings and percent reduction calculate automatically.</t>
  </si>
  <si>
    <t>Resource</t>
  </si>
  <si>
    <t>Environment</t>
  </si>
  <si>
    <t>Current Monthly Cost</t>
  </si>
  <si>
    <t>Right-Sized Monthly Cost</t>
  </si>
  <si>
    <t>Monthly Savings</t>
  </si>
  <si>
    <t>% Reduction</t>
  </si>
  <si>
    <t>Status</t>
  </si>
  <si>
    <t>prod-api-cluster-03</t>
  </si>
  <si>
    <t>Production</t>
  </si>
  <si>
    <t>Actioned</t>
  </si>
  <si>
    <t>staging-web-01 through 12</t>
  </si>
  <si>
    <t>Staging</t>
  </si>
  <si>
    <t>analytics-batch-nodes</t>
  </si>
  <si>
    <t>In progress</t>
  </si>
  <si>
    <t>dev-sandbox-pool</t>
  </si>
  <si>
    <t>Dev</t>
  </si>
  <si>
    <t>Not started</t>
  </si>
  <si>
    <t>Total</t>
  </si>
  <si>
    <t>Model whether a commitment discount pays off at your actual utilization before signing it.</t>
  </si>
  <si>
    <t>Workload</t>
  </si>
  <si>
    <t>On-Demand Monthly Rate</t>
  </si>
  <si>
    <t>Commitment Discount %</t>
  </si>
  <si>
    <t>Break-Even Utilization %</t>
  </si>
  <si>
    <t>Actual Utilization %</t>
  </si>
  <si>
    <t>Net Monthly Savings</t>
  </si>
  <si>
    <t>Core compute fleet</t>
  </si>
  <si>
    <t>Database tier</t>
  </si>
  <si>
    <t>Batch processing pool</t>
  </si>
  <si>
    <t>If measured utilization is below the break-even line, the commitment is currently losing money versus paying on-demand for only what's used. Revisit before renewal, not after.</t>
  </si>
  <si>
    <t>Tagged spend by team against total spend. The untagged gap is what governance is failing to attribute.</t>
  </si>
  <si>
    <t>Team</t>
  </si>
  <si>
    <t>Tagged Spend</t>
  </si>
  <si>
    <t>% of Total Spend</t>
  </si>
  <si>
    <t>Allocation Method</t>
  </si>
  <si>
    <t>Notes</t>
  </si>
  <si>
    <t>Platform</t>
  </si>
  <si>
    <t>Showback</t>
  </si>
  <si>
    <t>Direct tagging, high confidence</t>
  </si>
  <si>
    <t>Payments</t>
  </si>
  <si>
    <t>Chargeback</t>
  </si>
  <si>
    <t>Growth</t>
  </si>
  <si>
    <t>Partial tagging, shared services split proportionally</t>
  </si>
  <si>
    <t>Data</t>
  </si>
  <si>
    <t>Untagged / Unattributed</t>
  </si>
  <si>
    <t>None</t>
  </si>
  <si>
    <t>Owner unknown; investigate before next review</t>
  </si>
  <si>
    <t>FinOps Maturity Assessment</t>
  </si>
  <si>
    <t>The same six FinOps Foundation domains as the in-browser calculator on the page. Score 1 to 5 each.</t>
  </si>
  <si>
    <t>Domain</t>
  </si>
  <si>
    <t>Score (1-5)</t>
  </si>
  <si>
    <t>Cost allocation &amp; tagging</t>
  </si>
  <si>
    <t>Tagging enforced at creation for new resources; legacy backlog not yet remediated</t>
  </si>
  <si>
    <t>Rate optimization</t>
  </si>
  <si>
    <t>Reserved capacity laddered; savings plans reviewed quarterly</t>
  </si>
  <si>
    <t>Anomaly management</t>
  </si>
  <si>
    <t>No automated detection yet; caught manually during monthly review</t>
  </si>
  <si>
    <t>Forecasting &amp; budgeting</t>
  </si>
  <si>
    <t>Budgets set annually and never revisited when actuals drift</t>
  </si>
  <si>
    <t>Unit economics</t>
  </si>
  <si>
    <t>Cost per customer tracked for one product line only</t>
  </si>
  <si>
    <t>Governance &amp; accountability</t>
  </si>
  <si>
    <t>Showback running; chargeback not yet trusted enough to activate</t>
  </si>
  <si>
    <t>Average score</t>
  </si>
  <si>
    <t>Stage (Crawl &lt;2.5, Walk 2.5-4.0, Run &gt;=4.0)</t>
  </si>
  <si>
    <t>Every identified saving, actioned or not. This is what makes a rightsizing sweep a practice instead of a memory.</t>
  </si>
  <si>
    <t>Finding</t>
  </si>
  <si>
    <t>Category</t>
  </si>
  <si>
    <t>Est. Annual Savings</t>
  </si>
  <si>
    <t>Owner</t>
  </si>
  <si>
    <t>Oversized prod API cluster</t>
  </si>
  <si>
    <t>Rightsizing</t>
  </si>
  <si>
    <t>Platform team</t>
  </si>
  <si>
    <t>See Rightsizing Tracker</t>
  </si>
  <si>
    <t>Untagged spend, 6.2% of total</t>
  </si>
  <si>
    <t>Tagging</t>
  </si>
  <si>
    <t>FinOps lead</t>
  </si>
  <si>
    <t>Root cause: shared services not split correctly</t>
  </si>
  <si>
    <t>Idle staging environments overnight</t>
  </si>
  <si>
    <t>Scheduling</t>
  </si>
  <si>
    <t>Automated shutdown policy proposed, not yet approved</t>
  </si>
  <si>
    <t>Database reserved capacity underutilized</t>
  </si>
  <si>
    <t>Data team</t>
  </si>
  <si>
    <t>See Reserved Capacity Break-Even tab</t>
  </si>
  <si>
    <t>Total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</si>
</sst>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;\(0.0%\);\-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6"/>
      <color rgb="FF1C1E1B"/>
      <name val="Arial"/>
      <charset val="1"/>
    </font>
    <font>
      <i/>
      <sz val="10"/>
      <color rgb="FF52564F"/>
      <name val="Arial"/>
      <charset val="1"/>
    </font>
    <font>
      <b/>
      <sz val="12"/>
      <color rgb="FF2E5E4E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2E5E4E"/>
        <bgColor rgb="FF52564F"/>
      </patternFill>
    </fill>
    <fill>
      <patternFill patternType="solid">
        <fgColor rgb="FFE4EDE8"/>
        <bgColor rgb="FFDCDAD2"/>
      </patternFill>
    </fill>
  </fills>
  <borders count="2">
    <border>
      <left/>
      <right/>
      <top/>
      <bottom/>
      <diagonal/>
    </border>
    <border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4" fillId="2" borderId="0" xfId="0" applyFont="1" applyFill="1"/>
    <xf numFmtId="0" fontId="7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164" fontId="8" fillId="2" borderId="1" xfId="0" applyNumberFormat="1" applyFont="1" applyFill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/>
    <xf numFmtId="164" fontId="4" fillId="4" borderId="1" xfId="0" applyNumberFormat="1" applyFont="1" applyFill="1" applyBorder="1"/>
    <xf numFmtId="165" fontId="8" fillId="2" borderId="1" xfId="0" applyNumberFormat="1" applyFont="1" applyFill="1" applyBorder="1"/>
    <xf numFmtId="0" fontId="8" fillId="2" borderId="1" xfId="0" applyFont="1" applyFill="1" applyBorder="1" applyAlignment="1">
      <alignment wrapText="1"/>
    </xf>
    <xf numFmtId="165" fontId="4" fillId="4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166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FFFCC"/>
      <rgbColor rgb="FFE4EDE8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Normal="100" workbookViewId="0">
      <selection sqref="A1:B1"/>
    </sheetView>
  </sheetViews>
  <sheetFormatPr baseColWidth="10" defaultColWidth="8.6640625" defaultRowHeight="15" x14ac:dyDescent="0.2"/>
  <cols>
    <col min="1" max="1" width="26" customWidth="1"/>
    <col min="2" max="2" width="90" customWidth="1"/>
  </cols>
  <sheetData>
    <row r="1" spans="1:2" ht="20" x14ac:dyDescent="0.2">
      <c r="A1" s="5" t="s">
        <v>0</v>
      </c>
      <c r="B1" s="5"/>
    </row>
    <row r="2" spans="1:2" x14ac:dyDescent="0.2">
      <c r="A2" s="4" t="s">
        <v>1</v>
      </c>
      <c r="B2" s="4"/>
    </row>
    <row r="4" spans="1:2" ht="16" x14ac:dyDescent="0.2">
      <c r="A4" s="3" t="s">
        <v>2</v>
      </c>
      <c r="B4" s="3"/>
    </row>
    <row r="6" spans="1:2" ht="30" customHeight="1" x14ac:dyDescent="0.2">
      <c r="A6" s="7" t="s">
        <v>3</v>
      </c>
      <c r="B6" s="8" t="s">
        <v>4</v>
      </c>
    </row>
    <row r="7" spans="1:2" ht="30" customHeight="1" x14ac:dyDescent="0.2">
      <c r="A7" s="7" t="s">
        <v>5</v>
      </c>
      <c r="B7" s="8" t="s">
        <v>6</v>
      </c>
    </row>
    <row r="8" spans="1:2" ht="30" customHeight="1" x14ac:dyDescent="0.2">
      <c r="A8" s="7" t="s">
        <v>7</v>
      </c>
      <c r="B8" s="8" t="s">
        <v>8</v>
      </c>
    </row>
    <row r="9" spans="1:2" ht="30" customHeight="1" x14ac:dyDescent="0.2">
      <c r="A9" s="7" t="s">
        <v>9</v>
      </c>
      <c r="B9" s="8" t="s">
        <v>10</v>
      </c>
    </row>
    <row r="10" spans="1:2" ht="30" customHeight="1" x14ac:dyDescent="0.2">
      <c r="A10" s="7" t="s">
        <v>11</v>
      </c>
      <c r="B10" s="8" t="s">
        <v>12</v>
      </c>
    </row>
    <row r="12" spans="1:2" ht="16" x14ac:dyDescent="0.2">
      <c r="A12" s="3" t="s">
        <v>13</v>
      </c>
      <c r="B12" s="3"/>
    </row>
    <row r="14" spans="1:2" x14ac:dyDescent="0.2">
      <c r="A14" s="9" t="s">
        <v>14</v>
      </c>
      <c r="B14" s="10" t="s">
        <v>15</v>
      </c>
    </row>
    <row r="15" spans="1:2" x14ac:dyDescent="0.2">
      <c r="A15" s="7" t="s">
        <v>16</v>
      </c>
      <c r="B15" s="10" t="s">
        <v>17</v>
      </c>
    </row>
    <row r="16" spans="1:2" x14ac:dyDescent="0.2">
      <c r="A16" s="11" t="s">
        <v>18</v>
      </c>
      <c r="B16" s="10" t="s">
        <v>19</v>
      </c>
    </row>
    <row r="19" spans="1:2" ht="16" x14ac:dyDescent="0.2">
      <c r="A19" s="6" t="s">
        <v>20</v>
      </c>
    </row>
    <row r="20" spans="1:2" ht="23.75" customHeight="1" x14ac:dyDescent="0.2">
      <c r="A20" s="2" t="s">
        <v>21</v>
      </c>
      <c r="B20" s="2"/>
    </row>
  </sheetData>
  <mergeCells count="5">
    <mergeCell ref="A1:B1"/>
    <mergeCell ref="A2:B2"/>
    <mergeCell ref="A4:B4"/>
    <mergeCell ref="A12:B12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4" customWidth="1"/>
    <col min="3" max="4" width="16" customWidth="1"/>
    <col min="5" max="5" width="15" customWidth="1"/>
    <col min="6" max="6" width="14" customWidth="1"/>
    <col min="7" max="7" width="16" customWidth="1"/>
  </cols>
  <sheetData>
    <row r="1" spans="1:7" ht="20" x14ac:dyDescent="0.2">
      <c r="A1" s="5" t="s">
        <v>3</v>
      </c>
      <c r="B1" s="5"/>
      <c r="C1" s="5"/>
      <c r="D1" s="5"/>
      <c r="E1" s="5"/>
      <c r="F1" s="5"/>
      <c r="G1" s="5"/>
    </row>
    <row r="2" spans="1:7" x14ac:dyDescent="0.2">
      <c r="A2" s="4" t="s">
        <v>22</v>
      </c>
      <c r="B2" s="4"/>
      <c r="C2" s="4"/>
      <c r="D2" s="4"/>
      <c r="E2" s="4"/>
      <c r="F2" s="4"/>
      <c r="G2" s="4"/>
    </row>
    <row r="4" spans="1:7" ht="28" x14ac:dyDescent="0.2">
      <c r="A4" s="12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2" t="s">
        <v>29</v>
      </c>
    </row>
    <row r="5" spans="1:7" x14ac:dyDescent="0.2">
      <c r="A5" s="13" t="s">
        <v>30</v>
      </c>
      <c r="B5" s="13" t="s">
        <v>31</v>
      </c>
      <c r="C5" s="14">
        <v>4200</v>
      </c>
      <c r="D5" s="14">
        <v>2800</v>
      </c>
      <c r="E5" s="15">
        <f t="shared" ref="E5:E12" si="0">C5-D5</f>
        <v>1400</v>
      </c>
      <c r="F5" s="16">
        <f t="shared" ref="F5:F12" si="1">IFERROR(E5/C5,0)</f>
        <v>0.33333333333333331</v>
      </c>
      <c r="G5" s="13" t="s">
        <v>32</v>
      </c>
    </row>
    <row r="6" spans="1:7" x14ac:dyDescent="0.2">
      <c r="A6" s="13" t="s">
        <v>33</v>
      </c>
      <c r="B6" s="13" t="s">
        <v>34</v>
      </c>
      <c r="C6" s="14">
        <v>3100</v>
      </c>
      <c r="D6" s="14">
        <v>900</v>
      </c>
      <c r="E6" s="15">
        <f t="shared" si="0"/>
        <v>2200</v>
      </c>
      <c r="F6" s="16">
        <f t="shared" si="1"/>
        <v>0.70967741935483875</v>
      </c>
      <c r="G6" s="13" t="s">
        <v>32</v>
      </c>
    </row>
    <row r="7" spans="1:7" x14ac:dyDescent="0.2">
      <c r="A7" s="13" t="s">
        <v>35</v>
      </c>
      <c r="B7" s="13" t="s">
        <v>31</v>
      </c>
      <c r="C7" s="14">
        <v>6800</v>
      </c>
      <c r="D7" s="14">
        <v>4900</v>
      </c>
      <c r="E7" s="15">
        <f t="shared" si="0"/>
        <v>1900</v>
      </c>
      <c r="F7" s="16">
        <f t="shared" si="1"/>
        <v>0.27941176470588236</v>
      </c>
      <c r="G7" s="13" t="s">
        <v>36</v>
      </c>
    </row>
    <row r="8" spans="1:7" x14ac:dyDescent="0.2">
      <c r="A8" s="13" t="s">
        <v>37</v>
      </c>
      <c r="B8" s="13" t="s">
        <v>38</v>
      </c>
      <c r="C8" s="14">
        <v>1400</v>
      </c>
      <c r="D8" s="14">
        <v>350</v>
      </c>
      <c r="E8" s="15">
        <f t="shared" si="0"/>
        <v>1050</v>
      </c>
      <c r="F8" s="16">
        <f t="shared" si="1"/>
        <v>0.75</v>
      </c>
      <c r="G8" s="13" t="s">
        <v>39</v>
      </c>
    </row>
    <row r="9" spans="1:7" x14ac:dyDescent="0.2">
      <c r="A9" s="17"/>
      <c r="B9" s="17"/>
      <c r="C9" s="17"/>
      <c r="D9" s="17"/>
      <c r="E9" s="15">
        <f t="shared" si="0"/>
        <v>0</v>
      </c>
      <c r="F9" s="16">
        <f t="shared" si="1"/>
        <v>0</v>
      </c>
      <c r="G9" s="17"/>
    </row>
    <row r="10" spans="1:7" x14ac:dyDescent="0.2">
      <c r="A10" s="17"/>
      <c r="B10" s="17"/>
      <c r="C10" s="17"/>
      <c r="D10" s="17"/>
      <c r="E10" s="15">
        <f t="shared" si="0"/>
        <v>0</v>
      </c>
      <c r="F10" s="16">
        <f t="shared" si="1"/>
        <v>0</v>
      </c>
      <c r="G10" s="17"/>
    </row>
    <row r="11" spans="1:7" x14ac:dyDescent="0.2">
      <c r="A11" s="17"/>
      <c r="B11" s="17"/>
      <c r="C11" s="17"/>
      <c r="D11" s="17"/>
      <c r="E11" s="15">
        <f t="shared" si="0"/>
        <v>0</v>
      </c>
      <c r="F11" s="16">
        <f t="shared" si="1"/>
        <v>0</v>
      </c>
      <c r="G11" s="17"/>
    </row>
    <row r="12" spans="1:7" x14ac:dyDescent="0.2">
      <c r="A12" s="17"/>
      <c r="B12" s="17"/>
      <c r="C12" s="17"/>
      <c r="D12" s="17"/>
      <c r="E12" s="15">
        <f t="shared" si="0"/>
        <v>0</v>
      </c>
      <c r="F12" s="16">
        <f t="shared" si="1"/>
        <v>0</v>
      </c>
      <c r="G12" s="17"/>
    </row>
    <row r="13" spans="1:7" x14ac:dyDescent="0.2">
      <c r="A13" s="18" t="s">
        <v>40</v>
      </c>
      <c r="B13" s="19"/>
      <c r="C13" s="20">
        <f>SUM(C5:C12)</f>
        <v>15500</v>
      </c>
      <c r="D13" s="20">
        <f>SUM(D5:D12)</f>
        <v>8950</v>
      </c>
      <c r="E13" s="20">
        <f>SUM(E5:E12)</f>
        <v>6550</v>
      </c>
      <c r="F13" s="19"/>
      <c r="G13" s="1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6" customWidth="1"/>
    <col min="3" max="4" width="18" customWidth="1"/>
    <col min="5" max="6" width="16" customWidth="1"/>
  </cols>
  <sheetData>
    <row r="1" spans="1:7" ht="20" x14ac:dyDescent="0.2">
      <c r="A1" s="5" t="s">
        <v>5</v>
      </c>
      <c r="B1" s="5"/>
      <c r="C1" s="5"/>
      <c r="D1" s="5"/>
      <c r="E1" s="5"/>
      <c r="F1" s="5"/>
      <c r="G1" s="5"/>
    </row>
    <row r="2" spans="1:7" x14ac:dyDescent="0.2">
      <c r="A2" s="4" t="s">
        <v>41</v>
      </c>
      <c r="B2" s="4"/>
      <c r="C2" s="4"/>
      <c r="D2" s="4"/>
      <c r="E2" s="4"/>
      <c r="F2" s="4"/>
      <c r="G2" s="4"/>
    </row>
    <row r="4" spans="1:7" ht="28" x14ac:dyDescent="0.2">
      <c r="A4" s="12" t="s">
        <v>42</v>
      </c>
      <c r="B4" s="12" t="s">
        <v>43</v>
      </c>
      <c r="C4" s="12" t="s">
        <v>44</v>
      </c>
      <c r="D4" s="12" t="s">
        <v>45</v>
      </c>
      <c r="E4" s="12" t="s">
        <v>46</v>
      </c>
      <c r="F4" s="12" t="s">
        <v>47</v>
      </c>
    </row>
    <row r="5" spans="1:7" x14ac:dyDescent="0.2">
      <c r="A5" s="13" t="s">
        <v>48</v>
      </c>
      <c r="B5" s="14">
        <v>50000</v>
      </c>
      <c r="C5" s="21">
        <v>0.35</v>
      </c>
      <c r="D5" s="16">
        <f t="shared" ref="D5:D10" si="0">IF(B5=0,"",1-C5)</f>
        <v>0.65</v>
      </c>
      <c r="E5" s="21">
        <v>0.78</v>
      </c>
      <c r="F5" s="15">
        <f t="shared" ref="F5:F10" si="1">IF(B5=0,"",(B5*E5)-(B5*(1-C5)))</f>
        <v>6500</v>
      </c>
    </row>
    <row r="6" spans="1:7" x14ac:dyDescent="0.2">
      <c r="A6" s="13" t="s">
        <v>49</v>
      </c>
      <c r="B6" s="14">
        <v>22000</v>
      </c>
      <c r="C6" s="21">
        <v>0.28000000000000003</v>
      </c>
      <c r="D6" s="16">
        <f t="shared" si="0"/>
        <v>0.72</v>
      </c>
      <c r="E6" s="21">
        <v>0.55000000000000004</v>
      </c>
      <c r="F6" s="15">
        <f t="shared" si="1"/>
        <v>-3739.9999999999982</v>
      </c>
    </row>
    <row r="7" spans="1:7" x14ac:dyDescent="0.2">
      <c r="A7" s="13" t="s">
        <v>50</v>
      </c>
      <c r="B7" s="14">
        <v>15000</v>
      </c>
      <c r="C7" s="21">
        <v>0.4</v>
      </c>
      <c r="D7" s="16">
        <f t="shared" si="0"/>
        <v>0.6</v>
      </c>
      <c r="E7" s="21">
        <v>0.68</v>
      </c>
      <c r="F7" s="15">
        <f t="shared" si="1"/>
        <v>1200</v>
      </c>
    </row>
    <row r="8" spans="1:7" x14ac:dyDescent="0.2">
      <c r="A8" s="17"/>
      <c r="B8" s="17"/>
      <c r="C8" s="17"/>
      <c r="D8" s="16" t="str">
        <f t="shared" si="0"/>
        <v/>
      </c>
      <c r="E8" s="17"/>
      <c r="F8" s="15" t="str">
        <f t="shared" si="1"/>
        <v/>
      </c>
    </row>
    <row r="9" spans="1:7" x14ac:dyDescent="0.2">
      <c r="A9" s="17"/>
      <c r="B9" s="17"/>
      <c r="C9" s="17"/>
      <c r="D9" s="16" t="str">
        <f t="shared" si="0"/>
        <v/>
      </c>
      <c r="E9" s="17"/>
      <c r="F9" s="15" t="str">
        <f t="shared" si="1"/>
        <v/>
      </c>
    </row>
    <row r="10" spans="1:7" x14ac:dyDescent="0.2">
      <c r="A10" s="17"/>
      <c r="B10" s="17"/>
      <c r="C10" s="17"/>
      <c r="D10" s="16" t="str">
        <f t="shared" si="0"/>
        <v/>
      </c>
      <c r="E10" s="17"/>
      <c r="F10" s="15" t="str">
        <f t="shared" si="1"/>
        <v/>
      </c>
    </row>
    <row r="12" spans="1:7" ht="23.75" customHeight="1" x14ac:dyDescent="0.2">
      <c r="A12" s="1" t="s">
        <v>51</v>
      </c>
      <c r="B12" s="1"/>
      <c r="C12" s="1"/>
      <c r="D12" s="1"/>
      <c r="E12" s="1"/>
      <c r="F12" s="1"/>
    </row>
  </sheetData>
  <mergeCells count="3">
    <mergeCell ref="A1:G1"/>
    <mergeCell ref="A2:G2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8" customWidth="1"/>
    <col min="3" max="4" width="16" customWidth="1"/>
    <col min="5" max="5" width="18" customWidth="1"/>
  </cols>
  <sheetData>
    <row r="1" spans="1:7" ht="20" x14ac:dyDescent="0.2">
      <c r="A1" s="5" t="s">
        <v>7</v>
      </c>
      <c r="B1" s="5"/>
      <c r="C1" s="5"/>
      <c r="D1" s="5"/>
      <c r="E1" s="5"/>
      <c r="F1" s="5"/>
      <c r="G1" s="5"/>
    </row>
    <row r="2" spans="1:7" x14ac:dyDescent="0.2">
      <c r="A2" s="4" t="s">
        <v>52</v>
      </c>
      <c r="B2" s="4"/>
      <c r="C2" s="4"/>
      <c r="D2" s="4"/>
      <c r="E2" s="4"/>
      <c r="F2" s="4"/>
      <c r="G2" s="4"/>
    </row>
    <row r="4" spans="1:7" x14ac:dyDescent="0.2">
      <c r="A4" s="12" t="s">
        <v>53</v>
      </c>
      <c r="B4" s="12" t="s">
        <v>54</v>
      </c>
      <c r="C4" s="12" t="s">
        <v>55</v>
      </c>
      <c r="D4" s="12" t="s">
        <v>56</v>
      </c>
      <c r="E4" s="12" t="s">
        <v>57</v>
      </c>
    </row>
    <row r="5" spans="1:7" ht="29" x14ac:dyDescent="0.2">
      <c r="A5" s="13" t="s">
        <v>58</v>
      </c>
      <c r="B5" s="14">
        <v>380000</v>
      </c>
      <c r="C5" s="16">
        <f>B5/SUM($B$5:$B$9)</f>
        <v>0.42841037204058624</v>
      </c>
      <c r="D5" s="13" t="s">
        <v>59</v>
      </c>
      <c r="E5" s="22" t="s">
        <v>60</v>
      </c>
    </row>
    <row r="6" spans="1:7" ht="29" x14ac:dyDescent="0.2">
      <c r="A6" s="13" t="s">
        <v>61</v>
      </c>
      <c r="B6" s="14">
        <v>210000</v>
      </c>
      <c r="C6" s="16">
        <f>B6/SUM($B$5:$B$9)</f>
        <v>0.23675310033821872</v>
      </c>
      <c r="D6" s="13" t="s">
        <v>62</v>
      </c>
      <c r="E6" s="22" t="s">
        <v>60</v>
      </c>
    </row>
    <row r="7" spans="1:7" ht="43" x14ac:dyDescent="0.2">
      <c r="A7" s="13" t="s">
        <v>63</v>
      </c>
      <c r="B7" s="14">
        <v>95000</v>
      </c>
      <c r="C7" s="16">
        <f>B7/SUM($B$5:$B$9)</f>
        <v>0.10710259301014656</v>
      </c>
      <c r="D7" s="13" t="s">
        <v>59</v>
      </c>
      <c r="E7" s="22" t="s">
        <v>64</v>
      </c>
    </row>
    <row r="8" spans="1:7" ht="29" x14ac:dyDescent="0.2">
      <c r="A8" s="13" t="s">
        <v>65</v>
      </c>
      <c r="B8" s="14">
        <v>140000</v>
      </c>
      <c r="C8" s="16">
        <f>B8/SUM($B$5:$B$9)</f>
        <v>0.15783540022547915</v>
      </c>
      <c r="D8" s="13" t="s">
        <v>59</v>
      </c>
      <c r="E8" s="22" t="s">
        <v>60</v>
      </c>
    </row>
    <row r="9" spans="1:7" ht="43" x14ac:dyDescent="0.2">
      <c r="A9" s="13" t="s">
        <v>66</v>
      </c>
      <c r="B9" s="14">
        <v>62000</v>
      </c>
      <c r="C9" s="16">
        <f>B9/SUM($B$5:$B$9)</f>
        <v>6.9898534385569339E-2</v>
      </c>
      <c r="D9" s="13" t="s">
        <v>67</v>
      </c>
      <c r="E9" s="22" t="s">
        <v>68</v>
      </c>
    </row>
    <row r="10" spans="1:7" x14ac:dyDescent="0.2">
      <c r="A10" s="18" t="s">
        <v>40</v>
      </c>
      <c r="B10" s="20">
        <f>SUM(B5:B9)</f>
        <v>887000</v>
      </c>
      <c r="C10" s="23">
        <f>SUM(C5:C9)</f>
        <v>1</v>
      </c>
      <c r="D10" s="19"/>
      <c r="E10" s="1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2" width="12" customWidth="1"/>
    <col min="3" max="3" width="40" customWidth="1"/>
  </cols>
  <sheetData>
    <row r="1" spans="1:3" ht="20" x14ac:dyDescent="0.2">
      <c r="A1" s="5" t="s">
        <v>69</v>
      </c>
      <c r="B1" s="5"/>
      <c r="C1" s="5"/>
    </row>
    <row r="2" spans="1:3" x14ac:dyDescent="0.2">
      <c r="A2" s="4" t="s">
        <v>70</v>
      </c>
      <c r="B2" s="4"/>
      <c r="C2" s="4"/>
    </row>
    <row r="4" spans="1:3" x14ac:dyDescent="0.2">
      <c r="A4" s="12" t="s">
        <v>71</v>
      </c>
      <c r="B4" s="12" t="s">
        <v>72</v>
      </c>
      <c r="C4" s="12" t="s">
        <v>57</v>
      </c>
    </row>
    <row r="5" spans="1:3" ht="27.75" customHeight="1" x14ac:dyDescent="0.2">
      <c r="A5" s="13" t="s">
        <v>73</v>
      </c>
      <c r="B5" s="24">
        <v>3</v>
      </c>
      <c r="C5" s="22" t="s">
        <v>74</v>
      </c>
    </row>
    <row r="6" spans="1:3" ht="27.75" customHeight="1" x14ac:dyDescent="0.2">
      <c r="A6" s="13" t="s">
        <v>75</v>
      </c>
      <c r="B6" s="24">
        <v>4</v>
      </c>
      <c r="C6" s="22" t="s">
        <v>76</v>
      </c>
    </row>
    <row r="7" spans="1:3" ht="27.75" customHeight="1" x14ac:dyDescent="0.2">
      <c r="A7" s="13" t="s">
        <v>77</v>
      </c>
      <c r="B7" s="24">
        <v>2</v>
      </c>
      <c r="C7" s="22" t="s">
        <v>78</v>
      </c>
    </row>
    <row r="8" spans="1:3" ht="27.75" customHeight="1" x14ac:dyDescent="0.2">
      <c r="A8" s="13" t="s">
        <v>79</v>
      </c>
      <c r="B8" s="24">
        <v>3</v>
      </c>
      <c r="C8" s="22" t="s">
        <v>80</v>
      </c>
    </row>
    <row r="9" spans="1:3" ht="27.75" customHeight="1" x14ac:dyDescent="0.2">
      <c r="A9" s="13" t="s">
        <v>81</v>
      </c>
      <c r="B9" s="24">
        <v>2</v>
      </c>
      <c r="C9" s="22" t="s">
        <v>82</v>
      </c>
    </row>
    <row r="10" spans="1:3" ht="27.75" customHeight="1" x14ac:dyDescent="0.2">
      <c r="A10" s="13" t="s">
        <v>83</v>
      </c>
      <c r="B10" s="24">
        <v>3</v>
      </c>
      <c r="C10" s="22" t="s">
        <v>84</v>
      </c>
    </row>
    <row r="12" spans="1:3" x14ac:dyDescent="0.2">
      <c r="A12" s="18" t="s">
        <v>85</v>
      </c>
      <c r="B12" s="25">
        <f>AVERAGE(B5:B10)</f>
        <v>2.8333333333333335</v>
      </c>
    </row>
    <row r="13" spans="1:3" x14ac:dyDescent="0.2">
      <c r="A13" s="10" t="s">
        <v>86</v>
      </c>
      <c r="B13" s="7" t="str">
        <f>IF(B12&lt;2.5,"Crawl",IF(B12&lt;4,"Walk","Run"))</f>
        <v>Walk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3" width="16" customWidth="1"/>
    <col min="4" max="4" width="14" customWidth="1"/>
    <col min="5" max="5" width="16" customWidth="1"/>
    <col min="6" max="6" width="26" customWidth="1"/>
  </cols>
  <sheetData>
    <row r="1" spans="1:7" ht="20" x14ac:dyDescent="0.2">
      <c r="A1" s="5" t="s">
        <v>11</v>
      </c>
      <c r="B1" s="5"/>
      <c r="C1" s="5"/>
      <c r="D1" s="5"/>
      <c r="E1" s="5"/>
      <c r="F1" s="5"/>
      <c r="G1" s="5"/>
    </row>
    <row r="2" spans="1:7" x14ac:dyDescent="0.2">
      <c r="A2" s="4" t="s">
        <v>87</v>
      </c>
      <c r="B2" s="4"/>
      <c r="C2" s="4"/>
      <c r="D2" s="4"/>
      <c r="E2" s="4"/>
      <c r="F2" s="4"/>
      <c r="G2" s="4"/>
    </row>
    <row r="4" spans="1:7" ht="28" x14ac:dyDescent="0.2">
      <c r="A4" s="12" t="s">
        <v>88</v>
      </c>
      <c r="B4" s="12" t="s">
        <v>89</v>
      </c>
      <c r="C4" s="12" t="s">
        <v>90</v>
      </c>
      <c r="D4" s="12" t="s">
        <v>29</v>
      </c>
      <c r="E4" s="12" t="s">
        <v>91</v>
      </c>
      <c r="F4" s="12" t="s">
        <v>57</v>
      </c>
    </row>
    <row r="5" spans="1:7" x14ac:dyDescent="0.2">
      <c r="A5" s="13" t="s">
        <v>92</v>
      </c>
      <c r="B5" s="13" t="s">
        <v>93</v>
      </c>
      <c r="C5" s="14">
        <v>168000</v>
      </c>
      <c r="D5" s="13" t="s">
        <v>32</v>
      </c>
      <c r="E5" s="13" t="s">
        <v>94</v>
      </c>
      <c r="F5" s="22" t="s">
        <v>95</v>
      </c>
    </row>
    <row r="6" spans="1:7" ht="29" x14ac:dyDescent="0.2">
      <c r="A6" s="13" t="s">
        <v>96</v>
      </c>
      <c r="B6" s="13" t="s">
        <v>97</v>
      </c>
      <c r="C6" s="14">
        <v>74000</v>
      </c>
      <c r="D6" s="13" t="s">
        <v>36</v>
      </c>
      <c r="E6" s="13" t="s">
        <v>98</v>
      </c>
      <c r="F6" s="22" t="s">
        <v>99</v>
      </c>
    </row>
    <row r="7" spans="1:7" ht="29" x14ac:dyDescent="0.2">
      <c r="A7" s="13" t="s">
        <v>100</v>
      </c>
      <c r="B7" s="13" t="s">
        <v>101</v>
      </c>
      <c r="C7" s="14">
        <v>27000</v>
      </c>
      <c r="D7" s="13" t="s">
        <v>39</v>
      </c>
      <c r="E7" s="13" t="s">
        <v>94</v>
      </c>
      <c r="F7" s="22" t="s">
        <v>102</v>
      </c>
    </row>
    <row r="8" spans="1:7" ht="29" x14ac:dyDescent="0.2">
      <c r="A8" s="13" t="s">
        <v>103</v>
      </c>
      <c r="B8" s="13" t="s">
        <v>75</v>
      </c>
      <c r="C8" s="14">
        <v>41000</v>
      </c>
      <c r="D8" s="13" t="s">
        <v>39</v>
      </c>
      <c r="E8" s="13" t="s">
        <v>104</v>
      </c>
      <c r="F8" s="22" t="s">
        <v>105</v>
      </c>
    </row>
    <row r="9" spans="1:7" x14ac:dyDescent="0.2">
      <c r="A9" s="17"/>
      <c r="B9" s="17"/>
      <c r="C9" s="17"/>
      <c r="D9" s="17"/>
      <c r="E9" s="17"/>
      <c r="F9" s="17"/>
    </row>
    <row r="10" spans="1:7" x14ac:dyDescent="0.2">
      <c r="A10" s="17"/>
      <c r="B10" s="17"/>
      <c r="C10" s="17"/>
      <c r="D10" s="17"/>
      <c r="E10" s="17"/>
      <c r="F10" s="17"/>
    </row>
    <row r="11" spans="1:7" x14ac:dyDescent="0.2">
      <c r="A11" s="17"/>
      <c r="B11" s="17"/>
      <c r="C11" s="17"/>
      <c r="D11" s="17"/>
      <c r="E11" s="17"/>
      <c r="F11" s="17"/>
    </row>
    <row r="12" spans="1:7" x14ac:dyDescent="0.2">
      <c r="A12" s="17"/>
      <c r="B12" s="17"/>
      <c r="C12" s="17"/>
      <c r="D12" s="17"/>
      <c r="E12" s="17"/>
      <c r="F12" s="17"/>
    </row>
    <row r="13" spans="1:7" x14ac:dyDescent="0.2">
      <c r="A13" s="18" t="s">
        <v>106</v>
      </c>
      <c r="B13" s="19"/>
      <c r="C13" s="20">
        <f>SUM(C5:C12)</f>
        <v>310000</v>
      </c>
      <c r="D13" s="19"/>
      <c r="E13" s="19"/>
      <c r="F13" s="1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Rightsizing Tracker</vt:lpstr>
      <vt:lpstr>Reserved Capacity Break-Even</vt:lpstr>
      <vt:lpstr>Showback-Chargeback</vt:lpstr>
      <vt:lpstr>Maturity Assessment</vt:lpstr>
      <vt:lpstr>Savings Opportunity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</dc:creator>
  <cp:keywords/>
  <dc:description/>
  <cp:lastModifiedBy>Kevin Forbes</cp:lastModifiedBy>
  <cp:revision>0</cp:revision>
  <dcterms:created xsi:type="dcterms:W3CDTF">2026-08-30T14:12:39Z</dcterms:created>
  <dcterms:modified xsi:type="dcterms:W3CDTF">2026-09-01T05:05:11Z</dcterms:modified>
  <cp:category/>
  <dc:language>en-US</dc:language>
</cp:coreProperties>
</file>