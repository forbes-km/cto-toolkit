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Parameters" sheetId="2" state="visible" r:id="rId4"/>
    <sheet name="Lists" sheetId="3" state="visible" r:id="rId5"/>
    <sheet name="Debt Portfolio" sheetId="4" state="visible" r:id="rId6"/>
  </sheets>
  <definedNames>
    <definedName function="false" hidden="true" localSheetId="3" name="_xlnm._FilterDatabase" vbProcedure="false">'Debt Portfolio'!$A$1:$AK$41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<sst xmlns="http://schemas.openxmlformats.org/spreadsheetml/2006/main" count="173" uniqueCount="131">
  <si>
    <t xml:space="preserve">Technical Debt Carry Cost Optimizer (Preview)</t>
  </si>
  <si>
    <t xml:space="preserve">The carry-cost math and priority ranking, per item, for a portfolio of up to 40 debt items. The full version adds the constrained multi-year sequencer.</t>
  </si>
  <si>
    <t xml:space="preserve">Inputs live on Parameters and Debt Portfolio (shaded cells). Everything here recalculates from them.</t>
  </si>
  <si>
    <t xml:space="preserve">  Plan Parameters</t>
  </si>
  <si>
    <t xml:space="preserve">  Portfolio at a Glance</t>
  </si>
  <si>
    <t xml:space="preserve">Organization</t>
  </si>
  <si>
    <t xml:space="preserve">Items in portfolio</t>
  </si>
  <si>
    <t xml:space="preserve">Planning horizon (years)</t>
  </si>
  <si>
    <t xml:space="preserve">Open items</t>
  </si>
  <si>
    <t xml:space="preserve">Annual budget ($)</t>
  </si>
  <si>
    <t xml:space="preserve">Open items ranked</t>
  </si>
  <si>
    <t xml:space="preserve">Annual capacity (engineer-days)</t>
  </si>
  <si>
    <t xml:space="preserve">Items others depend on</t>
  </si>
  <si>
    <t xml:space="preserve">Discount rate</t>
  </si>
  <si>
    <t xml:space="preserve">Total remediation cost, open items ($)</t>
  </si>
  <si>
    <t xml:space="preserve">  Cost of Doing Nothing</t>
  </si>
  <si>
    <t xml:space="preserve">  Open Items by Priority</t>
  </si>
  <si>
    <t xml:space="preserve">Annual cost of doing nothing, today ($)</t>
  </si>
  <si>
    <t xml:space="preserve">High</t>
  </si>
  <si>
    <t xml:space="preserve">NPV cost if nothing is remediated ($)</t>
  </si>
  <si>
    <t xml:space="preserve">Medium</t>
  </si>
  <si>
    <t xml:space="preserve">NPV savings if everything were fixed in year 1 ($)</t>
  </si>
  <si>
    <t xml:space="preserve">Low</t>
  </si>
  <si>
    <t xml:space="preserve">Items that pay back within the horizon</t>
  </si>
  <si>
    <t xml:space="preserve">Items to accept as carry (no payback)</t>
  </si>
  <si>
    <t xml:space="preserve">  Ranked List (top 12 by priority, then NPV savings)</t>
  </si>
  <si>
    <t xml:space="preserve">Rank</t>
  </si>
  <si>
    <t xml:space="preserve">ID</t>
  </si>
  <si>
    <t xml:space="preserve">Name</t>
  </si>
  <si>
    <t xml:space="preserve">Priority</t>
  </si>
  <si>
    <t xml:space="preserve">Best Year</t>
  </si>
  <si>
    <t xml:space="preserve">Best NPV Savings ($)</t>
  </si>
  <si>
    <t xml:space="preserve">  What the full optimizer adds</t>
  </si>
  <si>
    <t xml:space="preserve">A multi-year remediation plan: each item placed in the first year where annual budget, engineering capacity, and its dependency chain allow, with items that fit nowhere marked as deferred and their carried cost reported as accepted risk.</t>
  </si>
  <si>
    <t xml:space="preserve">A rationale per item explaining why it landed in its year, the year-by-year budget and capacity utilization, and the NPV of the plan against no action.</t>
  </si>
  <si>
    <t xml:space="preserve">In the production version: a learned priority scorer, skill-mix capacity pools, sensitivity ranges on cost inputs, and quarterly replanning. Available through direct engagement.</t>
  </si>
  <si>
    <t xml:space="preserve">Multi-year remediation sequencing that minimizes carry cost plus remediation cost plus expected incident cost, within an annual budget and engineering capacity.</t>
  </si>
  <si>
    <t xml:space="preserve">Shaded cells on this sheet and on Debt Portfolio are inputs. Everything else is calculated. Lists holds the dropdown options and priority thresholds.</t>
  </si>
  <si>
    <t xml:space="preserve">Example Healthcare Software Co</t>
  </si>
  <si>
    <t xml:space="preserve">Planning horizon (years, 1 to 5)</t>
  </si>
  <si>
    <t xml:space="preserve">Annual remediation budget ($)</t>
  </si>
  <si>
    <t xml:space="preserve">Loaded cost per engineer-day ($, reference only)</t>
  </si>
  <si>
    <t xml:space="preserve">  How the math works</t>
  </si>
  <si>
    <t xml:space="preserve">Cost if never remediated, over the horizon T: sum over years t of carry x (1+growth)^(t-1) x discount(t), plus incident probability x incident cost x discount(t).</t>
  </si>
  <si>
    <t xml:space="preserve">Cost if remediated in year Y: the same carry and incident terms for years 1 to Y, plus remediation cost x discount(Y).</t>
  </si>
  <si>
    <t xml:space="preserve">NPV savings of remediating in year Y = cost if never minus cost if remediated in year Y. Best year is the Y with the highest savings.</t>
  </si>
  <si>
    <t xml:space="preserve">Priority class comes from the savings ratio (year-1 NPV savings divided by remediation cost) against the thresholds on Lists, with a bump for items that others depend on.</t>
  </si>
  <si>
    <t xml:space="preserve">The plan is a greedy allocation: items are ranked by priority class, then NPV savings, then carry growth; the full version places each in the first year where budget, capacity, and its dependency allow.</t>
  </si>
  <si>
    <t xml:space="preserve">This preview stops at the ranking. The multi-year sequencer, the rationale generator, and the production optimizer are available through direct engagement.</t>
  </si>
  <si>
    <t xml:space="preserve">Domain</t>
  </si>
  <si>
    <t xml:space="preserve">Status</t>
  </si>
  <si>
    <t xml:space="preserve">Savings Ratio &gt;=</t>
  </si>
  <si>
    <t xml:space="preserve">Sort Order</t>
  </si>
  <si>
    <t xml:space="preserve">Dependency-target bump (added to savings ratio)</t>
  </si>
  <si>
    <t xml:space="preserve">Architecture</t>
  </si>
  <si>
    <t xml:space="preserve">Open</t>
  </si>
  <si>
    <t xml:space="preserve">Code</t>
  </si>
  <si>
    <t xml:space="preserve">Done</t>
  </si>
  <si>
    <t xml:space="preserve">Infrastructure</t>
  </si>
  <si>
    <t xml:space="preserve">Accepted</t>
  </si>
  <si>
    <t xml:space="preserve">Data</t>
  </si>
  <si>
    <t xml:space="preserve">Security</t>
  </si>
  <si>
    <t xml:space="preserve">Priority thresholds: an item is High if its savings ratio is at or above the High threshold, Medium if at or above the Medium threshold, otherwise Low. Edit the shaded cells.</t>
  </si>
  <si>
    <t xml:space="preserve">People</t>
  </si>
  <si>
    <t xml:space="preserve">Process</t>
  </si>
  <si>
    <t xml:space="preserve">General</t>
  </si>
  <si>
    <t xml:space="preserve">Description</t>
  </si>
  <si>
    <t xml:space="preserve">Remediation Cost ($)</t>
  </si>
  <si>
    <t xml:space="preserve">Annual Carry Cost ($)</t>
  </si>
  <si>
    <t xml:space="preserve">Carry Growth Rate</t>
  </si>
  <si>
    <t xml:space="preserve">Incident Probability / yr</t>
  </si>
  <si>
    <t xml:space="preserve">Incident Cost ($)</t>
  </si>
  <si>
    <t xml:space="preserve">Effort (engineer-days)</t>
  </si>
  <si>
    <t xml:space="preserve">Depends On (ID)</t>
  </si>
  <si>
    <t xml:space="preserve">Expected Annual Loss ($)</t>
  </si>
  <si>
    <t xml:space="preserve">NPV Cost If Never ($)</t>
  </si>
  <si>
    <t xml:space="preserve">NPV Savings Y1 ($)</t>
  </si>
  <si>
    <t xml:space="preserve">NPV Savings Y2 ($)</t>
  </si>
  <si>
    <t xml:space="preserve">NPV Savings Y3 ($)</t>
  </si>
  <si>
    <t xml:space="preserve">NPV Savings Y4 ($)</t>
  </si>
  <si>
    <t xml:space="preserve">NPV Savings Y5 ($)</t>
  </si>
  <si>
    <t xml:space="preserve">Savings Ratio</t>
  </si>
  <si>
    <t xml:space="preserve">Depended On By Others</t>
  </si>
  <si>
    <t xml:space="preserve">Sort Key</t>
  </si>
  <si>
    <t xml:space="preserve">Planned Year (full version)</t>
  </si>
  <si>
    <t xml:space="preserve">NPV Cost Fix Y1 ($)</t>
  </si>
  <si>
    <t xml:space="preserve">NPV Cost Fix Y2 ($)</t>
  </si>
  <si>
    <t xml:space="preserve">NPV Cost Fix Y3 ($)</t>
  </si>
  <si>
    <t xml:space="preserve">NPV Cost Fix Y4 ($)</t>
  </si>
  <si>
    <t xml:space="preserve">NPV Cost Fix Y5 ($)</t>
  </si>
  <si>
    <t xml:space="preserve">Carry Y1 ($)</t>
  </si>
  <si>
    <t xml:space="preserve">Carry Y2 ($)</t>
  </si>
  <si>
    <t xml:space="preserve">Carry Y3 ($)</t>
  </si>
  <si>
    <t xml:space="preserve">Carry Y4 ($)</t>
  </si>
  <si>
    <t xml:space="preserve">Carry Y5 ($)</t>
  </si>
  <si>
    <t xml:space="preserve">ARCH-001</t>
  </si>
  <si>
    <t xml:space="preserve">Multi-tenancy migration abandoned mid-flight</t>
  </si>
  <si>
    <t xml:space="preserve">Single-tenant deployment requires manual provisioning, blocks enterprise expansion</t>
  </si>
  <si>
    <t xml:space="preserve">SEC-001</t>
  </si>
  <si>
    <t xml:space="preserve">SOC 2 Type II expired - access control remediation needed</t>
  </si>
  <si>
    <t xml:space="preserve">Enterprise pipeline blocked, growing as more customers require SOC 2</t>
  </si>
  <si>
    <t xml:space="preserve">SEC-002</t>
  </si>
  <si>
    <t xml:space="preserve">Two unremediated High pen test findings</t>
  </si>
  <si>
    <t xml:space="preserve">Risk acceptance memos missing, regulatory exposure</t>
  </si>
  <si>
    <t xml:space="preserve">PEOPLE-001</t>
  </si>
  <si>
    <t xml:space="preserve">Key person concentration on platform code</t>
  </si>
  <si>
    <t xml:space="preserve">Two engineers own 60% of platform code, both vest at close</t>
  </si>
  <si>
    <t xml:space="preserve">OPS-001</t>
  </si>
  <si>
    <t xml:space="preserve">Cloud cost waste - 24/7 dev environments and no RIs</t>
  </si>
  <si>
    <t xml:space="preserve">$4.4M annual waste, easy quick win</t>
  </si>
  <si>
    <t xml:space="preserve">OPS-002</t>
  </si>
  <si>
    <t xml:space="preserve">DR plan never validated</t>
  </si>
  <si>
    <t xml:space="preserve">4-hour RTO claimed, never tested, last attempt failed</t>
  </si>
  <si>
    <t xml:space="preserve">DATA-001</t>
  </si>
  <si>
    <t xml:space="preserve">Customer churn calculation bug</t>
  </si>
  <si>
    <t xml:space="preserve">Understates churn 1.5pp for 18 months, board reporting issue</t>
  </si>
  <si>
    <t xml:space="preserve">DATA-002</t>
  </si>
  <si>
    <t xml:space="preserve">Three different MAU definitions across teams</t>
  </si>
  <si>
    <t xml:space="preserve">8% variance on quarterly board metrics</t>
  </si>
  <si>
    <t xml:space="preserve">ARCH-002</t>
  </si>
  <si>
    <t xml:space="preserve">PostgreSQL 11 EOL - upgrade required</t>
  </si>
  <si>
    <t xml:space="preserve">EOL since 2023, security and support exposure growing fast</t>
  </si>
  <si>
    <t xml:space="preserve">IP-001</t>
  </si>
  <si>
    <t xml:space="preserve">Missing IP assignments for 12 engineers</t>
  </si>
  <si>
    <t xml:space="preserve">Pre-close cleanup required, low effort high reward</t>
  </si>
  <si>
    <t xml:space="preserve">ARCH-003</t>
  </si>
  <si>
    <t xml:space="preserve">Code modernization to support multi-tenancy</t>
  </si>
  <si>
    <t xml:space="preserve">Application code refactoring blocked until multi-tenancy infra exists</t>
  </si>
  <si>
    <t xml:space="preserve">PROCESS-001</t>
  </si>
  <si>
    <t xml:space="preserve">No DORA metrics tracking</t>
  </si>
  <si>
    <t xml:space="preserve">No visibility into engineering velocity, blocks capacity planning</t>
  </si>
</sst>
</file>

<file path=xl/styles.xml><?xml version="1.0" encoding="utf-8"?>
<styleSheet xmlns="http://schemas.openxmlformats.org/spreadsheetml/2006/main">
  <numFmts count="6">
    <numFmt numFmtId="164" formatCode="General"/>
    <numFmt numFmtId="165" formatCode="0"/>
    <numFmt numFmtId="166" formatCode="\$#,##0;&quot;($&quot;#,##0\);\-"/>
    <numFmt numFmtId="167" formatCode="#,##0"/>
    <numFmt numFmtId="168" formatCode="0.0%"/>
    <numFmt numFmtId="169" formatCode="0.00"/>
  </numFmts>
  <fonts count="10">
    <font>
      <sz val="11"/>
      <color theme="1"/>
      <name val="Calibri"/>
      <family val="2"/>
      <charset val="1"/>
    </font>
    <font>
      <sz val="10"/>
      <name val="Arial"/>
      <family val="0"/>
    </font>
    <font>
      <sz val="10"/>
      <name val="Arial"/>
      <family val="0"/>
    </font>
    <font>
      <sz val="10"/>
      <name val="Arial"/>
      <family val="0"/>
    </font>
    <font>
      <b val="true"/>
      <sz val="20"/>
      <color rgb="FF1A1A2E"/>
      <name val="Arial"/>
      <family val="2"/>
      <charset val="1"/>
    </font>
    <font>
      <sz val="10"/>
      <color rgb="FF6B7280"/>
      <name val="Arial"/>
      <family val="2"/>
      <charset val="1"/>
    </font>
    <font>
      <b val="true"/>
      <sz val="12"/>
      <color rgb="FFFFFFFF"/>
      <name val="Arial"/>
      <family val="2"/>
      <charset val="1"/>
    </font>
    <font>
      <sz val="10"/>
      <name val="Arial"/>
      <family val="2"/>
      <charset val="1"/>
    </font>
    <font>
      <sz val="10"/>
      <color rgb="FF1A1A2E"/>
      <name val="Arial"/>
      <family val="2"/>
      <charset val="1"/>
    </font>
    <font>
      <b val="true"/>
      <sz val="10"/>
      <color rgb="FFFFFFFF"/>
      <name val="Arial"/>
      <family val="2"/>
      <charset val="1"/>
    </font>
  </fonts>
  <fills count="5">
    <fill>
      <patternFill patternType="none"/>
    </fill>
    <fill>
      <patternFill patternType="gray125"/>
    </fill>
    <fill>
      <patternFill patternType="solid">
        <fgColor rgb="FF1A1A2E"/>
        <bgColor rgb="FF003300"/>
      </patternFill>
    </fill>
    <fill>
      <patternFill patternType="solid">
        <fgColor rgb="FFEFF6FF"/>
        <bgColor rgb="FFF8F9FA"/>
      </patternFill>
    </fill>
    <fill>
      <patternFill patternType="solid">
        <fgColor rgb="FFF8F9FA"/>
        <bgColor rgb="FFEFF6FF"/>
      </patternFill>
    </fill>
  </fills>
  <borders count="2">
    <border diagonalUp="false" diagonalDown="false">
      <left/>
      <right/>
      <top/>
      <bottom/>
      <diagonal/>
    </border>
    <border diagonalUp="false" diagonalDown="false">
      <left style="thin">
        <color rgb="FFE5E7EB"/>
      </left>
      <right style="thin">
        <color rgb="FFE5E7EB"/>
      </right>
      <top style="thin">
        <color rgb="FFE5E7EB"/>
      </top>
      <bottom style="thin">
        <color rgb="FFE5E7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center" textRotation="0" wrapText="false" indent="0" shrinkToFit="false"/>
      <protection locked="true" hidden="false"/>
    </xf>
    <xf numFmtId="165" fontId="8" fillId="3" borderId="1" xfId="0" applyFont="true" applyBorder="true" applyAlignment="true" applyProtection="false">
      <alignment horizontal="general" vertical="center" textRotation="0" wrapText="false" indent="0" shrinkToFit="false"/>
      <protection locked="true" hidden="false"/>
    </xf>
    <xf numFmtId="166" fontId="8" fillId="3" borderId="1" xfId="0" applyFont="true" applyBorder="true" applyAlignment="true" applyProtection="false">
      <alignment horizontal="general" vertical="center" textRotation="0" wrapText="false" indent="0" shrinkToFit="false"/>
      <protection locked="true" hidden="false"/>
    </xf>
    <xf numFmtId="167" fontId="8" fillId="3" borderId="1" xfId="0" applyFont="true" applyBorder="true" applyAlignment="true" applyProtection="false">
      <alignment horizontal="general" vertical="center" textRotation="0" wrapText="false" indent="0" shrinkToFit="false"/>
      <protection locked="true" hidden="false"/>
    </xf>
    <xf numFmtId="168" fontId="8" fillId="3" borderId="1" xfId="0" applyFont="true" applyBorder="true" applyAlignment="true" applyProtection="false">
      <alignment horizontal="general"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true" applyProtection="false">
      <alignment horizontal="general" vertical="center" textRotation="0" wrapText="false" indent="0" shrinkToFit="false"/>
      <protection locked="true" hidden="false"/>
    </xf>
    <xf numFmtId="165" fontId="8" fillId="3" borderId="0" xfId="0" applyFont="true" applyBorder="false" applyAlignment="true" applyProtection="false">
      <alignment horizontal="general" vertical="center" textRotation="0" wrapText="false" indent="0" shrinkToFit="false"/>
      <protection locked="true" hidden="false"/>
    </xf>
    <xf numFmtId="165" fontId="7" fillId="0" borderId="0" xfId="0" applyFont="true" applyBorder="false" applyAlignment="true" applyProtection="false">
      <alignment horizontal="general" vertical="center" textRotation="0" wrapText="false" indent="0" shrinkToFit="false"/>
      <protection locked="true" hidden="false"/>
    </xf>
    <xf numFmtId="166" fontId="7" fillId="0" borderId="0" xfId="0" applyFont="true" applyBorder="false" applyAlignment="true" applyProtection="false">
      <alignment horizontal="general"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3" borderId="0" xfId="0" applyFont="true" applyBorder="false" applyAlignment="true" applyProtection="false">
      <alignment horizontal="general" vertical="bottom" textRotation="0" wrapText="true" indent="0" shrinkToFit="false"/>
      <protection locked="true" hidden="false"/>
    </xf>
    <xf numFmtId="165" fontId="8" fillId="3" borderId="0" xfId="0" applyFont="true" applyBorder="false" applyAlignment="true" applyProtection="false">
      <alignment horizontal="general" vertical="bottom" textRotation="0" wrapText="true" indent="0" shrinkToFit="false"/>
      <protection locked="true" hidden="false"/>
    </xf>
    <xf numFmtId="166" fontId="8" fillId="3" borderId="0" xfId="0" applyFont="true" applyBorder="false" applyAlignment="true" applyProtection="false">
      <alignment horizontal="general" vertical="bottom" textRotation="0" wrapText="true" indent="0" shrinkToFit="false"/>
      <protection locked="true" hidden="false"/>
    </xf>
    <xf numFmtId="167" fontId="8" fillId="3" borderId="0" xfId="0" applyFont="true" applyBorder="false" applyAlignment="true" applyProtection="false">
      <alignment horizontal="general" vertical="center" textRotation="0" wrapText="false" indent="0" shrinkToFit="false"/>
      <protection locked="true" hidden="false"/>
    </xf>
    <xf numFmtId="168" fontId="8" fillId="3" borderId="0" xfId="0" applyFont="true" applyBorder="false" applyAlignment="true" applyProtection="false">
      <alignment horizontal="general" vertical="center"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3"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6" fontId="7" fillId="2"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center" textRotation="0" wrapText="false" indent="0" shrinkToFit="false"/>
      <protection locked="true" hidden="false"/>
    </xf>
    <xf numFmtId="165" fontId="7" fillId="4" borderId="1" xfId="0" applyFont="true" applyBorder="true" applyAlignment="true" applyProtection="false">
      <alignment horizontal="general" vertical="center" textRotation="0" wrapText="false" indent="0" shrinkToFit="false"/>
      <protection locked="true" hidden="false"/>
    </xf>
    <xf numFmtId="166" fontId="7" fillId="4" borderId="1" xfId="0" applyFont="true" applyBorder="true" applyAlignment="true" applyProtection="false">
      <alignment horizontal="general" vertical="center" textRotation="0" wrapText="false" indent="0" shrinkToFit="false"/>
      <protection locked="true" hidden="false"/>
    </xf>
    <xf numFmtId="167" fontId="7" fillId="4" borderId="1" xfId="0" applyFont="true" applyBorder="true" applyAlignment="true" applyProtection="false">
      <alignment horizontal="general" vertical="center" textRotation="0" wrapText="false" indent="0" shrinkToFit="false"/>
      <protection locked="true" hidden="false"/>
    </xf>
    <xf numFmtId="168" fontId="7" fillId="4" borderId="1" xfId="0" applyFont="true" applyBorder="true" applyAlignment="true" applyProtection="false">
      <alignment horizontal="general" vertical="center" textRotation="0" wrapText="false" indent="0" shrinkToFit="false"/>
      <protection locked="true" hidden="false"/>
    </xf>
    <xf numFmtId="169" fontId="7" fillId="4" borderId="1" xfId="0" applyFont="true" applyBorder="true" applyAlignment="true" applyProtection="false">
      <alignment horizontal="general" vertical="center" textRotation="0" wrapText="fals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9" fontId="8" fillId="3"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A1A2E"/>
          <bgColor rgb="FF000000"/>
        </patternFill>
      </fill>
    </dxf>
    <dxf>
      <fill>
        <patternFill patternType="solid">
          <fgColor rgb="FFF8F9FA"/>
          <bgColor rgb="FF000000"/>
        </patternFill>
      </fill>
    </dxf>
    <dxf>
      <fill>
        <patternFill patternType="solid">
          <fgColor rgb="FFFFFFFF"/>
          <bgColor rgb="FF000000"/>
        </patternFill>
      </fill>
    </dxf>
    <dxf>
      <fill>
        <patternFill patternType="solid">
          <bgColor rgb="FF000000"/>
        </patternFill>
      </fill>
    </dxf>
    <dxf>
      <fill>
        <patternFill patternType="solid">
          <fgColor rgb="FFEFF6FF"/>
          <bgColor rgb="FF000000"/>
        </patternFill>
      </fill>
    </dxf>
    <dxf>
      <fill>
        <patternFill patternType="solid">
          <fgColor rgb="FFDCFCE7"/>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166534"/>
          <bgColor rgb="FF000000"/>
        </patternFill>
      </fill>
    </dxf>
    <dxf>
      <fill>
        <patternFill patternType="solid">
          <fgColor rgb="FF713F12"/>
          <bgColor rgb="FF000000"/>
        </patternFill>
      </fill>
    </dxf>
    <dxf>
      <fill>
        <patternFill patternType="solid">
          <fgColor rgb="FF991B1B"/>
          <bgColor rgb="FF000000"/>
        </patternFill>
      </fill>
    </dxf>
    <dxf>
      <font>
        <b val="1"/>
        <color rgb="FF991B1B"/>
      </font>
      <fill>
        <patternFill>
          <bgColor rgb="FFFEE2E2"/>
        </patternFill>
      </fill>
    </dxf>
    <dxf>
      <font>
        <b val="1"/>
        <color rgb="FF713F12"/>
      </font>
      <fill>
        <patternFill>
          <bgColor rgb="FFFEF3C7"/>
        </patternFill>
      </fill>
    </dxf>
    <dxf>
      <font>
        <b val="1"/>
        <color rgb="FF166534"/>
      </font>
      <fill>
        <patternFill>
          <bgColor rgb="FFDCFCE7"/>
        </patternFill>
      </fill>
    </dxf>
    <dxf>
      <fill>
        <patternFill>
          <bgColor rgb="FFE9ECEF"/>
        </patternFill>
      </fill>
    </dxf>
  </dxfs>
  <colors>
    <indexedColors>
      <rgbColor rgb="FF000000"/>
      <rgbColor rgb="FFFFFFFF"/>
      <rgbColor rgb="FFFF0000"/>
      <rgbColor rgb="FF00FF00"/>
      <rgbColor rgb="FF0000FF"/>
      <rgbColor rgb="FFFFFF00"/>
      <rgbColor rgb="FFFF00FF"/>
      <rgbColor rgb="FF00FFFF"/>
      <rgbColor rgb="FF800000"/>
      <rgbColor rgb="FF166534"/>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E5E7EB"/>
      <rgbColor rgb="FF000080"/>
      <rgbColor rgb="FFFF00FF"/>
      <rgbColor rgb="FFFFFF00"/>
      <rgbColor rgb="FF00FFFF"/>
      <rgbColor rgb="FF800080"/>
      <rgbColor rgb="FF800000"/>
      <rgbColor rgb="FF008080"/>
      <rgbColor rgb="FF0000FF"/>
      <rgbColor rgb="FF00CCFF"/>
      <rgbColor rgb="FFEFF6FF"/>
      <rgbColor rgb="FFE9ECEF"/>
      <rgbColor rgb="FFF8F9FA"/>
      <rgbColor rgb="FF99CCFF"/>
      <rgbColor rgb="FFFF99CC"/>
      <rgbColor rgb="FFCC99FF"/>
      <rgbColor rgb="FFFEE2E2"/>
      <rgbColor rgb="FF3366FF"/>
      <rgbColor rgb="FF33CCCC"/>
      <rgbColor rgb="FF99CC00"/>
      <rgbColor rgb="FFFFCC00"/>
      <rgbColor rgb="FFFF9900"/>
      <rgbColor rgb="FFFF6600"/>
      <rgbColor rgb="FF6B7280"/>
      <rgbColor rgb="FF969696"/>
      <rgbColor rgb="FF003366"/>
      <rgbColor rgb="FF339966"/>
      <rgbColor rgb="FF003300"/>
      <rgbColor rgb="FF713F12"/>
      <rgbColor rgb="FF991B1B"/>
      <rgbColor rgb="FF993366"/>
      <rgbColor rgb="FF333399"/>
      <rgbColor rgb="FF1A1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44"/>
    <col collapsed="false" customWidth="true" hidden="false" outlineLevel="0" max="4" min="4" style="0" width="12"/>
    <col collapsed="false" customWidth="true" hidden="false" outlineLevel="0" max="5" min="5" style="0" width="30"/>
    <col collapsed="false" customWidth="true" hidden="false" outlineLevel="0" max="6" min="6" style="0" width="22"/>
    <col collapsed="false" customWidth="true" hidden="false" outlineLevel="0" max="7" min="7" style="0" width="4"/>
  </cols>
  <sheetData>
    <row r="1" customFormat="false" ht="24.75" hidden="false" customHeight="tru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75" hidden="false" customHeight="true" outlineLevel="0" collapsed="false">
      <c r="A5" s="3" t="s">
        <v>3</v>
      </c>
      <c r="B5" s="4"/>
      <c r="E5" s="3" t="s">
        <v>4</v>
      </c>
      <c r="F5" s="4"/>
    </row>
    <row r="6" customFormat="false" ht="15" hidden="false" customHeight="false" outlineLevel="0" collapsed="false">
      <c r="A6" s="5" t="s">
        <v>5</v>
      </c>
      <c r="B6" s="6" t="str">
        <f aca="false">Parameters!B6</f>
        <v>Example Healthcare Software Co</v>
      </c>
      <c r="E6" s="5" t="s">
        <v>6</v>
      </c>
      <c r="F6" s="7" t="n">
        <f aca="false">COUNTA('Debt Portfolio'!B2:B41)</f>
        <v>12</v>
      </c>
    </row>
    <row r="7" customFormat="false" ht="15" hidden="false" customHeight="false" outlineLevel="0" collapsed="false">
      <c r="A7" s="5" t="s">
        <v>7</v>
      </c>
      <c r="B7" s="7" t="n">
        <f aca="false">Parameters!B7</f>
        <v>5</v>
      </c>
      <c r="E7" s="5" t="s">
        <v>8</v>
      </c>
      <c r="F7" s="7" t="n">
        <f aca="false">COUNTIFS('Debt Portfolio'!B2:B41,"&lt;&gt;",'Debt Portfolio'!E2:E41,"Open")</f>
        <v>12</v>
      </c>
    </row>
    <row r="8" customFormat="false" ht="15" hidden="false" customHeight="false" outlineLevel="0" collapsed="false">
      <c r="A8" s="5" t="s">
        <v>9</v>
      </c>
      <c r="B8" s="8" t="n">
        <f aca="false">Parameters!B8</f>
        <v>2000000</v>
      </c>
      <c r="E8" s="5" t="s">
        <v>10</v>
      </c>
      <c r="F8" s="7" t="n">
        <f aca="false">COUNT('Debt Portfolio'!Z2:Z41)</f>
        <v>12</v>
      </c>
    </row>
    <row r="9" customFormat="false" ht="15" hidden="false" customHeight="false" outlineLevel="0" collapsed="false">
      <c r="A9" s="5" t="s">
        <v>11</v>
      </c>
      <c r="B9" s="9" t="n">
        <f aca="false">Parameters!B9</f>
        <v>750</v>
      </c>
      <c r="E9" s="5" t="s">
        <v>12</v>
      </c>
      <c r="F9" s="7" t="n">
        <f aca="false">COUNTIFS('Debt Portfolio'!W2:W41,"Yes",'Debt Portfolio'!E2:E41,"Open")</f>
        <v>1</v>
      </c>
    </row>
    <row r="10" customFormat="false" ht="15" hidden="false" customHeight="false" outlineLevel="0" collapsed="false">
      <c r="A10" s="5" t="s">
        <v>13</v>
      </c>
      <c r="B10" s="10" t="n">
        <f aca="false">Parameters!B10</f>
        <v>0.08</v>
      </c>
      <c r="E10" s="5" t="s">
        <v>14</v>
      </c>
      <c r="F10" s="8" t="n">
        <f aca="false">SUMIFS('Debt Portfolio'!F2:F41,'Debt Portfolio'!E2:E41,"Open")</f>
        <v>3885000</v>
      </c>
    </row>
    <row r="12" customFormat="false" ht="15.75" hidden="false" customHeight="true" outlineLevel="0" collapsed="false">
      <c r="A12" s="3" t="s">
        <v>15</v>
      </c>
      <c r="B12" s="11"/>
      <c r="C12" s="5"/>
      <c r="D12" s="5"/>
      <c r="E12" s="3" t="s">
        <v>16</v>
      </c>
      <c r="F12" s="11"/>
    </row>
    <row r="13" customFormat="false" ht="15" hidden="false" customHeight="false" outlineLevel="0" collapsed="false">
      <c r="A13" s="5" t="s">
        <v>17</v>
      </c>
      <c r="B13" s="12" t="n">
        <f aca="false">SUMIFS('Debt Portfolio'!M2:M41,'Debt Portfolio'!E2:E41,"Open")</f>
        <v>8547000</v>
      </c>
      <c r="C13" s="5"/>
      <c r="D13" s="5"/>
      <c r="E13" s="5" t="s">
        <v>18</v>
      </c>
      <c r="F13" s="13" t="n">
        <f aca="false">COUNTIFS('Debt Portfolio'!X2:X41,"High",'Debt Portfolio'!E2:E41,"Open")</f>
        <v>6</v>
      </c>
    </row>
    <row r="14" customFormat="false" ht="15" hidden="false" customHeight="false" outlineLevel="0" collapsed="false">
      <c r="A14" s="5" t="s">
        <v>19</v>
      </c>
      <c r="B14" s="12" t="n">
        <f aca="false">SUMIFS('Debt Portfolio'!N2:N41,'Debt Portfolio'!E2:E41,"Open")</f>
        <v>39659039.2036739</v>
      </c>
      <c r="C14" s="5"/>
      <c r="D14" s="5"/>
      <c r="E14" s="5" t="s">
        <v>20</v>
      </c>
      <c r="F14" s="13" t="n">
        <f aca="false">COUNTIFS('Debt Portfolio'!X2:X41,"Medium",'Debt Portfolio'!E2:E41,"Open")</f>
        <v>5</v>
      </c>
    </row>
    <row r="15" customFormat="false" ht="15" hidden="false" customHeight="false" outlineLevel="0" collapsed="false">
      <c r="A15" s="5" t="s">
        <v>21</v>
      </c>
      <c r="B15" s="12" t="n">
        <f aca="false">SUMIFS('Debt Portfolio'!O2:O41,'Debt Portfolio'!E2:E41,"Open")</f>
        <v>28147928.0925628</v>
      </c>
      <c r="C15" s="5"/>
      <c r="D15" s="5"/>
      <c r="E15" s="5" t="s">
        <v>22</v>
      </c>
      <c r="F15" s="13" t="n">
        <f aca="false">COUNTIFS('Debt Portfolio'!X2:X41,"Low",'Debt Portfolio'!E2:E41,"Open")</f>
        <v>1</v>
      </c>
    </row>
    <row r="16" customFormat="false" ht="15" hidden="false" customHeight="false" outlineLevel="0" collapsed="false">
      <c r="A16" s="5" t="s">
        <v>23</v>
      </c>
      <c r="B16" s="13" t="n">
        <f aca="false">COUNTIFS('Debt Portfolio'!U2:U41,"&gt;0",'Debt Portfolio'!E2:E41,"Open")</f>
        <v>11</v>
      </c>
      <c r="C16" s="5"/>
      <c r="D16" s="5"/>
      <c r="E16" s="5"/>
      <c r="F16" s="14"/>
    </row>
    <row r="17" customFormat="false" ht="15" hidden="false" customHeight="false" outlineLevel="0" collapsed="false">
      <c r="A17" s="5" t="s">
        <v>24</v>
      </c>
      <c r="B17" s="13" t="n">
        <f aca="false">COUNTIFS('Debt Portfolio'!T2:T41,"Accept",'Debt Portfolio'!E2:E41,"Open")</f>
        <v>1</v>
      </c>
      <c r="C17" s="5"/>
      <c r="D17" s="5"/>
      <c r="E17" s="5"/>
      <c r="F17" s="5"/>
    </row>
    <row r="18" customFormat="false" ht="15" hidden="false" customHeight="false" outlineLevel="0" collapsed="false">
      <c r="A18" s="5"/>
      <c r="B18" s="15"/>
      <c r="C18" s="5"/>
      <c r="D18" s="5"/>
      <c r="E18" s="5"/>
      <c r="F18" s="5"/>
    </row>
    <row r="19" customFormat="false" ht="15.75" hidden="false" customHeight="true" outlineLevel="0" collapsed="false">
      <c r="A19" s="3" t="s">
        <v>25</v>
      </c>
      <c r="B19" s="11"/>
      <c r="C19" s="11"/>
      <c r="D19" s="11"/>
      <c r="E19" s="11"/>
      <c r="F19" s="11"/>
    </row>
    <row r="20" customFormat="false" ht="15" hidden="false" customHeight="false" outlineLevel="0" collapsed="false">
      <c r="A20" s="16" t="s">
        <v>26</v>
      </c>
      <c r="B20" s="16" t="s">
        <v>27</v>
      </c>
      <c r="C20" s="16" t="s">
        <v>28</v>
      </c>
      <c r="D20" s="16" t="s">
        <v>29</v>
      </c>
      <c r="E20" s="16" t="s">
        <v>30</v>
      </c>
      <c r="F20" s="16" t="s">
        <v>31</v>
      </c>
    </row>
    <row r="21" customFormat="false" ht="15" hidden="false" customHeight="false" outlineLevel="0" collapsed="false">
      <c r="A21" s="17" t="n">
        <v>1</v>
      </c>
      <c r="B21" s="18" t="str">
        <f aca="false">IFERROR(INDEX('Debt Portfolio'!$A$2:$A$41,MATCH(1,'Debt Portfolio'!$Z$2:$Z$41,0)),"")</f>
        <v>OPS-001</v>
      </c>
      <c r="C21" s="18" t="str">
        <f aca="false">IFERROR(INDEX('Debt Portfolio'!$B$2:$B$41,MATCH(1,'Debt Portfolio'!$Z$2:$Z$41,0)),"")</f>
        <v>Cloud cost waste - 24/7 dev environments and no RIs</v>
      </c>
      <c r="D21" s="18" t="str">
        <f aca="false">IFERROR(INDEX('Debt Portfolio'!$X$2:$X$41,MATCH(1,'Debt Portfolio'!$Z$2:$Z$41,0)),"")</f>
        <v>High</v>
      </c>
      <c r="E21" s="19" t="n">
        <f aca="false">IFERROR(INDEX('Debt Portfolio'!$T$2:$T$41,MATCH(1,'Debt Portfolio'!$Z$2:$Z$41,0)),"")</f>
        <v>1</v>
      </c>
      <c r="F21" s="20" t="n">
        <f aca="false">IFERROR(INDEX('Debt Portfolio'!$U$2:$U$41,MATCH(1,'Debt Portfolio'!$Z$2:$Z$41,0)),"")</f>
        <v>16160474.1915186</v>
      </c>
    </row>
    <row r="22" customFormat="false" ht="15" hidden="false" customHeight="false" outlineLevel="0" collapsed="false">
      <c r="A22" s="14" t="n">
        <v>2</v>
      </c>
      <c r="B22" s="13" t="str">
        <f aca="false">IFERROR(INDEX('Debt Portfolio'!$A$2:$A$41,MATCH(2,'Debt Portfolio'!$Z$2:$Z$41,0)),"")</f>
        <v>SEC-001</v>
      </c>
      <c r="C22" s="12" t="str">
        <f aca="false">IFERROR(INDEX('Debt Portfolio'!$B$2:$B$41,MATCH(2,'Debt Portfolio'!$Z$2:$Z$41,0)),"")</f>
        <v>SOC 2 Type II expired - access control remediation needed</v>
      </c>
      <c r="D22" s="21" t="str">
        <f aca="false">IFERROR(INDEX('Debt Portfolio'!$X$2:$X$41,MATCH(2,'Debt Portfolio'!$Z$2:$Z$41,0)),"")</f>
        <v>High</v>
      </c>
      <c r="E22" s="22" t="n">
        <f aca="false">IFERROR(INDEX('Debt Portfolio'!$T$2:$T$41,MATCH(2,'Debt Portfolio'!$Z$2:$Z$41,0)),"")</f>
        <v>1</v>
      </c>
      <c r="F22" s="12" t="n">
        <f aca="false">IFERROR(INDEX('Debt Portfolio'!$U$2:$U$41,MATCH(2,'Debt Portfolio'!$Z$2:$Z$41,0)),"")</f>
        <v>5184561.70564072</v>
      </c>
    </row>
    <row r="23" customFormat="false" ht="15" hidden="false" customHeight="false" outlineLevel="0" collapsed="false">
      <c r="A23" s="14" t="n">
        <v>3</v>
      </c>
      <c r="B23" s="13" t="str">
        <f aca="false">IFERROR(INDEX('Debt Portfolio'!$A$2:$A$41,MATCH(3,'Debt Portfolio'!$Z$2:$Z$41,0)),"")</f>
        <v>PEOPLE-001</v>
      </c>
      <c r="C23" s="12" t="str">
        <f aca="false">IFERROR(INDEX('Debt Portfolio'!$B$2:$B$41,MATCH(3,'Debt Portfolio'!$Z$2:$Z$41,0)),"")</f>
        <v>Key person concentration on platform code</v>
      </c>
      <c r="D23" s="21" t="str">
        <f aca="false">IFERROR(INDEX('Debt Portfolio'!$X$2:$X$41,MATCH(3,'Debt Portfolio'!$Z$2:$Z$41,0)),"")</f>
        <v>High</v>
      </c>
      <c r="E23" s="22" t="n">
        <f aca="false">IFERROR(INDEX('Debt Portfolio'!$T$2:$T$41,MATCH(3,'Debt Portfolio'!$Z$2:$Z$41,0)),"")</f>
        <v>1</v>
      </c>
      <c r="F23" s="12" t="n">
        <f aca="false">IFERROR(INDEX('Debt Portfolio'!$U$2:$U$41,MATCH(3,'Debt Portfolio'!$Z$2:$Z$41,0)),"")</f>
        <v>1938187.60491</v>
      </c>
    </row>
    <row r="24" customFormat="false" ht="15" hidden="false" customHeight="false" outlineLevel="0" collapsed="false">
      <c r="A24" s="14" t="n">
        <v>4</v>
      </c>
      <c r="B24" s="13" t="str">
        <f aca="false">IFERROR(INDEX('Debt Portfolio'!$A$2:$A$41,MATCH(4,'Debt Portfolio'!$Z$2:$Z$41,0)),"")</f>
        <v>IP-001</v>
      </c>
      <c r="C24" s="12" t="str">
        <f aca="false">IFERROR(INDEX('Debt Portfolio'!$B$2:$B$41,MATCH(4,'Debt Portfolio'!$Z$2:$Z$41,0)),"")</f>
        <v>Missing IP assignments for 12 engineers</v>
      </c>
      <c r="D24" s="21" t="str">
        <f aca="false">IFERROR(INDEX('Debt Portfolio'!$X$2:$X$41,MATCH(4,'Debt Portfolio'!$Z$2:$Z$41,0)),"")</f>
        <v>High</v>
      </c>
      <c r="E24" s="22" t="n">
        <f aca="false">IFERROR(INDEX('Debt Portfolio'!$T$2:$T$41,MATCH(4,'Debt Portfolio'!$Z$2:$Z$41,0)),"")</f>
        <v>1</v>
      </c>
      <c r="F24" s="12" t="n">
        <f aca="false">IFERROR(INDEX('Debt Portfolio'!$U$2:$U$41,MATCH(4,'Debt Portfolio'!$Z$2:$Z$41,0)),"")</f>
        <v>1573434.4560304</v>
      </c>
    </row>
    <row r="25" customFormat="false" ht="15" hidden="false" customHeight="false" outlineLevel="0" collapsed="false">
      <c r="A25" s="14" t="n">
        <v>5</v>
      </c>
      <c r="B25" s="13" t="str">
        <f aca="false">IFERROR(INDEX('Debt Portfolio'!$A$2:$A$41,MATCH(5,'Debt Portfolio'!$Z$2:$Z$41,0)),"")</f>
        <v>OPS-002</v>
      </c>
      <c r="C25" s="12" t="str">
        <f aca="false">IFERROR(INDEX('Debt Portfolio'!$B$2:$B$41,MATCH(5,'Debt Portfolio'!$Z$2:$Z$41,0)),"")</f>
        <v>DR plan never validated</v>
      </c>
      <c r="D25" s="21" t="str">
        <f aca="false">IFERROR(INDEX('Debt Portfolio'!$X$2:$X$41,MATCH(5,'Debt Portfolio'!$Z$2:$Z$41,0)),"")</f>
        <v>High</v>
      </c>
      <c r="E25" s="22" t="n">
        <f aca="false">IFERROR(INDEX('Debt Portfolio'!$T$2:$T$41,MATCH(5,'Debt Portfolio'!$Z$2:$Z$41,0)),"")</f>
        <v>1</v>
      </c>
      <c r="F25" s="12" t="n">
        <f aca="false">IFERROR(INDEX('Debt Portfolio'!$U$2:$U$41,MATCH(5,'Debt Portfolio'!$Z$2:$Z$41,0)),"")</f>
        <v>1429366.08995724</v>
      </c>
    </row>
    <row r="26" customFormat="false" ht="15" hidden="false" customHeight="false" outlineLevel="0" collapsed="false">
      <c r="A26" s="14" t="n">
        <v>6</v>
      </c>
      <c r="B26" s="13" t="str">
        <f aca="false">IFERROR(INDEX('Debt Portfolio'!$A$2:$A$41,MATCH(6,'Debt Portfolio'!$Z$2:$Z$41,0)),"")</f>
        <v>SEC-002</v>
      </c>
      <c r="C26" s="12" t="str">
        <f aca="false">IFERROR(INDEX('Debt Portfolio'!$B$2:$B$41,MATCH(6,'Debt Portfolio'!$Z$2:$Z$41,0)),"")</f>
        <v>Two unremediated High pen test findings</v>
      </c>
      <c r="D26" s="21" t="str">
        <f aca="false">IFERROR(INDEX('Debt Portfolio'!$X$2:$X$41,MATCH(6,'Debt Portfolio'!$Z$2:$Z$41,0)),"")</f>
        <v>High</v>
      </c>
      <c r="E26" s="22" t="n">
        <f aca="false">IFERROR(INDEX('Debt Portfolio'!$T$2:$T$41,MATCH(6,'Debt Portfolio'!$Z$2:$Z$41,0)),"")</f>
        <v>1</v>
      </c>
      <c r="F26" s="12" t="n">
        <f aca="false">IFERROR(INDEX('Debt Portfolio'!$U$2:$U$41,MATCH(6,'Debt Portfolio'!$Z$2:$Z$41,0)),"")</f>
        <v>633812.162446524</v>
      </c>
    </row>
    <row r="27" customFormat="false" ht="15" hidden="false" customHeight="false" outlineLevel="0" collapsed="false">
      <c r="A27" s="5" t="n">
        <v>7</v>
      </c>
      <c r="B27" s="23" t="str">
        <f aca="false">IFERROR(INDEX('Debt Portfolio'!$A$2:$A$41,MATCH(7,'Debt Portfolio'!$Z$2:$Z$41,0)),"")</f>
        <v>ARCH-001</v>
      </c>
      <c r="C27" s="23" t="str">
        <f aca="false">IFERROR(INDEX('Debt Portfolio'!$B$2:$B$41,MATCH(7,'Debt Portfolio'!$Z$2:$Z$41,0)),"")</f>
        <v>Multi-tenancy migration abandoned mid-flight</v>
      </c>
      <c r="D27" s="23" t="str">
        <f aca="false">IFERROR(INDEX('Debt Portfolio'!$X$2:$X$41,MATCH(7,'Debt Portfolio'!$Z$2:$Z$41,0)),"")</f>
        <v>Medium</v>
      </c>
      <c r="E27" s="24" t="n">
        <f aca="false">IFERROR(INDEX('Debt Portfolio'!$T$2:$T$41,MATCH(7,'Debt Portfolio'!$Z$2:$Z$41,0)),"")</f>
        <v>1</v>
      </c>
      <c r="F27" s="25" t="n">
        <f aca="false">IFERROR(INDEX('Debt Portfolio'!$U$2:$U$41,MATCH(7,'Debt Portfolio'!$Z$2:$Z$41,0)),"")</f>
        <v>583984.375952817</v>
      </c>
    </row>
    <row r="28" customFormat="false" ht="15" hidden="false" customHeight="false" outlineLevel="0" collapsed="false">
      <c r="A28" s="5" t="n">
        <v>8</v>
      </c>
      <c r="B28" s="23" t="str">
        <f aca="false">IFERROR(INDEX('Debt Portfolio'!$A$2:$A$41,MATCH(8,'Debt Portfolio'!$Z$2:$Z$41,0)),"")</f>
        <v>ARCH-002</v>
      </c>
      <c r="C28" s="23" t="str">
        <f aca="false">IFERROR(INDEX('Debt Portfolio'!$B$2:$B$41,MATCH(8,'Debt Portfolio'!$Z$2:$Z$41,0)),"")</f>
        <v>PostgreSQL 11 EOL - upgrade required</v>
      </c>
      <c r="D28" s="23" t="str">
        <f aca="false">IFERROR(INDEX('Debt Portfolio'!$X$2:$X$41,MATCH(8,'Debt Portfolio'!$Z$2:$Z$41,0)),"")</f>
        <v>Medium</v>
      </c>
      <c r="E28" s="24" t="n">
        <f aca="false">IFERROR(INDEX('Debt Portfolio'!$T$2:$T$41,MATCH(8,'Debt Portfolio'!$Z$2:$Z$41,0)),"")</f>
        <v>1</v>
      </c>
      <c r="F28" s="25" t="n">
        <f aca="false">IFERROR(INDEX('Debt Portfolio'!$U$2:$U$41,MATCH(8,'Debt Portfolio'!$Z$2:$Z$41,0)),"")</f>
        <v>345563.183619143</v>
      </c>
    </row>
    <row r="29" customFormat="false" ht="15" hidden="false" customHeight="false" outlineLevel="0" collapsed="false">
      <c r="A29" s="5" t="n">
        <v>9</v>
      </c>
      <c r="B29" s="23" t="str">
        <f aca="false">IFERROR(INDEX('Debt Portfolio'!$A$2:$A$41,MATCH(9,'Debt Portfolio'!$Z$2:$Z$41,0)),"")</f>
        <v>DATA-002</v>
      </c>
      <c r="C29" s="23" t="str">
        <f aca="false">IFERROR(INDEX('Debt Portfolio'!$B$2:$B$41,MATCH(9,'Debt Portfolio'!$Z$2:$Z$41,0)),"")</f>
        <v>Three different MAU definitions across teams</v>
      </c>
      <c r="D29" s="23" t="str">
        <f aca="false">IFERROR(INDEX('Debt Portfolio'!$X$2:$X$41,MATCH(9,'Debt Portfolio'!$Z$2:$Z$41,0)),"")</f>
        <v>Medium</v>
      </c>
      <c r="E29" s="24" t="n">
        <f aca="false">IFERROR(INDEX('Debt Portfolio'!$T$2:$T$41,MATCH(9,'Debt Portfolio'!$Z$2:$Z$41,0)),"")</f>
        <v>1</v>
      </c>
      <c r="F29" s="25" t="n">
        <f aca="false">IFERROR(INDEX('Debt Portfolio'!$U$2:$U$41,MATCH(9,'Debt Portfolio'!$Z$2:$Z$41,0)),"")</f>
        <v>171306.286713162</v>
      </c>
    </row>
    <row r="30" customFormat="false" ht="15" hidden="false" customHeight="false" outlineLevel="0" collapsed="false">
      <c r="A30" s="26" t="n">
        <v>10</v>
      </c>
      <c r="B30" s="27" t="str">
        <f aca="false">IFERROR(INDEX('Debt Portfolio'!$A$2:$A$41,MATCH(10,'Debt Portfolio'!$Z$2:$Z$41,0)),"")</f>
        <v>DATA-001</v>
      </c>
      <c r="C30" s="27" t="str">
        <f aca="false">IFERROR(INDEX('Debt Portfolio'!$B$2:$B$41,MATCH(10,'Debt Portfolio'!$Z$2:$Z$41,0)),"")</f>
        <v>Customer churn calculation bug</v>
      </c>
      <c r="D30" s="27" t="str">
        <f aca="false">IFERROR(INDEX('Debt Portfolio'!$X$2:$X$41,MATCH(10,'Debt Portfolio'!$Z$2:$Z$41,0)),"")</f>
        <v>Medium</v>
      </c>
      <c r="E30" s="13" t="n">
        <f aca="false">IFERROR(INDEX('Debt Portfolio'!$T$2:$T$41,MATCH(10,'Debt Portfolio'!$Z$2:$Z$41,0)),"")</f>
        <v>1</v>
      </c>
      <c r="F30" s="12" t="n">
        <f aca="false">IFERROR(INDEX('Debt Portfolio'!$U$2:$U$41,MATCH(10,'Debt Portfolio'!$Z$2:$Z$41,0)),"")</f>
        <v>133900.790168308</v>
      </c>
    </row>
    <row r="31" customFormat="false" ht="15" hidden="false" customHeight="false" outlineLevel="0" collapsed="false">
      <c r="A31" s="26" t="n">
        <v>11</v>
      </c>
      <c r="B31" s="27" t="str">
        <f aca="false">IFERROR(INDEX('Debt Portfolio'!$A$2:$A$41,MATCH(11,'Debt Portfolio'!$Z$2:$Z$41,0)),"")</f>
        <v>PROCESS-001</v>
      </c>
      <c r="C31" s="27" t="str">
        <f aca="false">IFERROR(INDEX('Debt Portfolio'!$B$2:$B$41,MATCH(11,'Debt Portfolio'!$Z$2:$Z$41,0)),"")</f>
        <v>No DORA metrics tracking</v>
      </c>
      <c r="D31" s="27" t="str">
        <f aca="false">IFERROR(INDEX('Debt Portfolio'!$X$2:$X$41,MATCH(11,'Debt Portfolio'!$Z$2:$Z$41,0)),"")</f>
        <v>Medium</v>
      </c>
      <c r="E31" s="13" t="n">
        <f aca="false">IFERROR(INDEX('Debt Portfolio'!$T$2:$T$41,MATCH(11,'Debt Portfolio'!$Z$2:$Z$41,0)),"")</f>
        <v>1</v>
      </c>
      <c r="F31" s="12" t="n">
        <f aca="false">IFERROR(INDEX('Debt Portfolio'!$U$2:$U$41,MATCH(11,'Debt Portfolio'!$Z$2:$Z$41,0)),"")</f>
        <v>60318.0169897914</v>
      </c>
    </row>
    <row r="32" customFormat="false" ht="15" hidden="false" customHeight="false" outlineLevel="0" collapsed="false">
      <c r="A32" s="26" t="n">
        <v>12</v>
      </c>
      <c r="B32" s="27" t="str">
        <f aca="false">IFERROR(INDEX('Debt Portfolio'!$A$2:$A$41,MATCH(12,'Debt Portfolio'!$Z$2:$Z$41,0)),"")</f>
        <v>ARCH-003</v>
      </c>
      <c r="C32" s="27" t="str">
        <f aca="false">IFERROR(INDEX('Debt Portfolio'!$B$2:$B$41,MATCH(12,'Debt Portfolio'!$Z$2:$Z$41,0)),"")</f>
        <v>Code modernization to support multi-tenancy</v>
      </c>
      <c r="D32" s="27" t="str">
        <f aca="false">IFERROR(INDEX('Debt Portfolio'!$X$2:$X$41,MATCH(12,'Debt Portfolio'!$Z$2:$Z$41,0)),"")</f>
        <v>Low</v>
      </c>
      <c r="E32" s="27" t="str">
        <f aca="false">IFERROR(INDEX('Debt Portfolio'!$T$2:$T$41,MATCH(12,'Debt Portfolio'!$Z$2:$Z$41,0)),"")</f>
        <v>Accept</v>
      </c>
      <c r="F32" s="12" t="n">
        <f aca="false">IFERROR(INDEX('Debt Portfolio'!$U$2:$U$41,MATCH(12,'Debt Portfolio'!$Z$2:$Z$41,0)),"")</f>
        <v>-66980.7713838416</v>
      </c>
    </row>
    <row r="33" customFormat="false" ht="15" hidden="false" customHeight="false" outlineLevel="0" collapsed="false">
      <c r="A33" s="26"/>
      <c r="B33" s="26"/>
      <c r="C33" s="26"/>
      <c r="D33" s="26"/>
      <c r="E33" s="26"/>
      <c r="F33" s="15"/>
    </row>
    <row r="34" customFormat="false" ht="15.75" hidden="false" customHeight="true" outlineLevel="0" collapsed="false">
      <c r="A34" s="28" t="s">
        <v>32</v>
      </c>
      <c r="B34" s="29"/>
      <c r="C34" s="29"/>
      <c r="D34" s="29"/>
      <c r="E34" s="29"/>
      <c r="F34" s="30"/>
    </row>
    <row r="35" customFormat="false" ht="30" hidden="false" customHeight="true" outlineLevel="0" collapsed="false">
      <c r="A35" s="31" t="s">
        <v>33</v>
      </c>
      <c r="B35" s="31"/>
      <c r="C35" s="31"/>
      <c r="D35" s="31"/>
      <c r="E35" s="31"/>
      <c r="F35" s="31"/>
    </row>
    <row r="36" customFormat="false" ht="30" hidden="false" customHeight="true" outlineLevel="0" collapsed="false">
      <c r="A36" s="31" t="s">
        <v>34</v>
      </c>
      <c r="B36" s="31"/>
      <c r="C36" s="31"/>
      <c r="D36" s="31"/>
      <c r="E36" s="31"/>
      <c r="F36" s="31"/>
    </row>
    <row r="37" customFormat="false" ht="30" hidden="false" customHeight="true" outlineLevel="0" collapsed="false">
      <c r="A37" s="31" t="s">
        <v>35</v>
      </c>
      <c r="B37" s="31"/>
      <c r="C37" s="31"/>
      <c r="D37" s="31"/>
      <c r="E37" s="31"/>
      <c r="F37" s="31"/>
    </row>
    <row r="38" customFormat="false" ht="15" hidden="false" customHeight="false" outlineLevel="0" collapsed="false">
      <c r="A38" s="5"/>
      <c r="B38" s="5"/>
      <c r="C38" s="5"/>
      <c r="D38" s="5"/>
      <c r="E38" s="5"/>
      <c r="F38" s="5"/>
    </row>
    <row r="39" customFormat="false" ht="15" hidden="false" customHeight="false" outlineLevel="0" collapsed="false">
      <c r="A39" s="5"/>
      <c r="B39" s="5"/>
      <c r="C39" s="5"/>
      <c r="D39" s="5"/>
      <c r="E39" s="5"/>
      <c r="F39" s="5"/>
    </row>
    <row r="40" customFormat="false" ht="27.75" hidden="false" customHeight="true" outlineLevel="0" collapsed="false">
      <c r="A40" s="32"/>
      <c r="B40" s="5"/>
      <c r="C40" s="5"/>
      <c r="D40" s="5"/>
      <c r="E40" s="5"/>
      <c r="F40" s="5"/>
    </row>
    <row r="41" customFormat="false" ht="27.75" hidden="false" customHeight="true" outlineLevel="0" collapsed="false">
      <c r="A41" s="32"/>
      <c r="B41" s="5"/>
      <c r="C41" s="5"/>
      <c r="D41" s="5"/>
      <c r="E41" s="5"/>
      <c r="F41" s="5"/>
    </row>
    <row r="42" customFormat="false" ht="27.75" hidden="false" customHeight="true" outlineLevel="0" collapsed="false">
      <c r="A42" s="32"/>
      <c r="B42" s="5"/>
      <c r="C42" s="5"/>
      <c r="D42" s="5"/>
      <c r="E42" s="5"/>
      <c r="F42" s="5"/>
    </row>
    <row r="43" customFormat="false" ht="27.75" hidden="false" customHeight="true" outlineLevel="0" collapsed="false">
      <c r="A43" s="32"/>
      <c r="B43" s="5"/>
      <c r="C43" s="5"/>
      <c r="D43" s="5"/>
      <c r="E43" s="5"/>
      <c r="F43" s="5"/>
    </row>
    <row r="44" customFormat="false" ht="27.75" hidden="false" customHeight="true" outlineLevel="0" collapsed="false">
      <c r="A44" s="32"/>
      <c r="B44" s="5"/>
      <c r="C44" s="5"/>
      <c r="D44" s="5"/>
      <c r="E44" s="5"/>
      <c r="F44" s="5"/>
    </row>
    <row r="45" customFormat="false" ht="15" hidden="false" customHeight="false" outlineLevel="0" collapsed="false">
      <c r="A45" s="5"/>
      <c r="B45" s="5"/>
      <c r="C45" s="5"/>
      <c r="D45" s="5"/>
      <c r="E45" s="5"/>
      <c r="F45" s="5"/>
    </row>
    <row r="46" customFormat="false" ht="15" hidden="false" customHeight="false" outlineLevel="0" collapsed="false">
      <c r="A46" s="5"/>
      <c r="B46" s="5"/>
      <c r="C46" s="5"/>
      <c r="D46" s="5"/>
      <c r="E46" s="5"/>
      <c r="F46" s="5"/>
    </row>
    <row r="47" customFormat="false" ht="15" hidden="false" customHeight="false" outlineLevel="0" collapsed="false">
      <c r="A47" s="5"/>
      <c r="B47" s="5"/>
      <c r="C47" s="5"/>
      <c r="D47" s="5"/>
      <c r="E47" s="5"/>
      <c r="F47" s="5"/>
    </row>
    <row r="48" customFormat="false" ht="15" hidden="false" customHeight="false" outlineLevel="0" collapsed="false">
      <c r="A48" s="5"/>
      <c r="B48" s="5"/>
      <c r="C48" s="5"/>
      <c r="D48" s="5"/>
      <c r="E48" s="5"/>
      <c r="F48" s="5"/>
    </row>
    <row r="49" customFormat="false" ht="15" hidden="false" customHeight="false" outlineLevel="0" collapsed="false">
      <c r="A49" s="5"/>
      <c r="B49" s="5"/>
      <c r="C49" s="5"/>
      <c r="D49" s="5"/>
      <c r="E49" s="5"/>
      <c r="F49" s="5"/>
    </row>
    <row r="50" customFormat="false" ht="15" hidden="false" customHeight="false" outlineLevel="0" collapsed="false">
      <c r="A50" s="5"/>
      <c r="B50" s="5"/>
      <c r="C50" s="5"/>
      <c r="D50" s="5"/>
      <c r="E50" s="5"/>
      <c r="F50" s="5"/>
    </row>
  </sheetData>
  <mergeCells count="3">
    <mergeCell ref="A35:F35"/>
    <mergeCell ref="A36:F36"/>
    <mergeCell ref="A37:F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44"/>
    <col collapsed="false" customWidth="true" hidden="false" outlineLevel="0" max="2" min="2" style="0" width="34"/>
  </cols>
  <sheetData>
    <row r="1" customFormat="false" ht="24.75" hidden="false" customHeight="true" outlineLevel="0" collapsed="false">
      <c r="A1" s="1" t="s">
        <v>0</v>
      </c>
    </row>
    <row r="2" customFormat="false" ht="15" hidden="false" customHeight="false" outlineLevel="0" collapsed="false">
      <c r="A2" s="2" t="s">
        <v>36</v>
      </c>
    </row>
    <row r="3" customFormat="false" ht="15" hidden="false" customHeight="false" outlineLevel="0" collapsed="false">
      <c r="A3" s="2" t="s">
        <v>37</v>
      </c>
    </row>
    <row r="5" customFormat="false" ht="15.75" hidden="false" customHeight="true" outlineLevel="0" collapsed="false">
      <c r="A5" s="3" t="s">
        <v>3</v>
      </c>
      <c r="B5" s="4"/>
    </row>
    <row r="6" customFormat="false" ht="15" hidden="false" customHeight="false" outlineLevel="0" collapsed="false">
      <c r="A6" s="5" t="s">
        <v>5</v>
      </c>
      <c r="B6" s="33" t="s">
        <v>38</v>
      </c>
    </row>
    <row r="7" customFormat="false" ht="15" hidden="false" customHeight="false" outlineLevel="0" collapsed="false">
      <c r="A7" s="5" t="s">
        <v>39</v>
      </c>
      <c r="B7" s="34" t="n">
        <v>5</v>
      </c>
    </row>
    <row r="8" customFormat="false" ht="15" hidden="false" customHeight="false" outlineLevel="0" collapsed="false">
      <c r="A8" s="5" t="s">
        <v>40</v>
      </c>
      <c r="B8" s="35" t="n">
        <v>2000000</v>
      </c>
    </row>
    <row r="9" customFormat="false" ht="15" hidden="false" customHeight="false" outlineLevel="0" collapsed="false">
      <c r="A9" s="5" t="s">
        <v>11</v>
      </c>
      <c r="B9" s="36" t="n">
        <v>750</v>
      </c>
    </row>
    <row r="10" customFormat="false" ht="15" hidden="false" customHeight="false" outlineLevel="0" collapsed="false">
      <c r="A10" s="5" t="s">
        <v>13</v>
      </c>
      <c r="B10" s="37" t="n">
        <v>0.08</v>
      </c>
    </row>
    <row r="11" customFormat="false" ht="15" hidden="false" customHeight="false" outlineLevel="0" collapsed="false">
      <c r="A11" s="5" t="s">
        <v>41</v>
      </c>
      <c r="B11" s="35" t="n">
        <v>1200</v>
      </c>
    </row>
    <row r="13" customFormat="false" ht="15.75" hidden="false" customHeight="true" outlineLevel="0" collapsed="false">
      <c r="A13" s="3" t="s">
        <v>42</v>
      </c>
      <c r="B13" s="4"/>
    </row>
    <row r="14" customFormat="false" ht="30" hidden="false" customHeight="true" outlineLevel="0" collapsed="false">
      <c r="A14" s="31" t="s">
        <v>43</v>
      </c>
      <c r="B14" s="31"/>
    </row>
    <row r="15" customFormat="false" ht="30" hidden="false" customHeight="true" outlineLevel="0" collapsed="false">
      <c r="A15" s="31" t="s">
        <v>44</v>
      </c>
      <c r="B15" s="31"/>
    </row>
    <row r="16" customFormat="false" ht="30" hidden="false" customHeight="true" outlineLevel="0" collapsed="false">
      <c r="A16" s="31" t="s">
        <v>45</v>
      </c>
      <c r="B16" s="31"/>
    </row>
    <row r="17" customFormat="false" ht="30" hidden="false" customHeight="true" outlineLevel="0" collapsed="false">
      <c r="A17" s="31" t="s">
        <v>46</v>
      </c>
      <c r="B17" s="31"/>
    </row>
    <row r="18" customFormat="false" ht="30" hidden="false" customHeight="true" outlineLevel="0" collapsed="false">
      <c r="A18" s="31" t="s">
        <v>47</v>
      </c>
      <c r="B18" s="31"/>
    </row>
    <row r="19" customFormat="false" ht="30" hidden="false" customHeight="true" outlineLevel="0" collapsed="false">
      <c r="A19" s="31" t="s">
        <v>48</v>
      </c>
      <c r="B19" s="31"/>
    </row>
    <row r="20" customFormat="false" ht="30" hidden="false" customHeight="true" outlineLevel="0" collapsed="false">
      <c r="A20" s="31"/>
      <c r="B20" s="31"/>
    </row>
  </sheetData>
  <mergeCells count="7">
    <mergeCell ref="A14:B14"/>
    <mergeCell ref="A15:B15"/>
    <mergeCell ref="A16:B16"/>
    <mergeCell ref="A17:B17"/>
    <mergeCell ref="A18:B18"/>
    <mergeCell ref="A19:B19"/>
    <mergeCell ref="A20:B20"/>
  </mergeCells>
  <dataValidations count="1">
    <dataValidation allowBlank="true" error="Horizon must be a whole number from 1 to 5." errorStyle="stop" operator="between" showDropDown="false" showErrorMessage="true" showInputMessage="false" sqref="B7"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16"/>
    <col collapsed="false" customWidth="true" hidden="false" outlineLevel="0" max="2" min="2" style="0" width="3"/>
    <col collapsed="false" customWidth="true" hidden="false" outlineLevel="0" max="3" min="3" style="0" width="12"/>
    <col collapsed="false" customWidth="true" hidden="false" outlineLevel="0" max="4" min="4" style="0" width="3"/>
    <col collapsed="false" customWidth="true" hidden="false" outlineLevel="0" max="5" min="5" style="0" width="10"/>
    <col collapsed="false" customWidth="true" hidden="false" outlineLevel="0" max="6" min="6" style="0" width="16"/>
    <col collapsed="false" customWidth="true" hidden="false" outlineLevel="0" max="7" min="7" style="0" width="10"/>
    <col collapsed="false" customWidth="true" hidden="false" outlineLevel="0" max="8" min="8" style="0" width="3"/>
    <col collapsed="false" customWidth="true" hidden="false" outlineLevel="0" max="9" min="9" style="0" width="44"/>
  </cols>
  <sheetData>
    <row r="1" customFormat="false" ht="15" hidden="false" customHeight="false" outlineLevel="0" collapsed="false">
      <c r="A1" s="16" t="s">
        <v>49</v>
      </c>
      <c r="C1" s="16" t="s">
        <v>50</v>
      </c>
      <c r="E1" s="16" t="s">
        <v>29</v>
      </c>
      <c r="F1" s="16" t="s">
        <v>51</v>
      </c>
      <c r="G1" s="16" t="s">
        <v>52</v>
      </c>
      <c r="I1" s="16" t="s">
        <v>53</v>
      </c>
    </row>
    <row r="2" customFormat="false" ht="15" hidden="false" customHeight="false" outlineLevel="0" collapsed="false">
      <c r="A2" s="5" t="s">
        <v>54</v>
      </c>
      <c r="C2" s="5" t="s">
        <v>55</v>
      </c>
      <c r="E2" s="5" t="s">
        <v>18</v>
      </c>
      <c r="F2" s="38" t="n">
        <v>3</v>
      </c>
      <c r="G2" s="5" t="n">
        <v>1</v>
      </c>
      <c r="I2" s="38" t="n">
        <v>1</v>
      </c>
    </row>
    <row r="3" customFormat="false" ht="15" hidden="false" customHeight="false" outlineLevel="0" collapsed="false">
      <c r="A3" s="5" t="s">
        <v>56</v>
      </c>
      <c r="C3" s="5" t="s">
        <v>57</v>
      </c>
      <c r="E3" s="5" t="s">
        <v>20</v>
      </c>
      <c r="F3" s="38" t="n">
        <v>1</v>
      </c>
      <c r="G3" s="5" t="n">
        <v>2</v>
      </c>
    </row>
    <row r="4" customFormat="false" ht="15" hidden="false" customHeight="false" outlineLevel="0" collapsed="false">
      <c r="A4" s="5" t="s">
        <v>58</v>
      </c>
      <c r="C4" s="5" t="s">
        <v>59</v>
      </c>
      <c r="E4" s="5" t="s">
        <v>22</v>
      </c>
      <c r="F4" s="38" t="n">
        <v>-1000000000</v>
      </c>
      <c r="G4" s="5" t="n">
        <v>3</v>
      </c>
    </row>
    <row r="5" customFormat="false" ht="15" hidden="false" customHeight="false" outlineLevel="0" collapsed="false">
      <c r="A5" s="5" t="s">
        <v>60</v>
      </c>
    </row>
    <row r="6" customFormat="false" ht="15" hidden="false" customHeight="false" outlineLevel="0" collapsed="false">
      <c r="A6" s="5" t="s">
        <v>61</v>
      </c>
      <c r="E6" s="2" t="s">
        <v>62</v>
      </c>
    </row>
    <row r="7" customFormat="false" ht="15" hidden="false" customHeight="false" outlineLevel="0" collapsed="false">
      <c r="A7" s="5" t="s">
        <v>63</v>
      </c>
    </row>
    <row r="8" customFormat="false" ht="15" hidden="false" customHeight="false" outlineLevel="0" collapsed="false">
      <c r="A8" s="5" t="s">
        <v>64</v>
      </c>
    </row>
    <row r="9" customFormat="false" ht="15" hidden="false" customHeight="false" outlineLevel="0" collapsed="false">
      <c r="A9" s="5"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14"/>
    <col collapsed="false" customWidth="true" hidden="false" outlineLevel="0" max="4" min="4" style="0" width="44"/>
    <col collapsed="false" customWidth="true" hidden="false" outlineLevel="0" max="5" min="5" style="0" width="10"/>
    <col collapsed="false" customWidth="true" hidden="false" outlineLevel="0" max="7" min="6" style="0" width="18"/>
    <col collapsed="false" customWidth="true" hidden="false" outlineLevel="0" max="8" min="8" style="0" width="12"/>
    <col collapsed="false" customWidth="true" hidden="false" outlineLevel="0" max="9" min="9" style="0" width="14"/>
    <col collapsed="false" customWidth="true" hidden="false" outlineLevel="0" max="10" min="10" style="0" width="16"/>
    <col collapsed="false" customWidth="true" hidden="false" outlineLevel="0" max="12" min="11" style="0" width="14"/>
    <col collapsed="false" customWidth="true" hidden="false" outlineLevel="0" max="14" min="13" style="0" width="18"/>
    <col collapsed="false" customWidth="true" hidden="false" outlineLevel="0" max="19" min="15" style="0" width="16"/>
    <col collapsed="false" customWidth="true" hidden="false" outlineLevel="0" max="20" min="20" style="0" width="9"/>
    <col collapsed="false" customWidth="true" hidden="false" outlineLevel="0" max="21" min="21" style="0" width="18"/>
    <col collapsed="false" customWidth="true" hidden="false" outlineLevel="0" max="22" min="22" style="0" width="11"/>
    <col collapsed="false" customWidth="true" hidden="false" outlineLevel="0" max="23" min="23" style="0" width="12"/>
    <col collapsed="false" customWidth="true" hidden="false" outlineLevel="0" max="24" min="24" style="0" width="10"/>
    <col collapsed="false" customWidth="true" hidden="false" outlineLevel="0" max="25" min="25" style="0" width="14"/>
    <col collapsed="false" customWidth="true" hidden="false" outlineLevel="0" max="26" min="26" style="0" width="7"/>
    <col collapsed="false" customWidth="true" hidden="false" outlineLevel="0" max="27" min="27" style="0" width="11"/>
    <col collapsed="false" customWidth="true" hidden="false" outlineLevel="0" max="32" min="28" style="0" width="16"/>
    <col collapsed="false" customWidth="true" hidden="false" outlineLevel="0" max="37" min="33" style="0" width="14"/>
  </cols>
  <sheetData>
    <row r="1" customFormat="false" ht="30" hidden="false" customHeight="true" outlineLevel="0" collapsed="false">
      <c r="A1" s="39" t="s">
        <v>27</v>
      </c>
      <c r="B1" s="39" t="s">
        <v>28</v>
      </c>
      <c r="C1" s="39" t="s">
        <v>49</v>
      </c>
      <c r="D1" s="39" t="s">
        <v>66</v>
      </c>
      <c r="E1" s="39" t="s">
        <v>50</v>
      </c>
      <c r="F1" s="39" t="s">
        <v>67</v>
      </c>
      <c r="G1" s="39" t="s">
        <v>68</v>
      </c>
      <c r="H1" s="39" t="s">
        <v>69</v>
      </c>
      <c r="I1" s="39" t="s">
        <v>70</v>
      </c>
      <c r="J1" s="39" t="s">
        <v>71</v>
      </c>
      <c r="K1" s="39" t="s">
        <v>72</v>
      </c>
      <c r="L1" s="39" t="s">
        <v>73</v>
      </c>
      <c r="M1" s="39" t="s">
        <v>74</v>
      </c>
      <c r="N1" s="39" t="s">
        <v>75</v>
      </c>
      <c r="O1" s="39" t="s">
        <v>76</v>
      </c>
      <c r="P1" s="39" t="s">
        <v>77</v>
      </c>
      <c r="Q1" s="39" t="s">
        <v>78</v>
      </c>
      <c r="R1" s="39" t="s">
        <v>79</v>
      </c>
      <c r="S1" s="39" t="s">
        <v>80</v>
      </c>
      <c r="T1" s="39" t="s">
        <v>30</v>
      </c>
      <c r="U1" s="39" t="s">
        <v>31</v>
      </c>
      <c r="V1" s="39" t="s">
        <v>81</v>
      </c>
      <c r="W1" s="39" t="s">
        <v>82</v>
      </c>
      <c r="X1" s="39" t="s">
        <v>29</v>
      </c>
      <c r="Y1" s="39" t="s">
        <v>83</v>
      </c>
      <c r="Z1" s="39" t="s">
        <v>26</v>
      </c>
      <c r="AA1" s="39" t="s">
        <v>84</v>
      </c>
      <c r="AB1" s="39" t="s">
        <v>85</v>
      </c>
      <c r="AC1" s="39" t="s">
        <v>86</v>
      </c>
      <c r="AD1" s="39" t="s">
        <v>87</v>
      </c>
      <c r="AE1" s="39" t="s">
        <v>88</v>
      </c>
      <c r="AF1" s="39" t="s">
        <v>89</v>
      </c>
      <c r="AG1" s="39" t="s">
        <v>90</v>
      </c>
      <c r="AH1" s="39" t="s">
        <v>91</v>
      </c>
      <c r="AI1" s="39" t="s">
        <v>92</v>
      </c>
      <c r="AJ1" s="39" t="s">
        <v>93</v>
      </c>
      <c r="AK1" s="39" t="s">
        <v>94</v>
      </c>
    </row>
    <row r="2" customFormat="false" ht="15" hidden="false" customHeight="false" outlineLevel="0" collapsed="false">
      <c r="A2" s="33" t="s">
        <v>95</v>
      </c>
      <c r="B2" s="33" t="s">
        <v>96</v>
      </c>
      <c r="C2" s="33" t="s">
        <v>54</v>
      </c>
      <c r="D2" s="33" t="s">
        <v>97</v>
      </c>
      <c r="E2" s="33" t="s">
        <v>55</v>
      </c>
      <c r="F2" s="35" t="n">
        <v>1500000</v>
      </c>
      <c r="G2" s="35" t="n">
        <v>350000</v>
      </c>
      <c r="H2" s="37" t="n">
        <v>0.12</v>
      </c>
      <c r="I2" s="37" t="n">
        <v>0.06</v>
      </c>
      <c r="J2" s="35" t="n">
        <v>3000000</v>
      </c>
      <c r="K2" s="36" t="n">
        <v>360</v>
      </c>
      <c r="L2" s="33"/>
      <c r="M2" s="8" t="n">
        <f aca="false">IF($B2="","",$G2+$I2*$J2)</f>
        <v>530000</v>
      </c>
      <c r="N2" s="8" t="n">
        <f aca="false">IF($B2="","",IF(Parameters!$B$7&lt;=0,0,IF(ABS((1+$H2)/(1+Parameters!$B$10)-1)&lt;0.000001,Parameters!$B$7*$G2/(1+Parameters!$B$10),$G2/(1+Parameters!$B$10)*(1-((1+$H2)/(1+Parameters!$B$10))^Parameters!$B$7)/(1-(1+$H2)/(1+Parameters!$B$10))))+IF(Parameters!$B$7&lt;=0,0,IF(Parameters!$B$10=0,Parameters!$B$7*$I2*$J2,$I2*$J2*(1-(1/(1+Parameters!$B$10))^Parameters!$B$7)/Parameters!$B$10)))</f>
        <v>2463614.00558245</v>
      </c>
      <c r="O2" s="8" t="n">
        <f aca="false">IF(OR($B2="",1&gt;Parameters!$B$7),"",$N2-AB2)</f>
        <v>583984.375952817</v>
      </c>
      <c r="P2" s="8" t="n">
        <f aca="false">IF(OR($B2="",2&gt;Parameters!$B$7),"",$N2-AC2)</f>
        <v>196467.229176411</v>
      </c>
      <c r="Q2" s="8" t="n">
        <f aca="false">IF(OR($B2="",3&gt;Parameters!$B$7),"",$N2-AD2)</f>
        <v>-199686.812382295</v>
      </c>
      <c r="R2" s="8" t="n">
        <f aca="false">IF(OR($B2="",4&gt;Parameters!$B$7),"",$N2-AE2)</f>
        <v>-605221.010910448</v>
      </c>
      <c r="S2" s="8" t="n">
        <f aca="false">IF(OR($B2="",5&gt;Parameters!$B$7),"",$N2-AF2)</f>
        <v>-1020874.79555063</v>
      </c>
      <c r="T2" s="7" t="n">
        <f aca="false">IF($B2="","",IF(MAX($O2:$S2)&lt;0,"Accept",MATCH(MAX($O2:$S2),$O2:$S2,0)))</f>
        <v>1</v>
      </c>
      <c r="U2" s="8" t="n">
        <f aca="false">IF($B2="","",MAX($O2:$S2))</f>
        <v>583984.375952817</v>
      </c>
      <c r="V2" s="40" t="n">
        <f aca="false">IF($B2="","",IF($F2&gt;0,ROUND($O2/$F2,2),IF(N($O2)&gt;0,Lists!$F$2,0))+IF($W2="Yes",Lists!$I$2,0))</f>
        <v>1.39</v>
      </c>
      <c r="W2" s="7" t="str">
        <f aca="false">IF($B2="","",IF(COUNTIFS($L$2:$L$41,$A2,$E$2:$E$41,"Open",$A$2:$A$41,"&lt;&gt;"&amp;$A2)&gt;0,"Yes","No"))</f>
        <v>Yes</v>
      </c>
      <c r="X2" s="7" t="str">
        <f aca="false">IF($B2="","",IF($V2&gt;=Lists!$F$2,"High",IF($V2&gt;=Lists!$F$3,"Medium","Low")))</f>
        <v>Medium</v>
      </c>
      <c r="Y2" s="7" t="n">
        <f aca="false">IF(OR($B2="",$E2&lt;&gt;"Open"),"",IF($L2="",(INDEX(Lists!$G$2:$G$4,MATCH($X2,Lists!$E$2:$E$4,0))*1000000000000-$U2-$H2),IFERROR(MAX((INDEX(Lists!$G$2:$G$4,MATCH($X2,Lists!$E$2:$E$4,0))*1000000000000-$U2-$H2),INDEX($Y$2:$Y$41,MATCH($L2,$A$2:$A$41,0))+1),(INDEX(Lists!$G$2:$G$4,MATCH($X2,Lists!$E$2:$E$4,0))*1000000000000-$U2-$H2))))</f>
        <v>1999999416015.5</v>
      </c>
      <c r="Z2" s="7" t="n">
        <f aca="false">IF($Y2="","",RANK($Y2,$Y$2:$Y$41,1)+COUNTIF($Y$2:$Y2,$Y2)-1)</f>
        <v>7</v>
      </c>
      <c r="AA2" s="7" t="str">
        <f aca="false">""</f>
        <v/>
      </c>
      <c r="AB2" s="8" t="n">
        <f aca="false">IF(OR($B2="",1&gt;Parameters!$B$7),"",IF(1&lt;=0,0,IF(ABS((1+$H2)/(1+Parameters!$B$10)-1)&lt;0.000001,1*$G2/(1+Parameters!$B$10),$G2/(1+Parameters!$B$10)*(1-((1+$H2)/(1+Parameters!$B$10))^1)/(1-(1+$H2)/(1+Parameters!$B$10))))+$F2/(1+Parameters!$B$10)^1+IF(1&lt;=0,0,IF(Parameters!$B$10=0,1*$I2*$J2,$I2*$J2*(1-(1/(1+Parameters!$B$10))^1)/Parameters!$B$10)))</f>
        <v>1879629.62962963</v>
      </c>
      <c r="AC2" s="8" t="n">
        <f aca="false">IF(OR($B2="",2&gt;Parameters!$B$7),"",IF(2&lt;=0,0,IF(ABS((1+$H2)/(1+Parameters!$B$10)-1)&lt;0.000001,2*$G2/(1+Parameters!$B$10),$G2/(1+Parameters!$B$10)*(1-((1+$H2)/(1+Parameters!$B$10))^2)/(1-(1+$H2)/(1+Parameters!$B$10))))+$F2/(1+Parameters!$B$10)^2+IF(2&lt;=0,0,IF(Parameters!$B$10=0,2*$I2*$J2,$I2*$J2*(1-(1/(1+Parameters!$B$10))^2)/Parameters!$B$10)))</f>
        <v>2267146.77640604</v>
      </c>
      <c r="AD2" s="8" t="n">
        <f aca="false">IF(OR($B2="",3&gt;Parameters!$B$7),"",IF(3&lt;=0,0,IF(ABS((1+$H2)/(1+Parameters!$B$10)-1)&lt;0.000001,3*$G2/(1+Parameters!$B$10),$G2/(1+Parameters!$B$10)*(1-((1+$H2)/(1+Parameters!$B$10))^3)/(1-(1+$H2)/(1+Parameters!$B$10))))+$F2/(1+Parameters!$B$10)^3+IF(3&lt;=0,0,IF(Parameters!$B$10=0,3*$I2*$J2,$I2*$J2*(1-(1/(1+Parameters!$B$10))^3)/Parameters!$B$10)))</f>
        <v>2663300.81796474</v>
      </c>
      <c r="AE2" s="8" t="n">
        <f aca="false">IF(OR($B2="",4&gt;Parameters!$B$7),"",IF(4&lt;=0,0,IF(ABS((1+$H2)/(1+Parameters!$B$10)-1)&lt;0.000001,4*$G2/(1+Parameters!$B$10),$G2/(1+Parameters!$B$10)*(1-((1+$H2)/(1+Parameters!$B$10))^4)/(1-(1+$H2)/(1+Parameters!$B$10))))+$F2/(1+Parameters!$B$10)^4+IF(4&lt;=0,0,IF(Parameters!$B$10=0,4*$I2*$J2,$I2*$J2*(1-(1/(1+Parameters!$B$10))^4)/Parameters!$B$10)))</f>
        <v>3068835.0164929</v>
      </c>
      <c r="AF2" s="8" t="n">
        <f aca="false">IF(OR($B2="",5&gt;Parameters!$B$7),"",IF(5&lt;=0,0,IF(ABS((1+$H2)/(1+Parameters!$B$10)-1)&lt;0.000001,5*$G2/(1+Parameters!$B$10),$G2/(1+Parameters!$B$10)*(1-((1+$H2)/(1+Parameters!$B$10))^5)/(1-(1+$H2)/(1+Parameters!$B$10))))+$F2/(1+Parameters!$B$10)^5+IF(5&lt;=0,0,IF(Parameters!$B$10=0,5*$I2*$J2,$I2*$J2*(1-(1/(1+Parameters!$B$10))^5)/Parameters!$B$10)))</f>
        <v>3484488.80113308</v>
      </c>
      <c r="AG2" s="8" t="n">
        <f aca="false">IF(OR($B2="",1&gt;Parameters!$B$7),"",$G2*(1+$H2)^(1-1))</f>
        <v>350000</v>
      </c>
      <c r="AH2" s="8" t="n">
        <f aca="false">IF(OR($B2="",2&gt;Parameters!$B$7),"",$G2*(1+$H2)^(2-1))</f>
        <v>392000</v>
      </c>
      <c r="AI2" s="8" t="n">
        <f aca="false">IF(OR($B2="",3&gt;Parameters!$B$7),"",$G2*(1+$H2)^(3-1))</f>
        <v>439040</v>
      </c>
      <c r="AJ2" s="8" t="n">
        <f aca="false">IF(OR($B2="",4&gt;Parameters!$B$7),"",$G2*(1+$H2)^(4-1))</f>
        <v>491724.8</v>
      </c>
      <c r="AK2" s="8" t="n">
        <f aca="false">IF(OR($B2="",5&gt;Parameters!$B$7),"",$G2*(1+$H2)^(5-1))</f>
        <v>550731.776</v>
      </c>
    </row>
    <row r="3" customFormat="false" ht="15" hidden="false" customHeight="false" outlineLevel="0" collapsed="false">
      <c r="A3" s="33" t="s">
        <v>98</v>
      </c>
      <c r="B3" s="33" t="s">
        <v>99</v>
      </c>
      <c r="C3" s="33" t="s">
        <v>61</v>
      </c>
      <c r="D3" s="33" t="s">
        <v>100</v>
      </c>
      <c r="E3" s="33" t="s">
        <v>55</v>
      </c>
      <c r="F3" s="35" t="n">
        <v>250000</v>
      </c>
      <c r="G3" s="35" t="n">
        <v>800000</v>
      </c>
      <c r="H3" s="37" t="n">
        <v>0.2</v>
      </c>
      <c r="I3" s="37" t="n">
        <v>0.1</v>
      </c>
      <c r="J3" s="35" t="n">
        <v>5000000</v>
      </c>
      <c r="K3" s="36" t="n">
        <v>90</v>
      </c>
      <c r="L3" s="33"/>
      <c r="M3" s="8" t="n">
        <f aca="false">IF($B3="","",$G3+$I3*$J3)</f>
        <v>1300000</v>
      </c>
      <c r="N3" s="8" t="n">
        <f aca="false">IF($B3="","",IF(Parameters!$B$7&lt;=0,0,IF(ABS((1+$H3)/(1+Parameters!$B$10)-1)&lt;0.000001,Parameters!$B$7*$G3/(1+Parameters!$B$10),$G3/(1+Parameters!$B$10)*(1-((1+$H3)/(1+Parameters!$B$10))^Parameters!$B$7)/(1-(1+$H3)/(1+Parameters!$B$10))))+IF(Parameters!$B$7&lt;=0,0,IF(Parameters!$B$10=0,Parameters!$B$7*$I3*$J3,$I3*$J3*(1-(1/(1+Parameters!$B$10))^Parameters!$B$7)/Parameters!$B$10)))</f>
        <v>6619746.8908259</v>
      </c>
      <c r="O3" s="8" t="n">
        <f aca="false">IF(OR($B3="",1&gt;Parameters!$B$7),"",$N3-AB3)</f>
        <v>5184561.70564072</v>
      </c>
      <c r="P3" s="8" t="n">
        <f aca="false">IF(OR($B3="",2&gt;Parameters!$B$7),"",$N3-AC3)</f>
        <v>3949993.80440615</v>
      </c>
      <c r="Q3" s="8" t="n">
        <f aca="false">IF(OR($B3="",3&gt;Parameters!$B$7),"",$N3-AD3)</f>
        <v>2654459.58706123</v>
      </c>
      <c r="R3" s="8" t="n">
        <f aca="false">IF(OR($B3="",4&gt;Parameters!$B$7),"",$N3-AE3)</f>
        <v>1285539.98921311</v>
      </c>
      <c r="S3" s="8" t="n">
        <f aca="false">IF(OR($B3="",5&gt;Parameters!$B$7),"",$N3-AF3)</f>
        <v>-170145.799258438</v>
      </c>
      <c r="T3" s="7" t="n">
        <f aca="false">IF($B3="","",IF(MAX($O3:$S3)&lt;0,"Accept",MATCH(MAX($O3:$S3),$O3:$S3,0)))</f>
        <v>1</v>
      </c>
      <c r="U3" s="8" t="n">
        <f aca="false">IF($B3="","",MAX($O3:$S3))</f>
        <v>5184561.70564072</v>
      </c>
      <c r="V3" s="40" t="n">
        <f aca="false">IF($B3="","",IF($F3&gt;0,ROUND($O3/$F3,2),IF(N($O3)&gt;0,Lists!$F$2,0))+IF($W3="Yes",Lists!$I$2,0))</f>
        <v>20.74</v>
      </c>
      <c r="W3" s="7" t="str">
        <f aca="false">IF($B3="","",IF(COUNTIFS($L$2:$L$41,$A3,$E$2:$E$41,"Open",$A$2:$A$41,"&lt;&gt;"&amp;$A3)&gt;0,"Yes","No"))</f>
        <v>No</v>
      </c>
      <c r="X3" s="7" t="str">
        <f aca="false">IF($B3="","",IF($V3&gt;=Lists!$F$2,"High",IF($V3&gt;=Lists!$F$3,"Medium","Low")))</f>
        <v>High</v>
      </c>
      <c r="Y3" s="7" t="n">
        <f aca="false">IF(OR($B3="",$E3&lt;&gt;"Open"),"",IF($L3="",(INDEX(Lists!$G$2:$G$4,MATCH($X3,Lists!$E$2:$E$4,0))*1000000000000-$U3-$H3),IFERROR(MAX((INDEX(Lists!$G$2:$G$4,MATCH($X3,Lists!$E$2:$E$4,0))*1000000000000-$U3-$H3),INDEX($Y$2:$Y$41,MATCH($L3,$A$2:$A$41,0))+1),(INDEX(Lists!$G$2:$G$4,MATCH($X3,Lists!$E$2:$E$4,0))*1000000000000-$U3-$H3))))</f>
        <v>999994815438.094</v>
      </c>
      <c r="Z3" s="7" t="n">
        <f aca="false">IF($Y3="","",RANK($Y3,$Y$2:$Y$41,1)+COUNTIF($Y$2:$Y3,$Y3)-1)</f>
        <v>2</v>
      </c>
      <c r="AA3" s="7" t="str">
        <f aca="false">""</f>
        <v/>
      </c>
      <c r="AB3" s="8" t="n">
        <f aca="false">IF(OR($B3="",1&gt;Parameters!$B$7),"",IF(1&lt;=0,0,IF(ABS((1+$H3)/(1+Parameters!$B$10)-1)&lt;0.000001,1*$G3/(1+Parameters!$B$10),$G3/(1+Parameters!$B$10)*(1-((1+$H3)/(1+Parameters!$B$10))^1)/(1-(1+$H3)/(1+Parameters!$B$10))))+$F3/(1+Parameters!$B$10)^1+IF(1&lt;=0,0,IF(Parameters!$B$10=0,1*$I3*$J3,$I3*$J3*(1-(1/(1+Parameters!$B$10))^1)/Parameters!$B$10)))</f>
        <v>1435185.18518519</v>
      </c>
      <c r="AC3" s="8" t="n">
        <f aca="false">IF(OR($B3="",2&gt;Parameters!$B$7),"",IF(2&lt;=0,0,IF(ABS((1+$H3)/(1+Parameters!$B$10)-1)&lt;0.000001,2*$G3/(1+Parameters!$B$10),$G3/(1+Parameters!$B$10)*(1-((1+$H3)/(1+Parameters!$B$10))^2)/(1-(1+$H3)/(1+Parameters!$B$10))))+$F3/(1+Parameters!$B$10)^2+IF(2&lt;=0,0,IF(Parameters!$B$10=0,2*$I3*$J3,$I3*$J3*(1-(1/(1+Parameters!$B$10))^2)/Parameters!$B$10)))</f>
        <v>2669753.08641975</v>
      </c>
      <c r="AD3" s="8" t="n">
        <f aca="false">IF(OR($B3="",3&gt;Parameters!$B$7),"",IF(3&lt;=0,0,IF(ABS((1+$H3)/(1+Parameters!$B$10)-1)&lt;0.000001,3*$G3/(1+Parameters!$B$10),$G3/(1+Parameters!$B$10)*(1-((1+$H3)/(1+Parameters!$B$10))^3)/(1-(1+$H3)/(1+Parameters!$B$10))))+$F3/(1+Parameters!$B$10)^3+IF(3&lt;=0,0,IF(Parameters!$B$10=0,3*$I3*$J3,$I3*$J3*(1-(1/(1+Parameters!$B$10))^3)/Parameters!$B$10)))</f>
        <v>3965287.30376467</v>
      </c>
      <c r="AE3" s="8" t="n">
        <f aca="false">IF(OR($B3="",4&gt;Parameters!$B$7),"",IF(4&lt;=0,0,IF(ABS((1+$H3)/(1+Parameters!$B$10)-1)&lt;0.000001,4*$G3/(1+Parameters!$B$10),$G3/(1+Parameters!$B$10)*(1-((1+$H3)/(1+Parameters!$B$10))^4)/(1-(1+$H3)/(1+Parameters!$B$10))))+$F3/(1+Parameters!$B$10)^4+IF(4&lt;=0,0,IF(Parameters!$B$10=0,4*$I3*$J3,$I3*$J3*(1-(1/(1+Parameters!$B$10))^4)/Parameters!$B$10)))</f>
        <v>5334206.90161279</v>
      </c>
      <c r="AF3" s="8" t="n">
        <f aca="false">IF(OR($B3="",5&gt;Parameters!$B$7),"",IF(5&lt;=0,0,IF(ABS((1+$H3)/(1+Parameters!$B$10)-1)&lt;0.000001,5*$G3/(1+Parameters!$B$10),$G3/(1+Parameters!$B$10)*(1-((1+$H3)/(1+Parameters!$B$10))^5)/(1-(1+$H3)/(1+Parameters!$B$10))))+$F3/(1+Parameters!$B$10)^5+IF(5&lt;=0,0,IF(Parameters!$B$10=0,5*$I3*$J3,$I3*$J3*(1-(1/(1+Parameters!$B$10))^5)/Parameters!$B$10)))</f>
        <v>6789892.69008434</v>
      </c>
      <c r="AG3" s="8" t="n">
        <f aca="false">IF(OR($B3="",1&gt;Parameters!$B$7),"",$G3*(1+$H3)^(1-1))</f>
        <v>800000</v>
      </c>
      <c r="AH3" s="8" t="n">
        <f aca="false">IF(OR($B3="",2&gt;Parameters!$B$7),"",$G3*(1+$H3)^(2-1))</f>
        <v>960000</v>
      </c>
      <c r="AI3" s="8" t="n">
        <f aca="false">IF(OR($B3="",3&gt;Parameters!$B$7),"",$G3*(1+$H3)^(3-1))</f>
        <v>1152000</v>
      </c>
      <c r="AJ3" s="8" t="n">
        <f aca="false">IF(OR($B3="",4&gt;Parameters!$B$7),"",$G3*(1+$H3)^(4-1))</f>
        <v>1382400</v>
      </c>
      <c r="AK3" s="8" t="n">
        <f aca="false">IF(OR($B3="",5&gt;Parameters!$B$7),"",$G3*(1+$H3)^(5-1))</f>
        <v>1658880</v>
      </c>
    </row>
    <row r="4" customFormat="false" ht="15" hidden="false" customHeight="false" outlineLevel="0" collapsed="false">
      <c r="A4" s="33" t="s">
        <v>101</v>
      </c>
      <c r="B4" s="33" t="s">
        <v>102</v>
      </c>
      <c r="C4" s="33" t="s">
        <v>61</v>
      </c>
      <c r="D4" s="33" t="s">
        <v>103</v>
      </c>
      <c r="E4" s="33" t="s">
        <v>55</v>
      </c>
      <c r="F4" s="35" t="n">
        <v>80000</v>
      </c>
      <c r="G4" s="35" t="n">
        <v>50000</v>
      </c>
      <c r="H4" s="37" t="n">
        <v>0.15</v>
      </c>
      <c r="I4" s="37" t="n">
        <v>0.08</v>
      </c>
      <c r="J4" s="35" t="n">
        <v>2000000</v>
      </c>
      <c r="K4" s="36" t="n">
        <v>30</v>
      </c>
      <c r="L4" s="33"/>
      <c r="M4" s="8" t="n">
        <f aca="false">IF($B4="","",$G4+$I4*$J4)</f>
        <v>210000</v>
      </c>
      <c r="N4" s="8" t="n">
        <f aca="false">IF($B4="","",IF(Parameters!$B$7&lt;=0,0,IF(ABS((1+$H4)/(1+Parameters!$B$10)-1)&lt;0.000001,Parameters!$B$7*$G4/(1+Parameters!$B$10),$G4/(1+Parameters!$B$10)*(1-((1+$H4)/(1+Parameters!$B$10))^Parameters!$B$7)/(1-(1+$H4)/(1+Parameters!$B$10))))+IF(Parameters!$B$7&lt;=0,0,IF(Parameters!$B$10=0,Parameters!$B$7*$I4*$J4,$I4*$J4*(1-(1/(1+Parameters!$B$10))^Parameters!$B$7)/Parameters!$B$10)))</f>
        <v>902330.680965043</v>
      </c>
      <c r="O4" s="8" t="n">
        <f aca="false">IF(OR($B4="",1&gt;Parameters!$B$7),"",$N4-AB4)</f>
        <v>633812.162446524</v>
      </c>
      <c r="P4" s="8" t="n">
        <f aca="false">IF(OR($B4="",2&gt;Parameters!$B$7),"",$N4-AC4)</f>
        <v>452827.937480818</v>
      </c>
      <c r="Q4" s="8" t="n">
        <f aca="false">IF(OR($B4="",3&gt;Parameters!$B$7),"",$N4-AD4)</f>
        <v>278403.148322661</v>
      </c>
      <c r="R4" s="8" t="n">
        <f aca="false">IF(OR($B4="",4&gt;Parameters!$B$7),"",$N4-AE4)</f>
        <v>109608.136564535</v>
      </c>
      <c r="S4" s="8" t="n">
        <f aca="false">IF(OR($B4="",5&gt;Parameters!$B$7),"",$N4-AF4)</f>
        <v>-54446.6557627004</v>
      </c>
      <c r="T4" s="7" t="n">
        <f aca="false">IF($B4="","",IF(MAX($O4:$S4)&lt;0,"Accept",MATCH(MAX($O4:$S4),$O4:$S4,0)))</f>
        <v>1</v>
      </c>
      <c r="U4" s="8" t="n">
        <f aca="false">IF($B4="","",MAX($O4:$S4))</f>
        <v>633812.162446524</v>
      </c>
      <c r="V4" s="40" t="n">
        <f aca="false">IF($B4="","",IF($F4&gt;0,ROUND($O4/$F4,2),IF(N($O4)&gt;0,Lists!$F$2,0))+IF($W4="Yes",Lists!$I$2,0))</f>
        <v>7.92</v>
      </c>
      <c r="W4" s="7" t="str">
        <f aca="false">IF($B4="","",IF(COUNTIFS($L$2:$L$41,$A4,$E$2:$E$41,"Open",$A$2:$A$41,"&lt;&gt;"&amp;$A4)&gt;0,"Yes","No"))</f>
        <v>No</v>
      </c>
      <c r="X4" s="7" t="str">
        <f aca="false">IF($B4="","",IF($V4&gt;=Lists!$F$2,"High",IF($V4&gt;=Lists!$F$3,"Medium","Low")))</f>
        <v>High</v>
      </c>
      <c r="Y4" s="7" t="n">
        <f aca="false">IF(OR($B4="",$E4&lt;&gt;"Open"),"",IF($L4="",(INDEX(Lists!$G$2:$G$4,MATCH($X4,Lists!$E$2:$E$4,0))*1000000000000-$U4-$H4),IFERROR(MAX((INDEX(Lists!$G$2:$G$4,MATCH($X4,Lists!$E$2:$E$4,0))*1000000000000-$U4-$H4),INDEX($Y$2:$Y$41,MATCH($L4,$A$2:$A$41,0))+1),(INDEX(Lists!$G$2:$G$4,MATCH($X4,Lists!$E$2:$E$4,0))*1000000000000-$U4-$H4))))</f>
        <v>999999366187.688</v>
      </c>
      <c r="Z4" s="7" t="n">
        <f aca="false">IF($Y4="","",RANK($Y4,$Y$2:$Y$41,1)+COUNTIF($Y$2:$Y4,$Y4)-1)</f>
        <v>6</v>
      </c>
      <c r="AA4" s="7" t="str">
        <f aca="false">""</f>
        <v/>
      </c>
      <c r="AB4" s="8" t="n">
        <f aca="false">IF(OR($B4="",1&gt;Parameters!$B$7),"",IF(1&lt;=0,0,IF(ABS((1+$H4)/(1+Parameters!$B$10)-1)&lt;0.000001,1*$G4/(1+Parameters!$B$10),$G4/(1+Parameters!$B$10)*(1-((1+$H4)/(1+Parameters!$B$10))^1)/(1-(1+$H4)/(1+Parameters!$B$10))))+$F4/(1+Parameters!$B$10)^1+IF(1&lt;=0,0,IF(Parameters!$B$10=0,1*$I4*$J4,$I4*$J4*(1-(1/(1+Parameters!$B$10))^1)/Parameters!$B$10)))</f>
        <v>268518.518518519</v>
      </c>
      <c r="AC4" s="8" t="n">
        <f aca="false">IF(OR($B4="",2&gt;Parameters!$B$7),"",IF(2&lt;=0,0,IF(ABS((1+$H4)/(1+Parameters!$B$10)-1)&lt;0.000001,2*$G4/(1+Parameters!$B$10),$G4/(1+Parameters!$B$10)*(1-((1+$H4)/(1+Parameters!$B$10))^2)/(1-(1+$H4)/(1+Parameters!$B$10))))+$F4/(1+Parameters!$B$10)^2+IF(2&lt;=0,0,IF(Parameters!$B$10=0,2*$I4*$J4,$I4*$J4*(1-(1/(1+Parameters!$B$10))^2)/Parameters!$B$10)))</f>
        <v>449502.743484225</v>
      </c>
      <c r="AD4" s="8" t="n">
        <f aca="false">IF(OR($B4="",3&gt;Parameters!$B$7),"",IF(3&lt;=0,0,IF(ABS((1+$H4)/(1+Parameters!$B$10)-1)&lt;0.000001,3*$G4/(1+Parameters!$B$10),$G4/(1+Parameters!$B$10)*(1-((1+$H4)/(1+Parameters!$B$10))^3)/(1-(1+$H4)/(1+Parameters!$B$10))))+$F4/(1+Parameters!$B$10)^3+IF(3&lt;=0,0,IF(Parameters!$B$10=0,3*$I4*$J4,$I4*$J4*(1-(1/(1+Parameters!$B$10))^3)/Parameters!$B$10)))</f>
        <v>623927.532642382</v>
      </c>
      <c r="AE4" s="8" t="n">
        <f aca="false">IF(OR($B4="",4&gt;Parameters!$B$7),"",IF(4&lt;=0,0,IF(ABS((1+$H4)/(1+Parameters!$B$10)-1)&lt;0.000001,4*$G4/(1+Parameters!$B$10),$G4/(1+Parameters!$B$10)*(1-((1+$H4)/(1+Parameters!$B$10))^4)/(1-(1+$H4)/(1+Parameters!$B$10))))+$F4/(1+Parameters!$B$10)^4+IF(4&lt;=0,0,IF(Parameters!$B$10=0,4*$I4*$J4,$I4*$J4*(1-(1/(1+Parameters!$B$10))^4)/Parameters!$B$10)))</f>
        <v>792722.544400508</v>
      </c>
      <c r="AF4" s="8" t="n">
        <f aca="false">IF(OR($B4="",5&gt;Parameters!$B$7),"",IF(5&lt;=0,0,IF(ABS((1+$H4)/(1+Parameters!$B$10)-1)&lt;0.000001,5*$G4/(1+Parameters!$B$10),$G4/(1+Parameters!$B$10)*(1-((1+$H4)/(1+Parameters!$B$10))^5)/(1-(1+$H4)/(1+Parameters!$B$10))))+$F4/(1+Parameters!$B$10)^5+IF(5&lt;=0,0,IF(Parameters!$B$10=0,5*$I4*$J4,$I4*$J4*(1-(1/(1+Parameters!$B$10))^5)/Parameters!$B$10)))</f>
        <v>956777.336727743</v>
      </c>
      <c r="AG4" s="8" t="n">
        <f aca="false">IF(OR($B4="",1&gt;Parameters!$B$7),"",$G4*(1+$H4)^(1-1))</f>
        <v>50000</v>
      </c>
      <c r="AH4" s="8" t="n">
        <f aca="false">IF(OR($B4="",2&gt;Parameters!$B$7),"",$G4*(1+$H4)^(2-1))</f>
        <v>57500</v>
      </c>
      <c r="AI4" s="8" t="n">
        <f aca="false">IF(OR($B4="",3&gt;Parameters!$B$7),"",$G4*(1+$H4)^(3-1))</f>
        <v>66125</v>
      </c>
      <c r="AJ4" s="8" t="n">
        <f aca="false">IF(OR($B4="",4&gt;Parameters!$B$7),"",$G4*(1+$H4)^(4-1))</f>
        <v>76043.75</v>
      </c>
      <c r="AK4" s="8" t="n">
        <f aca="false">IF(OR($B4="",5&gt;Parameters!$B$7),"",$G4*(1+$H4)^(5-1))</f>
        <v>87450.3125</v>
      </c>
    </row>
    <row r="5" customFormat="false" ht="15" hidden="false" customHeight="false" outlineLevel="0" collapsed="false">
      <c r="A5" s="33" t="s">
        <v>104</v>
      </c>
      <c r="B5" s="33" t="s">
        <v>105</v>
      </c>
      <c r="C5" s="33" t="s">
        <v>63</v>
      </c>
      <c r="D5" s="33" t="s">
        <v>106</v>
      </c>
      <c r="E5" s="33" t="s">
        <v>55</v>
      </c>
      <c r="F5" s="35" t="n">
        <v>400000</v>
      </c>
      <c r="G5" s="35" t="n">
        <v>200000</v>
      </c>
      <c r="H5" s="37" t="n">
        <v>0.25</v>
      </c>
      <c r="I5" s="37" t="n">
        <v>0.2</v>
      </c>
      <c r="J5" s="35" t="n">
        <v>2000000</v>
      </c>
      <c r="K5" s="36" t="n">
        <v>120</v>
      </c>
      <c r="L5" s="33"/>
      <c r="M5" s="8" t="n">
        <f aca="false">IF($B5="","",$G5+$I5*$J5)</f>
        <v>600000</v>
      </c>
      <c r="N5" s="8" t="n">
        <f aca="false">IF($B5="","",IF(Parameters!$B$7&lt;=0,0,IF(ABS((1+$H5)/(1+Parameters!$B$10)-1)&lt;0.000001,Parameters!$B$7*$G5/(1+Parameters!$B$10),$G5/(1+Parameters!$B$10)*(1-((1+$H5)/(1+Parameters!$B$10))^Parameters!$B$7)/(1-(1+$H5)/(1+Parameters!$B$10))))+IF(Parameters!$B$7&lt;=0,0,IF(Parameters!$B$10=0,Parameters!$B$7*$I5*$J5,$I5*$J5*(1-(1/(1+Parameters!$B$10))^Parameters!$B$7)/Parameters!$B$10)))</f>
        <v>2864113.53083592</v>
      </c>
      <c r="O5" s="8" t="n">
        <f aca="false">IF(OR($B5="",1&gt;Parameters!$B$7),"",$N5-AB5)</f>
        <v>1938187.60491</v>
      </c>
      <c r="P5" s="8" t="n">
        <f aca="false">IF(OR($B5="",2&gt;Parameters!$B$7),"",$N5-AC5)</f>
        <v>1408352.21396349</v>
      </c>
      <c r="Q5" s="8" t="n">
        <f aca="false">IF(OR($B5="",3&gt;Parameters!$B$7),"",$N5-AD5)</f>
        <v>868149.373949267</v>
      </c>
      <c r="R5" s="8" t="n">
        <f aca="false">IF(OR($B5="",4&gt;Parameters!$B$7),"",$N5-AE5)</f>
        <v>310537.351871557</v>
      </c>
      <c r="S5" s="8" t="n">
        <f aca="false">IF(OR($B5="",5&gt;Parameters!$B$7),"",$N5-AF5)</f>
        <v>-272233.278813501</v>
      </c>
      <c r="T5" s="7" t="n">
        <f aca="false">IF($B5="","",IF(MAX($O5:$S5)&lt;0,"Accept",MATCH(MAX($O5:$S5),$O5:$S5,0)))</f>
        <v>1</v>
      </c>
      <c r="U5" s="8" t="n">
        <f aca="false">IF($B5="","",MAX($O5:$S5))</f>
        <v>1938187.60491</v>
      </c>
      <c r="V5" s="40" t="n">
        <f aca="false">IF($B5="","",IF($F5&gt;0,ROUND($O5/$F5,2),IF(N($O5)&gt;0,Lists!$F$2,0))+IF($W5="Yes",Lists!$I$2,0))</f>
        <v>4.85</v>
      </c>
      <c r="W5" s="7" t="str">
        <f aca="false">IF($B5="","",IF(COUNTIFS($L$2:$L$41,$A5,$E$2:$E$41,"Open",$A$2:$A$41,"&lt;&gt;"&amp;$A5)&gt;0,"Yes","No"))</f>
        <v>No</v>
      </c>
      <c r="X5" s="7" t="str">
        <f aca="false">IF($B5="","",IF($V5&gt;=Lists!$F$2,"High",IF($V5&gt;=Lists!$F$3,"Medium","Low")))</f>
        <v>High</v>
      </c>
      <c r="Y5" s="7" t="n">
        <f aca="false">IF(OR($B5="",$E5&lt;&gt;"Open"),"",IF($L5="",(INDEX(Lists!$G$2:$G$4,MATCH($X5,Lists!$E$2:$E$4,0))*1000000000000-$U5-$H5),IFERROR(MAX((INDEX(Lists!$G$2:$G$4,MATCH($X5,Lists!$E$2:$E$4,0))*1000000000000-$U5-$H5),INDEX($Y$2:$Y$41,MATCH($L5,$A$2:$A$41,0))+1),(INDEX(Lists!$G$2:$G$4,MATCH($X5,Lists!$E$2:$E$4,0))*1000000000000-$U5-$H5))))</f>
        <v>999998061812.145</v>
      </c>
      <c r="Z5" s="7" t="n">
        <f aca="false">IF($Y5="","",RANK($Y5,$Y$2:$Y$41,1)+COUNTIF($Y$2:$Y5,$Y5)-1)</f>
        <v>3</v>
      </c>
      <c r="AA5" s="7" t="str">
        <f aca="false">""</f>
        <v/>
      </c>
      <c r="AB5" s="8" t="n">
        <f aca="false">IF(OR($B5="",1&gt;Parameters!$B$7),"",IF(1&lt;=0,0,IF(ABS((1+$H5)/(1+Parameters!$B$10)-1)&lt;0.000001,1*$G5/(1+Parameters!$B$10),$G5/(1+Parameters!$B$10)*(1-((1+$H5)/(1+Parameters!$B$10))^1)/(1-(1+$H5)/(1+Parameters!$B$10))))+$F5/(1+Parameters!$B$10)^1+IF(1&lt;=0,0,IF(Parameters!$B$10=0,1*$I5*$J5,$I5*$J5*(1-(1/(1+Parameters!$B$10))^1)/Parameters!$B$10)))</f>
        <v>925925.925925926</v>
      </c>
      <c r="AC5" s="8" t="n">
        <f aca="false">IF(OR($B5="",2&gt;Parameters!$B$7),"",IF(2&lt;=0,0,IF(ABS((1+$H5)/(1+Parameters!$B$10)-1)&lt;0.000001,2*$G5/(1+Parameters!$B$10),$G5/(1+Parameters!$B$10)*(1-((1+$H5)/(1+Parameters!$B$10))^2)/(1-(1+$H5)/(1+Parameters!$B$10))))+$F5/(1+Parameters!$B$10)^2+IF(2&lt;=0,0,IF(Parameters!$B$10=0,2*$I5*$J5,$I5*$J5*(1-(1/(1+Parameters!$B$10))^2)/Parameters!$B$10)))</f>
        <v>1455761.31687243</v>
      </c>
      <c r="AD5" s="8" t="n">
        <f aca="false">IF(OR($B5="",3&gt;Parameters!$B$7),"",IF(3&lt;=0,0,IF(ABS((1+$H5)/(1+Parameters!$B$10)-1)&lt;0.000001,3*$G5/(1+Parameters!$B$10),$G5/(1+Parameters!$B$10)*(1-((1+$H5)/(1+Parameters!$B$10))^3)/(1-(1+$H5)/(1+Parameters!$B$10))))+$F5/(1+Parameters!$B$10)^3+IF(3&lt;=0,0,IF(Parameters!$B$10=0,3*$I5*$J5,$I5*$J5*(1-(1/(1+Parameters!$B$10))^3)/Parameters!$B$10)))</f>
        <v>1995964.15688666</v>
      </c>
      <c r="AE5" s="8" t="n">
        <f aca="false">IF(OR($B5="",4&gt;Parameters!$B$7),"",IF(4&lt;=0,0,IF(ABS((1+$H5)/(1+Parameters!$B$10)-1)&lt;0.000001,4*$G5/(1+Parameters!$B$10),$G5/(1+Parameters!$B$10)*(1-((1+$H5)/(1+Parameters!$B$10))^4)/(1-(1+$H5)/(1+Parameters!$B$10))))+$F5/(1+Parameters!$B$10)^4+IF(4&lt;=0,0,IF(Parameters!$B$10=0,4*$I5*$J5,$I5*$J5*(1-(1/(1+Parameters!$B$10))^4)/Parameters!$B$10)))</f>
        <v>2553576.17896437</v>
      </c>
      <c r="AF5" s="8" t="n">
        <f aca="false">IF(OR($B5="",5&gt;Parameters!$B$7),"",IF(5&lt;=0,0,IF(ABS((1+$H5)/(1+Parameters!$B$10)-1)&lt;0.000001,5*$G5/(1+Parameters!$B$10),$G5/(1+Parameters!$B$10)*(1-((1+$H5)/(1+Parameters!$B$10))^5)/(1-(1+$H5)/(1+Parameters!$B$10))))+$F5/(1+Parameters!$B$10)^5+IF(5&lt;=0,0,IF(Parameters!$B$10=0,5*$I5*$J5,$I5*$J5*(1-(1/(1+Parameters!$B$10))^5)/Parameters!$B$10)))</f>
        <v>3136346.80964942</v>
      </c>
      <c r="AG5" s="8" t="n">
        <f aca="false">IF(OR($B5="",1&gt;Parameters!$B$7),"",$G5*(1+$H5)^(1-1))</f>
        <v>200000</v>
      </c>
      <c r="AH5" s="8" t="n">
        <f aca="false">IF(OR($B5="",2&gt;Parameters!$B$7),"",$G5*(1+$H5)^(2-1))</f>
        <v>250000</v>
      </c>
      <c r="AI5" s="8" t="n">
        <f aca="false">IF(OR($B5="",3&gt;Parameters!$B$7),"",$G5*(1+$H5)^(3-1))</f>
        <v>312500</v>
      </c>
      <c r="AJ5" s="8" t="n">
        <f aca="false">IF(OR($B5="",4&gt;Parameters!$B$7),"",$G5*(1+$H5)^(4-1))</f>
        <v>390625</v>
      </c>
      <c r="AK5" s="8" t="n">
        <f aca="false">IF(OR($B5="",5&gt;Parameters!$B$7),"",$G5*(1+$H5)^(5-1))</f>
        <v>488281.25</v>
      </c>
    </row>
    <row r="6" customFormat="false" ht="15" hidden="false" customHeight="false" outlineLevel="0" collapsed="false">
      <c r="A6" s="33" t="s">
        <v>107</v>
      </c>
      <c r="B6" s="33" t="s">
        <v>108</v>
      </c>
      <c r="C6" s="33" t="s">
        <v>58</v>
      </c>
      <c r="D6" s="33" t="s">
        <v>109</v>
      </c>
      <c r="E6" s="33" t="s">
        <v>55</v>
      </c>
      <c r="F6" s="35" t="n">
        <v>150000</v>
      </c>
      <c r="G6" s="35" t="n">
        <v>4400000</v>
      </c>
      <c r="H6" s="37" t="n">
        <v>0.08</v>
      </c>
      <c r="I6" s="37" t="n">
        <v>0.01</v>
      </c>
      <c r="J6" s="35" t="n">
        <v>100000</v>
      </c>
      <c r="K6" s="36" t="n">
        <v>60</v>
      </c>
      <c r="L6" s="33"/>
      <c r="M6" s="8" t="n">
        <f aca="false">IF($B6="","",$G6+$I6*$J6)</f>
        <v>4401000</v>
      </c>
      <c r="N6" s="8" t="n">
        <f aca="false">IF($B6="","",IF(Parameters!$B$7&lt;=0,0,IF(ABS((1+$H6)/(1+Parameters!$B$10)-1)&lt;0.000001,Parameters!$B$7*$G6/(1+Parameters!$B$10),$G6/(1+Parameters!$B$10)*(1-((1+$H6)/(1+Parameters!$B$10))^Parameters!$B$7)/(1-(1+$H6)/(1+Parameters!$B$10))))+IF(Parameters!$B$7&lt;=0,0,IF(Parameters!$B$10=0,Parameters!$B$7*$I6*$J6,$I6*$J6*(1-(1/(1+Parameters!$B$10))^Parameters!$B$7)/Parameters!$B$10)))</f>
        <v>20374363.0804074</v>
      </c>
      <c r="O6" s="8" t="n">
        <f aca="false">IF(OR($B6="",1&gt;Parameters!$B$7),"",$N6-AB6)</f>
        <v>16160474.1915186</v>
      </c>
      <c r="P6" s="8" t="n">
        <f aca="false">IF(OR($B6="",2&gt;Parameters!$B$7),"",$N6-AC6)</f>
        <v>12095830.8444678</v>
      </c>
      <c r="Q6" s="8" t="n">
        <f aca="false">IF(OR($B6="",3&gt;Parameters!$B$7),"",$N6-AD6)</f>
        <v>8030488.92504495</v>
      </c>
      <c r="R6" s="8" t="n">
        <f aca="false">IF(OR($B6="",4&gt;Parameters!$B$7),"",$N6-AE6)</f>
        <v>3964500.17935164</v>
      </c>
      <c r="S6" s="8" t="n">
        <f aca="false">IF(OR($B6="",5&gt;Parameters!$B$7),"",$N6-AF6)</f>
        <v>-102087.479555063</v>
      </c>
      <c r="T6" s="7" t="n">
        <f aca="false">IF($B6="","",IF(MAX($O6:$S6)&lt;0,"Accept",MATCH(MAX($O6:$S6),$O6:$S6,0)))</f>
        <v>1</v>
      </c>
      <c r="U6" s="8" t="n">
        <f aca="false">IF($B6="","",MAX($O6:$S6))</f>
        <v>16160474.1915186</v>
      </c>
      <c r="V6" s="40" t="n">
        <f aca="false">IF($B6="","",IF($F6&gt;0,ROUND($O6/$F6,2),IF(N($O6)&gt;0,Lists!$F$2,0))+IF($W6="Yes",Lists!$I$2,0))</f>
        <v>107.74</v>
      </c>
      <c r="W6" s="7" t="str">
        <f aca="false">IF($B6="","",IF(COUNTIFS($L$2:$L$41,$A6,$E$2:$E$41,"Open",$A$2:$A$41,"&lt;&gt;"&amp;$A6)&gt;0,"Yes","No"))</f>
        <v>No</v>
      </c>
      <c r="X6" s="7" t="str">
        <f aca="false">IF($B6="","",IF($V6&gt;=Lists!$F$2,"High",IF($V6&gt;=Lists!$F$3,"Medium","Low")))</f>
        <v>High</v>
      </c>
      <c r="Y6" s="7" t="n">
        <f aca="false">IF(OR($B6="",$E6&lt;&gt;"Open"),"",IF($L6="",(INDEX(Lists!$G$2:$G$4,MATCH($X6,Lists!$E$2:$E$4,0))*1000000000000-$U6-$H6),IFERROR(MAX((INDEX(Lists!$G$2:$G$4,MATCH($X6,Lists!$E$2:$E$4,0))*1000000000000-$U6-$H6),INDEX($Y$2:$Y$41,MATCH($L6,$A$2:$A$41,0))+1),(INDEX(Lists!$G$2:$G$4,MATCH($X6,Lists!$E$2:$E$4,0))*1000000000000-$U6-$H6))))</f>
        <v>999983839525.729</v>
      </c>
      <c r="Z6" s="7" t="n">
        <f aca="false">IF($Y6="","",RANK($Y6,$Y$2:$Y$41,1)+COUNTIF($Y$2:$Y6,$Y6)-1)</f>
        <v>1</v>
      </c>
      <c r="AA6" s="7" t="str">
        <f aca="false">""</f>
        <v/>
      </c>
      <c r="AB6" s="8" t="n">
        <f aca="false">IF(OR($B6="",1&gt;Parameters!$B$7),"",IF(1&lt;=0,0,IF(ABS((1+$H6)/(1+Parameters!$B$10)-1)&lt;0.000001,1*$G6/(1+Parameters!$B$10),$G6/(1+Parameters!$B$10)*(1-((1+$H6)/(1+Parameters!$B$10))^1)/(1-(1+$H6)/(1+Parameters!$B$10))))+$F6/(1+Parameters!$B$10)^1+IF(1&lt;=0,0,IF(Parameters!$B$10=0,1*$I6*$J6,$I6*$J6*(1-(1/(1+Parameters!$B$10))^1)/Parameters!$B$10)))</f>
        <v>4213888.88888889</v>
      </c>
      <c r="AC6" s="8" t="n">
        <f aca="false">IF(OR($B6="",2&gt;Parameters!$B$7),"",IF(2&lt;=0,0,IF(ABS((1+$H6)/(1+Parameters!$B$10)-1)&lt;0.000001,2*$G6/(1+Parameters!$B$10),$G6/(1+Parameters!$B$10)*(1-((1+$H6)/(1+Parameters!$B$10))^2)/(1-(1+$H6)/(1+Parameters!$B$10))))+$F6/(1+Parameters!$B$10)^2+IF(2&lt;=0,0,IF(Parameters!$B$10=0,2*$I6*$J6,$I6*$J6*(1-(1/(1+Parameters!$B$10))^2)/Parameters!$B$10)))</f>
        <v>8278532.23593964</v>
      </c>
      <c r="AD6" s="8" t="n">
        <f aca="false">IF(OR($B6="",3&gt;Parameters!$B$7),"",IF(3&lt;=0,0,IF(ABS((1+$H6)/(1+Parameters!$B$10)-1)&lt;0.000001,3*$G6/(1+Parameters!$B$10),$G6/(1+Parameters!$B$10)*(1-((1+$H6)/(1+Parameters!$B$10))^3)/(1-(1+$H6)/(1+Parameters!$B$10))))+$F6/(1+Parameters!$B$10)^3+IF(3&lt;=0,0,IF(Parameters!$B$10=0,3*$I6*$J6,$I6*$J6*(1-(1/(1+Parameters!$B$10))^3)/Parameters!$B$10)))</f>
        <v>12343874.1553625</v>
      </c>
      <c r="AE6" s="8" t="n">
        <f aca="false">IF(OR($B6="",4&gt;Parameters!$B$7),"",IF(4&lt;=0,0,IF(ABS((1+$H6)/(1+Parameters!$B$10)-1)&lt;0.000001,4*$G6/(1+Parameters!$B$10),$G6/(1+Parameters!$B$10)*(1-((1+$H6)/(1+Parameters!$B$10))^4)/(1-(1+$H6)/(1+Parameters!$B$10))))+$F6/(1+Parameters!$B$10)^4+IF(4&lt;=0,0,IF(Parameters!$B$10=0,4*$I6*$J6,$I6*$J6*(1-(1/(1+Parameters!$B$10))^4)/Parameters!$B$10)))</f>
        <v>16409862.9010558</v>
      </c>
      <c r="AF6" s="8" t="n">
        <f aca="false">IF(OR($B6="",5&gt;Parameters!$B$7),"",IF(5&lt;=0,0,IF(ABS((1+$H6)/(1+Parameters!$B$10)-1)&lt;0.000001,5*$G6/(1+Parameters!$B$10),$G6/(1+Parameters!$B$10)*(1-((1+$H6)/(1+Parameters!$B$10))^5)/(1-(1+$H6)/(1+Parameters!$B$10))))+$F6/(1+Parameters!$B$10)^5+IF(5&lt;=0,0,IF(Parameters!$B$10=0,5*$I6*$J6,$I6*$J6*(1-(1/(1+Parameters!$B$10))^5)/Parameters!$B$10)))</f>
        <v>20476450.5599625</v>
      </c>
      <c r="AG6" s="8" t="n">
        <f aca="false">IF(OR($B6="",1&gt;Parameters!$B$7),"",$G6*(1+$H6)^(1-1))</f>
        <v>4400000</v>
      </c>
      <c r="AH6" s="8" t="n">
        <f aca="false">IF(OR($B6="",2&gt;Parameters!$B$7),"",$G6*(1+$H6)^(2-1))</f>
        <v>4752000</v>
      </c>
      <c r="AI6" s="8" t="n">
        <f aca="false">IF(OR($B6="",3&gt;Parameters!$B$7),"",$G6*(1+$H6)^(3-1))</f>
        <v>5132160</v>
      </c>
      <c r="AJ6" s="8" t="n">
        <f aca="false">IF(OR($B6="",4&gt;Parameters!$B$7),"",$G6*(1+$H6)^(4-1))</f>
        <v>5542732.8</v>
      </c>
      <c r="AK6" s="8" t="n">
        <f aca="false">IF(OR($B6="",5&gt;Parameters!$B$7),"",$G6*(1+$H6)^(5-1))</f>
        <v>5986151.424</v>
      </c>
    </row>
    <row r="7" customFormat="false" ht="15" hidden="false" customHeight="false" outlineLevel="0" collapsed="false">
      <c r="A7" s="33" t="s">
        <v>110</v>
      </c>
      <c r="B7" s="33" t="s">
        <v>111</v>
      </c>
      <c r="C7" s="33" t="s">
        <v>58</v>
      </c>
      <c r="D7" s="33" t="s">
        <v>112</v>
      </c>
      <c r="E7" s="33" t="s">
        <v>55</v>
      </c>
      <c r="F7" s="35" t="n">
        <v>200000</v>
      </c>
      <c r="G7" s="35" t="n">
        <v>100000</v>
      </c>
      <c r="H7" s="37" t="n">
        <v>0.1</v>
      </c>
      <c r="I7" s="37" t="n">
        <v>0.05</v>
      </c>
      <c r="J7" s="35" t="n">
        <v>8000000</v>
      </c>
      <c r="K7" s="36" t="n">
        <v>90</v>
      </c>
      <c r="L7" s="33"/>
      <c r="M7" s="8" t="n">
        <f aca="false">IF($B7="","",$G7+$I7*$J7)</f>
        <v>500000</v>
      </c>
      <c r="N7" s="8" t="n">
        <f aca="false">IF($B7="","",IF(Parameters!$B$7&lt;=0,0,IF(ABS((1+$H7)/(1+Parameters!$B$10)-1)&lt;0.000001,Parameters!$B$7*$G7/(1+Parameters!$B$10),$G7/(1+Parameters!$B$10)*(1-((1+$H7)/(1+Parameters!$B$10))^Parameters!$B$7)/(1-(1+$H7)/(1+Parameters!$B$10))))+IF(Parameters!$B$7&lt;=0,0,IF(Parameters!$B$10=0,Parameters!$B$7*$I7*$J7,$I7*$J7*(1-(1/(1+Parameters!$B$10))^Parameters!$B$7)/Parameters!$B$10)))</f>
        <v>2077514.23810538</v>
      </c>
      <c r="O7" s="8" t="n">
        <f aca="false">IF(OR($B7="",1&gt;Parameters!$B$7),"",$N7-AB7)</f>
        <v>1429366.08995724</v>
      </c>
      <c r="P7" s="8" t="n">
        <f aca="false">IF(OR($B7="",2&gt;Parameters!$B$7),"",$N7-AC7)</f>
        <v>1005840.71272815</v>
      </c>
      <c r="Q7" s="8" t="n">
        <f aca="false">IF(OR($B7="",3&gt;Parameters!$B$7),"",$N7-AD7)</f>
        <v>604955.431012968</v>
      </c>
      <c r="R7" s="8" t="n">
        <f aca="false">IF(OR($B7="",4&gt;Parameters!$B$7),"",$N7-AE7)</f>
        <v>224871.494131922</v>
      </c>
      <c r="S7" s="8" t="n">
        <f aca="false">IF(OR($B7="",5&gt;Parameters!$B$7),"",$N7-AF7)</f>
        <v>-136116.63940675</v>
      </c>
      <c r="T7" s="7" t="n">
        <f aca="false">IF($B7="","",IF(MAX($O7:$S7)&lt;0,"Accept",MATCH(MAX($O7:$S7),$O7:$S7,0)))</f>
        <v>1</v>
      </c>
      <c r="U7" s="8" t="n">
        <f aca="false">IF($B7="","",MAX($O7:$S7))</f>
        <v>1429366.08995724</v>
      </c>
      <c r="V7" s="40" t="n">
        <f aca="false">IF($B7="","",IF($F7&gt;0,ROUND($O7/$F7,2),IF(N($O7)&gt;0,Lists!$F$2,0))+IF($W7="Yes",Lists!$I$2,0))</f>
        <v>7.15</v>
      </c>
      <c r="W7" s="7" t="str">
        <f aca="false">IF($B7="","",IF(COUNTIFS($L$2:$L$41,$A7,$E$2:$E$41,"Open",$A$2:$A$41,"&lt;&gt;"&amp;$A7)&gt;0,"Yes","No"))</f>
        <v>No</v>
      </c>
      <c r="X7" s="7" t="str">
        <f aca="false">IF($B7="","",IF($V7&gt;=Lists!$F$2,"High",IF($V7&gt;=Lists!$F$3,"Medium","Low")))</f>
        <v>High</v>
      </c>
      <c r="Y7" s="7" t="n">
        <f aca="false">IF(OR($B7="",$E7&lt;&gt;"Open"),"",IF($L7="",(INDEX(Lists!$G$2:$G$4,MATCH($X7,Lists!$E$2:$E$4,0))*1000000000000-$U7-$H7),IFERROR(MAX((INDEX(Lists!$G$2:$G$4,MATCH($X7,Lists!$E$2:$E$4,0))*1000000000000-$U7-$H7),INDEX($Y$2:$Y$41,MATCH($L7,$A$2:$A$41,0))+1),(INDEX(Lists!$G$2:$G$4,MATCH($X7,Lists!$E$2:$E$4,0))*1000000000000-$U7-$H7))))</f>
        <v>999998570633.81</v>
      </c>
      <c r="Z7" s="7" t="n">
        <f aca="false">IF($Y7="","",RANK($Y7,$Y$2:$Y$41,1)+COUNTIF($Y$2:$Y7,$Y7)-1)</f>
        <v>5</v>
      </c>
      <c r="AA7" s="7" t="str">
        <f aca="false">""</f>
        <v/>
      </c>
      <c r="AB7" s="8" t="n">
        <f aca="false">IF(OR($B7="",1&gt;Parameters!$B$7),"",IF(1&lt;=0,0,IF(ABS((1+$H7)/(1+Parameters!$B$10)-1)&lt;0.000001,1*$G7/(1+Parameters!$B$10),$G7/(1+Parameters!$B$10)*(1-((1+$H7)/(1+Parameters!$B$10))^1)/(1-(1+$H7)/(1+Parameters!$B$10))))+$F7/(1+Parameters!$B$10)^1+IF(1&lt;=0,0,IF(Parameters!$B$10=0,1*$I7*$J7,$I7*$J7*(1-(1/(1+Parameters!$B$10))^1)/Parameters!$B$10)))</f>
        <v>648148.148148149</v>
      </c>
      <c r="AC7" s="8" t="n">
        <f aca="false">IF(OR($B7="",2&gt;Parameters!$B$7),"",IF(2&lt;=0,0,IF(ABS((1+$H7)/(1+Parameters!$B$10)-1)&lt;0.000001,2*$G7/(1+Parameters!$B$10),$G7/(1+Parameters!$B$10)*(1-((1+$H7)/(1+Parameters!$B$10))^2)/(1-(1+$H7)/(1+Parameters!$B$10))))+$F7/(1+Parameters!$B$10)^2+IF(2&lt;=0,0,IF(Parameters!$B$10=0,2*$I7*$J7,$I7*$J7*(1-(1/(1+Parameters!$B$10))^2)/Parameters!$B$10)))</f>
        <v>1071673.52537723</v>
      </c>
      <c r="AD7" s="8" t="n">
        <f aca="false">IF(OR($B7="",3&gt;Parameters!$B$7),"",IF(3&lt;=0,0,IF(ABS((1+$H7)/(1+Parameters!$B$10)-1)&lt;0.000001,3*$G7/(1+Parameters!$B$10),$G7/(1+Parameters!$B$10)*(1-((1+$H7)/(1+Parameters!$B$10))^3)/(1-(1+$H7)/(1+Parameters!$B$10))))+$F7/(1+Parameters!$B$10)^3+IF(3&lt;=0,0,IF(Parameters!$B$10=0,3*$I7*$J7,$I7*$J7*(1-(1/(1+Parameters!$B$10))^3)/Parameters!$B$10)))</f>
        <v>1472558.80709242</v>
      </c>
      <c r="AE7" s="8" t="n">
        <f aca="false">IF(OR($B7="",4&gt;Parameters!$B$7),"",IF(4&lt;=0,0,IF(ABS((1+$H7)/(1+Parameters!$B$10)-1)&lt;0.000001,4*$G7/(1+Parameters!$B$10),$G7/(1+Parameters!$B$10)*(1-((1+$H7)/(1+Parameters!$B$10))^4)/(1-(1+$H7)/(1+Parameters!$B$10))))+$F7/(1+Parameters!$B$10)^4+IF(4&lt;=0,0,IF(Parameters!$B$10=0,4*$I7*$J7,$I7*$J7*(1-(1/(1+Parameters!$B$10))^4)/Parameters!$B$10)))</f>
        <v>1852642.74397346</v>
      </c>
      <c r="AF7" s="8" t="n">
        <f aca="false">IF(OR($B7="",5&gt;Parameters!$B$7),"",IF(5&lt;=0,0,IF(ABS((1+$H7)/(1+Parameters!$B$10)-1)&lt;0.000001,5*$G7/(1+Parameters!$B$10),$G7/(1+Parameters!$B$10)*(1-((1+$H7)/(1+Parameters!$B$10))^5)/(1-(1+$H7)/(1+Parameters!$B$10))))+$F7/(1+Parameters!$B$10)^5+IF(5&lt;=0,0,IF(Parameters!$B$10=0,5*$I7*$J7,$I7*$J7*(1-(1/(1+Parameters!$B$10))^5)/Parameters!$B$10)))</f>
        <v>2213630.87751214</v>
      </c>
      <c r="AG7" s="8" t="n">
        <f aca="false">IF(OR($B7="",1&gt;Parameters!$B$7),"",$G7*(1+$H7)^(1-1))</f>
        <v>100000</v>
      </c>
      <c r="AH7" s="8" t="n">
        <f aca="false">IF(OR($B7="",2&gt;Parameters!$B$7),"",$G7*(1+$H7)^(2-1))</f>
        <v>110000</v>
      </c>
      <c r="AI7" s="8" t="n">
        <f aca="false">IF(OR($B7="",3&gt;Parameters!$B$7),"",$G7*(1+$H7)^(3-1))</f>
        <v>121000</v>
      </c>
      <c r="AJ7" s="8" t="n">
        <f aca="false">IF(OR($B7="",4&gt;Parameters!$B$7),"",$G7*(1+$H7)^(4-1))</f>
        <v>133100</v>
      </c>
      <c r="AK7" s="8" t="n">
        <f aca="false">IF(OR($B7="",5&gt;Parameters!$B$7),"",$G7*(1+$H7)^(5-1))</f>
        <v>146410</v>
      </c>
    </row>
    <row r="8" customFormat="false" ht="15" hidden="false" customHeight="false" outlineLevel="0" collapsed="false">
      <c r="A8" s="33" t="s">
        <v>113</v>
      </c>
      <c r="B8" s="33" t="s">
        <v>114</v>
      </c>
      <c r="C8" s="33" t="s">
        <v>60</v>
      </c>
      <c r="D8" s="33" t="s">
        <v>115</v>
      </c>
      <c r="E8" s="33" t="s">
        <v>55</v>
      </c>
      <c r="F8" s="35" t="n">
        <v>75000</v>
      </c>
      <c r="G8" s="35" t="n">
        <v>50000</v>
      </c>
      <c r="H8" s="37" t="n">
        <v>0.05</v>
      </c>
      <c r="I8" s="37" t="n">
        <v>0.02</v>
      </c>
      <c r="J8" s="35" t="n">
        <v>500000</v>
      </c>
      <c r="K8" s="36" t="n">
        <v>30</v>
      </c>
      <c r="L8" s="33"/>
      <c r="M8" s="8" t="n">
        <f aca="false">IF($B8="","",$G8+$I8*$J8)</f>
        <v>60000</v>
      </c>
      <c r="N8" s="8" t="n">
        <f aca="false">IF($B8="","",IF(Parameters!$B$7&lt;=0,0,IF(ABS((1+$H8)/(1+Parameters!$B$10)-1)&lt;0.000001,Parameters!$B$7*$G8/(1+Parameters!$B$10),$G8/(1+Parameters!$B$10)*(1-((1+$H8)/(1+Parameters!$B$10))^Parameters!$B$7)/(1-(1+$H8)/(1+Parameters!$B$10))))+IF(Parameters!$B$7&lt;=0,0,IF(Parameters!$B$10=0,Parameters!$B$7*$I8*$J8,$I8*$J8*(1-(1/(1+Parameters!$B$10))^Parameters!$B$7)/Parameters!$B$10)))</f>
        <v>258900.790168308</v>
      </c>
      <c r="O8" s="8" t="n">
        <f aca="false">IF(OR($B8="",1&gt;Parameters!$B$7),"",$N8-AB8)</f>
        <v>133900.790168308</v>
      </c>
      <c r="P8" s="8" t="n">
        <f aca="false">IF(OR($B8="",2&gt;Parameters!$B$7),"",$N8-AC8)</f>
        <v>85461.1468212569</v>
      </c>
      <c r="Q8" s="8" t="n">
        <f aca="false">IF(OR($B8="",3&gt;Parameters!$B$7),"",$N8-AD8)</f>
        <v>38525.8155709393</v>
      </c>
      <c r="R8" s="8" t="n">
        <f aca="false">IF(OR($B8="",4&gt;Parameters!$B$7),"",$N8-AE8)</f>
        <v>-6958.75050742109</v>
      </c>
      <c r="S8" s="8" t="n">
        <f aca="false">IF(OR($B8="",5&gt;Parameters!$B$7),"",$N8-AF8)</f>
        <v>-51043.7397775315</v>
      </c>
      <c r="T8" s="7" t="n">
        <f aca="false">IF($B8="","",IF(MAX($O8:$S8)&lt;0,"Accept",MATCH(MAX($O8:$S8),$O8:$S8,0)))</f>
        <v>1</v>
      </c>
      <c r="U8" s="8" t="n">
        <f aca="false">IF($B8="","",MAX($O8:$S8))</f>
        <v>133900.790168308</v>
      </c>
      <c r="V8" s="40" t="n">
        <f aca="false">IF($B8="","",IF($F8&gt;0,ROUND($O8/$F8,2),IF(N($O8)&gt;0,Lists!$F$2,0))+IF($W8="Yes",Lists!$I$2,0))</f>
        <v>1.79</v>
      </c>
      <c r="W8" s="7" t="str">
        <f aca="false">IF($B8="","",IF(COUNTIFS($L$2:$L$41,$A8,$E$2:$E$41,"Open",$A$2:$A$41,"&lt;&gt;"&amp;$A8)&gt;0,"Yes","No"))</f>
        <v>No</v>
      </c>
      <c r="X8" s="7" t="str">
        <f aca="false">IF($B8="","",IF($V8&gt;=Lists!$F$2,"High",IF($V8&gt;=Lists!$F$3,"Medium","Low")))</f>
        <v>Medium</v>
      </c>
      <c r="Y8" s="7" t="n">
        <f aca="false">IF(OR($B8="",$E8&lt;&gt;"Open"),"",IF($L8="",(INDEX(Lists!$G$2:$G$4,MATCH($X8,Lists!$E$2:$E$4,0))*1000000000000-$U8-$H8),IFERROR(MAX((INDEX(Lists!$G$2:$G$4,MATCH($X8,Lists!$E$2:$E$4,0))*1000000000000-$U8-$H8),INDEX($Y$2:$Y$41,MATCH($L8,$A$2:$A$41,0))+1),(INDEX(Lists!$G$2:$G$4,MATCH($X8,Lists!$E$2:$E$4,0))*1000000000000-$U8-$H8))))</f>
        <v>1999999866099.16</v>
      </c>
      <c r="Z8" s="7" t="n">
        <f aca="false">IF($Y8="","",RANK($Y8,$Y$2:$Y$41,1)+COUNTIF($Y$2:$Y8,$Y8)-1)</f>
        <v>10</v>
      </c>
      <c r="AA8" s="7" t="str">
        <f aca="false">""</f>
        <v/>
      </c>
      <c r="AB8" s="8" t="n">
        <f aca="false">IF(OR($B8="",1&gt;Parameters!$B$7),"",IF(1&lt;=0,0,IF(ABS((1+$H8)/(1+Parameters!$B$10)-1)&lt;0.000001,1*$G8/(1+Parameters!$B$10),$G8/(1+Parameters!$B$10)*(1-((1+$H8)/(1+Parameters!$B$10))^1)/(1-(1+$H8)/(1+Parameters!$B$10))))+$F8/(1+Parameters!$B$10)^1+IF(1&lt;=0,0,IF(Parameters!$B$10=0,1*$I8*$J8,$I8*$J8*(1-(1/(1+Parameters!$B$10))^1)/Parameters!$B$10)))</f>
        <v>125000</v>
      </c>
      <c r="AC8" s="8" t="n">
        <f aca="false">IF(OR($B8="",2&gt;Parameters!$B$7),"",IF(2&lt;=0,0,IF(ABS((1+$H8)/(1+Parameters!$B$10)-1)&lt;0.000001,2*$G8/(1+Parameters!$B$10),$G8/(1+Parameters!$B$10)*(1-((1+$H8)/(1+Parameters!$B$10))^2)/(1-(1+$H8)/(1+Parameters!$B$10))))+$F8/(1+Parameters!$B$10)^2+IF(2&lt;=0,0,IF(Parameters!$B$10=0,2*$I8*$J8,$I8*$J8*(1-(1/(1+Parameters!$B$10))^2)/Parameters!$B$10)))</f>
        <v>173439.643347051</v>
      </c>
      <c r="AD8" s="8" t="n">
        <f aca="false">IF(OR($B8="",3&gt;Parameters!$B$7),"",IF(3&lt;=0,0,IF(ABS((1+$H8)/(1+Parameters!$B$10)-1)&lt;0.000001,3*$G8/(1+Parameters!$B$10),$G8/(1+Parameters!$B$10)*(1-((1+$H8)/(1+Parameters!$B$10))^3)/(1-(1+$H8)/(1+Parameters!$B$10))))+$F8/(1+Parameters!$B$10)^3+IF(3&lt;=0,0,IF(Parameters!$B$10=0,3*$I8*$J8,$I8*$J8*(1-(1/(1+Parameters!$B$10))^3)/Parameters!$B$10)))</f>
        <v>220374.974597368</v>
      </c>
      <c r="AE8" s="8" t="n">
        <f aca="false">IF(OR($B8="",4&gt;Parameters!$B$7),"",IF(4&lt;=0,0,IF(ABS((1+$H8)/(1+Parameters!$B$10)-1)&lt;0.000001,4*$G8/(1+Parameters!$B$10),$G8/(1+Parameters!$B$10)*(1-((1+$H8)/(1+Parameters!$B$10))^4)/(1-(1+$H8)/(1+Parameters!$B$10))))+$F8/(1+Parameters!$B$10)^4+IF(4&lt;=0,0,IF(Parameters!$B$10=0,4*$I8*$J8,$I8*$J8*(1-(1/(1+Parameters!$B$10))^4)/Parameters!$B$10)))</f>
        <v>265859.540675729</v>
      </c>
      <c r="AF8" s="8" t="n">
        <f aca="false">IF(OR($B8="",5&gt;Parameters!$B$7),"",IF(5&lt;=0,0,IF(ABS((1+$H8)/(1+Parameters!$B$10)-1)&lt;0.000001,5*$G8/(1+Parameters!$B$10),$G8/(1+Parameters!$B$10)*(1-((1+$H8)/(1+Parameters!$B$10))^5)/(1-(1+$H8)/(1+Parameters!$B$10))))+$F8/(1+Parameters!$B$10)^5+IF(5&lt;=0,0,IF(Parameters!$B$10=0,5*$I8*$J8,$I8*$J8*(1-(1/(1+Parameters!$B$10))^5)/Parameters!$B$10)))</f>
        <v>309944.529945839</v>
      </c>
      <c r="AG8" s="8" t="n">
        <f aca="false">IF(OR($B8="",1&gt;Parameters!$B$7),"",$G8*(1+$H8)^(1-1))</f>
        <v>50000</v>
      </c>
      <c r="AH8" s="8" t="n">
        <f aca="false">IF(OR($B8="",2&gt;Parameters!$B$7),"",$G8*(1+$H8)^(2-1))</f>
        <v>52500</v>
      </c>
      <c r="AI8" s="8" t="n">
        <f aca="false">IF(OR($B8="",3&gt;Parameters!$B$7),"",$G8*(1+$H8)^(3-1))</f>
        <v>55125</v>
      </c>
      <c r="AJ8" s="8" t="n">
        <f aca="false">IF(OR($B8="",4&gt;Parameters!$B$7),"",$G8*(1+$H8)^(4-1))</f>
        <v>57881.25</v>
      </c>
      <c r="AK8" s="8" t="n">
        <f aca="false">IF(OR($B8="",5&gt;Parameters!$B$7),"",$G8*(1+$H8)^(5-1))</f>
        <v>60775.3125</v>
      </c>
    </row>
    <row r="9" customFormat="false" ht="15" hidden="false" customHeight="false" outlineLevel="0" collapsed="false">
      <c r="A9" s="33" t="s">
        <v>116</v>
      </c>
      <c r="B9" s="33" t="s">
        <v>117</v>
      </c>
      <c r="C9" s="33" t="s">
        <v>60</v>
      </c>
      <c r="D9" s="33" t="s">
        <v>118</v>
      </c>
      <c r="E9" s="33" t="s">
        <v>55</v>
      </c>
      <c r="F9" s="35" t="n">
        <v>120000</v>
      </c>
      <c r="G9" s="35" t="n">
        <v>80000</v>
      </c>
      <c r="H9" s="37" t="n">
        <v>0.05</v>
      </c>
      <c r="I9" s="37" t="n">
        <v>0.01</v>
      </c>
      <c r="J9" s="35" t="n">
        <v>200000</v>
      </c>
      <c r="K9" s="36" t="n">
        <v>60</v>
      </c>
      <c r="L9" s="33"/>
      <c r="M9" s="8" t="n">
        <f aca="false">IF($B9="","",$G9+$I9*$J9)</f>
        <v>82000</v>
      </c>
      <c r="N9" s="8" t="n">
        <f aca="false">IF($B9="","",IF(Parameters!$B$7&lt;=0,0,IF(ABS((1+$H9)/(1+Parameters!$B$10)-1)&lt;0.000001,Parameters!$B$7*$G9/(1+Parameters!$B$10),$G9/(1+Parameters!$B$10)*(1-((1+$H9)/(1+Parameters!$B$10))^Parameters!$B$7)/(1-(1+$H9)/(1+Parameters!$B$10))))+IF(Parameters!$B$7&lt;=0,0,IF(Parameters!$B$10=0,Parameters!$B$7*$I9*$J9,$I9*$J9*(1-(1/(1+Parameters!$B$10))^Parameters!$B$7)/Parameters!$B$10)))</f>
        <v>358343.323750199</v>
      </c>
      <c r="O9" s="8" t="n">
        <f aca="false">IF(OR($B9="",1&gt;Parameters!$B$7),"",$N9-AB9)</f>
        <v>171306.286713162</v>
      </c>
      <c r="P9" s="8" t="n">
        <f aca="false">IF(OR($B9="",2&gt;Parameters!$B$7),"",$N9-AC9)</f>
        <v>105805.600842106</v>
      </c>
      <c r="Q9" s="8" t="n">
        <f aca="false">IF(OR($B9="",3&gt;Parameters!$B$7),"",$N9-AD9)</f>
        <v>41822.7222158801</v>
      </c>
      <c r="R9" s="8" t="n">
        <f aca="false">IF(OR($B9="",4&gt;Parameters!$B$7),"",$N9-AE9)</f>
        <v>-20662.1655703462</v>
      </c>
      <c r="S9" s="8" t="n">
        <f aca="false">IF(OR($B9="",5&gt;Parameters!$B$7),"",$N9-AF9)</f>
        <v>-81669.9836440504</v>
      </c>
      <c r="T9" s="7" t="n">
        <f aca="false">IF($B9="","",IF(MAX($O9:$S9)&lt;0,"Accept",MATCH(MAX($O9:$S9),$O9:$S9,0)))</f>
        <v>1</v>
      </c>
      <c r="U9" s="8" t="n">
        <f aca="false">IF($B9="","",MAX($O9:$S9))</f>
        <v>171306.286713162</v>
      </c>
      <c r="V9" s="40" t="n">
        <f aca="false">IF($B9="","",IF($F9&gt;0,ROUND($O9/$F9,2),IF(N($O9)&gt;0,Lists!$F$2,0))+IF($W9="Yes",Lists!$I$2,0))</f>
        <v>1.43</v>
      </c>
      <c r="W9" s="7" t="str">
        <f aca="false">IF($B9="","",IF(COUNTIFS($L$2:$L$41,$A9,$E$2:$E$41,"Open",$A$2:$A$41,"&lt;&gt;"&amp;$A9)&gt;0,"Yes","No"))</f>
        <v>No</v>
      </c>
      <c r="X9" s="7" t="str">
        <f aca="false">IF($B9="","",IF($V9&gt;=Lists!$F$2,"High",IF($V9&gt;=Lists!$F$3,"Medium","Low")))</f>
        <v>Medium</v>
      </c>
      <c r="Y9" s="7" t="n">
        <f aca="false">IF(OR($B9="",$E9&lt;&gt;"Open"),"",IF($L9="",(INDEX(Lists!$G$2:$G$4,MATCH($X9,Lists!$E$2:$E$4,0))*1000000000000-$U9-$H9),IFERROR(MAX((INDEX(Lists!$G$2:$G$4,MATCH($X9,Lists!$E$2:$E$4,0))*1000000000000-$U9-$H9),INDEX($Y$2:$Y$41,MATCH($L9,$A$2:$A$41,0))+1),(INDEX(Lists!$G$2:$G$4,MATCH($X9,Lists!$E$2:$E$4,0))*1000000000000-$U9-$H9))))</f>
        <v>1999999828693.66</v>
      </c>
      <c r="Z9" s="7" t="n">
        <f aca="false">IF($Y9="","",RANK($Y9,$Y$2:$Y$41,1)+COUNTIF($Y$2:$Y9,$Y9)-1)</f>
        <v>9</v>
      </c>
      <c r="AA9" s="7" t="str">
        <f aca="false">""</f>
        <v/>
      </c>
      <c r="AB9" s="8" t="n">
        <f aca="false">IF(OR($B9="",1&gt;Parameters!$B$7),"",IF(1&lt;=0,0,IF(ABS((1+$H9)/(1+Parameters!$B$10)-1)&lt;0.000001,1*$G9/(1+Parameters!$B$10),$G9/(1+Parameters!$B$10)*(1-((1+$H9)/(1+Parameters!$B$10))^1)/(1-(1+$H9)/(1+Parameters!$B$10))))+$F9/(1+Parameters!$B$10)^1+IF(1&lt;=0,0,IF(Parameters!$B$10=0,1*$I9*$J9,$I9*$J9*(1-(1/(1+Parameters!$B$10))^1)/Parameters!$B$10)))</f>
        <v>187037.037037037</v>
      </c>
      <c r="AC9" s="8" t="n">
        <f aca="false">IF(OR($B9="",2&gt;Parameters!$B$7),"",IF(2&lt;=0,0,IF(ABS((1+$H9)/(1+Parameters!$B$10)-1)&lt;0.000001,2*$G9/(1+Parameters!$B$10),$G9/(1+Parameters!$B$10)*(1-((1+$H9)/(1+Parameters!$B$10))^2)/(1-(1+$H9)/(1+Parameters!$B$10))))+$F9/(1+Parameters!$B$10)^2+IF(2&lt;=0,0,IF(Parameters!$B$10=0,2*$I9*$J9,$I9*$J9*(1-(1/(1+Parameters!$B$10))^2)/Parameters!$B$10)))</f>
        <v>252537.722908093</v>
      </c>
      <c r="AD9" s="8" t="n">
        <f aca="false">IF(OR($B9="",3&gt;Parameters!$B$7),"",IF(3&lt;=0,0,IF(ABS((1+$H9)/(1+Parameters!$B$10)-1)&lt;0.000001,3*$G9/(1+Parameters!$B$10),$G9/(1+Parameters!$B$10)*(1-((1+$H9)/(1+Parameters!$B$10))^3)/(1-(1+$H9)/(1+Parameters!$B$10))))+$F9/(1+Parameters!$B$10)^3+IF(3&lt;=0,0,IF(Parameters!$B$10=0,3*$I9*$J9,$I9*$J9*(1-(1/(1+Parameters!$B$10))^3)/Parameters!$B$10)))</f>
        <v>316520.601534319</v>
      </c>
      <c r="AE9" s="8" t="n">
        <f aca="false">IF(OR($B9="",4&gt;Parameters!$B$7),"",IF(4&lt;=0,0,IF(ABS((1+$H9)/(1+Parameters!$B$10)-1)&lt;0.000001,4*$G9/(1+Parameters!$B$10),$G9/(1+Parameters!$B$10)*(1-((1+$H9)/(1+Parameters!$B$10))^4)/(1-(1+$H9)/(1+Parameters!$B$10))))+$F9/(1+Parameters!$B$10)^4+IF(4&lt;=0,0,IF(Parameters!$B$10=0,4*$I9*$J9,$I9*$J9*(1-(1/(1+Parameters!$B$10))^4)/Parameters!$B$10)))</f>
        <v>379005.489320545</v>
      </c>
      <c r="AF9" s="8" t="n">
        <f aca="false">IF(OR($B9="",5&gt;Parameters!$B$7),"",IF(5&lt;=0,0,IF(ABS((1+$H9)/(1+Parameters!$B$10)-1)&lt;0.000001,5*$G9/(1+Parameters!$B$10),$G9/(1+Parameters!$B$10)*(1-((1+$H9)/(1+Parameters!$B$10))^5)/(1-(1+$H9)/(1+Parameters!$B$10))))+$F9/(1+Parameters!$B$10)^5+IF(5&lt;=0,0,IF(Parameters!$B$10=0,5*$I9*$J9,$I9*$J9*(1-(1/(1+Parameters!$B$10))^5)/Parameters!$B$10)))</f>
        <v>440013.30739425</v>
      </c>
      <c r="AG9" s="8" t="n">
        <f aca="false">IF(OR($B9="",1&gt;Parameters!$B$7),"",$G9*(1+$H9)^(1-1))</f>
        <v>80000</v>
      </c>
      <c r="AH9" s="8" t="n">
        <f aca="false">IF(OR($B9="",2&gt;Parameters!$B$7),"",$G9*(1+$H9)^(2-1))</f>
        <v>84000</v>
      </c>
      <c r="AI9" s="8" t="n">
        <f aca="false">IF(OR($B9="",3&gt;Parameters!$B$7),"",$G9*(1+$H9)^(3-1))</f>
        <v>88200</v>
      </c>
      <c r="AJ9" s="8" t="n">
        <f aca="false">IF(OR($B9="",4&gt;Parameters!$B$7),"",$G9*(1+$H9)^(4-1))</f>
        <v>92610</v>
      </c>
      <c r="AK9" s="8" t="n">
        <f aca="false">IF(OR($B9="",5&gt;Parameters!$B$7),"",$G9*(1+$H9)^(5-1))</f>
        <v>97240.5</v>
      </c>
    </row>
    <row r="10" customFormat="false" ht="15" hidden="false" customHeight="false" outlineLevel="0" collapsed="false">
      <c r="A10" s="33" t="s">
        <v>119</v>
      </c>
      <c r="B10" s="33" t="s">
        <v>120</v>
      </c>
      <c r="C10" s="33" t="s">
        <v>58</v>
      </c>
      <c r="D10" s="33" t="s">
        <v>121</v>
      </c>
      <c r="E10" s="33" t="s">
        <v>55</v>
      </c>
      <c r="F10" s="35" t="n">
        <v>200000</v>
      </c>
      <c r="G10" s="35" t="n">
        <v>50000</v>
      </c>
      <c r="H10" s="37" t="n">
        <v>0.3</v>
      </c>
      <c r="I10" s="37" t="n">
        <v>0.05</v>
      </c>
      <c r="J10" s="35" t="n">
        <v>1500000</v>
      </c>
      <c r="K10" s="36" t="n">
        <v>90</v>
      </c>
      <c r="L10" s="33"/>
      <c r="M10" s="8" t="n">
        <f aca="false">IF($B10="","",$G10+$I10*$J10)</f>
        <v>125000</v>
      </c>
      <c r="N10" s="8" t="n">
        <f aca="false">IF($B10="","",IF(Parameters!$B$7&lt;=0,0,IF(ABS((1+$H10)/(1+Parameters!$B$10)-1)&lt;0.000001,Parameters!$B$7*$G10/(1+Parameters!$B$10),$G10/(1+Parameters!$B$10)*(1-((1+$H10)/(1+Parameters!$B$10))^Parameters!$B$7)/(1-(1+$H10)/(1+Parameters!$B$10))))+IF(Parameters!$B$7&lt;=0,0,IF(Parameters!$B$10=0,Parameters!$B$7*$I10*$J10,$I10*$J10*(1-(1/(1+Parameters!$B$10))^Parameters!$B$7)/Parameters!$B$10)))</f>
        <v>646489.109545069</v>
      </c>
      <c r="O10" s="8" t="n">
        <f aca="false">IF(OR($B10="",1&gt;Parameters!$B$7),"",$N10-AB10)</f>
        <v>345563.183619143</v>
      </c>
      <c r="P10" s="8" t="n">
        <f aca="false">IF(OR($B10="",2&gt;Parameters!$B$7),"",$N10-AC10)</f>
        <v>239253.169901722</v>
      </c>
      <c r="Q10" s="8" t="n">
        <f aca="false">IF(OR($B10="",3&gt;Parameters!$B$7),"",$N10-AD10)</f>
        <v>125338.243315327</v>
      </c>
      <c r="R10" s="8" t="n">
        <f aca="false">IF(OR($B10="",4&gt;Parameters!$B$7),"",$N10-AE10)</f>
        <v>1228.4526706459</v>
      </c>
      <c r="S10" s="8" t="n">
        <f aca="false">IF(OR($B10="",5&gt;Parameters!$B$7),"",$N10-AF10)</f>
        <v>-136116.63940675</v>
      </c>
      <c r="T10" s="7" t="n">
        <f aca="false">IF($B10="","",IF(MAX($O10:$S10)&lt;0,"Accept",MATCH(MAX($O10:$S10),$O10:$S10,0)))</f>
        <v>1</v>
      </c>
      <c r="U10" s="8" t="n">
        <f aca="false">IF($B10="","",MAX($O10:$S10))</f>
        <v>345563.183619143</v>
      </c>
      <c r="V10" s="40" t="n">
        <f aca="false">IF($B10="","",IF($F10&gt;0,ROUND($O10/$F10,2),IF(N($O10)&gt;0,Lists!$F$2,0))+IF($W10="Yes",Lists!$I$2,0))</f>
        <v>1.73</v>
      </c>
      <c r="W10" s="7" t="str">
        <f aca="false">IF($B10="","",IF(COUNTIFS($L$2:$L$41,$A10,$E$2:$E$41,"Open",$A$2:$A$41,"&lt;&gt;"&amp;$A10)&gt;0,"Yes","No"))</f>
        <v>No</v>
      </c>
      <c r="X10" s="7" t="str">
        <f aca="false">IF($B10="","",IF($V10&gt;=Lists!$F$2,"High",IF($V10&gt;=Lists!$F$3,"Medium","Low")))</f>
        <v>Medium</v>
      </c>
      <c r="Y10" s="7" t="n">
        <f aca="false">IF(OR($B10="",$E10&lt;&gt;"Open"),"",IF($L10="",(INDEX(Lists!$G$2:$G$4,MATCH($X10,Lists!$E$2:$E$4,0))*1000000000000-$U10-$H10),IFERROR(MAX((INDEX(Lists!$G$2:$G$4,MATCH($X10,Lists!$E$2:$E$4,0))*1000000000000-$U10-$H10),INDEX($Y$2:$Y$41,MATCH($L10,$A$2:$A$41,0))+1),(INDEX(Lists!$G$2:$G$4,MATCH($X10,Lists!$E$2:$E$4,0))*1000000000000-$U10-$H10))))</f>
        <v>1999999654436.52</v>
      </c>
      <c r="Z10" s="7" t="n">
        <f aca="false">IF($Y10="","",RANK($Y10,$Y$2:$Y$41,1)+COUNTIF($Y$2:$Y10,$Y10)-1)</f>
        <v>8</v>
      </c>
      <c r="AA10" s="7" t="str">
        <f aca="false">""</f>
        <v/>
      </c>
      <c r="AB10" s="8" t="n">
        <f aca="false">IF(OR($B10="",1&gt;Parameters!$B$7),"",IF(1&lt;=0,0,IF(ABS((1+$H10)/(1+Parameters!$B$10)-1)&lt;0.000001,1*$G10/(1+Parameters!$B$10),$G10/(1+Parameters!$B$10)*(1-((1+$H10)/(1+Parameters!$B$10))^1)/(1-(1+$H10)/(1+Parameters!$B$10))))+$F10/(1+Parameters!$B$10)^1+IF(1&lt;=0,0,IF(Parameters!$B$10=0,1*$I10*$J10,$I10*$J10*(1-(1/(1+Parameters!$B$10))^1)/Parameters!$B$10)))</f>
        <v>300925.925925926</v>
      </c>
      <c r="AC10" s="8" t="n">
        <f aca="false">IF(OR($B10="",2&gt;Parameters!$B$7),"",IF(2&lt;=0,0,IF(ABS((1+$H10)/(1+Parameters!$B$10)-1)&lt;0.000001,2*$G10/(1+Parameters!$B$10),$G10/(1+Parameters!$B$10)*(1-((1+$H10)/(1+Parameters!$B$10))^2)/(1-(1+$H10)/(1+Parameters!$B$10))))+$F10/(1+Parameters!$B$10)^2+IF(2&lt;=0,0,IF(Parameters!$B$10=0,2*$I10*$J10,$I10*$J10*(1-(1/(1+Parameters!$B$10))^2)/Parameters!$B$10)))</f>
        <v>407235.939643347</v>
      </c>
      <c r="AD10" s="8" t="n">
        <f aca="false">IF(OR($B10="",3&gt;Parameters!$B$7),"",IF(3&lt;=0,0,IF(ABS((1+$H10)/(1+Parameters!$B$10)-1)&lt;0.000001,3*$G10/(1+Parameters!$B$10),$G10/(1+Parameters!$B$10)*(1-((1+$H10)/(1+Parameters!$B$10))^3)/(1-(1+$H10)/(1+Parameters!$B$10))))+$F10/(1+Parameters!$B$10)^3+IF(3&lt;=0,0,IF(Parameters!$B$10=0,3*$I10*$J10,$I10*$J10*(1-(1/(1+Parameters!$B$10))^3)/Parameters!$B$10)))</f>
        <v>521150.866229742</v>
      </c>
      <c r="AE10" s="8" t="n">
        <f aca="false">IF(OR($B10="",4&gt;Parameters!$B$7),"",IF(4&lt;=0,0,IF(ABS((1+$H10)/(1+Parameters!$B$10)-1)&lt;0.000001,4*$G10/(1+Parameters!$B$10),$G10/(1+Parameters!$B$10)*(1-((1+$H10)/(1+Parameters!$B$10))^4)/(1-(1+$H10)/(1+Parameters!$B$10))))+$F10/(1+Parameters!$B$10)^4+IF(4&lt;=0,0,IF(Parameters!$B$10=0,4*$I10*$J10,$I10*$J10*(1-(1/(1+Parameters!$B$10))^4)/Parameters!$B$10)))</f>
        <v>645260.656874423</v>
      </c>
      <c r="AF10" s="8" t="n">
        <f aca="false">IF(OR($B10="",5&gt;Parameters!$B$7),"",IF(5&lt;=0,0,IF(ABS((1+$H10)/(1+Parameters!$B$10)-1)&lt;0.000001,5*$G10/(1+Parameters!$B$10),$G10/(1+Parameters!$B$10)*(1-((1+$H10)/(1+Parameters!$B$10))^5)/(1-(1+$H10)/(1+Parameters!$B$10))))+$F10/(1+Parameters!$B$10)^5+IF(5&lt;=0,0,IF(Parameters!$B$10=0,5*$I10*$J10,$I10*$J10*(1-(1/(1+Parameters!$B$10))^5)/Parameters!$B$10)))</f>
        <v>782605.748951819</v>
      </c>
      <c r="AG10" s="8" t="n">
        <f aca="false">IF(OR($B10="",1&gt;Parameters!$B$7),"",$G10*(1+$H10)^(1-1))</f>
        <v>50000</v>
      </c>
      <c r="AH10" s="8" t="n">
        <f aca="false">IF(OR($B10="",2&gt;Parameters!$B$7),"",$G10*(1+$H10)^(2-1))</f>
        <v>65000</v>
      </c>
      <c r="AI10" s="8" t="n">
        <f aca="false">IF(OR($B10="",3&gt;Parameters!$B$7),"",$G10*(1+$H10)^(3-1))</f>
        <v>84500</v>
      </c>
      <c r="AJ10" s="8" t="n">
        <f aca="false">IF(OR($B10="",4&gt;Parameters!$B$7),"",$G10*(1+$H10)^(4-1))</f>
        <v>109850</v>
      </c>
      <c r="AK10" s="8" t="n">
        <f aca="false">IF(OR($B10="",5&gt;Parameters!$B$7),"",$G10*(1+$H10)^(5-1))</f>
        <v>142805</v>
      </c>
    </row>
    <row r="11" customFormat="false" ht="15" hidden="false" customHeight="false" outlineLevel="0" collapsed="false">
      <c r="A11" s="33" t="s">
        <v>122</v>
      </c>
      <c r="B11" s="33" t="s">
        <v>123</v>
      </c>
      <c r="C11" s="33" t="s">
        <v>64</v>
      </c>
      <c r="D11" s="33" t="s">
        <v>124</v>
      </c>
      <c r="E11" s="33" t="s">
        <v>55</v>
      </c>
      <c r="F11" s="35" t="n">
        <v>50000</v>
      </c>
      <c r="G11" s="35" t="n">
        <v>25000</v>
      </c>
      <c r="H11" s="37" t="n">
        <v>0.05</v>
      </c>
      <c r="I11" s="37" t="n">
        <v>0.1</v>
      </c>
      <c r="J11" s="35" t="n">
        <v>5000000</v>
      </c>
      <c r="K11" s="36" t="n">
        <v>20</v>
      </c>
      <c r="L11" s="33"/>
      <c r="M11" s="8" t="n">
        <f aca="false">IF($B11="","",$G11+$I11*$J11)</f>
        <v>525000</v>
      </c>
      <c r="N11" s="8" t="n">
        <f aca="false">IF($B11="","",IF(Parameters!$B$7&lt;=0,0,IF(ABS((1+$H11)/(1+Parameters!$B$10)-1)&lt;0.000001,Parameters!$B$7*$G11/(1+Parameters!$B$10),$G11/(1+Parameters!$B$10)*(1-((1+$H11)/(1+Parameters!$B$10))^Parameters!$B$7)/(1-(1+$H11)/(1+Parameters!$B$10))))+IF(Parameters!$B$7&lt;=0,0,IF(Parameters!$B$10=0,Parameters!$B$7*$I11*$J11,$I11*$J11*(1-(1/(1+Parameters!$B$10))^Parameters!$B$7)/Parameters!$B$10)))</f>
        <v>2105841.86343781</v>
      </c>
      <c r="O11" s="8" t="n">
        <f aca="false">IF(OR($B11="",1&gt;Parameters!$B$7),"",$N11-AB11)</f>
        <v>1573434.4560304</v>
      </c>
      <c r="P11" s="8" t="n">
        <f aca="false">IF(OR($B11="",2&gt;Parameters!$B$7),"",$N11-AC11)</f>
        <v>1125689.25712779</v>
      </c>
      <c r="Q11" s="8" t="n">
        <f aca="false">IF(OR($B11="",3&gt;Parameters!$B$7),"",$N11-AD11)</f>
        <v>710068.46443867</v>
      </c>
      <c r="R11" s="8" t="n">
        <f aca="false">IF(OR($B11="",4&gt;Parameters!$B$7),"",$N11-AE11)</f>
        <v>324221.434118042</v>
      </c>
      <c r="S11" s="8" t="n">
        <f aca="false">IF(OR($B11="",5&gt;Parameters!$B$7),"",$N11-AF11)</f>
        <v>-34029.1598516875</v>
      </c>
      <c r="T11" s="7" t="n">
        <f aca="false">IF($B11="","",IF(MAX($O11:$S11)&lt;0,"Accept",MATCH(MAX($O11:$S11),$O11:$S11,0)))</f>
        <v>1</v>
      </c>
      <c r="U11" s="8" t="n">
        <f aca="false">IF($B11="","",MAX($O11:$S11))</f>
        <v>1573434.4560304</v>
      </c>
      <c r="V11" s="40" t="n">
        <f aca="false">IF($B11="","",IF($F11&gt;0,ROUND($O11/$F11,2),IF(N($O11)&gt;0,Lists!$F$2,0))+IF($W11="Yes",Lists!$I$2,0))</f>
        <v>31.47</v>
      </c>
      <c r="W11" s="7" t="str">
        <f aca="false">IF($B11="","",IF(COUNTIFS($L$2:$L$41,$A11,$E$2:$E$41,"Open",$A$2:$A$41,"&lt;&gt;"&amp;$A11)&gt;0,"Yes","No"))</f>
        <v>No</v>
      </c>
      <c r="X11" s="7" t="str">
        <f aca="false">IF($B11="","",IF($V11&gt;=Lists!$F$2,"High",IF($V11&gt;=Lists!$F$3,"Medium","Low")))</f>
        <v>High</v>
      </c>
      <c r="Y11" s="7" t="n">
        <f aca="false">IF(OR($B11="",$E11&lt;&gt;"Open"),"",IF($L11="",(INDEX(Lists!$G$2:$G$4,MATCH($X11,Lists!$E$2:$E$4,0))*1000000000000-$U11-$H11),IFERROR(MAX((INDEX(Lists!$G$2:$G$4,MATCH($X11,Lists!$E$2:$E$4,0))*1000000000000-$U11-$H11),INDEX($Y$2:$Y$41,MATCH($L11,$A$2:$A$41,0))+1),(INDEX(Lists!$G$2:$G$4,MATCH($X11,Lists!$E$2:$E$4,0))*1000000000000-$U11-$H11))))</f>
        <v>999998426565.494</v>
      </c>
      <c r="Z11" s="7" t="n">
        <f aca="false">IF($Y11="","",RANK($Y11,$Y$2:$Y$41,1)+COUNTIF($Y$2:$Y11,$Y11)-1)</f>
        <v>4</v>
      </c>
      <c r="AA11" s="7" t="str">
        <f aca="false">""</f>
        <v/>
      </c>
      <c r="AB11" s="8" t="n">
        <f aca="false">IF(OR($B11="",1&gt;Parameters!$B$7),"",IF(1&lt;=0,0,IF(ABS((1+$H11)/(1+Parameters!$B$10)-1)&lt;0.000001,1*$G11/(1+Parameters!$B$10),$G11/(1+Parameters!$B$10)*(1-((1+$H11)/(1+Parameters!$B$10))^1)/(1-(1+$H11)/(1+Parameters!$B$10))))+$F11/(1+Parameters!$B$10)^1+IF(1&lt;=0,0,IF(Parameters!$B$10=0,1*$I11*$J11,$I11*$J11*(1-(1/(1+Parameters!$B$10))^1)/Parameters!$B$10)))</f>
        <v>532407.407407408</v>
      </c>
      <c r="AC11" s="8" t="n">
        <f aca="false">IF(OR($B11="",2&gt;Parameters!$B$7),"",IF(2&lt;=0,0,IF(ABS((1+$H11)/(1+Parameters!$B$10)-1)&lt;0.000001,2*$G11/(1+Parameters!$B$10),$G11/(1+Parameters!$B$10)*(1-((1+$H11)/(1+Parameters!$B$10))^2)/(1-(1+$H11)/(1+Parameters!$B$10))))+$F11/(1+Parameters!$B$10)^2+IF(2&lt;=0,0,IF(Parameters!$B$10=0,2*$I11*$J11,$I11*$J11*(1-(1/(1+Parameters!$B$10))^2)/Parameters!$B$10)))</f>
        <v>980152.606310015</v>
      </c>
      <c r="AD11" s="8" t="n">
        <f aca="false">IF(OR($B11="",3&gt;Parameters!$B$7),"",IF(3&lt;=0,0,IF(ABS((1+$H11)/(1+Parameters!$B$10)-1)&lt;0.000001,3*$G11/(1+Parameters!$B$10),$G11/(1+Parameters!$B$10)*(1-((1+$H11)/(1+Parameters!$B$10))^3)/(1-(1+$H11)/(1+Parameters!$B$10))))+$F11/(1+Parameters!$B$10)^3+IF(3&lt;=0,0,IF(Parameters!$B$10=0,3*$I11*$J11,$I11*$J11*(1-(1/(1+Parameters!$B$10))^3)/Parameters!$B$10)))</f>
        <v>1395773.39899914</v>
      </c>
      <c r="AE11" s="8" t="n">
        <f aca="false">IF(OR($B11="",4&gt;Parameters!$B$7),"",IF(4&lt;=0,0,IF(ABS((1+$H11)/(1+Parameters!$B$10)-1)&lt;0.000001,4*$G11/(1+Parameters!$B$10),$G11/(1+Parameters!$B$10)*(1-((1+$H11)/(1+Parameters!$B$10))^4)/(1-(1+$H11)/(1+Parameters!$B$10))))+$F11/(1+Parameters!$B$10)^4+IF(4&lt;=0,0,IF(Parameters!$B$10=0,4*$I11*$J11,$I11*$J11*(1-(1/(1+Parameters!$B$10))^4)/Parameters!$B$10)))</f>
        <v>1781620.42931977</v>
      </c>
      <c r="AF11" s="8" t="n">
        <f aca="false">IF(OR($B11="",5&gt;Parameters!$B$7),"",IF(5&lt;=0,0,IF(ABS((1+$H11)/(1+Parameters!$B$10)-1)&lt;0.000001,5*$G11/(1+Parameters!$B$10),$G11/(1+Parameters!$B$10)*(1-((1+$H11)/(1+Parameters!$B$10))^5)/(1-(1+$H11)/(1+Parameters!$B$10))))+$F11/(1+Parameters!$B$10)^5+IF(5&lt;=0,0,IF(Parameters!$B$10=0,5*$I11*$J11,$I11*$J11*(1-(1/(1+Parameters!$B$10))^5)/Parameters!$B$10)))</f>
        <v>2139871.0232895</v>
      </c>
      <c r="AG11" s="8" t="n">
        <f aca="false">IF(OR($B11="",1&gt;Parameters!$B$7),"",$G11*(1+$H11)^(1-1))</f>
        <v>25000</v>
      </c>
      <c r="AH11" s="8" t="n">
        <f aca="false">IF(OR($B11="",2&gt;Parameters!$B$7),"",$G11*(1+$H11)^(2-1))</f>
        <v>26250</v>
      </c>
      <c r="AI11" s="8" t="n">
        <f aca="false">IF(OR($B11="",3&gt;Parameters!$B$7),"",$G11*(1+$H11)^(3-1))</f>
        <v>27562.5</v>
      </c>
      <c r="AJ11" s="8" t="n">
        <f aca="false">IF(OR($B11="",4&gt;Parameters!$B$7),"",$G11*(1+$H11)^(4-1))</f>
        <v>28940.625</v>
      </c>
      <c r="AK11" s="8" t="n">
        <f aca="false">IF(OR($B11="",5&gt;Parameters!$B$7),"",$G11*(1+$H11)^(5-1))</f>
        <v>30387.65625</v>
      </c>
    </row>
    <row r="12" customFormat="false" ht="15" hidden="false" customHeight="false" outlineLevel="0" collapsed="false">
      <c r="A12" s="33" t="s">
        <v>125</v>
      </c>
      <c r="B12" s="33" t="s">
        <v>126</v>
      </c>
      <c r="C12" s="33" t="s">
        <v>56</v>
      </c>
      <c r="D12" s="33" t="s">
        <v>127</v>
      </c>
      <c r="E12" s="33" t="s">
        <v>55</v>
      </c>
      <c r="F12" s="35" t="n">
        <v>800000</v>
      </c>
      <c r="G12" s="35" t="n">
        <v>150000</v>
      </c>
      <c r="H12" s="37" t="n">
        <v>0.1</v>
      </c>
      <c r="I12" s="37" t="n">
        <v>0.03</v>
      </c>
      <c r="J12" s="35" t="n">
        <v>1000000</v>
      </c>
      <c r="K12" s="36" t="n">
        <v>240</v>
      </c>
      <c r="L12" s="33" t="s">
        <v>95</v>
      </c>
      <c r="M12" s="8" t="n">
        <f aca="false">IF($B12="","",$G12+$I12*$J12)</f>
        <v>180000</v>
      </c>
      <c r="N12" s="8" t="n">
        <f aca="false">IF($B12="","",IF(Parameters!$B$7&lt;=0,0,IF(ABS((1+$H12)/(1+Parameters!$B$10)-1)&lt;0.000001,Parameters!$B$7*$G12/(1+Parameters!$B$10),$G12/(1+Parameters!$B$10)*(1-((1+$H12)/(1+Parameters!$B$10))^Parameters!$B$7)/(1-(1+$H12)/(1+Parameters!$B$10))))+IF(Parameters!$B$7&lt;=0,0,IF(Parameters!$B$10=0,Parameters!$B$7*$I12*$J12,$I12*$J12*(1-(1/(1+Parameters!$B$10))^Parameters!$B$7)/Parameters!$B$10)))</f>
        <v>840426.636023566</v>
      </c>
      <c r="O12" s="8" t="n">
        <f aca="false">IF(OR($B12="",1&gt;Parameters!$B$7),"",$N12-AB12)</f>
        <v>-66980.7713838416</v>
      </c>
      <c r="P12" s="8" t="n">
        <f aca="false">IF(OR($B12="",2&gt;Parameters!$B$7),"",$N12-AC12)</f>
        <v>-179292.156843376</v>
      </c>
      <c r="Q12" s="8" t="n">
        <f aca="false">IF(OR($B12="",3&gt;Parameters!$B$7),"",$N12-AD12)</f>
        <v>-296382.412393851</v>
      </c>
      <c r="R12" s="8" t="n">
        <f aca="false">IF(OR($B12="",4&gt;Parameters!$B$7),"",$N12-AE12)</f>
        <v>-418140.107509583</v>
      </c>
      <c r="S12" s="8" t="n">
        <f aca="false">IF(OR($B12="",5&gt;Parameters!$B$7),"",$N12-AF12)</f>
        <v>-544466.557627002</v>
      </c>
      <c r="T12" s="7" t="str">
        <f aca="false">IF($B12="","",IF(MAX($O12:$S12)&lt;0,"Accept",MATCH(MAX($O12:$S12),$O12:$S12,0)))</f>
        <v>Accept</v>
      </c>
      <c r="U12" s="8" t="n">
        <f aca="false">IF($B12="","",MAX($O12:$S12))</f>
        <v>-66980.7713838416</v>
      </c>
      <c r="V12" s="40" t="n">
        <f aca="false">IF($B12="","",IF($F12&gt;0,ROUND($O12/$F12,2),IF(N($O12)&gt;0,Lists!$F$2,0))+IF($W12="Yes",Lists!$I$2,0))</f>
        <v>-0.08</v>
      </c>
      <c r="W12" s="7" t="str">
        <f aca="false">IF($B12="","",IF(COUNTIFS($L$2:$L$41,$A12,$E$2:$E$41,"Open",$A$2:$A$41,"&lt;&gt;"&amp;$A12)&gt;0,"Yes","No"))</f>
        <v>No</v>
      </c>
      <c r="X12" s="7" t="str">
        <f aca="false">IF($B12="","",IF($V12&gt;=Lists!$F$2,"High",IF($V12&gt;=Lists!$F$3,"Medium","Low")))</f>
        <v>Low</v>
      </c>
      <c r="Y12" s="7" t="n">
        <f aca="false">IF(OR($B12="",$E12&lt;&gt;"Open"),"",IF($L12="",(INDEX(Lists!$G$2:$G$4,MATCH($X12,Lists!$E$2:$E$4,0))*1000000000000-$U12-$H12),IFERROR(MAX((INDEX(Lists!$G$2:$G$4,MATCH($X12,Lists!$E$2:$E$4,0))*1000000000000-$U12-$H12),INDEX($Y$2:$Y$41,MATCH($L12,$A$2:$A$41,0))+1),(INDEX(Lists!$G$2:$G$4,MATCH($X12,Lists!$E$2:$E$4,0))*1000000000000-$U12-$H12))))</f>
        <v>3000000066980.67</v>
      </c>
      <c r="Z12" s="7" t="n">
        <f aca="false">IF($Y12="","",RANK($Y12,$Y$2:$Y$41,1)+COUNTIF($Y$2:$Y12,$Y12)-1)</f>
        <v>12</v>
      </c>
      <c r="AA12" s="7" t="str">
        <f aca="false">""</f>
        <v/>
      </c>
      <c r="AB12" s="8" t="n">
        <f aca="false">IF(OR($B12="",1&gt;Parameters!$B$7),"",IF(1&lt;=0,0,IF(ABS((1+$H12)/(1+Parameters!$B$10)-1)&lt;0.000001,1*$G12/(1+Parameters!$B$10),$G12/(1+Parameters!$B$10)*(1-((1+$H12)/(1+Parameters!$B$10))^1)/(1-(1+$H12)/(1+Parameters!$B$10))))+$F12/(1+Parameters!$B$10)^1+IF(1&lt;=0,0,IF(Parameters!$B$10=0,1*$I12*$J12,$I12*$J12*(1-(1/(1+Parameters!$B$10))^1)/Parameters!$B$10)))</f>
        <v>907407.407407407</v>
      </c>
      <c r="AC12" s="8" t="n">
        <f aca="false">IF(OR($B12="",2&gt;Parameters!$B$7),"",IF(2&lt;=0,0,IF(ABS((1+$H12)/(1+Parameters!$B$10)-1)&lt;0.000001,2*$G12/(1+Parameters!$B$10),$G12/(1+Parameters!$B$10)*(1-((1+$H12)/(1+Parameters!$B$10))^2)/(1-(1+$H12)/(1+Parameters!$B$10))))+$F12/(1+Parameters!$B$10)^2+IF(2&lt;=0,0,IF(Parameters!$B$10=0,2*$I12*$J12,$I12*$J12*(1-(1/(1+Parameters!$B$10))^2)/Parameters!$B$10)))</f>
        <v>1019718.79286694</v>
      </c>
      <c r="AD12" s="8" t="n">
        <f aca="false">IF(OR($B12="",3&gt;Parameters!$B$7),"",IF(3&lt;=0,0,IF(ABS((1+$H12)/(1+Parameters!$B$10)-1)&lt;0.000001,3*$G12/(1+Parameters!$B$10),$G12/(1+Parameters!$B$10)*(1-((1+$H12)/(1+Parameters!$B$10))^3)/(1-(1+$H12)/(1+Parameters!$B$10))))+$F12/(1+Parameters!$B$10)^3+IF(3&lt;=0,0,IF(Parameters!$B$10=0,3*$I12*$J12,$I12*$J12*(1-(1/(1+Parameters!$B$10))^3)/Parameters!$B$10)))</f>
        <v>1136809.04841742</v>
      </c>
      <c r="AE12" s="8" t="n">
        <f aca="false">IF(OR($B12="",4&gt;Parameters!$B$7),"",IF(4&lt;=0,0,IF(ABS((1+$H12)/(1+Parameters!$B$10)-1)&lt;0.000001,4*$G12/(1+Parameters!$B$10),$G12/(1+Parameters!$B$10)*(1-((1+$H12)/(1+Parameters!$B$10))^4)/(1-(1+$H12)/(1+Parameters!$B$10))))+$F12/(1+Parameters!$B$10)^4+IF(4&lt;=0,0,IF(Parameters!$B$10=0,4*$I12*$J12,$I12*$J12*(1-(1/(1+Parameters!$B$10))^4)/Parameters!$B$10)))</f>
        <v>1258566.74353315</v>
      </c>
      <c r="AF12" s="8" t="n">
        <f aca="false">IF(OR($B12="",5&gt;Parameters!$B$7),"",IF(5&lt;=0,0,IF(ABS((1+$H12)/(1+Parameters!$B$10)-1)&lt;0.000001,5*$G12/(1+Parameters!$B$10),$G12/(1+Parameters!$B$10)*(1-((1+$H12)/(1+Parameters!$B$10))^5)/(1-(1+$H12)/(1+Parameters!$B$10))))+$F12/(1+Parameters!$B$10)^5+IF(5&lt;=0,0,IF(Parameters!$B$10=0,5*$I12*$J12,$I12*$J12*(1-(1/(1+Parameters!$B$10))^5)/Parameters!$B$10)))</f>
        <v>1384893.19365057</v>
      </c>
      <c r="AG12" s="8" t="n">
        <f aca="false">IF(OR($B12="",1&gt;Parameters!$B$7),"",$G12*(1+$H12)^(1-1))</f>
        <v>150000</v>
      </c>
      <c r="AH12" s="8" t="n">
        <f aca="false">IF(OR($B12="",2&gt;Parameters!$B$7),"",$G12*(1+$H12)^(2-1))</f>
        <v>165000</v>
      </c>
      <c r="AI12" s="8" t="n">
        <f aca="false">IF(OR($B12="",3&gt;Parameters!$B$7),"",$G12*(1+$H12)^(3-1))</f>
        <v>181500</v>
      </c>
      <c r="AJ12" s="8" t="n">
        <f aca="false">IF(OR($B12="",4&gt;Parameters!$B$7),"",$G12*(1+$H12)^(4-1))</f>
        <v>199650</v>
      </c>
      <c r="AK12" s="8" t="n">
        <f aca="false">IF(OR($B12="",5&gt;Parameters!$B$7),"",$G12*(1+$H12)^(5-1))</f>
        <v>219615</v>
      </c>
    </row>
    <row r="13" customFormat="false" ht="15" hidden="false" customHeight="false" outlineLevel="0" collapsed="false">
      <c r="A13" s="33" t="s">
        <v>128</v>
      </c>
      <c r="B13" s="33" t="s">
        <v>129</v>
      </c>
      <c r="C13" s="33" t="s">
        <v>64</v>
      </c>
      <c r="D13" s="33" t="s">
        <v>130</v>
      </c>
      <c r="E13" s="33" t="s">
        <v>55</v>
      </c>
      <c r="F13" s="35" t="n">
        <v>60000</v>
      </c>
      <c r="G13" s="35" t="n">
        <v>30000</v>
      </c>
      <c r="H13" s="37" t="n">
        <v>0.05</v>
      </c>
      <c r="I13" s="37" t="n">
        <v>0.02</v>
      </c>
      <c r="J13" s="35" t="n">
        <v>200000</v>
      </c>
      <c r="K13" s="36" t="n">
        <v>30</v>
      </c>
      <c r="L13" s="33"/>
      <c r="M13" s="8" t="n">
        <f aca="false">IF($B13="","",$G13+$I13*$J13)</f>
        <v>34000</v>
      </c>
      <c r="N13" s="8" t="n">
        <f aca="false">IF($B13="","",IF(Parameters!$B$7&lt;=0,0,IF(ABS((1+$H13)/(1+Parameters!$B$10)-1)&lt;0.000001,Parameters!$B$7*$G13/(1+Parameters!$B$10),$G13/(1+Parameters!$B$10)*(1-((1+$H13)/(1+Parameters!$B$10))^Parameters!$B$7)/(1-(1+$H13)/(1+Parameters!$B$10))))+IF(Parameters!$B$7&lt;=0,0,IF(Parameters!$B$10=0,Parameters!$B$7*$I13*$J13,$I13*$J13*(1-(1/(1+Parameters!$B$10))^Parameters!$B$7)/Parameters!$B$10)))</f>
        <v>147355.054026828</v>
      </c>
      <c r="O13" s="8" t="n">
        <f aca="false">IF(OR($B13="",1&gt;Parameters!$B$7),"",$N13-AB13)</f>
        <v>60318.0169897914</v>
      </c>
      <c r="P13" s="8" t="n">
        <f aca="false">IF(OR($B13="",2&gt;Parameters!$B$7),"",$N13-AC13)</f>
        <v>33997.7152065266</v>
      </c>
      <c r="Q13" s="8" t="n">
        <f aca="false">IF(OR($B13="",3&gt;Parameters!$B$7),"",$N13-AD13)</f>
        <v>8376.77962760066</v>
      </c>
      <c r="R13" s="8" t="n">
        <f aca="false">IF(OR($B13="",4&gt;Parameters!$B$7),"",$N13-AE13)</f>
        <v>-16561.864490467</v>
      </c>
      <c r="S13" s="8" t="n">
        <f aca="false">IF(OR($B13="",5&gt;Parameters!$B$7),"",$N13-AF13)</f>
        <v>-40834.9918220252</v>
      </c>
      <c r="T13" s="7" t="n">
        <f aca="false">IF($B13="","",IF(MAX($O13:$S13)&lt;0,"Accept",MATCH(MAX($O13:$S13),$O13:$S13,0)))</f>
        <v>1</v>
      </c>
      <c r="U13" s="8" t="n">
        <f aca="false">IF($B13="","",MAX($O13:$S13))</f>
        <v>60318.0169897914</v>
      </c>
      <c r="V13" s="40" t="n">
        <f aca="false">IF($B13="","",IF($F13&gt;0,ROUND($O13/$F13,2),IF(N($O13)&gt;0,Lists!$F$2,0))+IF($W13="Yes",Lists!$I$2,0))</f>
        <v>1.01</v>
      </c>
      <c r="W13" s="7" t="str">
        <f aca="false">IF($B13="","",IF(COUNTIFS($L$2:$L$41,$A13,$E$2:$E$41,"Open",$A$2:$A$41,"&lt;&gt;"&amp;$A13)&gt;0,"Yes","No"))</f>
        <v>No</v>
      </c>
      <c r="X13" s="7" t="str">
        <f aca="false">IF($B13="","",IF($V13&gt;=Lists!$F$2,"High",IF($V13&gt;=Lists!$F$3,"Medium","Low")))</f>
        <v>Medium</v>
      </c>
      <c r="Y13" s="7" t="n">
        <f aca="false">IF(OR($B13="",$E13&lt;&gt;"Open"),"",IF($L13="",(INDEX(Lists!$G$2:$G$4,MATCH($X13,Lists!$E$2:$E$4,0))*1000000000000-$U13-$H13),IFERROR(MAX((INDEX(Lists!$G$2:$G$4,MATCH($X13,Lists!$E$2:$E$4,0))*1000000000000-$U13-$H13),INDEX($Y$2:$Y$41,MATCH($L13,$A$2:$A$41,0))+1),(INDEX(Lists!$G$2:$G$4,MATCH($X13,Lists!$E$2:$E$4,0))*1000000000000-$U13-$H13))))</f>
        <v>1999999939681.93</v>
      </c>
      <c r="Z13" s="7" t="n">
        <f aca="false">IF($Y13="","",RANK($Y13,$Y$2:$Y$41,1)+COUNTIF($Y$2:$Y13,$Y13)-1)</f>
        <v>11</v>
      </c>
      <c r="AA13" s="7" t="str">
        <f aca="false">""</f>
        <v/>
      </c>
      <c r="AB13" s="8" t="n">
        <f aca="false">IF(OR($B13="",1&gt;Parameters!$B$7),"",IF(1&lt;=0,0,IF(ABS((1+$H13)/(1+Parameters!$B$10)-1)&lt;0.000001,1*$G13/(1+Parameters!$B$10),$G13/(1+Parameters!$B$10)*(1-((1+$H13)/(1+Parameters!$B$10))^1)/(1-(1+$H13)/(1+Parameters!$B$10))))+$F13/(1+Parameters!$B$10)^1+IF(1&lt;=0,0,IF(Parameters!$B$10=0,1*$I13*$J13,$I13*$J13*(1-(1/(1+Parameters!$B$10))^1)/Parameters!$B$10)))</f>
        <v>87037.037037037</v>
      </c>
      <c r="AC13" s="8" t="n">
        <f aca="false">IF(OR($B13="",2&gt;Parameters!$B$7),"",IF(2&lt;=0,0,IF(ABS((1+$H13)/(1+Parameters!$B$10)-1)&lt;0.000001,2*$G13/(1+Parameters!$B$10),$G13/(1+Parameters!$B$10)*(1-((1+$H13)/(1+Parameters!$B$10))^2)/(1-(1+$H13)/(1+Parameters!$B$10))))+$F13/(1+Parameters!$B$10)^2+IF(2&lt;=0,0,IF(Parameters!$B$10=0,2*$I13*$J13,$I13*$J13*(1-(1/(1+Parameters!$B$10))^2)/Parameters!$B$10)))</f>
        <v>113357.338820302</v>
      </c>
      <c r="AD13" s="8" t="n">
        <f aca="false">IF(OR($B13="",3&gt;Parameters!$B$7),"",IF(3&lt;=0,0,IF(ABS((1+$H13)/(1+Parameters!$B$10)-1)&lt;0.000001,3*$G13/(1+Parameters!$B$10),$G13/(1+Parameters!$B$10)*(1-((1+$H13)/(1+Parameters!$B$10))^3)/(1-(1+$H13)/(1+Parameters!$B$10))))+$F13/(1+Parameters!$B$10)^3+IF(3&lt;=0,0,IF(Parameters!$B$10=0,3*$I13*$J13,$I13*$J13*(1-(1/(1+Parameters!$B$10))^3)/Parameters!$B$10)))</f>
        <v>138978.274399228</v>
      </c>
      <c r="AE13" s="8" t="n">
        <f aca="false">IF(OR($B13="",4&gt;Parameters!$B$7),"",IF(4&lt;=0,0,IF(ABS((1+$H13)/(1+Parameters!$B$10)-1)&lt;0.000001,4*$G13/(1+Parameters!$B$10),$G13/(1+Parameters!$B$10)*(1-((1+$H13)/(1+Parameters!$B$10))^4)/(1-(1+$H13)/(1+Parameters!$B$10))))+$F13/(1+Parameters!$B$10)^4+IF(4&lt;=0,0,IF(Parameters!$B$10=0,4*$I13*$J13,$I13*$J13*(1-(1/(1+Parameters!$B$10))^4)/Parameters!$B$10)))</f>
        <v>163916.918517295</v>
      </c>
      <c r="AF13" s="8" t="n">
        <f aca="false">IF(OR($B13="",5&gt;Parameters!$B$7),"",IF(5&lt;=0,0,IF(ABS((1+$H13)/(1+Parameters!$B$10)-1)&lt;0.000001,5*$G13/(1+Parameters!$B$10),$G13/(1+Parameters!$B$10)*(1-((1+$H13)/(1+Parameters!$B$10))^5)/(1-(1+$H13)/(1+Parameters!$B$10))))+$F13/(1+Parameters!$B$10)^5+IF(5&lt;=0,0,IF(Parameters!$B$10=0,5*$I13*$J13,$I13*$J13*(1-(1/(1+Parameters!$B$10))^5)/Parameters!$B$10)))</f>
        <v>188190.045848854</v>
      </c>
      <c r="AG13" s="8" t="n">
        <f aca="false">IF(OR($B13="",1&gt;Parameters!$B$7),"",$G13*(1+$H13)^(1-1))</f>
        <v>30000</v>
      </c>
      <c r="AH13" s="8" t="n">
        <f aca="false">IF(OR($B13="",2&gt;Parameters!$B$7),"",$G13*(1+$H13)^(2-1))</f>
        <v>31500</v>
      </c>
      <c r="AI13" s="8" t="n">
        <f aca="false">IF(OR($B13="",3&gt;Parameters!$B$7),"",$G13*(1+$H13)^(3-1))</f>
        <v>33075</v>
      </c>
      <c r="AJ13" s="8" t="n">
        <f aca="false">IF(OR($B13="",4&gt;Parameters!$B$7),"",$G13*(1+$H13)^(4-1))</f>
        <v>34728.75</v>
      </c>
      <c r="AK13" s="8" t="n">
        <f aca="false">IF(OR($B13="",5&gt;Parameters!$B$7),"",$G13*(1+$H13)^(5-1))</f>
        <v>36465.1875</v>
      </c>
    </row>
    <row r="14" customFormat="false" ht="15" hidden="false" customHeight="false" outlineLevel="0" collapsed="false">
      <c r="A14" s="33"/>
      <c r="B14" s="33"/>
      <c r="C14" s="33"/>
      <c r="D14" s="33"/>
      <c r="E14" s="33"/>
      <c r="F14" s="35"/>
      <c r="G14" s="35"/>
      <c r="H14" s="37"/>
      <c r="I14" s="37"/>
      <c r="J14" s="35"/>
      <c r="K14" s="36"/>
      <c r="L14" s="33"/>
      <c r="M14" s="8" t="str">
        <f aca="false">IF($B14="","",$G14+$I14*$J14)</f>
        <v/>
      </c>
      <c r="N14" s="8" t="str">
        <f aca="false">IF($B14="","",IF(Parameters!$B$7&lt;=0,0,IF(ABS((1+$H14)/(1+Parameters!$B$10)-1)&lt;0.000001,Parameters!$B$7*$G14/(1+Parameters!$B$10),$G14/(1+Parameters!$B$10)*(1-((1+$H14)/(1+Parameters!$B$10))^Parameters!$B$7)/(1-(1+$H14)/(1+Parameters!$B$10))))+IF(Parameters!$B$7&lt;=0,0,IF(Parameters!$B$10=0,Parameters!$B$7*$I14*$J14,$I14*$J14*(1-(1/(1+Parameters!$B$10))^Parameters!$B$7)/Parameters!$B$10)))</f>
        <v/>
      </c>
      <c r="O14" s="8" t="str">
        <f aca="false">IF(OR($B14="",1&gt;Parameters!$B$7),"",$N14-AB14)</f>
        <v/>
      </c>
      <c r="P14" s="8" t="str">
        <f aca="false">IF(OR($B14="",2&gt;Parameters!$B$7),"",$N14-AC14)</f>
        <v/>
      </c>
      <c r="Q14" s="8" t="str">
        <f aca="false">IF(OR($B14="",3&gt;Parameters!$B$7),"",$N14-AD14)</f>
        <v/>
      </c>
      <c r="R14" s="8" t="str">
        <f aca="false">IF(OR($B14="",4&gt;Parameters!$B$7),"",$N14-AE14)</f>
        <v/>
      </c>
      <c r="S14" s="8" t="str">
        <f aca="false">IF(OR($B14="",5&gt;Parameters!$B$7),"",$N14-AF14)</f>
        <v/>
      </c>
      <c r="T14" s="7" t="str">
        <f aca="false">IF($B14="","",IF(MAX($O14:$S14)&lt;0,"Accept",MATCH(MAX($O14:$S14),$O14:$S14,0)))</f>
        <v/>
      </c>
      <c r="U14" s="8" t="str">
        <f aca="false">IF($B14="","",MAX($O14:$S14))</f>
        <v/>
      </c>
      <c r="V14" s="40" t="str">
        <f aca="false">IF($B14="","",IF($F14&gt;0,ROUND($O14/$F14,2),IF(N($O14)&gt;0,Lists!$F$2,0))+IF($W14="Yes",Lists!$I$2,0))</f>
        <v/>
      </c>
      <c r="W14" s="7" t="str">
        <f aca="false">IF($B14="","",IF(COUNTIFS($L$2:$L$41,$A14,$E$2:$E$41,"Open",$A$2:$A$41,"&lt;&gt;"&amp;$A14)&gt;0,"Yes","No"))</f>
        <v/>
      </c>
      <c r="X14" s="7" t="str">
        <f aca="false">IF($B14="","",IF($V14&gt;=Lists!$F$2,"High",IF($V14&gt;=Lists!$F$3,"Medium","Low")))</f>
        <v/>
      </c>
      <c r="Y14" s="7" t="str">
        <f aca="false">IF(OR($B14="",$E14&lt;&gt;"Open"),"",IF($L14="",(INDEX(Lists!$G$2:$G$4,MATCH($X14,Lists!$E$2:$E$4,0))*1000000000000-$U14-$H14),IFERROR(MAX((INDEX(Lists!$G$2:$G$4,MATCH($X14,Lists!$E$2:$E$4,0))*1000000000000-$U14-$H14),INDEX($Y$2:$Y$41,MATCH($L14,$A$2:$A$41,0))+1),(INDEX(Lists!$G$2:$G$4,MATCH($X14,Lists!$E$2:$E$4,0))*1000000000000-$U14-$H14))))</f>
        <v/>
      </c>
      <c r="Z14" s="7" t="str">
        <f aca="false">IF($Y14="","",RANK($Y14,$Y$2:$Y$41,1)+COUNTIF($Y$2:$Y14,$Y14)-1)</f>
        <v/>
      </c>
      <c r="AA14" s="7" t="str">
        <f aca="false">""</f>
        <v/>
      </c>
      <c r="AB14" s="8" t="str">
        <f aca="false">IF(OR($B14="",1&gt;Parameters!$B$7),"",IF(1&lt;=0,0,IF(ABS((1+$H14)/(1+Parameters!$B$10)-1)&lt;0.000001,1*$G14/(1+Parameters!$B$10),$G14/(1+Parameters!$B$10)*(1-((1+$H14)/(1+Parameters!$B$10))^1)/(1-(1+$H14)/(1+Parameters!$B$10))))+$F14/(1+Parameters!$B$10)^1+IF(1&lt;=0,0,IF(Parameters!$B$10=0,1*$I14*$J14,$I14*$J14*(1-(1/(1+Parameters!$B$10))^1)/Parameters!$B$10)))</f>
        <v/>
      </c>
      <c r="AC14" s="8" t="str">
        <f aca="false">IF(OR($B14="",2&gt;Parameters!$B$7),"",IF(2&lt;=0,0,IF(ABS((1+$H14)/(1+Parameters!$B$10)-1)&lt;0.000001,2*$G14/(1+Parameters!$B$10),$G14/(1+Parameters!$B$10)*(1-((1+$H14)/(1+Parameters!$B$10))^2)/(1-(1+$H14)/(1+Parameters!$B$10))))+$F14/(1+Parameters!$B$10)^2+IF(2&lt;=0,0,IF(Parameters!$B$10=0,2*$I14*$J14,$I14*$J14*(1-(1/(1+Parameters!$B$10))^2)/Parameters!$B$10)))</f>
        <v/>
      </c>
      <c r="AD14" s="8" t="str">
        <f aca="false">IF(OR($B14="",3&gt;Parameters!$B$7),"",IF(3&lt;=0,0,IF(ABS((1+$H14)/(1+Parameters!$B$10)-1)&lt;0.000001,3*$G14/(1+Parameters!$B$10),$G14/(1+Parameters!$B$10)*(1-((1+$H14)/(1+Parameters!$B$10))^3)/(1-(1+$H14)/(1+Parameters!$B$10))))+$F14/(1+Parameters!$B$10)^3+IF(3&lt;=0,0,IF(Parameters!$B$10=0,3*$I14*$J14,$I14*$J14*(1-(1/(1+Parameters!$B$10))^3)/Parameters!$B$10)))</f>
        <v/>
      </c>
      <c r="AE14" s="8" t="str">
        <f aca="false">IF(OR($B14="",4&gt;Parameters!$B$7),"",IF(4&lt;=0,0,IF(ABS((1+$H14)/(1+Parameters!$B$10)-1)&lt;0.000001,4*$G14/(1+Parameters!$B$10),$G14/(1+Parameters!$B$10)*(1-((1+$H14)/(1+Parameters!$B$10))^4)/(1-(1+$H14)/(1+Parameters!$B$10))))+$F14/(1+Parameters!$B$10)^4+IF(4&lt;=0,0,IF(Parameters!$B$10=0,4*$I14*$J14,$I14*$J14*(1-(1/(1+Parameters!$B$10))^4)/Parameters!$B$10)))</f>
        <v/>
      </c>
      <c r="AF14" s="8" t="str">
        <f aca="false">IF(OR($B14="",5&gt;Parameters!$B$7),"",IF(5&lt;=0,0,IF(ABS((1+$H14)/(1+Parameters!$B$10)-1)&lt;0.000001,5*$G14/(1+Parameters!$B$10),$G14/(1+Parameters!$B$10)*(1-((1+$H14)/(1+Parameters!$B$10))^5)/(1-(1+$H14)/(1+Parameters!$B$10))))+$F14/(1+Parameters!$B$10)^5+IF(5&lt;=0,0,IF(Parameters!$B$10=0,5*$I14*$J14,$I14*$J14*(1-(1/(1+Parameters!$B$10))^5)/Parameters!$B$10)))</f>
        <v/>
      </c>
      <c r="AG14" s="8" t="str">
        <f aca="false">IF(OR($B14="",1&gt;Parameters!$B$7),"",$G14*(1+$H14)^(1-1))</f>
        <v/>
      </c>
      <c r="AH14" s="8" t="str">
        <f aca="false">IF(OR($B14="",2&gt;Parameters!$B$7),"",$G14*(1+$H14)^(2-1))</f>
        <v/>
      </c>
      <c r="AI14" s="8" t="str">
        <f aca="false">IF(OR($B14="",3&gt;Parameters!$B$7),"",$G14*(1+$H14)^(3-1))</f>
        <v/>
      </c>
      <c r="AJ14" s="8" t="str">
        <f aca="false">IF(OR($B14="",4&gt;Parameters!$B$7),"",$G14*(1+$H14)^(4-1))</f>
        <v/>
      </c>
      <c r="AK14" s="8" t="str">
        <f aca="false">IF(OR($B14="",5&gt;Parameters!$B$7),"",$G14*(1+$H14)^(5-1))</f>
        <v/>
      </c>
    </row>
    <row r="15" customFormat="false" ht="15" hidden="false" customHeight="false" outlineLevel="0" collapsed="false">
      <c r="A15" s="33"/>
      <c r="B15" s="33"/>
      <c r="C15" s="33"/>
      <c r="D15" s="33"/>
      <c r="E15" s="33"/>
      <c r="F15" s="35"/>
      <c r="G15" s="35"/>
      <c r="H15" s="37"/>
      <c r="I15" s="37"/>
      <c r="J15" s="35"/>
      <c r="K15" s="36"/>
      <c r="L15" s="33"/>
      <c r="M15" s="8" t="str">
        <f aca="false">IF($B15="","",$G15+$I15*$J15)</f>
        <v/>
      </c>
      <c r="N15" s="8" t="str">
        <f aca="false">IF($B15="","",IF(Parameters!$B$7&lt;=0,0,IF(ABS((1+$H15)/(1+Parameters!$B$10)-1)&lt;0.000001,Parameters!$B$7*$G15/(1+Parameters!$B$10),$G15/(1+Parameters!$B$10)*(1-((1+$H15)/(1+Parameters!$B$10))^Parameters!$B$7)/(1-(1+$H15)/(1+Parameters!$B$10))))+IF(Parameters!$B$7&lt;=0,0,IF(Parameters!$B$10=0,Parameters!$B$7*$I15*$J15,$I15*$J15*(1-(1/(1+Parameters!$B$10))^Parameters!$B$7)/Parameters!$B$10)))</f>
        <v/>
      </c>
      <c r="O15" s="8" t="str">
        <f aca="false">IF(OR($B15="",1&gt;Parameters!$B$7),"",$N15-AB15)</f>
        <v/>
      </c>
      <c r="P15" s="8" t="str">
        <f aca="false">IF(OR($B15="",2&gt;Parameters!$B$7),"",$N15-AC15)</f>
        <v/>
      </c>
      <c r="Q15" s="8" t="str">
        <f aca="false">IF(OR($B15="",3&gt;Parameters!$B$7),"",$N15-AD15)</f>
        <v/>
      </c>
      <c r="R15" s="8" t="str">
        <f aca="false">IF(OR($B15="",4&gt;Parameters!$B$7),"",$N15-AE15)</f>
        <v/>
      </c>
      <c r="S15" s="8" t="str">
        <f aca="false">IF(OR($B15="",5&gt;Parameters!$B$7),"",$N15-AF15)</f>
        <v/>
      </c>
      <c r="T15" s="7" t="str">
        <f aca="false">IF($B15="","",IF(MAX($O15:$S15)&lt;0,"Accept",MATCH(MAX($O15:$S15),$O15:$S15,0)))</f>
        <v/>
      </c>
      <c r="U15" s="8" t="str">
        <f aca="false">IF($B15="","",MAX($O15:$S15))</f>
        <v/>
      </c>
      <c r="V15" s="40" t="str">
        <f aca="false">IF($B15="","",IF($F15&gt;0,ROUND($O15/$F15,2),IF(N($O15)&gt;0,Lists!$F$2,0))+IF($W15="Yes",Lists!$I$2,0))</f>
        <v/>
      </c>
      <c r="W15" s="7" t="str">
        <f aca="false">IF($B15="","",IF(COUNTIFS($L$2:$L$41,$A15,$E$2:$E$41,"Open",$A$2:$A$41,"&lt;&gt;"&amp;$A15)&gt;0,"Yes","No"))</f>
        <v/>
      </c>
      <c r="X15" s="7" t="str">
        <f aca="false">IF($B15="","",IF($V15&gt;=Lists!$F$2,"High",IF($V15&gt;=Lists!$F$3,"Medium","Low")))</f>
        <v/>
      </c>
      <c r="Y15" s="7" t="str">
        <f aca="false">IF(OR($B15="",$E15&lt;&gt;"Open"),"",IF($L15="",(INDEX(Lists!$G$2:$G$4,MATCH($X15,Lists!$E$2:$E$4,0))*1000000000000-$U15-$H15),IFERROR(MAX((INDEX(Lists!$G$2:$G$4,MATCH($X15,Lists!$E$2:$E$4,0))*1000000000000-$U15-$H15),INDEX($Y$2:$Y$41,MATCH($L15,$A$2:$A$41,0))+1),(INDEX(Lists!$G$2:$G$4,MATCH($X15,Lists!$E$2:$E$4,0))*1000000000000-$U15-$H15))))</f>
        <v/>
      </c>
      <c r="Z15" s="7" t="str">
        <f aca="false">IF($Y15="","",RANK($Y15,$Y$2:$Y$41,1)+COUNTIF($Y$2:$Y15,$Y15)-1)</f>
        <v/>
      </c>
      <c r="AA15" s="7" t="str">
        <f aca="false">""</f>
        <v/>
      </c>
      <c r="AB15" s="8" t="str">
        <f aca="false">IF(OR($B15="",1&gt;Parameters!$B$7),"",IF(1&lt;=0,0,IF(ABS((1+$H15)/(1+Parameters!$B$10)-1)&lt;0.000001,1*$G15/(1+Parameters!$B$10),$G15/(1+Parameters!$B$10)*(1-((1+$H15)/(1+Parameters!$B$10))^1)/(1-(1+$H15)/(1+Parameters!$B$10))))+$F15/(1+Parameters!$B$10)^1+IF(1&lt;=0,0,IF(Parameters!$B$10=0,1*$I15*$J15,$I15*$J15*(1-(1/(1+Parameters!$B$10))^1)/Parameters!$B$10)))</f>
        <v/>
      </c>
      <c r="AC15" s="8" t="str">
        <f aca="false">IF(OR($B15="",2&gt;Parameters!$B$7),"",IF(2&lt;=0,0,IF(ABS((1+$H15)/(1+Parameters!$B$10)-1)&lt;0.000001,2*$G15/(1+Parameters!$B$10),$G15/(1+Parameters!$B$10)*(1-((1+$H15)/(1+Parameters!$B$10))^2)/(1-(1+$H15)/(1+Parameters!$B$10))))+$F15/(1+Parameters!$B$10)^2+IF(2&lt;=0,0,IF(Parameters!$B$10=0,2*$I15*$J15,$I15*$J15*(1-(1/(1+Parameters!$B$10))^2)/Parameters!$B$10)))</f>
        <v/>
      </c>
      <c r="AD15" s="8" t="str">
        <f aca="false">IF(OR($B15="",3&gt;Parameters!$B$7),"",IF(3&lt;=0,0,IF(ABS((1+$H15)/(1+Parameters!$B$10)-1)&lt;0.000001,3*$G15/(1+Parameters!$B$10),$G15/(1+Parameters!$B$10)*(1-((1+$H15)/(1+Parameters!$B$10))^3)/(1-(1+$H15)/(1+Parameters!$B$10))))+$F15/(1+Parameters!$B$10)^3+IF(3&lt;=0,0,IF(Parameters!$B$10=0,3*$I15*$J15,$I15*$J15*(1-(1/(1+Parameters!$B$10))^3)/Parameters!$B$10)))</f>
        <v/>
      </c>
      <c r="AE15" s="8" t="str">
        <f aca="false">IF(OR($B15="",4&gt;Parameters!$B$7),"",IF(4&lt;=0,0,IF(ABS((1+$H15)/(1+Parameters!$B$10)-1)&lt;0.000001,4*$G15/(1+Parameters!$B$10),$G15/(1+Parameters!$B$10)*(1-((1+$H15)/(1+Parameters!$B$10))^4)/(1-(1+$H15)/(1+Parameters!$B$10))))+$F15/(1+Parameters!$B$10)^4+IF(4&lt;=0,0,IF(Parameters!$B$10=0,4*$I15*$J15,$I15*$J15*(1-(1/(1+Parameters!$B$10))^4)/Parameters!$B$10)))</f>
        <v/>
      </c>
      <c r="AF15" s="8" t="str">
        <f aca="false">IF(OR($B15="",5&gt;Parameters!$B$7),"",IF(5&lt;=0,0,IF(ABS((1+$H15)/(1+Parameters!$B$10)-1)&lt;0.000001,5*$G15/(1+Parameters!$B$10),$G15/(1+Parameters!$B$10)*(1-((1+$H15)/(1+Parameters!$B$10))^5)/(1-(1+$H15)/(1+Parameters!$B$10))))+$F15/(1+Parameters!$B$10)^5+IF(5&lt;=0,0,IF(Parameters!$B$10=0,5*$I15*$J15,$I15*$J15*(1-(1/(1+Parameters!$B$10))^5)/Parameters!$B$10)))</f>
        <v/>
      </c>
      <c r="AG15" s="8" t="str">
        <f aca="false">IF(OR($B15="",1&gt;Parameters!$B$7),"",$G15*(1+$H15)^(1-1))</f>
        <v/>
      </c>
      <c r="AH15" s="8" t="str">
        <f aca="false">IF(OR($B15="",2&gt;Parameters!$B$7),"",$G15*(1+$H15)^(2-1))</f>
        <v/>
      </c>
      <c r="AI15" s="8" t="str">
        <f aca="false">IF(OR($B15="",3&gt;Parameters!$B$7),"",$G15*(1+$H15)^(3-1))</f>
        <v/>
      </c>
      <c r="AJ15" s="8" t="str">
        <f aca="false">IF(OR($B15="",4&gt;Parameters!$B$7),"",$G15*(1+$H15)^(4-1))</f>
        <v/>
      </c>
      <c r="AK15" s="8" t="str">
        <f aca="false">IF(OR($B15="",5&gt;Parameters!$B$7),"",$G15*(1+$H15)^(5-1))</f>
        <v/>
      </c>
    </row>
    <row r="16" customFormat="false" ht="15" hidden="false" customHeight="false" outlineLevel="0" collapsed="false">
      <c r="A16" s="33"/>
      <c r="B16" s="33"/>
      <c r="C16" s="33"/>
      <c r="D16" s="33"/>
      <c r="E16" s="33"/>
      <c r="F16" s="35"/>
      <c r="G16" s="35"/>
      <c r="H16" s="37"/>
      <c r="I16" s="37"/>
      <c r="J16" s="35"/>
      <c r="K16" s="36"/>
      <c r="L16" s="33"/>
      <c r="M16" s="8" t="str">
        <f aca="false">IF($B16="","",$G16+$I16*$J16)</f>
        <v/>
      </c>
      <c r="N16" s="8" t="str">
        <f aca="false">IF($B16="","",IF(Parameters!$B$7&lt;=0,0,IF(ABS((1+$H16)/(1+Parameters!$B$10)-1)&lt;0.000001,Parameters!$B$7*$G16/(1+Parameters!$B$10),$G16/(1+Parameters!$B$10)*(1-((1+$H16)/(1+Parameters!$B$10))^Parameters!$B$7)/(1-(1+$H16)/(1+Parameters!$B$10))))+IF(Parameters!$B$7&lt;=0,0,IF(Parameters!$B$10=0,Parameters!$B$7*$I16*$J16,$I16*$J16*(1-(1/(1+Parameters!$B$10))^Parameters!$B$7)/Parameters!$B$10)))</f>
        <v/>
      </c>
      <c r="O16" s="8" t="str">
        <f aca="false">IF(OR($B16="",1&gt;Parameters!$B$7),"",$N16-AB16)</f>
        <v/>
      </c>
      <c r="P16" s="8" t="str">
        <f aca="false">IF(OR($B16="",2&gt;Parameters!$B$7),"",$N16-AC16)</f>
        <v/>
      </c>
      <c r="Q16" s="8" t="str">
        <f aca="false">IF(OR($B16="",3&gt;Parameters!$B$7),"",$N16-AD16)</f>
        <v/>
      </c>
      <c r="R16" s="8" t="str">
        <f aca="false">IF(OR($B16="",4&gt;Parameters!$B$7),"",$N16-AE16)</f>
        <v/>
      </c>
      <c r="S16" s="8" t="str">
        <f aca="false">IF(OR($B16="",5&gt;Parameters!$B$7),"",$N16-AF16)</f>
        <v/>
      </c>
      <c r="T16" s="7" t="str">
        <f aca="false">IF($B16="","",IF(MAX($O16:$S16)&lt;0,"Accept",MATCH(MAX($O16:$S16),$O16:$S16,0)))</f>
        <v/>
      </c>
      <c r="U16" s="8" t="str">
        <f aca="false">IF($B16="","",MAX($O16:$S16))</f>
        <v/>
      </c>
      <c r="V16" s="40" t="str">
        <f aca="false">IF($B16="","",IF($F16&gt;0,ROUND($O16/$F16,2),IF(N($O16)&gt;0,Lists!$F$2,0))+IF($W16="Yes",Lists!$I$2,0))</f>
        <v/>
      </c>
      <c r="W16" s="7" t="str">
        <f aca="false">IF($B16="","",IF(COUNTIFS($L$2:$L$41,$A16,$E$2:$E$41,"Open",$A$2:$A$41,"&lt;&gt;"&amp;$A16)&gt;0,"Yes","No"))</f>
        <v/>
      </c>
      <c r="X16" s="7" t="str">
        <f aca="false">IF($B16="","",IF($V16&gt;=Lists!$F$2,"High",IF($V16&gt;=Lists!$F$3,"Medium","Low")))</f>
        <v/>
      </c>
      <c r="Y16" s="7" t="str">
        <f aca="false">IF(OR($B16="",$E16&lt;&gt;"Open"),"",IF($L16="",(INDEX(Lists!$G$2:$G$4,MATCH($X16,Lists!$E$2:$E$4,0))*1000000000000-$U16-$H16),IFERROR(MAX((INDEX(Lists!$G$2:$G$4,MATCH($X16,Lists!$E$2:$E$4,0))*1000000000000-$U16-$H16),INDEX($Y$2:$Y$41,MATCH($L16,$A$2:$A$41,0))+1),(INDEX(Lists!$G$2:$G$4,MATCH($X16,Lists!$E$2:$E$4,0))*1000000000000-$U16-$H16))))</f>
        <v/>
      </c>
      <c r="Z16" s="7" t="str">
        <f aca="false">IF($Y16="","",RANK($Y16,$Y$2:$Y$41,1)+COUNTIF($Y$2:$Y16,$Y16)-1)</f>
        <v/>
      </c>
      <c r="AA16" s="7" t="str">
        <f aca="false">""</f>
        <v/>
      </c>
      <c r="AB16" s="8" t="str">
        <f aca="false">IF(OR($B16="",1&gt;Parameters!$B$7),"",IF(1&lt;=0,0,IF(ABS((1+$H16)/(1+Parameters!$B$10)-1)&lt;0.000001,1*$G16/(1+Parameters!$B$10),$G16/(1+Parameters!$B$10)*(1-((1+$H16)/(1+Parameters!$B$10))^1)/(1-(1+$H16)/(1+Parameters!$B$10))))+$F16/(1+Parameters!$B$10)^1+IF(1&lt;=0,0,IF(Parameters!$B$10=0,1*$I16*$J16,$I16*$J16*(1-(1/(1+Parameters!$B$10))^1)/Parameters!$B$10)))</f>
        <v/>
      </c>
      <c r="AC16" s="8" t="str">
        <f aca="false">IF(OR($B16="",2&gt;Parameters!$B$7),"",IF(2&lt;=0,0,IF(ABS((1+$H16)/(1+Parameters!$B$10)-1)&lt;0.000001,2*$G16/(1+Parameters!$B$10),$G16/(1+Parameters!$B$10)*(1-((1+$H16)/(1+Parameters!$B$10))^2)/(1-(1+$H16)/(1+Parameters!$B$10))))+$F16/(1+Parameters!$B$10)^2+IF(2&lt;=0,0,IF(Parameters!$B$10=0,2*$I16*$J16,$I16*$J16*(1-(1/(1+Parameters!$B$10))^2)/Parameters!$B$10)))</f>
        <v/>
      </c>
      <c r="AD16" s="8" t="str">
        <f aca="false">IF(OR($B16="",3&gt;Parameters!$B$7),"",IF(3&lt;=0,0,IF(ABS((1+$H16)/(1+Parameters!$B$10)-1)&lt;0.000001,3*$G16/(1+Parameters!$B$10),$G16/(1+Parameters!$B$10)*(1-((1+$H16)/(1+Parameters!$B$10))^3)/(1-(1+$H16)/(1+Parameters!$B$10))))+$F16/(1+Parameters!$B$10)^3+IF(3&lt;=0,0,IF(Parameters!$B$10=0,3*$I16*$J16,$I16*$J16*(1-(1/(1+Parameters!$B$10))^3)/Parameters!$B$10)))</f>
        <v/>
      </c>
      <c r="AE16" s="8" t="str">
        <f aca="false">IF(OR($B16="",4&gt;Parameters!$B$7),"",IF(4&lt;=0,0,IF(ABS((1+$H16)/(1+Parameters!$B$10)-1)&lt;0.000001,4*$G16/(1+Parameters!$B$10),$G16/(1+Parameters!$B$10)*(1-((1+$H16)/(1+Parameters!$B$10))^4)/(1-(1+$H16)/(1+Parameters!$B$10))))+$F16/(1+Parameters!$B$10)^4+IF(4&lt;=0,0,IF(Parameters!$B$10=0,4*$I16*$J16,$I16*$J16*(1-(1/(1+Parameters!$B$10))^4)/Parameters!$B$10)))</f>
        <v/>
      </c>
      <c r="AF16" s="8" t="str">
        <f aca="false">IF(OR($B16="",5&gt;Parameters!$B$7),"",IF(5&lt;=0,0,IF(ABS((1+$H16)/(1+Parameters!$B$10)-1)&lt;0.000001,5*$G16/(1+Parameters!$B$10),$G16/(1+Parameters!$B$10)*(1-((1+$H16)/(1+Parameters!$B$10))^5)/(1-(1+$H16)/(1+Parameters!$B$10))))+$F16/(1+Parameters!$B$10)^5+IF(5&lt;=0,0,IF(Parameters!$B$10=0,5*$I16*$J16,$I16*$J16*(1-(1/(1+Parameters!$B$10))^5)/Parameters!$B$10)))</f>
        <v/>
      </c>
      <c r="AG16" s="8" t="str">
        <f aca="false">IF(OR($B16="",1&gt;Parameters!$B$7),"",$G16*(1+$H16)^(1-1))</f>
        <v/>
      </c>
      <c r="AH16" s="8" t="str">
        <f aca="false">IF(OR($B16="",2&gt;Parameters!$B$7),"",$G16*(1+$H16)^(2-1))</f>
        <v/>
      </c>
      <c r="AI16" s="8" t="str">
        <f aca="false">IF(OR($B16="",3&gt;Parameters!$B$7),"",$G16*(1+$H16)^(3-1))</f>
        <v/>
      </c>
      <c r="AJ16" s="8" t="str">
        <f aca="false">IF(OR($B16="",4&gt;Parameters!$B$7),"",$G16*(1+$H16)^(4-1))</f>
        <v/>
      </c>
      <c r="AK16" s="8" t="str">
        <f aca="false">IF(OR($B16="",5&gt;Parameters!$B$7),"",$G16*(1+$H16)^(5-1))</f>
        <v/>
      </c>
    </row>
    <row r="17" customFormat="false" ht="15" hidden="false" customHeight="false" outlineLevel="0" collapsed="false">
      <c r="A17" s="33"/>
      <c r="B17" s="33"/>
      <c r="C17" s="33"/>
      <c r="D17" s="33"/>
      <c r="E17" s="33"/>
      <c r="F17" s="35"/>
      <c r="G17" s="35"/>
      <c r="H17" s="37"/>
      <c r="I17" s="37"/>
      <c r="J17" s="35"/>
      <c r="K17" s="36"/>
      <c r="L17" s="33"/>
      <c r="M17" s="8" t="str">
        <f aca="false">IF($B17="","",$G17+$I17*$J17)</f>
        <v/>
      </c>
      <c r="N17" s="8" t="str">
        <f aca="false">IF($B17="","",IF(Parameters!$B$7&lt;=0,0,IF(ABS((1+$H17)/(1+Parameters!$B$10)-1)&lt;0.000001,Parameters!$B$7*$G17/(1+Parameters!$B$10),$G17/(1+Parameters!$B$10)*(1-((1+$H17)/(1+Parameters!$B$10))^Parameters!$B$7)/(1-(1+$H17)/(1+Parameters!$B$10))))+IF(Parameters!$B$7&lt;=0,0,IF(Parameters!$B$10=0,Parameters!$B$7*$I17*$J17,$I17*$J17*(1-(1/(1+Parameters!$B$10))^Parameters!$B$7)/Parameters!$B$10)))</f>
        <v/>
      </c>
      <c r="O17" s="8" t="str">
        <f aca="false">IF(OR($B17="",1&gt;Parameters!$B$7),"",$N17-AB17)</f>
        <v/>
      </c>
      <c r="P17" s="8" t="str">
        <f aca="false">IF(OR($B17="",2&gt;Parameters!$B$7),"",$N17-AC17)</f>
        <v/>
      </c>
      <c r="Q17" s="8" t="str">
        <f aca="false">IF(OR($B17="",3&gt;Parameters!$B$7),"",$N17-AD17)</f>
        <v/>
      </c>
      <c r="R17" s="8" t="str">
        <f aca="false">IF(OR($B17="",4&gt;Parameters!$B$7),"",$N17-AE17)</f>
        <v/>
      </c>
      <c r="S17" s="8" t="str">
        <f aca="false">IF(OR($B17="",5&gt;Parameters!$B$7),"",$N17-AF17)</f>
        <v/>
      </c>
      <c r="T17" s="7" t="str">
        <f aca="false">IF($B17="","",IF(MAX($O17:$S17)&lt;0,"Accept",MATCH(MAX($O17:$S17),$O17:$S17,0)))</f>
        <v/>
      </c>
      <c r="U17" s="8" t="str">
        <f aca="false">IF($B17="","",MAX($O17:$S17))</f>
        <v/>
      </c>
      <c r="V17" s="40" t="str">
        <f aca="false">IF($B17="","",IF($F17&gt;0,ROUND($O17/$F17,2),IF(N($O17)&gt;0,Lists!$F$2,0))+IF($W17="Yes",Lists!$I$2,0))</f>
        <v/>
      </c>
      <c r="W17" s="7" t="str">
        <f aca="false">IF($B17="","",IF(COUNTIFS($L$2:$L$41,$A17,$E$2:$E$41,"Open",$A$2:$A$41,"&lt;&gt;"&amp;$A17)&gt;0,"Yes","No"))</f>
        <v/>
      </c>
      <c r="X17" s="7" t="str">
        <f aca="false">IF($B17="","",IF($V17&gt;=Lists!$F$2,"High",IF($V17&gt;=Lists!$F$3,"Medium","Low")))</f>
        <v/>
      </c>
      <c r="Y17" s="7" t="str">
        <f aca="false">IF(OR($B17="",$E17&lt;&gt;"Open"),"",IF($L17="",(INDEX(Lists!$G$2:$G$4,MATCH($X17,Lists!$E$2:$E$4,0))*1000000000000-$U17-$H17),IFERROR(MAX((INDEX(Lists!$G$2:$G$4,MATCH($X17,Lists!$E$2:$E$4,0))*1000000000000-$U17-$H17),INDEX($Y$2:$Y$41,MATCH($L17,$A$2:$A$41,0))+1),(INDEX(Lists!$G$2:$G$4,MATCH($X17,Lists!$E$2:$E$4,0))*1000000000000-$U17-$H17))))</f>
        <v/>
      </c>
      <c r="Z17" s="7" t="str">
        <f aca="false">IF($Y17="","",RANK($Y17,$Y$2:$Y$41,1)+COUNTIF($Y$2:$Y17,$Y17)-1)</f>
        <v/>
      </c>
      <c r="AA17" s="7" t="str">
        <f aca="false">""</f>
        <v/>
      </c>
      <c r="AB17" s="8" t="str">
        <f aca="false">IF(OR($B17="",1&gt;Parameters!$B$7),"",IF(1&lt;=0,0,IF(ABS((1+$H17)/(1+Parameters!$B$10)-1)&lt;0.000001,1*$G17/(1+Parameters!$B$10),$G17/(1+Parameters!$B$10)*(1-((1+$H17)/(1+Parameters!$B$10))^1)/(1-(1+$H17)/(1+Parameters!$B$10))))+$F17/(1+Parameters!$B$10)^1+IF(1&lt;=0,0,IF(Parameters!$B$10=0,1*$I17*$J17,$I17*$J17*(1-(1/(1+Parameters!$B$10))^1)/Parameters!$B$10)))</f>
        <v/>
      </c>
      <c r="AC17" s="8" t="str">
        <f aca="false">IF(OR($B17="",2&gt;Parameters!$B$7),"",IF(2&lt;=0,0,IF(ABS((1+$H17)/(1+Parameters!$B$10)-1)&lt;0.000001,2*$G17/(1+Parameters!$B$10),$G17/(1+Parameters!$B$10)*(1-((1+$H17)/(1+Parameters!$B$10))^2)/(1-(1+$H17)/(1+Parameters!$B$10))))+$F17/(1+Parameters!$B$10)^2+IF(2&lt;=0,0,IF(Parameters!$B$10=0,2*$I17*$J17,$I17*$J17*(1-(1/(1+Parameters!$B$10))^2)/Parameters!$B$10)))</f>
        <v/>
      </c>
      <c r="AD17" s="8" t="str">
        <f aca="false">IF(OR($B17="",3&gt;Parameters!$B$7),"",IF(3&lt;=0,0,IF(ABS((1+$H17)/(1+Parameters!$B$10)-1)&lt;0.000001,3*$G17/(1+Parameters!$B$10),$G17/(1+Parameters!$B$10)*(1-((1+$H17)/(1+Parameters!$B$10))^3)/(1-(1+$H17)/(1+Parameters!$B$10))))+$F17/(1+Parameters!$B$10)^3+IF(3&lt;=0,0,IF(Parameters!$B$10=0,3*$I17*$J17,$I17*$J17*(1-(1/(1+Parameters!$B$10))^3)/Parameters!$B$10)))</f>
        <v/>
      </c>
      <c r="AE17" s="8" t="str">
        <f aca="false">IF(OR($B17="",4&gt;Parameters!$B$7),"",IF(4&lt;=0,0,IF(ABS((1+$H17)/(1+Parameters!$B$10)-1)&lt;0.000001,4*$G17/(1+Parameters!$B$10),$G17/(1+Parameters!$B$10)*(1-((1+$H17)/(1+Parameters!$B$10))^4)/(1-(1+$H17)/(1+Parameters!$B$10))))+$F17/(1+Parameters!$B$10)^4+IF(4&lt;=0,0,IF(Parameters!$B$10=0,4*$I17*$J17,$I17*$J17*(1-(1/(1+Parameters!$B$10))^4)/Parameters!$B$10)))</f>
        <v/>
      </c>
      <c r="AF17" s="8" t="str">
        <f aca="false">IF(OR($B17="",5&gt;Parameters!$B$7),"",IF(5&lt;=0,0,IF(ABS((1+$H17)/(1+Parameters!$B$10)-1)&lt;0.000001,5*$G17/(1+Parameters!$B$10),$G17/(1+Parameters!$B$10)*(1-((1+$H17)/(1+Parameters!$B$10))^5)/(1-(1+$H17)/(1+Parameters!$B$10))))+$F17/(1+Parameters!$B$10)^5+IF(5&lt;=0,0,IF(Parameters!$B$10=0,5*$I17*$J17,$I17*$J17*(1-(1/(1+Parameters!$B$10))^5)/Parameters!$B$10)))</f>
        <v/>
      </c>
      <c r="AG17" s="8" t="str">
        <f aca="false">IF(OR($B17="",1&gt;Parameters!$B$7),"",$G17*(1+$H17)^(1-1))</f>
        <v/>
      </c>
      <c r="AH17" s="8" t="str">
        <f aca="false">IF(OR($B17="",2&gt;Parameters!$B$7),"",$G17*(1+$H17)^(2-1))</f>
        <v/>
      </c>
      <c r="AI17" s="8" t="str">
        <f aca="false">IF(OR($B17="",3&gt;Parameters!$B$7),"",$G17*(1+$H17)^(3-1))</f>
        <v/>
      </c>
      <c r="AJ17" s="8" t="str">
        <f aca="false">IF(OR($B17="",4&gt;Parameters!$B$7),"",$G17*(1+$H17)^(4-1))</f>
        <v/>
      </c>
      <c r="AK17" s="8" t="str">
        <f aca="false">IF(OR($B17="",5&gt;Parameters!$B$7),"",$G17*(1+$H17)^(5-1))</f>
        <v/>
      </c>
    </row>
    <row r="18" customFormat="false" ht="15" hidden="false" customHeight="false" outlineLevel="0" collapsed="false">
      <c r="A18" s="33"/>
      <c r="B18" s="33"/>
      <c r="C18" s="33"/>
      <c r="D18" s="33"/>
      <c r="E18" s="33"/>
      <c r="F18" s="35"/>
      <c r="G18" s="35"/>
      <c r="H18" s="37"/>
      <c r="I18" s="37"/>
      <c r="J18" s="35"/>
      <c r="K18" s="36"/>
      <c r="L18" s="33"/>
      <c r="M18" s="8" t="str">
        <f aca="false">IF($B18="","",$G18+$I18*$J18)</f>
        <v/>
      </c>
      <c r="N18" s="8" t="str">
        <f aca="false">IF($B18="","",IF(Parameters!$B$7&lt;=0,0,IF(ABS((1+$H18)/(1+Parameters!$B$10)-1)&lt;0.000001,Parameters!$B$7*$G18/(1+Parameters!$B$10),$G18/(1+Parameters!$B$10)*(1-((1+$H18)/(1+Parameters!$B$10))^Parameters!$B$7)/(1-(1+$H18)/(1+Parameters!$B$10))))+IF(Parameters!$B$7&lt;=0,0,IF(Parameters!$B$10=0,Parameters!$B$7*$I18*$J18,$I18*$J18*(1-(1/(1+Parameters!$B$10))^Parameters!$B$7)/Parameters!$B$10)))</f>
        <v/>
      </c>
      <c r="O18" s="8" t="str">
        <f aca="false">IF(OR($B18="",1&gt;Parameters!$B$7),"",$N18-AB18)</f>
        <v/>
      </c>
      <c r="P18" s="8" t="str">
        <f aca="false">IF(OR($B18="",2&gt;Parameters!$B$7),"",$N18-AC18)</f>
        <v/>
      </c>
      <c r="Q18" s="8" t="str">
        <f aca="false">IF(OR($B18="",3&gt;Parameters!$B$7),"",$N18-AD18)</f>
        <v/>
      </c>
      <c r="R18" s="8" t="str">
        <f aca="false">IF(OR($B18="",4&gt;Parameters!$B$7),"",$N18-AE18)</f>
        <v/>
      </c>
      <c r="S18" s="8" t="str">
        <f aca="false">IF(OR($B18="",5&gt;Parameters!$B$7),"",$N18-AF18)</f>
        <v/>
      </c>
      <c r="T18" s="7" t="str">
        <f aca="false">IF($B18="","",IF(MAX($O18:$S18)&lt;0,"Accept",MATCH(MAX($O18:$S18),$O18:$S18,0)))</f>
        <v/>
      </c>
      <c r="U18" s="8" t="str">
        <f aca="false">IF($B18="","",MAX($O18:$S18))</f>
        <v/>
      </c>
      <c r="V18" s="40" t="str">
        <f aca="false">IF($B18="","",IF($F18&gt;0,ROUND($O18/$F18,2),IF(N($O18)&gt;0,Lists!$F$2,0))+IF($W18="Yes",Lists!$I$2,0))</f>
        <v/>
      </c>
      <c r="W18" s="7" t="str">
        <f aca="false">IF($B18="","",IF(COUNTIFS($L$2:$L$41,$A18,$E$2:$E$41,"Open",$A$2:$A$41,"&lt;&gt;"&amp;$A18)&gt;0,"Yes","No"))</f>
        <v/>
      </c>
      <c r="X18" s="7" t="str">
        <f aca="false">IF($B18="","",IF($V18&gt;=Lists!$F$2,"High",IF($V18&gt;=Lists!$F$3,"Medium","Low")))</f>
        <v/>
      </c>
      <c r="Y18" s="7" t="str">
        <f aca="false">IF(OR($B18="",$E18&lt;&gt;"Open"),"",IF($L18="",(INDEX(Lists!$G$2:$G$4,MATCH($X18,Lists!$E$2:$E$4,0))*1000000000000-$U18-$H18),IFERROR(MAX((INDEX(Lists!$G$2:$G$4,MATCH($X18,Lists!$E$2:$E$4,0))*1000000000000-$U18-$H18),INDEX($Y$2:$Y$41,MATCH($L18,$A$2:$A$41,0))+1),(INDEX(Lists!$G$2:$G$4,MATCH($X18,Lists!$E$2:$E$4,0))*1000000000000-$U18-$H18))))</f>
        <v/>
      </c>
      <c r="Z18" s="7" t="str">
        <f aca="false">IF($Y18="","",RANK($Y18,$Y$2:$Y$41,1)+COUNTIF($Y$2:$Y18,$Y18)-1)</f>
        <v/>
      </c>
      <c r="AA18" s="7" t="str">
        <f aca="false">""</f>
        <v/>
      </c>
      <c r="AB18" s="8" t="str">
        <f aca="false">IF(OR($B18="",1&gt;Parameters!$B$7),"",IF(1&lt;=0,0,IF(ABS((1+$H18)/(1+Parameters!$B$10)-1)&lt;0.000001,1*$G18/(1+Parameters!$B$10),$G18/(1+Parameters!$B$10)*(1-((1+$H18)/(1+Parameters!$B$10))^1)/(1-(1+$H18)/(1+Parameters!$B$10))))+$F18/(1+Parameters!$B$10)^1+IF(1&lt;=0,0,IF(Parameters!$B$10=0,1*$I18*$J18,$I18*$J18*(1-(1/(1+Parameters!$B$10))^1)/Parameters!$B$10)))</f>
        <v/>
      </c>
      <c r="AC18" s="8" t="str">
        <f aca="false">IF(OR($B18="",2&gt;Parameters!$B$7),"",IF(2&lt;=0,0,IF(ABS((1+$H18)/(1+Parameters!$B$10)-1)&lt;0.000001,2*$G18/(1+Parameters!$B$10),$G18/(1+Parameters!$B$10)*(1-((1+$H18)/(1+Parameters!$B$10))^2)/(1-(1+$H18)/(1+Parameters!$B$10))))+$F18/(1+Parameters!$B$10)^2+IF(2&lt;=0,0,IF(Parameters!$B$10=0,2*$I18*$J18,$I18*$J18*(1-(1/(1+Parameters!$B$10))^2)/Parameters!$B$10)))</f>
        <v/>
      </c>
      <c r="AD18" s="8" t="str">
        <f aca="false">IF(OR($B18="",3&gt;Parameters!$B$7),"",IF(3&lt;=0,0,IF(ABS((1+$H18)/(1+Parameters!$B$10)-1)&lt;0.000001,3*$G18/(1+Parameters!$B$10),$G18/(1+Parameters!$B$10)*(1-((1+$H18)/(1+Parameters!$B$10))^3)/(1-(1+$H18)/(1+Parameters!$B$10))))+$F18/(1+Parameters!$B$10)^3+IF(3&lt;=0,0,IF(Parameters!$B$10=0,3*$I18*$J18,$I18*$J18*(1-(1/(1+Parameters!$B$10))^3)/Parameters!$B$10)))</f>
        <v/>
      </c>
      <c r="AE18" s="8" t="str">
        <f aca="false">IF(OR($B18="",4&gt;Parameters!$B$7),"",IF(4&lt;=0,0,IF(ABS((1+$H18)/(1+Parameters!$B$10)-1)&lt;0.000001,4*$G18/(1+Parameters!$B$10),$G18/(1+Parameters!$B$10)*(1-((1+$H18)/(1+Parameters!$B$10))^4)/(1-(1+$H18)/(1+Parameters!$B$10))))+$F18/(1+Parameters!$B$10)^4+IF(4&lt;=0,0,IF(Parameters!$B$10=0,4*$I18*$J18,$I18*$J18*(1-(1/(1+Parameters!$B$10))^4)/Parameters!$B$10)))</f>
        <v/>
      </c>
      <c r="AF18" s="8" t="str">
        <f aca="false">IF(OR($B18="",5&gt;Parameters!$B$7),"",IF(5&lt;=0,0,IF(ABS((1+$H18)/(1+Parameters!$B$10)-1)&lt;0.000001,5*$G18/(1+Parameters!$B$10),$G18/(1+Parameters!$B$10)*(1-((1+$H18)/(1+Parameters!$B$10))^5)/(1-(1+$H18)/(1+Parameters!$B$10))))+$F18/(1+Parameters!$B$10)^5+IF(5&lt;=0,0,IF(Parameters!$B$10=0,5*$I18*$J18,$I18*$J18*(1-(1/(1+Parameters!$B$10))^5)/Parameters!$B$10)))</f>
        <v/>
      </c>
      <c r="AG18" s="8" t="str">
        <f aca="false">IF(OR($B18="",1&gt;Parameters!$B$7),"",$G18*(1+$H18)^(1-1))</f>
        <v/>
      </c>
      <c r="AH18" s="8" t="str">
        <f aca="false">IF(OR($B18="",2&gt;Parameters!$B$7),"",$G18*(1+$H18)^(2-1))</f>
        <v/>
      </c>
      <c r="AI18" s="8" t="str">
        <f aca="false">IF(OR($B18="",3&gt;Parameters!$B$7),"",$G18*(1+$H18)^(3-1))</f>
        <v/>
      </c>
      <c r="AJ18" s="8" t="str">
        <f aca="false">IF(OR($B18="",4&gt;Parameters!$B$7),"",$G18*(1+$H18)^(4-1))</f>
        <v/>
      </c>
      <c r="AK18" s="8" t="str">
        <f aca="false">IF(OR($B18="",5&gt;Parameters!$B$7),"",$G18*(1+$H18)^(5-1))</f>
        <v/>
      </c>
    </row>
    <row r="19" customFormat="false" ht="15" hidden="false" customHeight="false" outlineLevel="0" collapsed="false">
      <c r="A19" s="33"/>
      <c r="B19" s="33"/>
      <c r="C19" s="33"/>
      <c r="D19" s="33"/>
      <c r="E19" s="33"/>
      <c r="F19" s="35"/>
      <c r="G19" s="35"/>
      <c r="H19" s="37"/>
      <c r="I19" s="37"/>
      <c r="J19" s="35"/>
      <c r="K19" s="36"/>
      <c r="L19" s="33"/>
      <c r="M19" s="8" t="str">
        <f aca="false">IF($B19="","",$G19+$I19*$J19)</f>
        <v/>
      </c>
      <c r="N19" s="8" t="str">
        <f aca="false">IF($B19="","",IF(Parameters!$B$7&lt;=0,0,IF(ABS((1+$H19)/(1+Parameters!$B$10)-1)&lt;0.000001,Parameters!$B$7*$G19/(1+Parameters!$B$10),$G19/(1+Parameters!$B$10)*(1-((1+$H19)/(1+Parameters!$B$10))^Parameters!$B$7)/(1-(1+$H19)/(1+Parameters!$B$10))))+IF(Parameters!$B$7&lt;=0,0,IF(Parameters!$B$10=0,Parameters!$B$7*$I19*$J19,$I19*$J19*(1-(1/(1+Parameters!$B$10))^Parameters!$B$7)/Parameters!$B$10)))</f>
        <v/>
      </c>
      <c r="O19" s="8" t="str">
        <f aca="false">IF(OR($B19="",1&gt;Parameters!$B$7),"",$N19-AB19)</f>
        <v/>
      </c>
      <c r="P19" s="8" t="str">
        <f aca="false">IF(OR($B19="",2&gt;Parameters!$B$7),"",$N19-AC19)</f>
        <v/>
      </c>
      <c r="Q19" s="8" t="str">
        <f aca="false">IF(OR($B19="",3&gt;Parameters!$B$7),"",$N19-AD19)</f>
        <v/>
      </c>
      <c r="R19" s="8" t="str">
        <f aca="false">IF(OR($B19="",4&gt;Parameters!$B$7),"",$N19-AE19)</f>
        <v/>
      </c>
      <c r="S19" s="8" t="str">
        <f aca="false">IF(OR($B19="",5&gt;Parameters!$B$7),"",$N19-AF19)</f>
        <v/>
      </c>
      <c r="T19" s="7" t="str">
        <f aca="false">IF($B19="","",IF(MAX($O19:$S19)&lt;0,"Accept",MATCH(MAX($O19:$S19),$O19:$S19,0)))</f>
        <v/>
      </c>
      <c r="U19" s="8" t="str">
        <f aca="false">IF($B19="","",MAX($O19:$S19))</f>
        <v/>
      </c>
      <c r="V19" s="40" t="str">
        <f aca="false">IF($B19="","",IF($F19&gt;0,ROUND($O19/$F19,2),IF(N($O19)&gt;0,Lists!$F$2,0))+IF($W19="Yes",Lists!$I$2,0))</f>
        <v/>
      </c>
      <c r="W19" s="7" t="str">
        <f aca="false">IF($B19="","",IF(COUNTIFS($L$2:$L$41,$A19,$E$2:$E$41,"Open",$A$2:$A$41,"&lt;&gt;"&amp;$A19)&gt;0,"Yes","No"))</f>
        <v/>
      </c>
      <c r="X19" s="7" t="str">
        <f aca="false">IF($B19="","",IF($V19&gt;=Lists!$F$2,"High",IF($V19&gt;=Lists!$F$3,"Medium","Low")))</f>
        <v/>
      </c>
      <c r="Y19" s="7" t="str">
        <f aca="false">IF(OR($B19="",$E19&lt;&gt;"Open"),"",IF($L19="",(INDEX(Lists!$G$2:$G$4,MATCH($X19,Lists!$E$2:$E$4,0))*1000000000000-$U19-$H19),IFERROR(MAX((INDEX(Lists!$G$2:$G$4,MATCH($X19,Lists!$E$2:$E$4,0))*1000000000000-$U19-$H19),INDEX($Y$2:$Y$41,MATCH($L19,$A$2:$A$41,0))+1),(INDEX(Lists!$G$2:$G$4,MATCH($X19,Lists!$E$2:$E$4,0))*1000000000000-$U19-$H19))))</f>
        <v/>
      </c>
      <c r="Z19" s="7" t="str">
        <f aca="false">IF($Y19="","",RANK($Y19,$Y$2:$Y$41,1)+COUNTIF($Y$2:$Y19,$Y19)-1)</f>
        <v/>
      </c>
      <c r="AA19" s="7" t="str">
        <f aca="false">""</f>
        <v/>
      </c>
      <c r="AB19" s="8" t="str">
        <f aca="false">IF(OR($B19="",1&gt;Parameters!$B$7),"",IF(1&lt;=0,0,IF(ABS((1+$H19)/(1+Parameters!$B$10)-1)&lt;0.000001,1*$G19/(1+Parameters!$B$10),$G19/(1+Parameters!$B$10)*(1-((1+$H19)/(1+Parameters!$B$10))^1)/(1-(1+$H19)/(1+Parameters!$B$10))))+$F19/(1+Parameters!$B$10)^1+IF(1&lt;=0,0,IF(Parameters!$B$10=0,1*$I19*$J19,$I19*$J19*(1-(1/(1+Parameters!$B$10))^1)/Parameters!$B$10)))</f>
        <v/>
      </c>
      <c r="AC19" s="8" t="str">
        <f aca="false">IF(OR($B19="",2&gt;Parameters!$B$7),"",IF(2&lt;=0,0,IF(ABS((1+$H19)/(1+Parameters!$B$10)-1)&lt;0.000001,2*$G19/(1+Parameters!$B$10),$G19/(1+Parameters!$B$10)*(1-((1+$H19)/(1+Parameters!$B$10))^2)/(1-(1+$H19)/(1+Parameters!$B$10))))+$F19/(1+Parameters!$B$10)^2+IF(2&lt;=0,0,IF(Parameters!$B$10=0,2*$I19*$J19,$I19*$J19*(1-(1/(1+Parameters!$B$10))^2)/Parameters!$B$10)))</f>
        <v/>
      </c>
      <c r="AD19" s="8" t="str">
        <f aca="false">IF(OR($B19="",3&gt;Parameters!$B$7),"",IF(3&lt;=0,0,IF(ABS((1+$H19)/(1+Parameters!$B$10)-1)&lt;0.000001,3*$G19/(1+Parameters!$B$10),$G19/(1+Parameters!$B$10)*(1-((1+$H19)/(1+Parameters!$B$10))^3)/(1-(1+$H19)/(1+Parameters!$B$10))))+$F19/(1+Parameters!$B$10)^3+IF(3&lt;=0,0,IF(Parameters!$B$10=0,3*$I19*$J19,$I19*$J19*(1-(1/(1+Parameters!$B$10))^3)/Parameters!$B$10)))</f>
        <v/>
      </c>
      <c r="AE19" s="8" t="str">
        <f aca="false">IF(OR($B19="",4&gt;Parameters!$B$7),"",IF(4&lt;=0,0,IF(ABS((1+$H19)/(1+Parameters!$B$10)-1)&lt;0.000001,4*$G19/(1+Parameters!$B$10),$G19/(1+Parameters!$B$10)*(1-((1+$H19)/(1+Parameters!$B$10))^4)/(1-(1+$H19)/(1+Parameters!$B$10))))+$F19/(1+Parameters!$B$10)^4+IF(4&lt;=0,0,IF(Parameters!$B$10=0,4*$I19*$J19,$I19*$J19*(1-(1/(1+Parameters!$B$10))^4)/Parameters!$B$10)))</f>
        <v/>
      </c>
      <c r="AF19" s="8" t="str">
        <f aca="false">IF(OR($B19="",5&gt;Parameters!$B$7),"",IF(5&lt;=0,0,IF(ABS((1+$H19)/(1+Parameters!$B$10)-1)&lt;0.000001,5*$G19/(1+Parameters!$B$10),$G19/(1+Parameters!$B$10)*(1-((1+$H19)/(1+Parameters!$B$10))^5)/(1-(1+$H19)/(1+Parameters!$B$10))))+$F19/(1+Parameters!$B$10)^5+IF(5&lt;=0,0,IF(Parameters!$B$10=0,5*$I19*$J19,$I19*$J19*(1-(1/(1+Parameters!$B$10))^5)/Parameters!$B$10)))</f>
        <v/>
      </c>
      <c r="AG19" s="8" t="str">
        <f aca="false">IF(OR($B19="",1&gt;Parameters!$B$7),"",$G19*(1+$H19)^(1-1))</f>
        <v/>
      </c>
      <c r="AH19" s="8" t="str">
        <f aca="false">IF(OR($B19="",2&gt;Parameters!$B$7),"",$G19*(1+$H19)^(2-1))</f>
        <v/>
      </c>
      <c r="AI19" s="8" t="str">
        <f aca="false">IF(OR($B19="",3&gt;Parameters!$B$7),"",$G19*(1+$H19)^(3-1))</f>
        <v/>
      </c>
      <c r="AJ19" s="8" t="str">
        <f aca="false">IF(OR($B19="",4&gt;Parameters!$B$7),"",$G19*(1+$H19)^(4-1))</f>
        <v/>
      </c>
      <c r="AK19" s="8" t="str">
        <f aca="false">IF(OR($B19="",5&gt;Parameters!$B$7),"",$G19*(1+$H19)^(5-1))</f>
        <v/>
      </c>
    </row>
    <row r="20" customFormat="false" ht="15" hidden="false" customHeight="false" outlineLevel="0" collapsed="false">
      <c r="A20" s="33"/>
      <c r="B20" s="33"/>
      <c r="C20" s="33"/>
      <c r="D20" s="33"/>
      <c r="E20" s="33"/>
      <c r="F20" s="35"/>
      <c r="G20" s="35"/>
      <c r="H20" s="37"/>
      <c r="I20" s="37"/>
      <c r="J20" s="35"/>
      <c r="K20" s="36"/>
      <c r="L20" s="33"/>
      <c r="M20" s="8" t="str">
        <f aca="false">IF($B20="","",$G20+$I20*$J20)</f>
        <v/>
      </c>
      <c r="N20" s="8" t="str">
        <f aca="false">IF($B20="","",IF(Parameters!$B$7&lt;=0,0,IF(ABS((1+$H20)/(1+Parameters!$B$10)-1)&lt;0.000001,Parameters!$B$7*$G20/(1+Parameters!$B$10),$G20/(1+Parameters!$B$10)*(1-((1+$H20)/(1+Parameters!$B$10))^Parameters!$B$7)/(1-(1+$H20)/(1+Parameters!$B$10))))+IF(Parameters!$B$7&lt;=0,0,IF(Parameters!$B$10=0,Parameters!$B$7*$I20*$J20,$I20*$J20*(1-(1/(1+Parameters!$B$10))^Parameters!$B$7)/Parameters!$B$10)))</f>
        <v/>
      </c>
      <c r="O20" s="8" t="str">
        <f aca="false">IF(OR($B20="",1&gt;Parameters!$B$7),"",$N20-AB20)</f>
        <v/>
      </c>
      <c r="P20" s="8" t="str">
        <f aca="false">IF(OR($B20="",2&gt;Parameters!$B$7),"",$N20-AC20)</f>
        <v/>
      </c>
      <c r="Q20" s="8" t="str">
        <f aca="false">IF(OR($B20="",3&gt;Parameters!$B$7),"",$N20-AD20)</f>
        <v/>
      </c>
      <c r="R20" s="8" t="str">
        <f aca="false">IF(OR($B20="",4&gt;Parameters!$B$7),"",$N20-AE20)</f>
        <v/>
      </c>
      <c r="S20" s="8" t="str">
        <f aca="false">IF(OR($B20="",5&gt;Parameters!$B$7),"",$N20-AF20)</f>
        <v/>
      </c>
      <c r="T20" s="7" t="str">
        <f aca="false">IF($B20="","",IF(MAX($O20:$S20)&lt;0,"Accept",MATCH(MAX($O20:$S20),$O20:$S20,0)))</f>
        <v/>
      </c>
      <c r="U20" s="8" t="str">
        <f aca="false">IF($B20="","",MAX($O20:$S20))</f>
        <v/>
      </c>
      <c r="V20" s="40" t="str">
        <f aca="false">IF($B20="","",IF($F20&gt;0,ROUND($O20/$F20,2),IF(N($O20)&gt;0,Lists!$F$2,0))+IF($W20="Yes",Lists!$I$2,0))</f>
        <v/>
      </c>
      <c r="W20" s="7" t="str">
        <f aca="false">IF($B20="","",IF(COUNTIFS($L$2:$L$41,$A20,$E$2:$E$41,"Open",$A$2:$A$41,"&lt;&gt;"&amp;$A20)&gt;0,"Yes","No"))</f>
        <v/>
      </c>
      <c r="X20" s="7" t="str">
        <f aca="false">IF($B20="","",IF($V20&gt;=Lists!$F$2,"High",IF($V20&gt;=Lists!$F$3,"Medium","Low")))</f>
        <v/>
      </c>
      <c r="Y20" s="7" t="str">
        <f aca="false">IF(OR($B20="",$E20&lt;&gt;"Open"),"",IF($L20="",(INDEX(Lists!$G$2:$G$4,MATCH($X20,Lists!$E$2:$E$4,0))*1000000000000-$U20-$H20),IFERROR(MAX((INDEX(Lists!$G$2:$G$4,MATCH($X20,Lists!$E$2:$E$4,0))*1000000000000-$U20-$H20),INDEX($Y$2:$Y$41,MATCH($L20,$A$2:$A$41,0))+1),(INDEX(Lists!$G$2:$G$4,MATCH($X20,Lists!$E$2:$E$4,0))*1000000000000-$U20-$H20))))</f>
        <v/>
      </c>
      <c r="Z20" s="7" t="str">
        <f aca="false">IF($Y20="","",RANK($Y20,$Y$2:$Y$41,1)+COUNTIF($Y$2:$Y20,$Y20)-1)</f>
        <v/>
      </c>
      <c r="AA20" s="7" t="str">
        <f aca="false">""</f>
        <v/>
      </c>
      <c r="AB20" s="8" t="str">
        <f aca="false">IF(OR($B20="",1&gt;Parameters!$B$7),"",IF(1&lt;=0,0,IF(ABS((1+$H20)/(1+Parameters!$B$10)-1)&lt;0.000001,1*$G20/(1+Parameters!$B$10),$G20/(1+Parameters!$B$10)*(1-((1+$H20)/(1+Parameters!$B$10))^1)/(1-(1+$H20)/(1+Parameters!$B$10))))+$F20/(1+Parameters!$B$10)^1+IF(1&lt;=0,0,IF(Parameters!$B$10=0,1*$I20*$J20,$I20*$J20*(1-(1/(1+Parameters!$B$10))^1)/Parameters!$B$10)))</f>
        <v/>
      </c>
      <c r="AC20" s="8" t="str">
        <f aca="false">IF(OR($B20="",2&gt;Parameters!$B$7),"",IF(2&lt;=0,0,IF(ABS((1+$H20)/(1+Parameters!$B$10)-1)&lt;0.000001,2*$G20/(1+Parameters!$B$10),$G20/(1+Parameters!$B$10)*(1-((1+$H20)/(1+Parameters!$B$10))^2)/(1-(1+$H20)/(1+Parameters!$B$10))))+$F20/(1+Parameters!$B$10)^2+IF(2&lt;=0,0,IF(Parameters!$B$10=0,2*$I20*$J20,$I20*$J20*(1-(1/(1+Parameters!$B$10))^2)/Parameters!$B$10)))</f>
        <v/>
      </c>
      <c r="AD20" s="8" t="str">
        <f aca="false">IF(OR($B20="",3&gt;Parameters!$B$7),"",IF(3&lt;=0,0,IF(ABS((1+$H20)/(1+Parameters!$B$10)-1)&lt;0.000001,3*$G20/(1+Parameters!$B$10),$G20/(1+Parameters!$B$10)*(1-((1+$H20)/(1+Parameters!$B$10))^3)/(1-(1+$H20)/(1+Parameters!$B$10))))+$F20/(1+Parameters!$B$10)^3+IF(3&lt;=0,0,IF(Parameters!$B$10=0,3*$I20*$J20,$I20*$J20*(1-(1/(1+Parameters!$B$10))^3)/Parameters!$B$10)))</f>
        <v/>
      </c>
      <c r="AE20" s="8" t="str">
        <f aca="false">IF(OR($B20="",4&gt;Parameters!$B$7),"",IF(4&lt;=0,0,IF(ABS((1+$H20)/(1+Parameters!$B$10)-1)&lt;0.000001,4*$G20/(1+Parameters!$B$10),$G20/(1+Parameters!$B$10)*(1-((1+$H20)/(1+Parameters!$B$10))^4)/(1-(1+$H20)/(1+Parameters!$B$10))))+$F20/(1+Parameters!$B$10)^4+IF(4&lt;=0,0,IF(Parameters!$B$10=0,4*$I20*$J20,$I20*$J20*(1-(1/(1+Parameters!$B$10))^4)/Parameters!$B$10)))</f>
        <v/>
      </c>
      <c r="AF20" s="8" t="str">
        <f aca="false">IF(OR($B20="",5&gt;Parameters!$B$7),"",IF(5&lt;=0,0,IF(ABS((1+$H20)/(1+Parameters!$B$10)-1)&lt;0.000001,5*$G20/(1+Parameters!$B$10),$G20/(1+Parameters!$B$10)*(1-((1+$H20)/(1+Parameters!$B$10))^5)/(1-(1+$H20)/(1+Parameters!$B$10))))+$F20/(1+Parameters!$B$10)^5+IF(5&lt;=0,0,IF(Parameters!$B$10=0,5*$I20*$J20,$I20*$J20*(1-(1/(1+Parameters!$B$10))^5)/Parameters!$B$10)))</f>
        <v/>
      </c>
      <c r="AG20" s="8" t="str">
        <f aca="false">IF(OR($B20="",1&gt;Parameters!$B$7),"",$G20*(1+$H20)^(1-1))</f>
        <v/>
      </c>
      <c r="AH20" s="8" t="str">
        <f aca="false">IF(OR($B20="",2&gt;Parameters!$B$7),"",$G20*(1+$H20)^(2-1))</f>
        <v/>
      </c>
      <c r="AI20" s="8" t="str">
        <f aca="false">IF(OR($B20="",3&gt;Parameters!$B$7),"",$G20*(1+$H20)^(3-1))</f>
        <v/>
      </c>
      <c r="AJ20" s="8" t="str">
        <f aca="false">IF(OR($B20="",4&gt;Parameters!$B$7),"",$G20*(1+$H20)^(4-1))</f>
        <v/>
      </c>
      <c r="AK20" s="8" t="str">
        <f aca="false">IF(OR($B20="",5&gt;Parameters!$B$7),"",$G20*(1+$H20)^(5-1))</f>
        <v/>
      </c>
    </row>
    <row r="21" customFormat="false" ht="15" hidden="false" customHeight="false" outlineLevel="0" collapsed="false">
      <c r="A21" s="33"/>
      <c r="B21" s="33"/>
      <c r="C21" s="33"/>
      <c r="D21" s="33"/>
      <c r="E21" s="33"/>
      <c r="F21" s="35"/>
      <c r="G21" s="35"/>
      <c r="H21" s="37"/>
      <c r="I21" s="37"/>
      <c r="J21" s="35"/>
      <c r="K21" s="36"/>
      <c r="L21" s="33"/>
      <c r="M21" s="8" t="str">
        <f aca="false">IF($B21="","",$G21+$I21*$J21)</f>
        <v/>
      </c>
      <c r="N21" s="8" t="str">
        <f aca="false">IF($B21="","",IF(Parameters!$B$7&lt;=0,0,IF(ABS((1+$H21)/(1+Parameters!$B$10)-1)&lt;0.000001,Parameters!$B$7*$G21/(1+Parameters!$B$10),$G21/(1+Parameters!$B$10)*(1-((1+$H21)/(1+Parameters!$B$10))^Parameters!$B$7)/(1-(1+$H21)/(1+Parameters!$B$10))))+IF(Parameters!$B$7&lt;=0,0,IF(Parameters!$B$10=0,Parameters!$B$7*$I21*$J21,$I21*$J21*(1-(1/(1+Parameters!$B$10))^Parameters!$B$7)/Parameters!$B$10)))</f>
        <v/>
      </c>
      <c r="O21" s="8" t="str">
        <f aca="false">IF(OR($B21="",1&gt;Parameters!$B$7),"",$N21-AB21)</f>
        <v/>
      </c>
      <c r="P21" s="8" t="str">
        <f aca="false">IF(OR($B21="",2&gt;Parameters!$B$7),"",$N21-AC21)</f>
        <v/>
      </c>
      <c r="Q21" s="8" t="str">
        <f aca="false">IF(OR($B21="",3&gt;Parameters!$B$7),"",$N21-AD21)</f>
        <v/>
      </c>
      <c r="R21" s="8" t="str">
        <f aca="false">IF(OR($B21="",4&gt;Parameters!$B$7),"",$N21-AE21)</f>
        <v/>
      </c>
      <c r="S21" s="8" t="str">
        <f aca="false">IF(OR($B21="",5&gt;Parameters!$B$7),"",$N21-AF21)</f>
        <v/>
      </c>
      <c r="T21" s="7" t="str">
        <f aca="false">IF($B21="","",IF(MAX($O21:$S21)&lt;0,"Accept",MATCH(MAX($O21:$S21),$O21:$S21,0)))</f>
        <v/>
      </c>
      <c r="U21" s="8" t="str">
        <f aca="false">IF($B21="","",MAX($O21:$S21))</f>
        <v/>
      </c>
      <c r="V21" s="40" t="str">
        <f aca="false">IF($B21="","",IF($F21&gt;0,ROUND($O21/$F21,2),IF(N($O21)&gt;0,Lists!$F$2,0))+IF($W21="Yes",Lists!$I$2,0))</f>
        <v/>
      </c>
      <c r="W21" s="7" t="str">
        <f aca="false">IF($B21="","",IF(COUNTIFS($L$2:$L$41,$A21,$E$2:$E$41,"Open",$A$2:$A$41,"&lt;&gt;"&amp;$A21)&gt;0,"Yes","No"))</f>
        <v/>
      </c>
      <c r="X21" s="7" t="str">
        <f aca="false">IF($B21="","",IF($V21&gt;=Lists!$F$2,"High",IF($V21&gt;=Lists!$F$3,"Medium","Low")))</f>
        <v/>
      </c>
      <c r="Y21" s="7" t="str">
        <f aca="false">IF(OR($B21="",$E21&lt;&gt;"Open"),"",IF($L21="",(INDEX(Lists!$G$2:$G$4,MATCH($X21,Lists!$E$2:$E$4,0))*1000000000000-$U21-$H21),IFERROR(MAX((INDEX(Lists!$G$2:$G$4,MATCH($X21,Lists!$E$2:$E$4,0))*1000000000000-$U21-$H21),INDEX($Y$2:$Y$41,MATCH($L21,$A$2:$A$41,0))+1),(INDEX(Lists!$G$2:$G$4,MATCH($X21,Lists!$E$2:$E$4,0))*1000000000000-$U21-$H21))))</f>
        <v/>
      </c>
      <c r="Z21" s="7" t="str">
        <f aca="false">IF($Y21="","",RANK($Y21,$Y$2:$Y$41,1)+COUNTIF($Y$2:$Y21,$Y21)-1)</f>
        <v/>
      </c>
      <c r="AA21" s="7" t="str">
        <f aca="false">""</f>
        <v/>
      </c>
      <c r="AB21" s="8" t="str">
        <f aca="false">IF(OR($B21="",1&gt;Parameters!$B$7),"",IF(1&lt;=0,0,IF(ABS((1+$H21)/(1+Parameters!$B$10)-1)&lt;0.000001,1*$G21/(1+Parameters!$B$10),$G21/(1+Parameters!$B$10)*(1-((1+$H21)/(1+Parameters!$B$10))^1)/(1-(1+$H21)/(1+Parameters!$B$10))))+$F21/(1+Parameters!$B$10)^1+IF(1&lt;=0,0,IF(Parameters!$B$10=0,1*$I21*$J21,$I21*$J21*(1-(1/(1+Parameters!$B$10))^1)/Parameters!$B$10)))</f>
        <v/>
      </c>
      <c r="AC21" s="8" t="str">
        <f aca="false">IF(OR($B21="",2&gt;Parameters!$B$7),"",IF(2&lt;=0,0,IF(ABS((1+$H21)/(1+Parameters!$B$10)-1)&lt;0.000001,2*$G21/(1+Parameters!$B$10),$G21/(1+Parameters!$B$10)*(1-((1+$H21)/(1+Parameters!$B$10))^2)/(1-(1+$H21)/(1+Parameters!$B$10))))+$F21/(1+Parameters!$B$10)^2+IF(2&lt;=0,0,IF(Parameters!$B$10=0,2*$I21*$J21,$I21*$J21*(1-(1/(1+Parameters!$B$10))^2)/Parameters!$B$10)))</f>
        <v/>
      </c>
      <c r="AD21" s="8" t="str">
        <f aca="false">IF(OR($B21="",3&gt;Parameters!$B$7),"",IF(3&lt;=0,0,IF(ABS((1+$H21)/(1+Parameters!$B$10)-1)&lt;0.000001,3*$G21/(1+Parameters!$B$10),$G21/(1+Parameters!$B$10)*(1-((1+$H21)/(1+Parameters!$B$10))^3)/(1-(1+$H21)/(1+Parameters!$B$10))))+$F21/(1+Parameters!$B$10)^3+IF(3&lt;=0,0,IF(Parameters!$B$10=0,3*$I21*$J21,$I21*$J21*(1-(1/(1+Parameters!$B$10))^3)/Parameters!$B$10)))</f>
        <v/>
      </c>
      <c r="AE21" s="8" t="str">
        <f aca="false">IF(OR($B21="",4&gt;Parameters!$B$7),"",IF(4&lt;=0,0,IF(ABS((1+$H21)/(1+Parameters!$B$10)-1)&lt;0.000001,4*$G21/(1+Parameters!$B$10),$G21/(1+Parameters!$B$10)*(1-((1+$H21)/(1+Parameters!$B$10))^4)/(1-(1+$H21)/(1+Parameters!$B$10))))+$F21/(1+Parameters!$B$10)^4+IF(4&lt;=0,0,IF(Parameters!$B$10=0,4*$I21*$J21,$I21*$J21*(1-(1/(1+Parameters!$B$10))^4)/Parameters!$B$10)))</f>
        <v/>
      </c>
      <c r="AF21" s="8" t="str">
        <f aca="false">IF(OR($B21="",5&gt;Parameters!$B$7),"",IF(5&lt;=0,0,IF(ABS((1+$H21)/(1+Parameters!$B$10)-1)&lt;0.000001,5*$G21/(1+Parameters!$B$10),$G21/(1+Parameters!$B$10)*(1-((1+$H21)/(1+Parameters!$B$10))^5)/(1-(1+$H21)/(1+Parameters!$B$10))))+$F21/(1+Parameters!$B$10)^5+IF(5&lt;=0,0,IF(Parameters!$B$10=0,5*$I21*$J21,$I21*$J21*(1-(1/(1+Parameters!$B$10))^5)/Parameters!$B$10)))</f>
        <v/>
      </c>
      <c r="AG21" s="8" t="str">
        <f aca="false">IF(OR($B21="",1&gt;Parameters!$B$7),"",$G21*(1+$H21)^(1-1))</f>
        <v/>
      </c>
      <c r="AH21" s="8" t="str">
        <f aca="false">IF(OR($B21="",2&gt;Parameters!$B$7),"",$G21*(1+$H21)^(2-1))</f>
        <v/>
      </c>
      <c r="AI21" s="8" t="str">
        <f aca="false">IF(OR($B21="",3&gt;Parameters!$B$7),"",$G21*(1+$H21)^(3-1))</f>
        <v/>
      </c>
      <c r="AJ21" s="8" t="str">
        <f aca="false">IF(OR($B21="",4&gt;Parameters!$B$7),"",$G21*(1+$H21)^(4-1))</f>
        <v/>
      </c>
      <c r="AK21" s="8" t="str">
        <f aca="false">IF(OR($B21="",5&gt;Parameters!$B$7),"",$G21*(1+$H21)^(5-1))</f>
        <v/>
      </c>
    </row>
    <row r="22" customFormat="false" ht="15" hidden="false" customHeight="false" outlineLevel="0" collapsed="false">
      <c r="A22" s="33"/>
      <c r="B22" s="33"/>
      <c r="C22" s="33"/>
      <c r="D22" s="33"/>
      <c r="E22" s="33"/>
      <c r="F22" s="35"/>
      <c r="G22" s="35"/>
      <c r="H22" s="37"/>
      <c r="I22" s="37"/>
      <c r="J22" s="35"/>
      <c r="K22" s="36"/>
      <c r="L22" s="33"/>
      <c r="M22" s="8" t="str">
        <f aca="false">IF($B22="","",$G22+$I22*$J22)</f>
        <v/>
      </c>
      <c r="N22" s="8" t="str">
        <f aca="false">IF($B22="","",IF(Parameters!$B$7&lt;=0,0,IF(ABS((1+$H22)/(1+Parameters!$B$10)-1)&lt;0.000001,Parameters!$B$7*$G22/(1+Parameters!$B$10),$G22/(1+Parameters!$B$10)*(1-((1+$H22)/(1+Parameters!$B$10))^Parameters!$B$7)/(1-(1+$H22)/(1+Parameters!$B$10))))+IF(Parameters!$B$7&lt;=0,0,IF(Parameters!$B$10=0,Parameters!$B$7*$I22*$J22,$I22*$J22*(1-(1/(1+Parameters!$B$10))^Parameters!$B$7)/Parameters!$B$10)))</f>
        <v/>
      </c>
      <c r="O22" s="8" t="str">
        <f aca="false">IF(OR($B22="",1&gt;Parameters!$B$7),"",$N22-AB22)</f>
        <v/>
      </c>
      <c r="P22" s="8" t="str">
        <f aca="false">IF(OR($B22="",2&gt;Parameters!$B$7),"",$N22-AC22)</f>
        <v/>
      </c>
      <c r="Q22" s="8" t="str">
        <f aca="false">IF(OR($B22="",3&gt;Parameters!$B$7),"",$N22-AD22)</f>
        <v/>
      </c>
      <c r="R22" s="8" t="str">
        <f aca="false">IF(OR($B22="",4&gt;Parameters!$B$7),"",$N22-AE22)</f>
        <v/>
      </c>
      <c r="S22" s="8" t="str">
        <f aca="false">IF(OR($B22="",5&gt;Parameters!$B$7),"",$N22-AF22)</f>
        <v/>
      </c>
      <c r="T22" s="7" t="str">
        <f aca="false">IF($B22="","",IF(MAX($O22:$S22)&lt;0,"Accept",MATCH(MAX($O22:$S22),$O22:$S22,0)))</f>
        <v/>
      </c>
      <c r="U22" s="8" t="str">
        <f aca="false">IF($B22="","",MAX($O22:$S22))</f>
        <v/>
      </c>
      <c r="V22" s="40" t="str">
        <f aca="false">IF($B22="","",IF($F22&gt;0,ROUND($O22/$F22,2),IF(N($O22)&gt;0,Lists!$F$2,0))+IF($W22="Yes",Lists!$I$2,0))</f>
        <v/>
      </c>
      <c r="W22" s="7" t="str">
        <f aca="false">IF($B22="","",IF(COUNTIFS($L$2:$L$41,$A22,$E$2:$E$41,"Open",$A$2:$A$41,"&lt;&gt;"&amp;$A22)&gt;0,"Yes","No"))</f>
        <v/>
      </c>
      <c r="X22" s="7" t="str">
        <f aca="false">IF($B22="","",IF($V22&gt;=Lists!$F$2,"High",IF($V22&gt;=Lists!$F$3,"Medium","Low")))</f>
        <v/>
      </c>
      <c r="Y22" s="7" t="str">
        <f aca="false">IF(OR($B22="",$E22&lt;&gt;"Open"),"",IF($L22="",(INDEX(Lists!$G$2:$G$4,MATCH($X22,Lists!$E$2:$E$4,0))*1000000000000-$U22-$H22),IFERROR(MAX((INDEX(Lists!$G$2:$G$4,MATCH($X22,Lists!$E$2:$E$4,0))*1000000000000-$U22-$H22),INDEX($Y$2:$Y$41,MATCH($L22,$A$2:$A$41,0))+1),(INDEX(Lists!$G$2:$G$4,MATCH($X22,Lists!$E$2:$E$4,0))*1000000000000-$U22-$H22))))</f>
        <v/>
      </c>
      <c r="Z22" s="7" t="str">
        <f aca="false">IF($Y22="","",RANK($Y22,$Y$2:$Y$41,1)+COUNTIF($Y$2:$Y22,$Y22)-1)</f>
        <v/>
      </c>
      <c r="AA22" s="7" t="str">
        <f aca="false">""</f>
        <v/>
      </c>
      <c r="AB22" s="8" t="str">
        <f aca="false">IF(OR($B22="",1&gt;Parameters!$B$7),"",IF(1&lt;=0,0,IF(ABS((1+$H22)/(1+Parameters!$B$10)-1)&lt;0.000001,1*$G22/(1+Parameters!$B$10),$G22/(1+Parameters!$B$10)*(1-((1+$H22)/(1+Parameters!$B$10))^1)/(1-(1+$H22)/(1+Parameters!$B$10))))+$F22/(1+Parameters!$B$10)^1+IF(1&lt;=0,0,IF(Parameters!$B$10=0,1*$I22*$J22,$I22*$J22*(1-(1/(1+Parameters!$B$10))^1)/Parameters!$B$10)))</f>
        <v/>
      </c>
      <c r="AC22" s="8" t="str">
        <f aca="false">IF(OR($B22="",2&gt;Parameters!$B$7),"",IF(2&lt;=0,0,IF(ABS((1+$H22)/(1+Parameters!$B$10)-1)&lt;0.000001,2*$G22/(1+Parameters!$B$10),$G22/(1+Parameters!$B$10)*(1-((1+$H22)/(1+Parameters!$B$10))^2)/(1-(1+$H22)/(1+Parameters!$B$10))))+$F22/(1+Parameters!$B$10)^2+IF(2&lt;=0,0,IF(Parameters!$B$10=0,2*$I22*$J22,$I22*$J22*(1-(1/(1+Parameters!$B$10))^2)/Parameters!$B$10)))</f>
        <v/>
      </c>
      <c r="AD22" s="8" t="str">
        <f aca="false">IF(OR($B22="",3&gt;Parameters!$B$7),"",IF(3&lt;=0,0,IF(ABS((1+$H22)/(1+Parameters!$B$10)-1)&lt;0.000001,3*$G22/(1+Parameters!$B$10),$G22/(1+Parameters!$B$10)*(1-((1+$H22)/(1+Parameters!$B$10))^3)/(1-(1+$H22)/(1+Parameters!$B$10))))+$F22/(1+Parameters!$B$10)^3+IF(3&lt;=0,0,IF(Parameters!$B$10=0,3*$I22*$J22,$I22*$J22*(1-(1/(1+Parameters!$B$10))^3)/Parameters!$B$10)))</f>
        <v/>
      </c>
      <c r="AE22" s="8" t="str">
        <f aca="false">IF(OR($B22="",4&gt;Parameters!$B$7),"",IF(4&lt;=0,0,IF(ABS((1+$H22)/(1+Parameters!$B$10)-1)&lt;0.000001,4*$G22/(1+Parameters!$B$10),$G22/(1+Parameters!$B$10)*(1-((1+$H22)/(1+Parameters!$B$10))^4)/(1-(1+$H22)/(1+Parameters!$B$10))))+$F22/(1+Parameters!$B$10)^4+IF(4&lt;=0,0,IF(Parameters!$B$10=0,4*$I22*$J22,$I22*$J22*(1-(1/(1+Parameters!$B$10))^4)/Parameters!$B$10)))</f>
        <v/>
      </c>
      <c r="AF22" s="8" t="str">
        <f aca="false">IF(OR($B22="",5&gt;Parameters!$B$7),"",IF(5&lt;=0,0,IF(ABS((1+$H22)/(1+Parameters!$B$10)-1)&lt;0.000001,5*$G22/(1+Parameters!$B$10),$G22/(1+Parameters!$B$10)*(1-((1+$H22)/(1+Parameters!$B$10))^5)/(1-(1+$H22)/(1+Parameters!$B$10))))+$F22/(1+Parameters!$B$10)^5+IF(5&lt;=0,0,IF(Parameters!$B$10=0,5*$I22*$J22,$I22*$J22*(1-(1/(1+Parameters!$B$10))^5)/Parameters!$B$10)))</f>
        <v/>
      </c>
      <c r="AG22" s="8" t="str">
        <f aca="false">IF(OR($B22="",1&gt;Parameters!$B$7),"",$G22*(1+$H22)^(1-1))</f>
        <v/>
      </c>
      <c r="AH22" s="8" t="str">
        <f aca="false">IF(OR($B22="",2&gt;Parameters!$B$7),"",$G22*(1+$H22)^(2-1))</f>
        <v/>
      </c>
      <c r="AI22" s="8" t="str">
        <f aca="false">IF(OR($B22="",3&gt;Parameters!$B$7),"",$G22*(1+$H22)^(3-1))</f>
        <v/>
      </c>
      <c r="AJ22" s="8" t="str">
        <f aca="false">IF(OR($B22="",4&gt;Parameters!$B$7),"",$G22*(1+$H22)^(4-1))</f>
        <v/>
      </c>
      <c r="AK22" s="8" t="str">
        <f aca="false">IF(OR($B22="",5&gt;Parameters!$B$7),"",$G22*(1+$H22)^(5-1))</f>
        <v/>
      </c>
    </row>
    <row r="23" customFormat="false" ht="15" hidden="false" customHeight="false" outlineLevel="0" collapsed="false">
      <c r="A23" s="33"/>
      <c r="B23" s="33"/>
      <c r="C23" s="33"/>
      <c r="D23" s="33"/>
      <c r="E23" s="33"/>
      <c r="F23" s="35"/>
      <c r="G23" s="35"/>
      <c r="H23" s="37"/>
      <c r="I23" s="37"/>
      <c r="J23" s="35"/>
      <c r="K23" s="36"/>
      <c r="L23" s="33"/>
      <c r="M23" s="8" t="str">
        <f aca="false">IF($B23="","",$G23+$I23*$J23)</f>
        <v/>
      </c>
      <c r="N23" s="8" t="str">
        <f aca="false">IF($B23="","",IF(Parameters!$B$7&lt;=0,0,IF(ABS((1+$H23)/(1+Parameters!$B$10)-1)&lt;0.000001,Parameters!$B$7*$G23/(1+Parameters!$B$10),$G23/(1+Parameters!$B$10)*(1-((1+$H23)/(1+Parameters!$B$10))^Parameters!$B$7)/(1-(1+$H23)/(1+Parameters!$B$10))))+IF(Parameters!$B$7&lt;=0,0,IF(Parameters!$B$10=0,Parameters!$B$7*$I23*$J23,$I23*$J23*(1-(1/(1+Parameters!$B$10))^Parameters!$B$7)/Parameters!$B$10)))</f>
        <v/>
      </c>
      <c r="O23" s="8" t="str">
        <f aca="false">IF(OR($B23="",1&gt;Parameters!$B$7),"",$N23-AB23)</f>
        <v/>
      </c>
      <c r="P23" s="8" t="str">
        <f aca="false">IF(OR($B23="",2&gt;Parameters!$B$7),"",$N23-AC23)</f>
        <v/>
      </c>
      <c r="Q23" s="8" t="str">
        <f aca="false">IF(OR($B23="",3&gt;Parameters!$B$7),"",$N23-AD23)</f>
        <v/>
      </c>
      <c r="R23" s="8" t="str">
        <f aca="false">IF(OR($B23="",4&gt;Parameters!$B$7),"",$N23-AE23)</f>
        <v/>
      </c>
      <c r="S23" s="8" t="str">
        <f aca="false">IF(OR($B23="",5&gt;Parameters!$B$7),"",$N23-AF23)</f>
        <v/>
      </c>
      <c r="T23" s="7" t="str">
        <f aca="false">IF($B23="","",IF(MAX($O23:$S23)&lt;0,"Accept",MATCH(MAX($O23:$S23),$O23:$S23,0)))</f>
        <v/>
      </c>
      <c r="U23" s="8" t="str">
        <f aca="false">IF($B23="","",MAX($O23:$S23))</f>
        <v/>
      </c>
      <c r="V23" s="40" t="str">
        <f aca="false">IF($B23="","",IF($F23&gt;0,ROUND($O23/$F23,2),IF(N($O23)&gt;0,Lists!$F$2,0))+IF($W23="Yes",Lists!$I$2,0))</f>
        <v/>
      </c>
      <c r="W23" s="7" t="str">
        <f aca="false">IF($B23="","",IF(COUNTIFS($L$2:$L$41,$A23,$E$2:$E$41,"Open",$A$2:$A$41,"&lt;&gt;"&amp;$A23)&gt;0,"Yes","No"))</f>
        <v/>
      </c>
      <c r="X23" s="7" t="str">
        <f aca="false">IF($B23="","",IF($V23&gt;=Lists!$F$2,"High",IF($V23&gt;=Lists!$F$3,"Medium","Low")))</f>
        <v/>
      </c>
      <c r="Y23" s="7" t="str">
        <f aca="false">IF(OR($B23="",$E23&lt;&gt;"Open"),"",IF($L23="",(INDEX(Lists!$G$2:$G$4,MATCH($X23,Lists!$E$2:$E$4,0))*1000000000000-$U23-$H23),IFERROR(MAX((INDEX(Lists!$G$2:$G$4,MATCH($X23,Lists!$E$2:$E$4,0))*1000000000000-$U23-$H23),INDEX($Y$2:$Y$41,MATCH($L23,$A$2:$A$41,0))+1),(INDEX(Lists!$G$2:$G$4,MATCH($X23,Lists!$E$2:$E$4,0))*1000000000000-$U23-$H23))))</f>
        <v/>
      </c>
      <c r="Z23" s="7" t="str">
        <f aca="false">IF($Y23="","",RANK($Y23,$Y$2:$Y$41,1)+COUNTIF($Y$2:$Y23,$Y23)-1)</f>
        <v/>
      </c>
      <c r="AA23" s="7" t="str">
        <f aca="false">""</f>
        <v/>
      </c>
      <c r="AB23" s="8" t="str">
        <f aca="false">IF(OR($B23="",1&gt;Parameters!$B$7),"",IF(1&lt;=0,0,IF(ABS((1+$H23)/(1+Parameters!$B$10)-1)&lt;0.000001,1*$G23/(1+Parameters!$B$10),$G23/(1+Parameters!$B$10)*(1-((1+$H23)/(1+Parameters!$B$10))^1)/(1-(1+$H23)/(1+Parameters!$B$10))))+$F23/(1+Parameters!$B$10)^1+IF(1&lt;=0,0,IF(Parameters!$B$10=0,1*$I23*$J23,$I23*$J23*(1-(1/(1+Parameters!$B$10))^1)/Parameters!$B$10)))</f>
        <v/>
      </c>
      <c r="AC23" s="8" t="str">
        <f aca="false">IF(OR($B23="",2&gt;Parameters!$B$7),"",IF(2&lt;=0,0,IF(ABS((1+$H23)/(1+Parameters!$B$10)-1)&lt;0.000001,2*$G23/(1+Parameters!$B$10),$G23/(1+Parameters!$B$10)*(1-((1+$H23)/(1+Parameters!$B$10))^2)/(1-(1+$H23)/(1+Parameters!$B$10))))+$F23/(1+Parameters!$B$10)^2+IF(2&lt;=0,0,IF(Parameters!$B$10=0,2*$I23*$J23,$I23*$J23*(1-(1/(1+Parameters!$B$10))^2)/Parameters!$B$10)))</f>
        <v/>
      </c>
      <c r="AD23" s="8" t="str">
        <f aca="false">IF(OR($B23="",3&gt;Parameters!$B$7),"",IF(3&lt;=0,0,IF(ABS((1+$H23)/(1+Parameters!$B$10)-1)&lt;0.000001,3*$G23/(1+Parameters!$B$10),$G23/(1+Parameters!$B$10)*(1-((1+$H23)/(1+Parameters!$B$10))^3)/(1-(1+$H23)/(1+Parameters!$B$10))))+$F23/(1+Parameters!$B$10)^3+IF(3&lt;=0,0,IF(Parameters!$B$10=0,3*$I23*$J23,$I23*$J23*(1-(1/(1+Parameters!$B$10))^3)/Parameters!$B$10)))</f>
        <v/>
      </c>
      <c r="AE23" s="8" t="str">
        <f aca="false">IF(OR($B23="",4&gt;Parameters!$B$7),"",IF(4&lt;=0,0,IF(ABS((1+$H23)/(1+Parameters!$B$10)-1)&lt;0.000001,4*$G23/(1+Parameters!$B$10),$G23/(1+Parameters!$B$10)*(1-((1+$H23)/(1+Parameters!$B$10))^4)/(1-(1+$H23)/(1+Parameters!$B$10))))+$F23/(1+Parameters!$B$10)^4+IF(4&lt;=0,0,IF(Parameters!$B$10=0,4*$I23*$J23,$I23*$J23*(1-(1/(1+Parameters!$B$10))^4)/Parameters!$B$10)))</f>
        <v/>
      </c>
      <c r="AF23" s="8" t="str">
        <f aca="false">IF(OR($B23="",5&gt;Parameters!$B$7),"",IF(5&lt;=0,0,IF(ABS((1+$H23)/(1+Parameters!$B$10)-1)&lt;0.000001,5*$G23/(1+Parameters!$B$10),$G23/(1+Parameters!$B$10)*(1-((1+$H23)/(1+Parameters!$B$10))^5)/(1-(1+$H23)/(1+Parameters!$B$10))))+$F23/(1+Parameters!$B$10)^5+IF(5&lt;=0,0,IF(Parameters!$B$10=0,5*$I23*$J23,$I23*$J23*(1-(1/(1+Parameters!$B$10))^5)/Parameters!$B$10)))</f>
        <v/>
      </c>
      <c r="AG23" s="8" t="str">
        <f aca="false">IF(OR($B23="",1&gt;Parameters!$B$7),"",$G23*(1+$H23)^(1-1))</f>
        <v/>
      </c>
      <c r="AH23" s="8" t="str">
        <f aca="false">IF(OR($B23="",2&gt;Parameters!$B$7),"",$G23*(1+$H23)^(2-1))</f>
        <v/>
      </c>
      <c r="AI23" s="8" t="str">
        <f aca="false">IF(OR($B23="",3&gt;Parameters!$B$7),"",$G23*(1+$H23)^(3-1))</f>
        <v/>
      </c>
      <c r="AJ23" s="8" t="str">
        <f aca="false">IF(OR($B23="",4&gt;Parameters!$B$7),"",$G23*(1+$H23)^(4-1))</f>
        <v/>
      </c>
      <c r="AK23" s="8" t="str">
        <f aca="false">IF(OR($B23="",5&gt;Parameters!$B$7),"",$G23*(1+$H23)^(5-1))</f>
        <v/>
      </c>
    </row>
    <row r="24" customFormat="false" ht="15" hidden="false" customHeight="false" outlineLevel="0" collapsed="false">
      <c r="A24" s="33"/>
      <c r="B24" s="33"/>
      <c r="C24" s="33"/>
      <c r="D24" s="33"/>
      <c r="E24" s="33"/>
      <c r="F24" s="35"/>
      <c r="G24" s="35"/>
      <c r="H24" s="37"/>
      <c r="I24" s="37"/>
      <c r="J24" s="35"/>
      <c r="K24" s="36"/>
      <c r="L24" s="33"/>
      <c r="M24" s="8" t="str">
        <f aca="false">IF($B24="","",$G24+$I24*$J24)</f>
        <v/>
      </c>
      <c r="N24" s="8" t="str">
        <f aca="false">IF($B24="","",IF(Parameters!$B$7&lt;=0,0,IF(ABS((1+$H24)/(1+Parameters!$B$10)-1)&lt;0.000001,Parameters!$B$7*$G24/(1+Parameters!$B$10),$G24/(1+Parameters!$B$10)*(1-((1+$H24)/(1+Parameters!$B$10))^Parameters!$B$7)/(1-(1+$H24)/(1+Parameters!$B$10))))+IF(Parameters!$B$7&lt;=0,0,IF(Parameters!$B$10=0,Parameters!$B$7*$I24*$J24,$I24*$J24*(1-(1/(1+Parameters!$B$10))^Parameters!$B$7)/Parameters!$B$10)))</f>
        <v/>
      </c>
      <c r="O24" s="8" t="str">
        <f aca="false">IF(OR($B24="",1&gt;Parameters!$B$7),"",$N24-AB24)</f>
        <v/>
      </c>
      <c r="P24" s="8" t="str">
        <f aca="false">IF(OR($B24="",2&gt;Parameters!$B$7),"",$N24-AC24)</f>
        <v/>
      </c>
      <c r="Q24" s="8" t="str">
        <f aca="false">IF(OR($B24="",3&gt;Parameters!$B$7),"",$N24-AD24)</f>
        <v/>
      </c>
      <c r="R24" s="8" t="str">
        <f aca="false">IF(OR($B24="",4&gt;Parameters!$B$7),"",$N24-AE24)</f>
        <v/>
      </c>
      <c r="S24" s="8" t="str">
        <f aca="false">IF(OR($B24="",5&gt;Parameters!$B$7),"",$N24-AF24)</f>
        <v/>
      </c>
      <c r="T24" s="7" t="str">
        <f aca="false">IF($B24="","",IF(MAX($O24:$S24)&lt;0,"Accept",MATCH(MAX($O24:$S24),$O24:$S24,0)))</f>
        <v/>
      </c>
      <c r="U24" s="8" t="str">
        <f aca="false">IF($B24="","",MAX($O24:$S24))</f>
        <v/>
      </c>
      <c r="V24" s="40" t="str">
        <f aca="false">IF($B24="","",IF($F24&gt;0,ROUND($O24/$F24,2),IF(N($O24)&gt;0,Lists!$F$2,0))+IF($W24="Yes",Lists!$I$2,0))</f>
        <v/>
      </c>
      <c r="W24" s="7" t="str">
        <f aca="false">IF($B24="","",IF(COUNTIFS($L$2:$L$41,$A24,$E$2:$E$41,"Open",$A$2:$A$41,"&lt;&gt;"&amp;$A24)&gt;0,"Yes","No"))</f>
        <v/>
      </c>
      <c r="X24" s="7" t="str">
        <f aca="false">IF($B24="","",IF($V24&gt;=Lists!$F$2,"High",IF($V24&gt;=Lists!$F$3,"Medium","Low")))</f>
        <v/>
      </c>
      <c r="Y24" s="7" t="str">
        <f aca="false">IF(OR($B24="",$E24&lt;&gt;"Open"),"",IF($L24="",(INDEX(Lists!$G$2:$G$4,MATCH($X24,Lists!$E$2:$E$4,0))*1000000000000-$U24-$H24),IFERROR(MAX((INDEX(Lists!$G$2:$G$4,MATCH($X24,Lists!$E$2:$E$4,0))*1000000000000-$U24-$H24),INDEX($Y$2:$Y$41,MATCH($L24,$A$2:$A$41,0))+1),(INDEX(Lists!$G$2:$G$4,MATCH($X24,Lists!$E$2:$E$4,0))*1000000000000-$U24-$H24))))</f>
        <v/>
      </c>
      <c r="Z24" s="7" t="str">
        <f aca="false">IF($Y24="","",RANK($Y24,$Y$2:$Y$41,1)+COUNTIF($Y$2:$Y24,$Y24)-1)</f>
        <v/>
      </c>
      <c r="AA24" s="7" t="str">
        <f aca="false">""</f>
        <v/>
      </c>
      <c r="AB24" s="8" t="str">
        <f aca="false">IF(OR($B24="",1&gt;Parameters!$B$7),"",IF(1&lt;=0,0,IF(ABS((1+$H24)/(1+Parameters!$B$10)-1)&lt;0.000001,1*$G24/(1+Parameters!$B$10),$G24/(1+Parameters!$B$10)*(1-((1+$H24)/(1+Parameters!$B$10))^1)/(1-(1+$H24)/(1+Parameters!$B$10))))+$F24/(1+Parameters!$B$10)^1+IF(1&lt;=0,0,IF(Parameters!$B$10=0,1*$I24*$J24,$I24*$J24*(1-(1/(1+Parameters!$B$10))^1)/Parameters!$B$10)))</f>
        <v/>
      </c>
      <c r="AC24" s="8" t="str">
        <f aca="false">IF(OR($B24="",2&gt;Parameters!$B$7),"",IF(2&lt;=0,0,IF(ABS((1+$H24)/(1+Parameters!$B$10)-1)&lt;0.000001,2*$G24/(1+Parameters!$B$10),$G24/(1+Parameters!$B$10)*(1-((1+$H24)/(1+Parameters!$B$10))^2)/(1-(1+$H24)/(1+Parameters!$B$10))))+$F24/(1+Parameters!$B$10)^2+IF(2&lt;=0,0,IF(Parameters!$B$10=0,2*$I24*$J24,$I24*$J24*(1-(1/(1+Parameters!$B$10))^2)/Parameters!$B$10)))</f>
        <v/>
      </c>
      <c r="AD24" s="8" t="str">
        <f aca="false">IF(OR($B24="",3&gt;Parameters!$B$7),"",IF(3&lt;=0,0,IF(ABS((1+$H24)/(1+Parameters!$B$10)-1)&lt;0.000001,3*$G24/(1+Parameters!$B$10),$G24/(1+Parameters!$B$10)*(1-((1+$H24)/(1+Parameters!$B$10))^3)/(1-(1+$H24)/(1+Parameters!$B$10))))+$F24/(1+Parameters!$B$10)^3+IF(3&lt;=0,0,IF(Parameters!$B$10=0,3*$I24*$J24,$I24*$J24*(1-(1/(1+Parameters!$B$10))^3)/Parameters!$B$10)))</f>
        <v/>
      </c>
      <c r="AE24" s="8" t="str">
        <f aca="false">IF(OR($B24="",4&gt;Parameters!$B$7),"",IF(4&lt;=0,0,IF(ABS((1+$H24)/(1+Parameters!$B$10)-1)&lt;0.000001,4*$G24/(1+Parameters!$B$10),$G24/(1+Parameters!$B$10)*(1-((1+$H24)/(1+Parameters!$B$10))^4)/(1-(1+$H24)/(1+Parameters!$B$10))))+$F24/(1+Parameters!$B$10)^4+IF(4&lt;=0,0,IF(Parameters!$B$10=0,4*$I24*$J24,$I24*$J24*(1-(1/(1+Parameters!$B$10))^4)/Parameters!$B$10)))</f>
        <v/>
      </c>
      <c r="AF24" s="8" t="str">
        <f aca="false">IF(OR($B24="",5&gt;Parameters!$B$7),"",IF(5&lt;=0,0,IF(ABS((1+$H24)/(1+Parameters!$B$10)-1)&lt;0.000001,5*$G24/(1+Parameters!$B$10),$G24/(1+Parameters!$B$10)*(1-((1+$H24)/(1+Parameters!$B$10))^5)/(1-(1+$H24)/(1+Parameters!$B$10))))+$F24/(1+Parameters!$B$10)^5+IF(5&lt;=0,0,IF(Parameters!$B$10=0,5*$I24*$J24,$I24*$J24*(1-(1/(1+Parameters!$B$10))^5)/Parameters!$B$10)))</f>
        <v/>
      </c>
      <c r="AG24" s="8" t="str">
        <f aca="false">IF(OR($B24="",1&gt;Parameters!$B$7),"",$G24*(1+$H24)^(1-1))</f>
        <v/>
      </c>
      <c r="AH24" s="8" t="str">
        <f aca="false">IF(OR($B24="",2&gt;Parameters!$B$7),"",$G24*(1+$H24)^(2-1))</f>
        <v/>
      </c>
      <c r="AI24" s="8" t="str">
        <f aca="false">IF(OR($B24="",3&gt;Parameters!$B$7),"",$G24*(1+$H24)^(3-1))</f>
        <v/>
      </c>
      <c r="AJ24" s="8" t="str">
        <f aca="false">IF(OR($B24="",4&gt;Parameters!$B$7),"",$G24*(1+$H24)^(4-1))</f>
        <v/>
      </c>
      <c r="AK24" s="8" t="str">
        <f aca="false">IF(OR($B24="",5&gt;Parameters!$B$7),"",$G24*(1+$H24)^(5-1))</f>
        <v/>
      </c>
    </row>
    <row r="25" customFormat="false" ht="15" hidden="false" customHeight="false" outlineLevel="0" collapsed="false">
      <c r="A25" s="33"/>
      <c r="B25" s="33"/>
      <c r="C25" s="33"/>
      <c r="D25" s="33"/>
      <c r="E25" s="33"/>
      <c r="F25" s="35"/>
      <c r="G25" s="35"/>
      <c r="H25" s="37"/>
      <c r="I25" s="37"/>
      <c r="J25" s="35"/>
      <c r="K25" s="36"/>
      <c r="L25" s="33"/>
      <c r="M25" s="8" t="str">
        <f aca="false">IF($B25="","",$G25+$I25*$J25)</f>
        <v/>
      </c>
      <c r="N25" s="8" t="str">
        <f aca="false">IF($B25="","",IF(Parameters!$B$7&lt;=0,0,IF(ABS((1+$H25)/(1+Parameters!$B$10)-1)&lt;0.000001,Parameters!$B$7*$G25/(1+Parameters!$B$10),$G25/(1+Parameters!$B$10)*(1-((1+$H25)/(1+Parameters!$B$10))^Parameters!$B$7)/(1-(1+$H25)/(1+Parameters!$B$10))))+IF(Parameters!$B$7&lt;=0,0,IF(Parameters!$B$10=0,Parameters!$B$7*$I25*$J25,$I25*$J25*(1-(1/(1+Parameters!$B$10))^Parameters!$B$7)/Parameters!$B$10)))</f>
        <v/>
      </c>
      <c r="O25" s="8" t="str">
        <f aca="false">IF(OR($B25="",1&gt;Parameters!$B$7),"",$N25-AB25)</f>
        <v/>
      </c>
      <c r="P25" s="8" t="str">
        <f aca="false">IF(OR($B25="",2&gt;Parameters!$B$7),"",$N25-AC25)</f>
        <v/>
      </c>
      <c r="Q25" s="8" t="str">
        <f aca="false">IF(OR($B25="",3&gt;Parameters!$B$7),"",$N25-AD25)</f>
        <v/>
      </c>
      <c r="R25" s="8" t="str">
        <f aca="false">IF(OR($B25="",4&gt;Parameters!$B$7),"",$N25-AE25)</f>
        <v/>
      </c>
      <c r="S25" s="8" t="str">
        <f aca="false">IF(OR($B25="",5&gt;Parameters!$B$7),"",$N25-AF25)</f>
        <v/>
      </c>
      <c r="T25" s="7" t="str">
        <f aca="false">IF($B25="","",IF(MAX($O25:$S25)&lt;0,"Accept",MATCH(MAX($O25:$S25),$O25:$S25,0)))</f>
        <v/>
      </c>
      <c r="U25" s="8" t="str">
        <f aca="false">IF($B25="","",MAX($O25:$S25))</f>
        <v/>
      </c>
      <c r="V25" s="40" t="str">
        <f aca="false">IF($B25="","",IF($F25&gt;0,ROUND($O25/$F25,2),IF(N($O25)&gt;0,Lists!$F$2,0))+IF($W25="Yes",Lists!$I$2,0))</f>
        <v/>
      </c>
      <c r="W25" s="7" t="str">
        <f aca="false">IF($B25="","",IF(COUNTIFS($L$2:$L$41,$A25,$E$2:$E$41,"Open",$A$2:$A$41,"&lt;&gt;"&amp;$A25)&gt;0,"Yes","No"))</f>
        <v/>
      </c>
      <c r="X25" s="7" t="str">
        <f aca="false">IF($B25="","",IF($V25&gt;=Lists!$F$2,"High",IF($V25&gt;=Lists!$F$3,"Medium","Low")))</f>
        <v/>
      </c>
      <c r="Y25" s="7" t="str">
        <f aca="false">IF(OR($B25="",$E25&lt;&gt;"Open"),"",IF($L25="",(INDEX(Lists!$G$2:$G$4,MATCH($X25,Lists!$E$2:$E$4,0))*1000000000000-$U25-$H25),IFERROR(MAX((INDEX(Lists!$G$2:$G$4,MATCH($X25,Lists!$E$2:$E$4,0))*1000000000000-$U25-$H25),INDEX($Y$2:$Y$41,MATCH($L25,$A$2:$A$41,0))+1),(INDEX(Lists!$G$2:$G$4,MATCH($X25,Lists!$E$2:$E$4,0))*1000000000000-$U25-$H25))))</f>
        <v/>
      </c>
      <c r="Z25" s="7" t="str">
        <f aca="false">IF($Y25="","",RANK($Y25,$Y$2:$Y$41,1)+COUNTIF($Y$2:$Y25,$Y25)-1)</f>
        <v/>
      </c>
      <c r="AA25" s="7" t="str">
        <f aca="false">""</f>
        <v/>
      </c>
      <c r="AB25" s="8" t="str">
        <f aca="false">IF(OR($B25="",1&gt;Parameters!$B$7),"",IF(1&lt;=0,0,IF(ABS((1+$H25)/(1+Parameters!$B$10)-1)&lt;0.000001,1*$G25/(1+Parameters!$B$10),$G25/(1+Parameters!$B$10)*(1-((1+$H25)/(1+Parameters!$B$10))^1)/(1-(1+$H25)/(1+Parameters!$B$10))))+$F25/(1+Parameters!$B$10)^1+IF(1&lt;=0,0,IF(Parameters!$B$10=0,1*$I25*$J25,$I25*$J25*(1-(1/(1+Parameters!$B$10))^1)/Parameters!$B$10)))</f>
        <v/>
      </c>
      <c r="AC25" s="8" t="str">
        <f aca="false">IF(OR($B25="",2&gt;Parameters!$B$7),"",IF(2&lt;=0,0,IF(ABS((1+$H25)/(1+Parameters!$B$10)-1)&lt;0.000001,2*$G25/(1+Parameters!$B$10),$G25/(1+Parameters!$B$10)*(1-((1+$H25)/(1+Parameters!$B$10))^2)/(1-(1+$H25)/(1+Parameters!$B$10))))+$F25/(1+Parameters!$B$10)^2+IF(2&lt;=0,0,IF(Parameters!$B$10=0,2*$I25*$J25,$I25*$J25*(1-(1/(1+Parameters!$B$10))^2)/Parameters!$B$10)))</f>
        <v/>
      </c>
      <c r="AD25" s="8" t="str">
        <f aca="false">IF(OR($B25="",3&gt;Parameters!$B$7),"",IF(3&lt;=0,0,IF(ABS((1+$H25)/(1+Parameters!$B$10)-1)&lt;0.000001,3*$G25/(1+Parameters!$B$10),$G25/(1+Parameters!$B$10)*(1-((1+$H25)/(1+Parameters!$B$10))^3)/(1-(1+$H25)/(1+Parameters!$B$10))))+$F25/(1+Parameters!$B$10)^3+IF(3&lt;=0,0,IF(Parameters!$B$10=0,3*$I25*$J25,$I25*$J25*(1-(1/(1+Parameters!$B$10))^3)/Parameters!$B$10)))</f>
        <v/>
      </c>
      <c r="AE25" s="8" t="str">
        <f aca="false">IF(OR($B25="",4&gt;Parameters!$B$7),"",IF(4&lt;=0,0,IF(ABS((1+$H25)/(1+Parameters!$B$10)-1)&lt;0.000001,4*$G25/(1+Parameters!$B$10),$G25/(1+Parameters!$B$10)*(1-((1+$H25)/(1+Parameters!$B$10))^4)/(1-(1+$H25)/(1+Parameters!$B$10))))+$F25/(1+Parameters!$B$10)^4+IF(4&lt;=0,0,IF(Parameters!$B$10=0,4*$I25*$J25,$I25*$J25*(1-(1/(1+Parameters!$B$10))^4)/Parameters!$B$10)))</f>
        <v/>
      </c>
      <c r="AF25" s="8" t="str">
        <f aca="false">IF(OR($B25="",5&gt;Parameters!$B$7),"",IF(5&lt;=0,0,IF(ABS((1+$H25)/(1+Parameters!$B$10)-1)&lt;0.000001,5*$G25/(1+Parameters!$B$10),$G25/(1+Parameters!$B$10)*(1-((1+$H25)/(1+Parameters!$B$10))^5)/(1-(1+$H25)/(1+Parameters!$B$10))))+$F25/(1+Parameters!$B$10)^5+IF(5&lt;=0,0,IF(Parameters!$B$10=0,5*$I25*$J25,$I25*$J25*(1-(1/(1+Parameters!$B$10))^5)/Parameters!$B$10)))</f>
        <v/>
      </c>
      <c r="AG25" s="8" t="str">
        <f aca="false">IF(OR($B25="",1&gt;Parameters!$B$7),"",$G25*(1+$H25)^(1-1))</f>
        <v/>
      </c>
      <c r="AH25" s="8" t="str">
        <f aca="false">IF(OR($B25="",2&gt;Parameters!$B$7),"",$G25*(1+$H25)^(2-1))</f>
        <v/>
      </c>
      <c r="AI25" s="8" t="str">
        <f aca="false">IF(OR($B25="",3&gt;Parameters!$B$7),"",$G25*(1+$H25)^(3-1))</f>
        <v/>
      </c>
      <c r="AJ25" s="8" t="str">
        <f aca="false">IF(OR($B25="",4&gt;Parameters!$B$7),"",$G25*(1+$H25)^(4-1))</f>
        <v/>
      </c>
      <c r="AK25" s="8" t="str">
        <f aca="false">IF(OR($B25="",5&gt;Parameters!$B$7),"",$G25*(1+$H25)^(5-1))</f>
        <v/>
      </c>
    </row>
    <row r="26" customFormat="false" ht="15" hidden="false" customHeight="false" outlineLevel="0" collapsed="false">
      <c r="A26" s="33"/>
      <c r="B26" s="33"/>
      <c r="C26" s="33"/>
      <c r="D26" s="33"/>
      <c r="E26" s="33"/>
      <c r="F26" s="35"/>
      <c r="G26" s="35"/>
      <c r="H26" s="37"/>
      <c r="I26" s="37"/>
      <c r="J26" s="35"/>
      <c r="K26" s="36"/>
      <c r="L26" s="33"/>
      <c r="M26" s="8" t="str">
        <f aca="false">IF($B26="","",$G26+$I26*$J26)</f>
        <v/>
      </c>
      <c r="N26" s="8" t="str">
        <f aca="false">IF($B26="","",IF(Parameters!$B$7&lt;=0,0,IF(ABS((1+$H26)/(1+Parameters!$B$10)-1)&lt;0.000001,Parameters!$B$7*$G26/(1+Parameters!$B$10),$G26/(1+Parameters!$B$10)*(1-((1+$H26)/(1+Parameters!$B$10))^Parameters!$B$7)/(1-(1+$H26)/(1+Parameters!$B$10))))+IF(Parameters!$B$7&lt;=0,0,IF(Parameters!$B$10=0,Parameters!$B$7*$I26*$J26,$I26*$J26*(1-(1/(1+Parameters!$B$10))^Parameters!$B$7)/Parameters!$B$10)))</f>
        <v/>
      </c>
      <c r="O26" s="8" t="str">
        <f aca="false">IF(OR($B26="",1&gt;Parameters!$B$7),"",$N26-AB26)</f>
        <v/>
      </c>
      <c r="P26" s="8" t="str">
        <f aca="false">IF(OR($B26="",2&gt;Parameters!$B$7),"",$N26-AC26)</f>
        <v/>
      </c>
      <c r="Q26" s="8" t="str">
        <f aca="false">IF(OR($B26="",3&gt;Parameters!$B$7),"",$N26-AD26)</f>
        <v/>
      </c>
      <c r="R26" s="8" t="str">
        <f aca="false">IF(OR($B26="",4&gt;Parameters!$B$7),"",$N26-AE26)</f>
        <v/>
      </c>
      <c r="S26" s="8" t="str">
        <f aca="false">IF(OR($B26="",5&gt;Parameters!$B$7),"",$N26-AF26)</f>
        <v/>
      </c>
      <c r="T26" s="7" t="str">
        <f aca="false">IF($B26="","",IF(MAX($O26:$S26)&lt;0,"Accept",MATCH(MAX($O26:$S26),$O26:$S26,0)))</f>
        <v/>
      </c>
      <c r="U26" s="8" t="str">
        <f aca="false">IF($B26="","",MAX($O26:$S26))</f>
        <v/>
      </c>
      <c r="V26" s="40" t="str">
        <f aca="false">IF($B26="","",IF($F26&gt;0,ROUND($O26/$F26,2),IF(N($O26)&gt;0,Lists!$F$2,0))+IF($W26="Yes",Lists!$I$2,0))</f>
        <v/>
      </c>
      <c r="W26" s="7" t="str">
        <f aca="false">IF($B26="","",IF(COUNTIFS($L$2:$L$41,$A26,$E$2:$E$41,"Open",$A$2:$A$41,"&lt;&gt;"&amp;$A26)&gt;0,"Yes","No"))</f>
        <v/>
      </c>
      <c r="X26" s="7" t="str">
        <f aca="false">IF($B26="","",IF($V26&gt;=Lists!$F$2,"High",IF($V26&gt;=Lists!$F$3,"Medium","Low")))</f>
        <v/>
      </c>
      <c r="Y26" s="7" t="str">
        <f aca="false">IF(OR($B26="",$E26&lt;&gt;"Open"),"",IF($L26="",(INDEX(Lists!$G$2:$G$4,MATCH($X26,Lists!$E$2:$E$4,0))*1000000000000-$U26-$H26),IFERROR(MAX((INDEX(Lists!$G$2:$G$4,MATCH($X26,Lists!$E$2:$E$4,0))*1000000000000-$U26-$H26),INDEX($Y$2:$Y$41,MATCH($L26,$A$2:$A$41,0))+1),(INDEX(Lists!$G$2:$G$4,MATCH($X26,Lists!$E$2:$E$4,0))*1000000000000-$U26-$H26))))</f>
        <v/>
      </c>
      <c r="Z26" s="7" t="str">
        <f aca="false">IF($Y26="","",RANK($Y26,$Y$2:$Y$41,1)+COUNTIF($Y$2:$Y26,$Y26)-1)</f>
        <v/>
      </c>
      <c r="AA26" s="7" t="str">
        <f aca="false">""</f>
        <v/>
      </c>
      <c r="AB26" s="8" t="str">
        <f aca="false">IF(OR($B26="",1&gt;Parameters!$B$7),"",IF(1&lt;=0,0,IF(ABS((1+$H26)/(1+Parameters!$B$10)-1)&lt;0.000001,1*$G26/(1+Parameters!$B$10),$G26/(1+Parameters!$B$10)*(1-((1+$H26)/(1+Parameters!$B$10))^1)/(1-(1+$H26)/(1+Parameters!$B$10))))+$F26/(1+Parameters!$B$10)^1+IF(1&lt;=0,0,IF(Parameters!$B$10=0,1*$I26*$J26,$I26*$J26*(1-(1/(1+Parameters!$B$10))^1)/Parameters!$B$10)))</f>
        <v/>
      </c>
      <c r="AC26" s="8" t="str">
        <f aca="false">IF(OR($B26="",2&gt;Parameters!$B$7),"",IF(2&lt;=0,0,IF(ABS((1+$H26)/(1+Parameters!$B$10)-1)&lt;0.000001,2*$G26/(1+Parameters!$B$10),$G26/(1+Parameters!$B$10)*(1-((1+$H26)/(1+Parameters!$B$10))^2)/(1-(1+$H26)/(1+Parameters!$B$10))))+$F26/(1+Parameters!$B$10)^2+IF(2&lt;=0,0,IF(Parameters!$B$10=0,2*$I26*$J26,$I26*$J26*(1-(1/(1+Parameters!$B$10))^2)/Parameters!$B$10)))</f>
        <v/>
      </c>
      <c r="AD26" s="8" t="str">
        <f aca="false">IF(OR($B26="",3&gt;Parameters!$B$7),"",IF(3&lt;=0,0,IF(ABS((1+$H26)/(1+Parameters!$B$10)-1)&lt;0.000001,3*$G26/(1+Parameters!$B$10),$G26/(1+Parameters!$B$10)*(1-((1+$H26)/(1+Parameters!$B$10))^3)/(1-(1+$H26)/(1+Parameters!$B$10))))+$F26/(1+Parameters!$B$10)^3+IF(3&lt;=0,0,IF(Parameters!$B$10=0,3*$I26*$J26,$I26*$J26*(1-(1/(1+Parameters!$B$10))^3)/Parameters!$B$10)))</f>
        <v/>
      </c>
      <c r="AE26" s="8" t="str">
        <f aca="false">IF(OR($B26="",4&gt;Parameters!$B$7),"",IF(4&lt;=0,0,IF(ABS((1+$H26)/(1+Parameters!$B$10)-1)&lt;0.000001,4*$G26/(1+Parameters!$B$10),$G26/(1+Parameters!$B$10)*(1-((1+$H26)/(1+Parameters!$B$10))^4)/(1-(1+$H26)/(1+Parameters!$B$10))))+$F26/(1+Parameters!$B$10)^4+IF(4&lt;=0,0,IF(Parameters!$B$10=0,4*$I26*$J26,$I26*$J26*(1-(1/(1+Parameters!$B$10))^4)/Parameters!$B$10)))</f>
        <v/>
      </c>
      <c r="AF26" s="8" t="str">
        <f aca="false">IF(OR($B26="",5&gt;Parameters!$B$7),"",IF(5&lt;=0,0,IF(ABS((1+$H26)/(1+Parameters!$B$10)-1)&lt;0.000001,5*$G26/(1+Parameters!$B$10),$G26/(1+Parameters!$B$10)*(1-((1+$H26)/(1+Parameters!$B$10))^5)/(1-(1+$H26)/(1+Parameters!$B$10))))+$F26/(1+Parameters!$B$10)^5+IF(5&lt;=0,0,IF(Parameters!$B$10=0,5*$I26*$J26,$I26*$J26*(1-(1/(1+Parameters!$B$10))^5)/Parameters!$B$10)))</f>
        <v/>
      </c>
      <c r="AG26" s="8" t="str">
        <f aca="false">IF(OR($B26="",1&gt;Parameters!$B$7),"",$G26*(1+$H26)^(1-1))</f>
        <v/>
      </c>
      <c r="AH26" s="8" t="str">
        <f aca="false">IF(OR($B26="",2&gt;Parameters!$B$7),"",$G26*(1+$H26)^(2-1))</f>
        <v/>
      </c>
      <c r="AI26" s="8" t="str">
        <f aca="false">IF(OR($B26="",3&gt;Parameters!$B$7),"",$G26*(1+$H26)^(3-1))</f>
        <v/>
      </c>
      <c r="AJ26" s="8" t="str">
        <f aca="false">IF(OR($B26="",4&gt;Parameters!$B$7),"",$G26*(1+$H26)^(4-1))</f>
        <v/>
      </c>
      <c r="AK26" s="8" t="str">
        <f aca="false">IF(OR($B26="",5&gt;Parameters!$B$7),"",$G26*(1+$H26)^(5-1))</f>
        <v/>
      </c>
    </row>
    <row r="27" customFormat="false" ht="15" hidden="false" customHeight="false" outlineLevel="0" collapsed="false">
      <c r="A27" s="33"/>
      <c r="B27" s="33"/>
      <c r="C27" s="33"/>
      <c r="D27" s="33"/>
      <c r="E27" s="33"/>
      <c r="F27" s="35"/>
      <c r="G27" s="35"/>
      <c r="H27" s="37"/>
      <c r="I27" s="37"/>
      <c r="J27" s="35"/>
      <c r="K27" s="36"/>
      <c r="L27" s="33"/>
      <c r="M27" s="8" t="str">
        <f aca="false">IF($B27="","",$G27+$I27*$J27)</f>
        <v/>
      </c>
      <c r="N27" s="8" t="str">
        <f aca="false">IF($B27="","",IF(Parameters!$B$7&lt;=0,0,IF(ABS((1+$H27)/(1+Parameters!$B$10)-1)&lt;0.000001,Parameters!$B$7*$G27/(1+Parameters!$B$10),$G27/(1+Parameters!$B$10)*(1-((1+$H27)/(1+Parameters!$B$10))^Parameters!$B$7)/(1-(1+$H27)/(1+Parameters!$B$10))))+IF(Parameters!$B$7&lt;=0,0,IF(Parameters!$B$10=0,Parameters!$B$7*$I27*$J27,$I27*$J27*(1-(1/(1+Parameters!$B$10))^Parameters!$B$7)/Parameters!$B$10)))</f>
        <v/>
      </c>
      <c r="O27" s="8" t="str">
        <f aca="false">IF(OR($B27="",1&gt;Parameters!$B$7),"",$N27-AB27)</f>
        <v/>
      </c>
      <c r="P27" s="8" t="str">
        <f aca="false">IF(OR($B27="",2&gt;Parameters!$B$7),"",$N27-AC27)</f>
        <v/>
      </c>
      <c r="Q27" s="8" t="str">
        <f aca="false">IF(OR($B27="",3&gt;Parameters!$B$7),"",$N27-AD27)</f>
        <v/>
      </c>
      <c r="R27" s="8" t="str">
        <f aca="false">IF(OR($B27="",4&gt;Parameters!$B$7),"",$N27-AE27)</f>
        <v/>
      </c>
      <c r="S27" s="8" t="str">
        <f aca="false">IF(OR($B27="",5&gt;Parameters!$B$7),"",$N27-AF27)</f>
        <v/>
      </c>
      <c r="T27" s="7" t="str">
        <f aca="false">IF($B27="","",IF(MAX($O27:$S27)&lt;0,"Accept",MATCH(MAX($O27:$S27),$O27:$S27,0)))</f>
        <v/>
      </c>
      <c r="U27" s="8" t="str">
        <f aca="false">IF($B27="","",MAX($O27:$S27))</f>
        <v/>
      </c>
      <c r="V27" s="40" t="str">
        <f aca="false">IF($B27="","",IF($F27&gt;0,ROUND($O27/$F27,2),IF(N($O27)&gt;0,Lists!$F$2,0))+IF($W27="Yes",Lists!$I$2,0))</f>
        <v/>
      </c>
      <c r="W27" s="7" t="str">
        <f aca="false">IF($B27="","",IF(COUNTIFS($L$2:$L$41,$A27,$E$2:$E$41,"Open",$A$2:$A$41,"&lt;&gt;"&amp;$A27)&gt;0,"Yes","No"))</f>
        <v/>
      </c>
      <c r="X27" s="7" t="str">
        <f aca="false">IF($B27="","",IF($V27&gt;=Lists!$F$2,"High",IF($V27&gt;=Lists!$F$3,"Medium","Low")))</f>
        <v/>
      </c>
      <c r="Y27" s="7" t="str">
        <f aca="false">IF(OR($B27="",$E27&lt;&gt;"Open"),"",IF($L27="",(INDEX(Lists!$G$2:$G$4,MATCH($X27,Lists!$E$2:$E$4,0))*1000000000000-$U27-$H27),IFERROR(MAX((INDEX(Lists!$G$2:$G$4,MATCH($X27,Lists!$E$2:$E$4,0))*1000000000000-$U27-$H27),INDEX($Y$2:$Y$41,MATCH($L27,$A$2:$A$41,0))+1),(INDEX(Lists!$G$2:$G$4,MATCH($X27,Lists!$E$2:$E$4,0))*1000000000000-$U27-$H27))))</f>
        <v/>
      </c>
      <c r="Z27" s="7" t="str">
        <f aca="false">IF($Y27="","",RANK($Y27,$Y$2:$Y$41,1)+COUNTIF($Y$2:$Y27,$Y27)-1)</f>
        <v/>
      </c>
      <c r="AA27" s="7" t="str">
        <f aca="false">""</f>
        <v/>
      </c>
      <c r="AB27" s="8" t="str">
        <f aca="false">IF(OR($B27="",1&gt;Parameters!$B$7),"",IF(1&lt;=0,0,IF(ABS((1+$H27)/(1+Parameters!$B$10)-1)&lt;0.000001,1*$G27/(1+Parameters!$B$10),$G27/(1+Parameters!$B$10)*(1-((1+$H27)/(1+Parameters!$B$10))^1)/(1-(1+$H27)/(1+Parameters!$B$10))))+$F27/(1+Parameters!$B$10)^1+IF(1&lt;=0,0,IF(Parameters!$B$10=0,1*$I27*$J27,$I27*$J27*(1-(1/(1+Parameters!$B$10))^1)/Parameters!$B$10)))</f>
        <v/>
      </c>
      <c r="AC27" s="8" t="str">
        <f aca="false">IF(OR($B27="",2&gt;Parameters!$B$7),"",IF(2&lt;=0,0,IF(ABS((1+$H27)/(1+Parameters!$B$10)-1)&lt;0.000001,2*$G27/(1+Parameters!$B$10),$G27/(1+Parameters!$B$10)*(1-((1+$H27)/(1+Parameters!$B$10))^2)/(1-(1+$H27)/(1+Parameters!$B$10))))+$F27/(1+Parameters!$B$10)^2+IF(2&lt;=0,0,IF(Parameters!$B$10=0,2*$I27*$J27,$I27*$J27*(1-(1/(1+Parameters!$B$10))^2)/Parameters!$B$10)))</f>
        <v/>
      </c>
      <c r="AD27" s="8" t="str">
        <f aca="false">IF(OR($B27="",3&gt;Parameters!$B$7),"",IF(3&lt;=0,0,IF(ABS((1+$H27)/(1+Parameters!$B$10)-1)&lt;0.000001,3*$G27/(1+Parameters!$B$10),$G27/(1+Parameters!$B$10)*(1-((1+$H27)/(1+Parameters!$B$10))^3)/(1-(1+$H27)/(1+Parameters!$B$10))))+$F27/(1+Parameters!$B$10)^3+IF(3&lt;=0,0,IF(Parameters!$B$10=0,3*$I27*$J27,$I27*$J27*(1-(1/(1+Parameters!$B$10))^3)/Parameters!$B$10)))</f>
        <v/>
      </c>
      <c r="AE27" s="8" t="str">
        <f aca="false">IF(OR($B27="",4&gt;Parameters!$B$7),"",IF(4&lt;=0,0,IF(ABS((1+$H27)/(1+Parameters!$B$10)-1)&lt;0.000001,4*$G27/(1+Parameters!$B$10),$G27/(1+Parameters!$B$10)*(1-((1+$H27)/(1+Parameters!$B$10))^4)/(1-(1+$H27)/(1+Parameters!$B$10))))+$F27/(1+Parameters!$B$10)^4+IF(4&lt;=0,0,IF(Parameters!$B$10=0,4*$I27*$J27,$I27*$J27*(1-(1/(1+Parameters!$B$10))^4)/Parameters!$B$10)))</f>
        <v/>
      </c>
      <c r="AF27" s="8" t="str">
        <f aca="false">IF(OR($B27="",5&gt;Parameters!$B$7),"",IF(5&lt;=0,0,IF(ABS((1+$H27)/(1+Parameters!$B$10)-1)&lt;0.000001,5*$G27/(1+Parameters!$B$10),$G27/(1+Parameters!$B$10)*(1-((1+$H27)/(1+Parameters!$B$10))^5)/(1-(1+$H27)/(1+Parameters!$B$10))))+$F27/(1+Parameters!$B$10)^5+IF(5&lt;=0,0,IF(Parameters!$B$10=0,5*$I27*$J27,$I27*$J27*(1-(1/(1+Parameters!$B$10))^5)/Parameters!$B$10)))</f>
        <v/>
      </c>
      <c r="AG27" s="8" t="str">
        <f aca="false">IF(OR($B27="",1&gt;Parameters!$B$7),"",$G27*(1+$H27)^(1-1))</f>
        <v/>
      </c>
      <c r="AH27" s="8" t="str">
        <f aca="false">IF(OR($B27="",2&gt;Parameters!$B$7),"",$G27*(1+$H27)^(2-1))</f>
        <v/>
      </c>
      <c r="AI27" s="8" t="str">
        <f aca="false">IF(OR($B27="",3&gt;Parameters!$B$7),"",$G27*(1+$H27)^(3-1))</f>
        <v/>
      </c>
      <c r="AJ27" s="8" t="str">
        <f aca="false">IF(OR($B27="",4&gt;Parameters!$B$7),"",$G27*(1+$H27)^(4-1))</f>
        <v/>
      </c>
      <c r="AK27" s="8" t="str">
        <f aca="false">IF(OR($B27="",5&gt;Parameters!$B$7),"",$G27*(1+$H27)^(5-1))</f>
        <v/>
      </c>
    </row>
    <row r="28" customFormat="false" ht="15" hidden="false" customHeight="false" outlineLevel="0" collapsed="false">
      <c r="A28" s="33"/>
      <c r="B28" s="33"/>
      <c r="C28" s="33"/>
      <c r="D28" s="33"/>
      <c r="E28" s="33"/>
      <c r="F28" s="35"/>
      <c r="G28" s="35"/>
      <c r="H28" s="37"/>
      <c r="I28" s="37"/>
      <c r="J28" s="35"/>
      <c r="K28" s="36"/>
      <c r="L28" s="33"/>
      <c r="M28" s="8" t="str">
        <f aca="false">IF($B28="","",$G28+$I28*$J28)</f>
        <v/>
      </c>
      <c r="N28" s="8" t="str">
        <f aca="false">IF($B28="","",IF(Parameters!$B$7&lt;=0,0,IF(ABS((1+$H28)/(1+Parameters!$B$10)-1)&lt;0.000001,Parameters!$B$7*$G28/(1+Parameters!$B$10),$G28/(1+Parameters!$B$10)*(1-((1+$H28)/(1+Parameters!$B$10))^Parameters!$B$7)/(1-(1+$H28)/(1+Parameters!$B$10))))+IF(Parameters!$B$7&lt;=0,0,IF(Parameters!$B$10=0,Parameters!$B$7*$I28*$J28,$I28*$J28*(1-(1/(1+Parameters!$B$10))^Parameters!$B$7)/Parameters!$B$10)))</f>
        <v/>
      </c>
      <c r="O28" s="8" t="str">
        <f aca="false">IF(OR($B28="",1&gt;Parameters!$B$7),"",$N28-AB28)</f>
        <v/>
      </c>
      <c r="P28" s="8" t="str">
        <f aca="false">IF(OR($B28="",2&gt;Parameters!$B$7),"",$N28-AC28)</f>
        <v/>
      </c>
      <c r="Q28" s="8" t="str">
        <f aca="false">IF(OR($B28="",3&gt;Parameters!$B$7),"",$N28-AD28)</f>
        <v/>
      </c>
      <c r="R28" s="8" t="str">
        <f aca="false">IF(OR($B28="",4&gt;Parameters!$B$7),"",$N28-AE28)</f>
        <v/>
      </c>
      <c r="S28" s="8" t="str">
        <f aca="false">IF(OR($B28="",5&gt;Parameters!$B$7),"",$N28-AF28)</f>
        <v/>
      </c>
      <c r="T28" s="7" t="str">
        <f aca="false">IF($B28="","",IF(MAX($O28:$S28)&lt;0,"Accept",MATCH(MAX($O28:$S28),$O28:$S28,0)))</f>
        <v/>
      </c>
      <c r="U28" s="8" t="str">
        <f aca="false">IF($B28="","",MAX($O28:$S28))</f>
        <v/>
      </c>
      <c r="V28" s="40" t="str">
        <f aca="false">IF($B28="","",IF($F28&gt;0,ROUND($O28/$F28,2),IF(N($O28)&gt;0,Lists!$F$2,0))+IF($W28="Yes",Lists!$I$2,0))</f>
        <v/>
      </c>
      <c r="W28" s="7" t="str">
        <f aca="false">IF($B28="","",IF(COUNTIFS($L$2:$L$41,$A28,$E$2:$E$41,"Open",$A$2:$A$41,"&lt;&gt;"&amp;$A28)&gt;0,"Yes","No"))</f>
        <v/>
      </c>
      <c r="X28" s="7" t="str">
        <f aca="false">IF($B28="","",IF($V28&gt;=Lists!$F$2,"High",IF($V28&gt;=Lists!$F$3,"Medium","Low")))</f>
        <v/>
      </c>
      <c r="Y28" s="7" t="str">
        <f aca="false">IF(OR($B28="",$E28&lt;&gt;"Open"),"",IF($L28="",(INDEX(Lists!$G$2:$G$4,MATCH($X28,Lists!$E$2:$E$4,0))*1000000000000-$U28-$H28),IFERROR(MAX((INDEX(Lists!$G$2:$G$4,MATCH($X28,Lists!$E$2:$E$4,0))*1000000000000-$U28-$H28),INDEX($Y$2:$Y$41,MATCH($L28,$A$2:$A$41,0))+1),(INDEX(Lists!$G$2:$G$4,MATCH($X28,Lists!$E$2:$E$4,0))*1000000000000-$U28-$H28))))</f>
        <v/>
      </c>
      <c r="Z28" s="7" t="str">
        <f aca="false">IF($Y28="","",RANK($Y28,$Y$2:$Y$41,1)+COUNTIF($Y$2:$Y28,$Y28)-1)</f>
        <v/>
      </c>
      <c r="AA28" s="7" t="str">
        <f aca="false">""</f>
        <v/>
      </c>
      <c r="AB28" s="8" t="str">
        <f aca="false">IF(OR($B28="",1&gt;Parameters!$B$7),"",IF(1&lt;=0,0,IF(ABS((1+$H28)/(1+Parameters!$B$10)-1)&lt;0.000001,1*$G28/(1+Parameters!$B$10),$G28/(1+Parameters!$B$10)*(1-((1+$H28)/(1+Parameters!$B$10))^1)/(1-(1+$H28)/(1+Parameters!$B$10))))+$F28/(1+Parameters!$B$10)^1+IF(1&lt;=0,0,IF(Parameters!$B$10=0,1*$I28*$J28,$I28*$J28*(1-(1/(1+Parameters!$B$10))^1)/Parameters!$B$10)))</f>
        <v/>
      </c>
      <c r="AC28" s="8" t="str">
        <f aca="false">IF(OR($B28="",2&gt;Parameters!$B$7),"",IF(2&lt;=0,0,IF(ABS((1+$H28)/(1+Parameters!$B$10)-1)&lt;0.000001,2*$G28/(1+Parameters!$B$10),$G28/(1+Parameters!$B$10)*(1-((1+$H28)/(1+Parameters!$B$10))^2)/(1-(1+$H28)/(1+Parameters!$B$10))))+$F28/(1+Parameters!$B$10)^2+IF(2&lt;=0,0,IF(Parameters!$B$10=0,2*$I28*$J28,$I28*$J28*(1-(1/(1+Parameters!$B$10))^2)/Parameters!$B$10)))</f>
        <v/>
      </c>
      <c r="AD28" s="8" t="str">
        <f aca="false">IF(OR($B28="",3&gt;Parameters!$B$7),"",IF(3&lt;=0,0,IF(ABS((1+$H28)/(1+Parameters!$B$10)-1)&lt;0.000001,3*$G28/(1+Parameters!$B$10),$G28/(1+Parameters!$B$10)*(1-((1+$H28)/(1+Parameters!$B$10))^3)/(1-(1+$H28)/(1+Parameters!$B$10))))+$F28/(1+Parameters!$B$10)^3+IF(3&lt;=0,0,IF(Parameters!$B$10=0,3*$I28*$J28,$I28*$J28*(1-(1/(1+Parameters!$B$10))^3)/Parameters!$B$10)))</f>
        <v/>
      </c>
      <c r="AE28" s="8" t="str">
        <f aca="false">IF(OR($B28="",4&gt;Parameters!$B$7),"",IF(4&lt;=0,0,IF(ABS((1+$H28)/(1+Parameters!$B$10)-1)&lt;0.000001,4*$G28/(1+Parameters!$B$10),$G28/(1+Parameters!$B$10)*(1-((1+$H28)/(1+Parameters!$B$10))^4)/(1-(1+$H28)/(1+Parameters!$B$10))))+$F28/(1+Parameters!$B$10)^4+IF(4&lt;=0,0,IF(Parameters!$B$10=0,4*$I28*$J28,$I28*$J28*(1-(1/(1+Parameters!$B$10))^4)/Parameters!$B$10)))</f>
        <v/>
      </c>
      <c r="AF28" s="8" t="str">
        <f aca="false">IF(OR($B28="",5&gt;Parameters!$B$7),"",IF(5&lt;=0,0,IF(ABS((1+$H28)/(1+Parameters!$B$10)-1)&lt;0.000001,5*$G28/(1+Parameters!$B$10),$G28/(1+Parameters!$B$10)*(1-((1+$H28)/(1+Parameters!$B$10))^5)/(1-(1+$H28)/(1+Parameters!$B$10))))+$F28/(1+Parameters!$B$10)^5+IF(5&lt;=0,0,IF(Parameters!$B$10=0,5*$I28*$J28,$I28*$J28*(1-(1/(1+Parameters!$B$10))^5)/Parameters!$B$10)))</f>
        <v/>
      </c>
      <c r="AG28" s="8" t="str">
        <f aca="false">IF(OR($B28="",1&gt;Parameters!$B$7),"",$G28*(1+$H28)^(1-1))</f>
        <v/>
      </c>
      <c r="AH28" s="8" t="str">
        <f aca="false">IF(OR($B28="",2&gt;Parameters!$B$7),"",$G28*(1+$H28)^(2-1))</f>
        <v/>
      </c>
      <c r="AI28" s="8" t="str">
        <f aca="false">IF(OR($B28="",3&gt;Parameters!$B$7),"",$G28*(1+$H28)^(3-1))</f>
        <v/>
      </c>
      <c r="AJ28" s="8" t="str">
        <f aca="false">IF(OR($B28="",4&gt;Parameters!$B$7),"",$G28*(1+$H28)^(4-1))</f>
        <v/>
      </c>
      <c r="AK28" s="8" t="str">
        <f aca="false">IF(OR($B28="",5&gt;Parameters!$B$7),"",$G28*(1+$H28)^(5-1))</f>
        <v/>
      </c>
    </row>
    <row r="29" customFormat="false" ht="15" hidden="false" customHeight="false" outlineLevel="0" collapsed="false">
      <c r="A29" s="33"/>
      <c r="B29" s="33"/>
      <c r="C29" s="33"/>
      <c r="D29" s="33"/>
      <c r="E29" s="33"/>
      <c r="F29" s="35"/>
      <c r="G29" s="35"/>
      <c r="H29" s="37"/>
      <c r="I29" s="37"/>
      <c r="J29" s="35"/>
      <c r="K29" s="36"/>
      <c r="L29" s="33"/>
      <c r="M29" s="8" t="str">
        <f aca="false">IF($B29="","",$G29+$I29*$J29)</f>
        <v/>
      </c>
      <c r="N29" s="8" t="str">
        <f aca="false">IF($B29="","",IF(Parameters!$B$7&lt;=0,0,IF(ABS((1+$H29)/(1+Parameters!$B$10)-1)&lt;0.000001,Parameters!$B$7*$G29/(1+Parameters!$B$10),$G29/(1+Parameters!$B$10)*(1-((1+$H29)/(1+Parameters!$B$10))^Parameters!$B$7)/(1-(1+$H29)/(1+Parameters!$B$10))))+IF(Parameters!$B$7&lt;=0,0,IF(Parameters!$B$10=0,Parameters!$B$7*$I29*$J29,$I29*$J29*(1-(1/(1+Parameters!$B$10))^Parameters!$B$7)/Parameters!$B$10)))</f>
        <v/>
      </c>
      <c r="O29" s="8" t="str">
        <f aca="false">IF(OR($B29="",1&gt;Parameters!$B$7),"",$N29-AB29)</f>
        <v/>
      </c>
      <c r="P29" s="8" t="str">
        <f aca="false">IF(OR($B29="",2&gt;Parameters!$B$7),"",$N29-AC29)</f>
        <v/>
      </c>
      <c r="Q29" s="8" t="str">
        <f aca="false">IF(OR($B29="",3&gt;Parameters!$B$7),"",$N29-AD29)</f>
        <v/>
      </c>
      <c r="R29" s="8" t="str">
        <f aca="false">IF(OR($B29="",4&gt;Parameters!$B$7),"",$N29-AE29)</f>
        <v/>
      </c>
      <c r="S29" s="8" t="str">
        <f aca="false">IF(OR($B29="",5&gt;Parameters!$B$7),"",$N29-AF29)</f>
        <v/>
      </c>
      <c r="T29" s="7" t="str">
        <f aca="false">IF($B29="","",IF(MAX($O29:$S29)&lt;0,"Accept",MATCH(MAX($O29:$S29),$O29:$S29,0)))</f>
        <v/>
      </c>
      <c r="U29" s="8" t="str">
        <f aca="false">IF($B29="","",MAX($O29:$S29))</f>
        <v/>
      </c>
      <c r="V29" s="40" t="str">
        <f aca="false">IF($B29="","",IF($F29&gt;0,ROUND($O29/$F29,2),IF(N($O29)&gt;0,Lists!$F$2,0))+IF($W29="Yes",Lists!$I$2,0))</f>
        <v/>
      </c>
      <c r="W29" s="7" t="str">
        <f aca="false">IF($B29="","",IF(COUNTIFS($L$2:$L$41,$A29,$E$2:$E$41,"Open",$A$2:$A$41,"&lt;&gt;"&amp;$A29)&gt;0,"Yes","No"))</f>
        <v/>
      </c>
      <c r="X29" s="7" t="str">
        <f aca="false">IF($B29="","",IF($V29&gt;=Lists!$F$2,"High",IF($V29&gt;=Lists!$F$3,"Medium","Low")))</f>
        <v/>
      </c>
      <c r="Y29" s="7" t="str">
        <f aca="false">IF(OR($B29="",$E29&lt;&gt;"Open"),"",IF($L29="",(INDEX(Lists!$G$2:$G$4,MATCH($X29,Lists!$E$2:$E$4,0))*1000000000000-$U29-$H29),IFERROR(MAX((INDEX(Lists!$G$2:$G$4,MATCH($X29,Lists!$E$2:$E$4,0))*1000000000000-$U29-$H29),INDEX($Y$2:$Y$41,MATCH($L29,$A$2:$A$41,0))+1),(INDEX(Lists!$G$2:$G$4,MATCH($X29,Lists!$E$2:$E$4,0))*1000000000000-$U29-$H29))))</f>
        <v/>
      </c>
      <c r="Z29" s="7" t="str">
        <f aca="false">IF($Y29="","",RANK($Y29,$Y$2:$Y$41,1)+COUNTIF($Y$2:$Y29,$Y29)-1)</f>
        <v/>
      </c>
      <c r="AA29" s="7" t="str">
        <f aca="false">""</f>
        <v/>
      </c>
      <c r="AB29" s="8" t="str">
        <f aca="false">IF(OR($B29="",1&gt;Parameters!$B$7),"",IF(1&lt;=0,0,IF(ABS((1+$H29)/(1+Parameters!$B$10)-1)&lt;0.000001,1*$G29/(1+Parameters!$B$10),$G29/(1+Parameters!$B$10)*(1-((1+$H29)/(1+Parameters!$B$10))^1)/(1-(1+$H29)/(1+Parameters!$B$10))))+$F29/(1+Parameters!$B$10)^1+IF(1&lt;=0,0,IF(Parameters!$B$10=0,1*$I29*$J29,$I29*$J29*(1-(1/(1+Parameters!$B$10))^1)/Parameters!$B$10)))</f>
        <v/>
      </c>
      <c r="AC29" s="8" t="str">
        <f aca="false">IF(OR($B29="",2&gt;Parameters!$B$7),"",IF(2&lt;=0,0,IF(ABS((1+$H29)/(1+Parameters!$B$10)-1)&lt;0.000001,2*$G29/(1+Parameters!$B$10),$G29/(1+Parameters!$B$10)*(1-((1+$H29)/(1+Parameters!$B$10))^2)/(1-(1+$H29)/(1+Parameters!$B$10))))+$F29/(1+Parameters!$B$10)^2+IF(2&lt;=0,0,IF(Parameters!$B$10=0,2*$I29*$J29,$I29*$J29*(1-(1/(1+Parameters!$B$10))^2)/Parameters!$B$10)))</f>
        <v/>
      </c>
      <c r="AD29" s="8" t="str">
        <f aca="false">IF(OR($B29="",3&gt;Parameters!$B$7),"",IF(3&lt;=0,0,IF(ABS((1+$H29)/(1+Parameters!$B$10)-1)&lt;0.000001,3*$G29/(1+Parameters!$B$10),$G29/(1+Parameters!$B$10)*(1-((1+$H29)/(1+Parameters!$B$10))^3)/(1-(1+$H29)/(1+Parameters!$B$10))))+$F29/(1+Parameters!$B$10)^3+IF(3&lt;=0,0,IF(Parameters!$B$10=0,3*$I29*$J29,$I29*$J29*(1-(1/(1+Parameters!$B$10))^3)/Parameters!$B$10)))</f>
        <v/>
      </c>
      <c r="AE29" s="8" t="str">
        <f aca="false">IF(OR($B29="",4&gt;Parameters!$B$7),"",IF(4&lt;=0,0,IF(ABS((1+$H29)/(1+Parameters!$B$10)-1)&lt;0.000001,4*$G29/(1+Parameters!$B$10),$G29/(1+Parameters!$B$10)*(1-((1+$H29)/(1+Parameters!$B$10))^4)/(1-(1+$H29)/(1+Parameters!$B$10))))+$F29/(1+Parameters!$B$10)^4+IF(4&lt;=0,0,IF(Parameters!$B$10=0,4*$I29*$J29,$I29*$J29*(1-(1/(1+Parameters!$B$10))^4)/Parameters!$B$10)))</f>
        <v/>
      </c>
      <c r="AF29" s="8" t="str">
        <f aca="false">IF(OR($B29="",5&gt;Parameters!$B$7),"",IF(5&lt;=0,0,IF(ABS((1+$H29)/(1+Parameters!$B$10)-1)&lt;0.000001,5*$G29/(1+Parameters!$B$10),$G29/(1+Parameters!$B$10)*(1-((1+$H29)/(1+Parameters!$B$10))^5)/(1-(1+$H29)/(1+Parameters!$B$10))))+$F29/(1+Parameters!$B$10)^5+IF(5&lt;=0,0,IF(Parameters!$B$10=0,5*$I29*$J29,$I29*$J29*(1-(1/(1+Parameters!$B$10))^5)/Parameters!$B$10)))</f>
        <v/>
      </c>
      <c r="AG29" s="8" t="str">
        <f aca="false">IF(OR($B29="",1&gt;Parameters!$B$7),"",$G29*(1+$H29)^(1-1))</f>
        <v/>
      </c>
      <c r="AH29" s="8" t="str">
        <f aca="false">IF(OR($B29="",2&gt;Parameters!$B$7),"",$G29*(1+$H29)^(2-1))</f>
        <v/>
      </c>
      <c r="AI29" s="8" t="str">
        <f aca="false">IF(OR($B29="",3&gt;Parameters!$B$7),"",$G29*(1+$H29)^(3-1))</f>
        <v/>
      </c>
      <c r="AJ29" s="8" t="str">
        <f aca="false">IF(OR($B29="",4&gt;Parameters!$B$7),"",$G29*(1+$H29)^(4-1))</f>
        <v/>
      </c>
      <c r="AK29" s="8" t="str">
        <f aca="false">IF(OR($B29="",5&gt;Parameters!$B$7),"",$G29*(1+$H29)^(5-1))</f>
        <v/>
      </c>
    </row>
    <row r="30" customFormat="false" ht="15" hidden="false" customHeight="false" outlineLevel="0" collapsed="false">
      <c r="A30" s="33"/>
      <c r="B30" s="33"/>
      <c r="C30" s="33"/>
      <c r="D30" s="33"/>
      <c r="E30" s="33"/>
      <c r="F30" s="35"/>
      <c r="G30" s="35"/>
      <c r="H30" s="37"/>
      <c r="I30" s="37"/>
      <c r="J30" s="35"/>
      <c r="K30" s="36"/>
      <c r="L30" s="33"/>
      <c r="M30" s="8" t="str">
        <f aca="false">IF($B30="","",$G30+$I30*$J30)</f>
        <v/>
      </c>
      <c r="N30" s="8" t="str">
        <f aca="false">IF($B30="","",IF(Parameters!$B$7&lt;=0,0,IF(ABS((1+$H30)/(1+Parameters!$B$10)-1)&lt;0.000001,Parameters!$B$7*$G30/(1+Parameters!$B$10),$G30/(1+Parameters!$B$10)*(1-((1+$H30)/(1+Parameters!$B$10))^Parameters!$B$7)/(1-(1+$H30)/(1+Parameters!$B$10))))+IF(Parameters!$B$7&lt;=0,0,IF(Parameters!$B$10=0,Parameters!$B$7*$I30*$J30,$I30*$J30*(1-(1/(1+Parameters!$B$10))^Parameters!$B$7)/Parameters!$B$10)))</f>
        <v/>
      </c>
      <c r="O30" s="8" t="str">
        <f aca="false">IF(OR($B30="",1&gt;Parameters!$B$7),"",$N30-AB30)</f>
        <v/>
      </c>
      <c r="P30" s="8" t="str">
        <f aca="false">IF(OR($B30="",2&gt;Parameters!$B$7),"",$N30-AC30)</f>
        <v/>
      </c>
      <c r="Q30" s="8" t="str">
        <f aca="false">IF(OR($B30="",3&gt;Parameters!$B$7),"",$N30-AD30)</f>
        <v/>
      </c>
      <c r="R30" s="8" t="str">
        <f aca="false">IF(OR($B30="",4&gt;Parameters!$B$7),"",$N30-AE30)</f>
        <v/>
      </c>
      <c r="S30" s="8" t="str">
        <f aca="false">IF(OR($B30="",5&gt;Parameters!$B$7),"",$N30-AF30)</f>
        <v/>
      </c>
      <c r="T30" s="7" t="str">
        <f aca="false">IF($B30="","",IF(MAX($O30:$S30)&lt;0,"Accept",MATCH(MAX($O30:$S30),$O30:$S30,0)))</f>
        <v/>
      </c>
      <c r="U30" s="8" t="str">
        <f aca="false">IF($B30="","",MAX($O30:$S30))</f>
        <v/>
      </c>
      <c r="V30" s="40" t="str">
        <f aca="false">IF($B30="","",IF($F30&gt;0,ROUND($O30/$F30,2),IF(N($O30)&gt;0,Lists!$F$2,0))+IF($W30="Yes",Lists!$I$2,0))</f>
        <v/>
      </c>
      <c r="W30" s="7" t="str">
        <f aca="false">IF($B30="","",IF(COUNTIFS($L$2:$L$41,$A30,$E$2:$E$41,"Open",$A$2:$A$41,"&lt;&gt;"&amp;$A30)&gt;0,"Yes","No"))</f>
        <v/>
      </c>
      <c r="X30" s="7" t="str">
        <f aca="false">IF($B30="","",IF($V30&gt;=Lists!$F$2,"High",IF($V30&gt;=Lists!$F$3,"Medium","Low")))</f>
        <v/>
      </c>
      <c r="Y30" s="7" t="str">
        <f aca="false">IF(OR($B30="",$E30&lt;&gt;"Open"),"",IF($L30="",(INDEX(Lists!$G$2:$G$4,MATCH($X30,Lists!$E$2:$E$4,0))*1000000000000-$U30-$H30),IFERROR(MAX((INDEX(Lists!$G$2:$G$4,MATCH($X30,Lists!$E$2:$E$4,0))*1000000000000-$U30-$H30),INDEX($Y$2:$Y$41,MATCH($L30,$A$2:$A$41,0))+1),(INDEX(Lists!$G$2:$G$4,MATCH($X30,Lists!$E$2:$E$4,0))*1000000000000-$U30-$H30))))</f>
        <v/>
      </c>
      <c r="Z30" s="7" t="str">
        <f aca="false">IF($Y30="","",RANK($Y30,$Y$2:$Y$41,1)+COUNTIF($Y$2:$Y30,$Y30)-1)</f>
        <v/>
      </c>
      <c r="AA30" s="7" t="str">
        <f aca="false">""</f>
        <v/>
      </c>
      <c r="AB30" s="8" t="str">
        <f aca="false">IF(OR($B30="",1&gt;Parameters!$B$7),"",IF(1&lt;=0,0,IF(ABS((1+$H30)/(1+Parameters!$B$10)-1)&lt;0.000001,1*$G30/(1+Parameters!$B$10),$G30/(1+Parameters!$B$10)*(1-((1+$H30)/(1+Parameters!$B$10))^1)/(1-(1+$H30)/(1+Parameters!$B$10))))+$F30/(1+Parameters!$B$10)^1+IF(1&lt;=0,0,IF(Parameters!$B$10=0,1*$I30*$J30,$I30*$J30*(1-(1/(1+Parameters!$B$10))^1)/Parameters!$B$10)))</f>
        <v/>
      </c>
      <c r="AC30" s="8" t="str">
        <f aca="false">IF(OR($B30="",2&gt;Parameters!$B$7),"",IF(2&lt;=0,0,IF(ABS((1+$H30)/(1+Parameters!$B$10)-1)&lt;0.000001,2*$G30/(1+Parameters!$B$10),$G30/(1+Parameters!$B$10)*(1-((1+$H30)/(1+Parameters!$B$10))^2)/(1-(1+$H30)/(1+Parameters!$B$10))))+$F30/(1+Parameters!$B$10)^2+IF(2&lt;=0,0,IF(Parameters!$B$10=0,2*$I30*$J30,$I30*$J30*(1-(1/(1+Parameters!$B$10))^2)/Parameters!$B$10)))</f>
        <v/>
      </c>
      <c r="AD30" s="8" t="str">
        <f aca="false">IF(OR($B30="",3&gt;Parameters!$B$7),"",IF(3&lt;=0,0,IF(ABS((1+$H30)/(1+Parameters!$B$10)-1)&lt;0.000001,3*$G30/(1+Parameters!$B$10),$G30/(1+Parameters!$B$10)*(1-((1+$H30)/(1+Parameters!$B$10))^3)/(1-(1+$H30)/(1+Parameters!$B$10))))+$F30/(1+Parameters!$B$10)^3+IF(3&lt;=0,0,IF(Parameters!$B$10=0,3*$I30*$J30,$I30*$J30*(1-(1/(1+Parameters!$B$10))^3)/Parameters!$B$10)))</f>
        <v/>
      </c>
      <c r="AE30" s="8" t="str">
        <f aca="false">IF(OR($B30="",4&gt;Parameters!$B$7),"",IF(4&lt;=0,0,IF(ABS((1+$H30)/(1+Parameters!$B$10)-1)&lt;0.000001,4*$G30/(1+Parameters!$B$10),$G30/(1+Parameters!$B$10)*(1-((1+$H30)/(1+Parameters!$B$10))^4)/(1-(1+$H30)/(1+Parameters!$B$10))))+$F30/(1+Parameters!$B$10)^4+IF(4&lt;=0,0,IF(Parameters!$B$10=0,4*$I30*$J30,$I30*$J30*(1-(1/(1+Parameters!$B$10))^4)/Parameters!$B$10)))</f>
        <v/>
      </c>
      <c r="AF30" s="8" t="str">
        <f aca="false">IF(OR($B30="",5&gt;Parameters!$B$7),"",IF(5&lt;=0,0,IF(ABS((1+$H30)/(1+Parameters!$B$10)-1)&lt;0.000001,5*$G30/(1+Parameters!$B$10),$G30/(1+Parameters!$B$10)*(1-((1+$H30)/(1+Parameters!$B$10))^5)/(1-(1+$H30)/(1+Parameters!$B$10))))+$F30/(1+Parameters!$B$10)^5+IF(5&lt;=0,0,IF(Parameters!$B$10=0,5*$I30*$J30,$I30*$J30*(1-(1/(1+Parameters!$B$10))^5)/Parameters!$B$10)))</f>
        <v/>
      </c>
      <c r="AG30" s="8" t="str">
        <f aca="false">IF(OR($B30="",1&gt;Parameters!$B$7),"",$G30*(1+$H30)^(1-1))</f>
        <v/>
      </c>
      <c r="AH30" s="8" t="str">
        <f aca="false">IF(OR($B30="",2&gt;Parameters!$B$7),"",$G30*(1+$H30)^(2-1))</f>
        <v/>
      </c>
      <c r="AI30" s="8" t="str">
        <f aca="false">IF(OR($B30="",3&gt;Parameters!$B$7),"",$G30*(1+$H30)^(3-1))</f>
        <v/>
      </c>
      <c r="AJ30" s="8" t="str">
        <f aca="false">IF(OR($B30="",4&gt;Parameters!$B$7),"",$G30*(1+$H30)^(4-1))</f>
        <v/>
      </c>
      <c r="AK30" s="8" t="str">
        <f aca="false">IF(OR($B30="",5&gt;Parameters!$B$7),"",$G30*(1+$H30)^(5-1))</f>
        <v/>
      </c>
    </row>
    <row r="31" customFormat="false" ht="15" hidden="false" customHeight="false" outlineLevel="0" collapsed="false">
      <c r="A31" s="33"/>
      <c r="B31" s="33"/>
      <c r="C31" s="33"/>
      <c r="D31" s="33"/>
      <c r="E31" s="33"/>
      <c r="F31" s="35"/>
      <c r="G31" s="35"/>
      <c r="H31" s="37"/>
      <c r="I31" s="37"/>
      <c r="J31" s="35"/>
      <c r="K31" s="36"/>
      <c r="L31" s="33"/>
      <c r="M31" s="8" t="str">
        <f aca="false">IF($B31="","",$G31+$I31*$J31)</f>
        <v/>
      </c>
      <c r="N31" s="8" t="str">
        <f aca="false">IF($B31="","",IF(Parameters!$B$7&lt;=0,0,IF(ABS((1+$H31)/(1+Parameters!$B$10)-1)&lt;0.000001,Parameters!$B$7*$G31/(1+Parameters!$B$10),$G31/(1+Parameters!$B$10)*(1-((1+$H31)/(1+Parameters!$B$10))^Parameters!$B$7)/(1-(1+$H31)/(1+Parameters!$B$10))))+IF(Parameters!$B$7&lt;=0,0,IF(Parameters!$B$10=0,Parameters!$B$7*$I31*$J31,$I31*$J31*(1-(1/(1+Parameters!$B$10))^Parameters!$B$7)/Parameters!$B$10)))</f>
        <v/>
      </c>
      <c r="O31" s="8" t="str">
        <f aca="false">IF(OR($B31="",1&gt;Parameters!$B$7),"",$N31-AB31)</f>
        <v/>
      </c>
      <c r="P31" s="8" t="str">
        <f aca="false">IF(OR($B31="",2&gt;Parameters!$B$7),"",$N31-AC31)</f>
        <v/>
      </c>
      <c r="Q31" s="8" t="str">
        <f aca="false">IF(OR($B31="",3&gt;Parameters!$B$7),"",$N31-AD31)</f>
        <v/>
      </c>
      <c r="R31" s="8" t="str">
        <f aca="false">IF(OR($B31="",4&gt;Parameters!$B$7),"",$N31-AE31)</f>
        <v/>
      </c>
      <c r="S31" s="8" t="str">
        <f aca="false">IF(OR($B31="",5&gt;Parameters!$B$7),"",$N31-AF31)</f>
        <v/>
      </c>
      <c r="T31" s="7" t="str">
        <f aca="false">IF($B31="","",IF(MAX($O31:$S31)&lt;0,"Accept",MATCH(MAX($O31:$S31),$O31:$S31,0)))</f>
        <v/>
      </c>
      <c r="U31" s="8" t="str">
        <f aca="false">IF($B31="","",MAX($O31:$S31))</f>
        <v/>
      </c>
      <c r="V31" s="40" t="str">
        <f aca="false">IF($B31="","",IF($F31&gt;0,ROUND($O31/$F31,2),IF(N($O31)&gt;0,Lists!$F$2,0))+IF($W31="Yes",Lists!$I$2,0))</f>
        <v/>
      </c>
      <c r="W31" s="7" t="str">
        <f aca="false">IF($B31="","",IF(COUNTIFS($L$2:$L$41,$A31,$E$2:$E$41,"Open",$A$2:$A$41,"&lt;&gt;"&amp;$A31)&gt;0,"Yes","No"))</f>
        <v/>
      </c>
      <c r="X31" s="7" t="str">
        <f aca="false">IF($B31="","",IF($V31&gt;=Lists!$F$2,"High",IF($V31&gt;=Lists!$F$3,"Medium","Low")))</f>
        <v/>
      </c>
      <c r="Y31" s="7" t="str">
        <f aca="false">IF(OR($B31="",$E31&lt;&gt;"Open"),"",IF($L31="",(INDEX(Lists!$G$2:$G$4,MATCH($X31,Lists!$E$2:$E$4,0))*1000000000000-$U31-$H31),IFERROR(MAX((INDEX(Lists!$G$2:$G$4,MATCH($X31,Lists!$E$2:$E$4,0))*1000000000000-$U31-$H31),INDEX($Y$2:$Y$41,MATCH($L31,$A$2:$A$41,0))+1),(INDEX(Lists!$G$2:$G$4,MATCH($X31,Lists!$E$2:$E$4,0))*1000000000000-$U31-$H31))))</f>
        <v/>
      </c>
      <c r="Z31" s="7" t="str">
        <f aca="false">IF($Y31="","",RANK($Y31,$Y$2:$Y$41,1)+COUNTIF($Y$2:$Y31,$Y31)-1)</f>
        <v/>
      </c>
      <c r="AA31" s="7" t="str">
        <f aca="false">""</f>
        <v/>
      </c>
      <c r="AB31" s="8" t="str">
        <f aca="false">IF(OR($B31="",1&gt;Parameters!$B$7),"",IF(1&lt;=0,0,IF(ABS((1+$H31)/(1+Parameters!$B$10)-1)&lt;0.000001,1*$G31/(1+Parameters!$B$10),$G31/(1+Parameters!$B$10)*(1-((1+$H31)/(1+Parameters!$B$10))^1)/(1-(1+$H31)/(1+Parameters!$B$10))))+$F31/(1+Parameters!$B$10)^1+IF(1&lt;=0,0,IF(Parameters!$B$10=0,1*$I31*$J31,$I31*$J31*(1-(1/(1+Parameters!$B$10))^1)/Parameters!$B$10)))</f>
        <v/>
      </c>
      <c r="AC31" s="8" t="str">
        <f aca="false">IF(OR($B31="",2&gt;Parameters!$B$7),"",IF(2&lt;=0,0,IF(ABS((1+$H31)/(1+Parameters!$B$10)-1)&lt;0.000001,2*$G31/(1+Parameters!$B$10),$G31/(1+Parameters!$B$10)*(1-((1+$H31)/(1+Parameters!$B$10))^2)/(1-(1+$H31)/(1+Parameters!$B$10))))+$F31/(1+Parameters!$B$10)^2+IF(2&lt;=0,0,IF(Parameters!$B$10=0,2*$I31*$J31,$I31*$J31*(1-(1/(1+Parameters!$B$10))^2)/Parameters!$B$10)))</f>
        <v/>
      </c>
      <c r="AD31" s="8" t="str">
        <f aca="false">IF(OR($B31="",3&gt;Parameters!$B$7),"",IF(3&lt;=0,0,IF(ABS((1+$H31)/(1+Parameters!$B$10)-1)&lt;0.000001,3*$G31/(1+Parameters!$B$10),$G31/(1+Parameters!$B$10)*(1-((1+$H31)/(1+Parameters!$B$10))^3)/(1-(1+$H31)/(1+Parameters!$B$10))))+$F31/(1+Parameters!$B$10)^3+IF(3&lt;=0,0,IF(Parameters!$B$10=0,3*$I31*$J31,$I31*$J31*(1-(1/(1+Parameters!$B$10))^3)/Parameters!$B$10)))</f>
        <v/>
      </c>
      <c r="AE31" s="8" t="str">
        <f aca="false">IF(OR($B31="",4&gt;Parameters!$B$7),"",IF(4&lt;=0,0,IF(ABS((1+$H31)/(1+Parameters!$B$10)-1)&lt;0.000001,4*$G31/(1+Parameters!$B$10),$G31/(1+Parameters!$B$10)*(1-((1+$H31)/(1+Parameters!$B$10))^4)/(1-(1+$H31)/(1+Parameters!$B$10))))+$F31/(1+Parameters!$B$10)^4+IF(4&lt;=0,0,IF(Parameters!$B$10=0,4*$I31*$J31,$I31*$J31*(1-(1/(1+Parameters!$B$10))^4)/Parameters!$B$10)))</f>
        <v/>
      </c>
      <c r="AF31" s="8" t="str">
        <f aca="false">IF(OR($B31="",5&gt;Parameters!$B$7),"",IF(5&lt;=0,0,IF(ABS((1+$H31)/(1+Parameters!$B$10)-1)&lt;0.000001,5*$G31/(1+Parameters!$B$10),$G31/(1+Parameters!$B$10)*(1-((1+$H31)/(1+Parameters!$B$10))^5)/(1-(1+$H31)/(1+Parameters!$B$10))))+$F31/(1+Parameters!$B$10)^5+IF(5&lt;=0,0,IF(Parameters!$B$10=0,5*$I31*$J31,$I31*$J31*(1-(1/(1+Parameters!$B$10))^5)/Parameters!$B$10)))</f>
        <v/>
      </c>
      <c r="AG31" s="8" t="str">
        <f aca="false">IF(OR($B31="",1&gt;Parameters!$B$7),"",$G31*(1+$H31)^(1-1))</f>
        <v/>
      </c>
      <c r="AH31" s="8" t="str">
        <f aca="false">IF(OR($B31="",2&gt;Parameters!$B$7),"",$G31*(1+$H31)^(2-1))</f>
        <v/>
      </c>
      <c r="AI31" s="8" t="str">
        <f aca="false">IF(OR($B31="",3&gt;Parameters!$B$7),"",$G31*(1+$H31)^(3-1))</f>
        <v/>
      </c>
      <c r="AJ31" s="8" t="str">
        <f aca="false">IF(OR($B31="",4&gt;Parameters!$B$7),"",$G31*(1+$H31)^(4-1))</f>
        <v/>
      </c>
      <c r="AK31" s="8" t="str">
        <f aca="false">IF(OR($B31="",5&gt;Parameters!$B$7),"",$G31*(1+$H31)^(5-1))</f>
        <v/>
      </c>
    </row>
    <row r="32" customFormat="false" ht="15" hidden="false" customHeight="false" outlineLevel="0" collapsed="false">
      <c r="A32" s="33"/>
      <c r="B32" s="33"/>
      <c r="C32" s="33"/>
      <c r="D32" s="33"/>
      <c r="E32" s="33"/>
      <c r="F32" s="35"/>
      <c r="G32" s="35"/>
      <c r="H32" s="37"/>
      <c r="I32" s="37"/>
      <c r="J32" s="35"/>
      <c r="K32" s="36"/>
      <c r="L32" s="33"/>
      <c r="M32" s="8" t="str">
        <f aca="false">IF($B32="","",$G32+$I32*$J32)</f>
        <v/>
      </c>
      <c r="N32" s="8" t="str">
        <f aca="false">IF($B32="","",IF(Parameters!$B$7&lt;=0,0,IF(ABS((1+$H32)/(1+Parameters!$B$10)-1)&lt;0.000001,Parameters!$B$7*$G32/(1+Parameters!$B$10),$G32/(1+Parameters!$B$10)*(1-((1+$H32)/(1+Parameters!$B$10))^Parameters!$B$7)/(1-(1+$H32)/(1+Parameters!$B$10))))+IF(Parameters!$B$7&lt;=0,0,IF(Parameters!$B$10=0,Parameters!$B$7*$I32*$J32,$I32*$J32*(1-(1/(1+Parameters!$B$10))^Parameters!$B$7)/Parameters!$B$10)))</f>
        <v/>
      </c>
      <c r="O32" s="8" t="str">
        <f aca="false">IF(OR($B32="",1&gt;Parameters!$B$7),"",$N32-AB32)</f>
        <v/>
      </c>
      <c r="P32" s="8" t="str">
        <f aca="false">IF(OR($B32="",2&gt;Parameters!$B$7),"",$N32-AC32)</f>
        <v/>
      </c>
      <c r="Q32" s="8" t="str">
        <f aca="false">IF(OR($B32="",3&gt;Parameters!$B$7),"",$N32-AD32)</f>
        <v/>
      </c>
      <c r="R32" s="8" t="str">
        <f aca="false">IF(OR($B32="",4&gt;Parameters!$B$7),"",$N32-AE32)</f>
        <v/>
      </c>
      <c r="S32" s="8" t="str">
        <f aca="false">IF(OR($B32="",5&gt;Parameters!$B$7),"",$N32-AF32)</f>
        <v/>
      </c>
      <c r="T32" s="7" t="str">
        <f aca="false">IF($B32="","",IF(MAX($O32:$S32)&lt;0,"Accept",MATCH(MAX($O32:$S32),$O32:$S32,0)))</f>
        <v/>
      </c>
      <c r="U32" s="8" t="str">
        <f aca="false">IF($B32="","",MAX($O32:$S32))</f>
        <v/>
      </c>
      <c r="V32" s="40" t="str">
        <f aca="false">IF($B32="","",IF($F32&gt;0,ROUND($O32/$F32,2),IF(N($O32)&gt;0,Lists!$F$2,0))+IF($W32="Yes",Lists!$I$2,0))</f>
        <v/>
      </c>
      <c r="W32" s="7" t="str">
        <f aca="false">IF($B32="","",IF(COUNTIFS($L$2:$L$41,$A32,$E$2:$E$41,"Open",$A$2:$A$41,"&lt;&gt;"&amp;$A32)&gt;0,"Yes","No"))</f>
        <v/>
      </c>
      <c r="X32" s="7" t="str">
        <f aca="false">IF($B32="","",IF($V32&gt;=Lists!$F$2,"High",IF($V32&gt;=Lists!$F$3,"Medium","Low")))</f>
        <v/>
      </c>
      <c r="Y32" s="7" t="str">
        <f aca="false">IF(OR($B32="",$E32&lt;&gt;"Open"),"",IF($L32="",(INDEX(Lists!$G$2:$G$4,MATCH($X32,Lists!$E$2:$E$4,0))*1000000000000-$U32-$H32),IFERROR(MAX((INDEX(Lists!$G$2:$G$4,MATCH($X32,Lists!$E$2:$E$4,0))*1000000000000-$U32-$H32),INDEX($Y$2:$Y$41,MATCH($L32,$A$2:$A$41,0))+1),(INDEX(Lists!$G$2:$G$4,MATCH($X32,Lists!$E$2:$E$4,0))*1000000000000-$U32-$H32))))</f>
        <v/>
      </c>
      <c r="Z32" s="7" t="str">
        <f aca="false">IF($Y32="","",RANK($Y32,$Y$2:$Y$41,1)+COUNTIF($Y$2:$Y32,$Y32)-1)</f>
        <v/>
      </c>
      <c r="AA32" s="7" t="str">
        <f aca="false">""</f>
        <v/>
      </c>
      <c r="AB32" s="8" t="str">
        <f aca="false">IF(OR($B32="",1&gt;Parameters!$B$7),"",IF(1&lt;=0,0,IF(ABS((1+$H32)/(1+Parameters!$B$10)-1)&lt;0.000001,1*$G32/(1+Parameters!$B$10),$G32/(1+Parameters!$B$10)*(1-((1+$H32)/(1+Parameters!$B$10))^1)/(1-(1+$H32)/(1+Parameters!$B$10))))+$F32/(1+Parameters!$B$10)^1+IF(1&lt;=0,0,IF(Parameters!$B$10=0,1*$I32*$J32,$I32*$J32*(1-(1/(1+Parameters!$B$10))^1)/Parameters!$B$10)))</f>
        <v/>
      </c>
      <c r="AC32" s="8" t="str">
        <f aca="false">IF(OR($B32="",2&gt;Parameters!$B$7),"",IF(2&lt;=0,0,IF(ABS((1+$H32)/(1+Parameters!$B$10)-1)&lt;0.000001,2*$G32/(1+Parameters!$B$10),$G32/(1+Parameters!$B$10)*(1-((1+$H32)/(1+Parameters!$B$10))^2)/(1-(1+$H32)/(1+Parameters!$B$10))))+$F32/(1+Parameters!$B$10)^2+IF(2&lt;=0,0,IF(Parameters!$B$10=0,2*$I32*$J32,$I32*$J32*(1-(1/(1+Parameters!$B$10))^2)/Parameters!$B$10)))</f>
        <v/>
      </c>
      <c r="AD32" s="8" t="str">
        <f aca="false">IF(OR($B32="",3&gt;Parameters!$B$7),"",IF(3&lt;=0,0,IF(ABS((1+$H32)/(1+Parameters!$B$10)-1)&lt;0.000001,3*$G32/(1+Parameters!$B$10),$G32/(1+Parameters!$B$10)*(1-((1+$H32)/(1+Parameters!$B$10))^3)/(1-(1+$H32)/(1+Parameters!$B$10))))+$F32/(1+Parameters!$B$10)^3+IF(3&lt;=0,0,IF(Parameters!$B$10=0,3*$I32*$J32,$I32*$J32*(1-(1/(1+Parameters!$B$10))^3)/Parameters!$B$10)))</f>
        <v/>
      </c>
      <c r="AE32" s="8" t="str">
        <f aca="false">IF(OR($B32="",4&gt;Parameters!$B$7),"",IF(4&lt;=0,0,IF(ABS((1+$H32)/(1+Parameters!$B$10)-1)&lt;0.000001,4*$G32/(1+Parameters!$B$10),$G32/(1+Parameters!$B$10)*(1-((1+$H32)/(1+Parameters!$B$10))^4)/(1-(1+$H32)/(1+Parameters!$B$10))))+$F32/(1+Parameters!$B$10)^4+IF(4&lt;=0,0,IF(Parameters!$B$10=0,4*$I32*$J32,$I32*$J32*(1-(1/(1+Parameters!$B$10))^4)/Parameters!$B$10)))</f>
        <v/>
      </c>
      <c r="AF32" s="8" t="str">
        <f aca="false">IF(OR($B32="",5&gt;Parameters!$B$7),"",IF(5&lt;=0,0,IF(ABS((1+$H32)/(1+Parameters!$B$10)-1)&lt;0.000001,5*$G32/(1+Parameters!$B$10),$G32/(1+Parameters!$B$10)*(1-((1+$H32)/(1+Parameters!$B$10))^5)/(1-(1+$H32)/(1+Parameters!$B$10))))+$F32/(1+Parameters!$B$10)^5+IF(5&lt;=0,0,IF(Parameters!$B$10=0,5*$I32*$J32,$I32*$J32*(1-(1/(1+Parameters!$B$10))^5)/Parameters!$B$10)))</f>
        <v/>
      </c>
      <c r="AG32" s="8" t="str">
        <f aca="false">IF(OR($B32="",1&gt;Parameters!$B$7),"",$G32*(1+$H32)^(1-1))</f>
        <v/>
      </c>
      <c r="AH32" s="8" t="str">
        <f aca="false">IF(OR($B32="",2&gt;Parameters!$B$7),"",$G32*(1+$H32)^(2-1))</f>
        <v/>
      </c>
      <c r="AI32" s="8" t="str">
        <f aca="false">IF(OR($B32="",3&gt;Parameters!$B$7),"",$G32*(1+$H32)^(3-1))</f>
        <v/>
      </c>
      <c r="AJ32" s="8" t="str">
        <f aca="false">IF(OR($B32="",4&gt;Parameters!$B$7),"",$G32*(1+$H32)^(4-1))</f>
        <v/>
      </c>
      <c r="AK32" s="8" t="str">
        <f aca="false">IF(OR($B32="",5&gt;Parameters!$B$7),"",$G32*(1+$H32)^(5-1))</f>
        <v/>
      </c>
    </row>
    <row r="33" customFormat="false" ht="15" hidden="false" customHeight="false" outlineLevel="0" collapsed="false">
      <c r="A33" s="33"/>
      <c r="B33" s="33"/>
      <c r="C33" s="33"/>
      <c r="D33" s="33"/>
      <c r="E33" s="33"/>
      <c r="F33" s="35"/>
      <c r="G33" s="35"/>
      <c r="H33" s="37"/>
      <c r="I33" s="37"/>
      <c r="J33" s="35"/>
      <c r="K33" s="36"/>
      <c r="L33" s="33"/>
      <c r="M33" s="8" t="str">
        <f aca="false">IF($B33="","",$G33+$I33*$J33)</f>
        <v/>
      </c>
      <c r="N33" s="8" t="str">
        <f aca="false">IF($B33="","",IF(Parameters!$B$7&lt;=0,0,IF(ABS((1+$H33)/(1+Parameters!$B$10)-1)&lt;0.000001,Parameters!$B$7*$G33/(1+Parameters!$B$10),$G33/(1+Parameters!$B$10)*(1-((1+$H33)/(1+Parameters!$B$10))^Parameters!$B$7)/(1-(1+$H33)/(1+Parameters!$B$10))))+IF(Parameters!$B$7&lt;=0,0,IF(Parameters!$B$10=0,Parameters!$B$7*$I33*$J33,$I33*$J33*(1-(1/(1+Parameters!$B$10))^Parameters!$B$7)/Parameters!$B$10)))</f>
        <v/>
      </c>
      <c r="O33" s="8" t="str">
        <f aca="false">IF(OR($B33="",1&gt;Parameters!$B$7),"",$N33-AB33)</f>
        <v/>
      </c>
      <c r="P33" s="8" t="str">
        <f aca="false">IF(OR($B33="",2&gt;Parameters!$B$7),"",$N33-AC33)</f>
        <v/>
      </c>
      <c r="Q33" s="8" t="str">
        <f aca="false">IF(OR($B33="",3&gt;Parameters!$B$7),"",$N33-AD33)</f>
        <v/>
      </c>
      <c r="R33" s="8" t="str">
        <f aca="false">IF(OR($B33="",4&gt;Parameters!$B$7),"",$N33-AE33)</f>
        <v/>
      </c>
      <c r="S33" s="8" t="str">
        <f aca="false">IF(OR($B33="",5&gt;Parameters!$B$7),"",$N33-AF33)</f>
        <v/>
      </c>
      <c r="T33" s="7" t="str">
        <f aca="false">IF($B33="","",IF(MAX($O33:$S33)&lt;0,"Accept",MATCH(MAX($O33:$S33),$O33:$S33,0)))</f>
        <v/>
      </c>
      <c r="U33" s="8" t="str">
        <f aca="false">IF($B33="","",MAX($O33:$S33))</f>
        <v/>
      </c>
      <c r="V33" s="40" t="str">
        <f aca="false">IF($B33="","",IF($F33&gt;0,ROUND($O33/$F33,2),IF(N($O33)&gt;0,Lists!$F$2,0))+IF($W33="Yes",Lists!$I$2,0))</f>
        <v/>
      </c>
      <c r="W33" s="7" t="str">
        <f aca="false">IF($B33="","",IF(COUNTIFS($L$2:$L$41,$A33,$E$2:$E$41,"Open",$A$2:$A$41,"&lt;&gt;"&amp;$A33)&gt;0,"Yes","No"))</f>
        <v/>
      </c>
      <c r="X33" s="7" t="str">
        <f aca="false">IF($B33="","",IF($V33&gt;=Lists!$F$2,"High",IF($V33&gt;=Lists!$F$3,"Medium","Low")))</f>
        <v/>
      </c>
      <c r="Y33" s="7" t="str">
        <f aca="false">IF(OR($B33="",$E33&lt;&gt;"Open"),"",IF($L33="",(INDEX(Lists!$G$2:$G$4,MATCH($X33,Lists!$E$2:$E$4,0))*1000000000000-$U33-$H33),IFERROR(MAX((INDEX(Lists!$G$2:$G$4,MATCH($X33,Lists!$E$2:$E$4,0))*1000000000000-$U33-$H33),INDEX($Y$2:$Y$41,MATCH($L33,$A$2:$A$41,0))+1),(INDEX(Lists!$G$2:$G$4,MATCH($X33,Lists!$E$2:$E$4,0))*1000000000000-$U33-$H33))))</f>
        <v/>
      </c>
      <c r="Z33" s="7" t="str">
        <f aca="false">IF($Y33="","",RANK($Y33,$Y$2:$Y$41,1)+COUNTIF($Y$2:$Y33,$Y33)-1)</f>
        <v/>
      </c>
      <c r="AA33" s="7" t="str">
        <f aca="false">""</f>
        <v/>
      </c>
      <c r="AB33" s="8" t="str">
        <f aca="false">IF(OR($B33="",1&gt;Parameters!$B$7),"",IF(1&lt;=0,0,IF(ABS((1+$H33)/(1+Parameters!$B$10)-1)&lt;0.000001,1*$G33/(1+Parameters!$B$10),$G33/(1+Parameters!$B$10)*(1-((1+$H33)/(1+Parameters!$B$10))^1)/(1-(1+$H33)/(1+Parameters!$B$10))))+$F33/(1+Parameters!$B$10)^1+IF(1&lt;=0,0,IF(Parameters!$B$10=0,1*$I33*$J33,$I33*$J33*(1-(1/(1+Parameters!$B$10))^1)/Parameters!$B$10)))</f>
        <v/>
      </c>
      <c r="AC33" s="8" t="str">
        <f aca="false">IF(OR($B33="",2&gt;Parameters!$B$7),"",IF(2&lt;=0,0,IF(ABS((1+$H33)/(1+Parameters!$B$10)-1)&lt;0.000001,2*$G33/(1+Parameters!$B$10),$G33/(1+Parameters!$B$10)*(1-((1+$H33)/(1+Parameters!$B$10))^2)/(1-(1+$H33)/(1+Parameters!$B$10))))+$F33/(1+Parameters!$B$10)^2+IF(2&lt;=0,0,IF(Parameters!$B$10=0,2*$I33*$J33,$I33*$J33*(1-(1/(1+Parameters!$B$10))^2)/Parameters!$B$10)))</f>
        <v/>
      </c>
      <c r="AD33" s="8" t="str">
        <f aca="false">IF(OR($B33="",3&gt;Parameters!$B$7),"",IF(3&lt;=0,0,IF(ABS((1+$H33)/(1+Parameters!$B$10)-1)&lt;0.000001,3*$G33/(1+Parameters!$B$10),$G33/(1+Parameters!$B$10)*(1-((1+$H33)/(1+Parameters!$B$10))^3)/(1-(1+$H33)/(1+Parameters!$B$10))))+$F33/(1+Parameters!$B$10)^3+IF(3&lt;=0,0,IF(Parameters!$B$10=0,3*$I33*$J33,$I33*$J33*(1-(1/(1+Parameters!$B$10))^3)/Parameters!$B$10)))</f>
        <v/>
      </c>
      <c r="AE33" s="8" t="str">
        <f aca="false">IF(OR($B33="",4&gt;Parameters!$B$7),"",IF(4&lt;=0,0,IF(ABS((1+$H33)/(1+Parameters!$B$10)-1)&lt;0.000001,4*$G33/(1+Parameters!$B$10),$G33/(1+Parameters!$B$10)*(1-((1+$H33)/(1+Parameters!$B$10))^4)/(1-(1+$H33)/(1+Parameters!$B$10))))+$F33/(1+Parameters!$B$10)^4+IF(4&lt;=0,0,IF(Parameters!$B$10=0,4*$I33*$J33,$I33*$J33*(1-(1/(1+Parameters!$B$10))^4)/Parameters!$B$10)))</f>
        <v/>
      </c>
      <c r="AF33" s="8" t="str">
        <f aca="false">IF(OR($B33="",5&gt;Parameters!$B$7),"",IF(5&lt;=0,0,IF(ABS((1+$H33)/(1+Parameters!$B$10)-1)&lt;0.000001,5*$G33/(1+Parameters!$B$10),$G33/(1+Parameters!$B$10)*(1-((1+$H33)/(1+Parameters!$B$10))^5)/(1-(1+$H33)/(1+Parameters!$B$10))))+$F33/(1+Parameters!$B$10)^5+IF(5&lt;=0,0,IF(Parameters!$B$10=0,5*$I33*$J33,$I33*$J33*(1-(1/(1+Parameters!$B$10))^5)/Parameters!$B$10)))</f>
        <v/>
      </c>
      <c r="AG33" s="8" t="str">
        <f aca="false">IF(OR($B33="",1&gt;Parameters!$B$7),"",$G33*(1+$H33)^(1-1))</f>
        <v/>
      </c>
      <c r="AH33" s="8" t="str">
        <f aca="false">IF(OR($B33="",2&gt;Parameters!$B$7),"",$G33*(1+$H33)^(2-1))</f>
        <v/>
      </c>
      <c r="AI33" s="8" t="str">
        <f aca="false">IF(OR($B33="",3&gt;Parameters!$B$7),"",$G33*(1+$H33)^(3-1))</f>
        <v/>
      </c>
      <c r="AJ33" s="8" t="str">
        <f aca="false">IF(OR($B33="",4&gt;Parameters!$B$7),"",$G33*(1+$H33)^(4-1))</f>
        <v/>
      </c>
      <c r="AK33" s="8" t="str">
        <f aca="false">IF(OR($B33="",5&gt;Parameters!$B$7),"",$G33*(1+$H33)^(5-1))</f>
        <v/>
      </c>
    </row>
    <row r="34" customFormat="false" ht="15" hidden="false" customHeight="false" outlineLevel="0" collapsed="false">
      <c r="A34" s="33"/>
      <c r="B34" s="33"/>
      <c r="C34" s="33"/>
      <c r="D34" s="33"/>
      <c r="E34" s="33"/>
      <c r="F34" s="35"/>
      <c r="G34" s="35"/>
      <c r="H34" s="37"/>
      <c r="I34" s="37"/>
      <c r="J34" s="35"/>
      <c r="K34" s="36"/>
      <c r="L34" s="33"/>
      <c r="M34" s="8" t="str">
        <f aca="false">IF($B34="","",$G34+$I34*$J34)</f>
        <v/>
      </c>
      <c r="N34" s="8" t="str">
        <f aca="false">IF($B34="","",IF(Parameters!$B$7&lt;=0,0,IF(ABS((1+$H34)/(1+Parameters!$B$10)-1)&lt;0.000001,Parameters!$B$7*$G34/(1+Parameters!$B$10),$G34/(1+Parameters!$B$10)*(1-((1+$H34)/(1+Parameters!$B$10))^Parameters!$B$7)/(1-(1+$H34)/(1+Parameters!$B$10))))+IF(Parameters!$B$7&lt;=0,0,IF(Parameters!$B$10=0,Parameters!$B$7*$I34*$J34,$I34*$J34*(1-(1/(1+Parameters!$B$10))^Parameters!$B$7)/Parameters!$B$10)))</f>
        <v/>
      </c>
      <c r="O34" s="8" t="str">
        <f aca="false">IF(OR($B34="",1&gt;Parameters!$B$7),"",$N34-AB34)</f>
        <v/>
      </c>
      <c r="P34" s="8" t="str">
        <f aca="false">IF(OR($B34="",2&gt;Parameters!$B$7),"",$N34-AC34)</f>
        <v/>
      </c>
      <c r="Q34" s="8" t="str">
        <f aca="false">IF(OR($B34="",3&gt;Parameters!$B$7),"",$N34-AD34)</f>
        <v/>
      </c>
      <c r="R34" s="8" t="str">
        <f aca="false">IF(OR($B34="",4&gt;Parameters!$B$7),"",$N34-AE34)</f>
        <v/>
      </c>
      <c r="S34" s="8" t="str">
        <f aca="false">IF(OR($B34="",5&gt;Parameters!$B$7),"",$N34-AF34)</f>
        <v/>
      </c>
      <c r="T34" s="7" t="str">
        <f aca="false">IF($B34="","",IF(MAX($O34:$S34)&lt;0,"Accept",MATCH(MAX($O34:$S34),$O34:$S34,0)))</f>
        <v/>
      </c>
      <c r="U34" s="8" t="str">
        <f aca="false">IF($B34="","",MAX($O34:$S34))</f>
        <v/>
      </c>
      <c r="V34" s="40" t="str">
        <f aca="false">IF($B34="","",IF($F34&gt;0,ROUND($O34/$F34,2),IF(N($O34)&gt;0,Lists!$F$2,0))+IF($W34="Yes",Lists!$I$2,0))</f>
        <v/>
      </c>
      <c r="W34" s="7" t="str">
        <f aca="false">IF($B34="","",IF(COUNTIFS($L$2:$L$41,$A34,$E$2:$E$41,"Open",$A$2:$A$41,"&lt;&gt;"&amp;$A34)&gt;0,"Yes","No"))</f>
        <v/>
      </c>
      <c r="X34" s="7" t="str">
        <f aca="false">IF($B34="","",IF($V34&gt;=Lists!$F$2,"High",IF($V34&gt;=Lists!$F$3,"Medium","Low")))</f>
        <v/>
      </c>
      <c r="Y34" s="7" t="str">
        <f aca="false">IF(OR($B34="",$E34&lt;&gt;"Open"),"",IF($L34="",(INDEX(Lists!$G$2:$G$4,MATCH($X34,Lists!$E$2:$E$4,0))*1000000000000-$U34-$H34),IFERROR(MAX((INDEX(Lists!$G$2:$G$4,MATCH($X34,Lists!$E$2:$E$4,0))*1000000000000-$U34-$H34),INDEX($Y$2:$Y$41,MATCH($L34,$A$2:$A$41,0))+1),(INDEX(Lists!$G$2:$G$4,MATCH($X34,Lists!$E$2:$E$4,0))*1000000000000-$U34-$H34))))</f>
        <v/>
      </c>
      <c r="Z34" s="7" t="str">
        <f aca="false">IF($Y34="","",RANK($Y34,$Y$2:$Y$41,1)+COUNTIF($Y$2:$Y34,$Y34)-1)</f>
        <v/>
      </c>
      <c r="AA34" s="7" t="str">
        <f aca="false">""</f>
        <v/>
      </c>
      <c r="AB34" s="8" t="str">
        <f aca="false">IF(OR($B34="",1&gt;Parameters!$B$7),"",IF(1&lt;=0,0,IF(ABS((1+$H34)/(1+Parameters!$B$10)-1)&lt;0.000001,1*$G34/(1+Parameters!$B$10),$G34/(1+Parameters!$B$10)*(1-((1+$H34)/(1+Parameters!$B$10))^1)/(1-(1+$H34)/(1+Parameters!$B$10))))+$F34/(1+Parameters!$B$10)^1+IF(1&lt;=0,0,IF(Parameters!$B$10=0,1*$I34*$J34,$I34*$J34*(1-(1/(1+Parameters!$B$10))^1)/Parameters!$B$10)))</f>
        <v/>
      </c>
      <c r="AC34" s="8" t="str">
        <f aca="false">IF(OR($B34="",2&gt;Parameters!$B$7),"",IF(2&lt;=0,0,IF(ABS((1+$H34)/(1+Parameters!$B$10)-1)&lt;0.000001,2*$G34/(1+Parameters!$B$10),$G34/(1+Parameters!$B$10)*(1-((1+$H34)/(1+Parameters!$B$10))^2)/(1-(1+$H34)/(1+Parameters!$B$10))))+$F34/(1+Parameters!$B$10)^2+IF(2&lt;=0,0,IF(Parameters!$B$10=0,2*$I34*$J34,$I34*$J34*(1-(1/(1+Parameters!$B$10))^2)/Parameters!$B$10)))</f>
        <v/>
      </c>
      <c r="AD34" s="8" t="str">
        <f aca="false">IF(OR($B34="",3&gt;Parameters!$B$7),"",IF(3&lt;=0,0,IF(ABS((1+$H34)/(1+Parameters!$B$10)-1)&lt;0.000001,3*$G34/(1+Parameters!$B$10),$G34/(1+Parameters!$B$10)*(1-((1+$H34)/(1+Parameters!$B$10))^3)/(1-(1+$H34)/(1+Parameters!$B$10))))+$F34/(1+Parameters!$B$10)^3+IF(3&lt;=0,0,IF(Parameters!$B$10=0,3*$I34*$J34,$I34*$J34*(1-(1/(1+Parameters!$B$10))^3)/Parameters!$B$10)))</f>
        <v/>
      </c>
      <c r="AE34" s="8" t="str">
        <f aca="false">IF(OR($B34="",4&gt;Parameters!$B$7),"",IF(4&lt;=0,0,IF(ABS((1+$H34)/(1+Parameters!$B$10)-1)&lt;0.000001,4*$G34/(1+Parameters!$B$10),$G34/(1+Parameters!$B$10)*(1-((1+$H34)/(1+Parameters!$B$10))^4)/(1-(1+$H34)/(1+Parameters!$B$10))))+$F34/(1+Parameters!$B$10)^4+IF(4&lt;=0,0,IF(Parameters!$B$10=0,4*$I34*$J34,$I34*$J34*(1-(1/(1+Parameters!$B$10))^4)/Parameters!$B$10)))</f>
        <v/>
      </c>
      <c r="AF34" s="8" t="str">
        <f aca="false">IF(OR($B34="",5&gt;Parameters!$B$7),"",IF(5&lt;=0,0,IF(ABS((1+$H34)/(1+Parameters!$B$10)-1)&lt;0.000001,5*$G34/(1+Parameters!$B$10),$G34/(1+Parameters!$B$10)*(1-((1+$H34)/(1+Parameters!$B$10))^5)/(1-(1+$H34)/(1+Parameters!$B$10))))+$F34/(1+Parameters!$B$10)^5+IF(5&lt;=0,0,IF(Parameters!$B$10=0,5*$I34*$J34,$I34*$J34*(1-(1/(1+Parameters!$B$10))^5)/Parameters!$B$10)))</f>
        <v/>
      </c>
      <c r="AG34" s="8" t="str">
        <f aca="false">IF(OR($B34="",1&gt;Parameters!$B$7),"",$G34*(1+$H34)^(1-1))</f>
        <v/>
      </c>
      <c r="AH34" s="8" t="str">
        <f aca="false">IF(OR($B34="",2&gt;Parameters!$B$7),"",$G34*(1+$H34)^(2-1))</f>
        <v/>
      </c>
      <c r="AI34" s="8" t="str">
        <f aca="false">IF(OR($B34="",3&gt;Parameters!$B$7),"",$G34*(1+$H34)^(3-1))</f>
        <v/>
      </c>
      <c r="AJ34" s="8" t="str">
        <f aca="false">IF(OR($B34="",4&gt;Parameters!$B$7),"",$G34*(1+$H34)^(4-1))</f>
        <v/>
      </c>
      <c r="AK34" s="8" t="str">
        <f aca="false">IF(OR($B34="",5&gt;Parameters!$B$7),"",$G34*(1+$H34)^(5-1))</f>
        <v/>
      </c>
    </row>
    <row r="35" customFormat="false" ht="15" hidden="false" customHeight="false" outlineLevel="0" collapsed="false">
      <c r="A35" s="33"/>
      <c r="B35" s="33"/>
      <c r="C35" s="33"/>
      <c r="D35" s="33"/>
      <c r="E35" s="33"/>
      <c r="F35" s="35"/>
      <c r="G35" s="35"/>
      <c r="H35" s="37"/>
      <c r="I35" s="37"/>
      <c r="J35" s="35"/>
      <c r="K35" s="36"/>
      <c r="L35" s="33"/>
      <c r="M35" s="8" t="str">
        <f aca="false">IF($B35="","",$G35+$I35*$J35)</f>
        <v/>
      </c>
      <c r="N35" s="8" t="str">
        <f aca="false">IF($B35="","",IF(Parameters!$B$7&lt;=0,0,IF(ABS((1+$H35)/(1+Parameters!$B$10)-1)&lt;0.000001,Parameters!$B$7*$G35/(1+Parameters!$B$10),$G35/(1+Parameters!$B$10)*(1-((1+$H35)/(1+Parameters!$B$10))^Parameters!$B$7)/(1-(1+$H35)/(1+Parameters!$B$10))))+IF(Parameters!$B$7&lt;=0,0,IF(Parameters!$B$10=0,Parameters!$B$7*$I35*$J35,$I35*$J35*(1-(1/(1+Parameters!$B$10))^Parameters!$B$7)/Parameters!$B$10)))</f>
        <v/>
      </c>
      <c r="O35" s="8" t="str">
        <f aca="false">IF(OR($B35="",1&gt;Parameters!$B$7),"",$N35-AB35)</f>
        <v/>
      </c>
      <c r="P35" s="8" t="str">
        <f aca="false">IF(OR($B35="",2&gt;Parameters!$B$7),"",$N35-AC35)</f>
        <v/>
      </c>
      <c r="Q35" s="8" t="str">
        <f aca="false">IF(OR($B35="",3&gt;Parameters!$B$7),"",$N35-AD35)</f>
        <v/>
      </c>
      <c r="R35" s="8" t="str">
        <f aca="false">IF(OR($B35="",4&gt;Parameters!$B$7),"",$N35-AE35)</f>
        <v/>
      </c>
      <c r="S35" s="8" t="str">
        <f aca="false">IF(OR($B35="",5&gt;Parameters!$B$7),"",$N35-AF35)</f>
        <v/>
      </c>
      <c r="T35" s="7" t="str">
        <f aca="false">IF($B35="","",IF(MAX($O35:$S35)&lt;0,"Accept",MATCH(MAX($O35:$S35),$O35:$S35,0)))</f>
        <v/>
      </c>
      <c r="U35" s="8" t="str">
        <f aca="false">IF($B35="","",MAX($O35:$S35))</f>
        <v/>
      </c>
      <c r="V35" s="40" t="str">
        <f aca="false">IF($B35="","",IF($F35&gt;0,ROUND($O35/$F35,2),IF(N($O35)&gt;0,Lists!$F$2,0))+IF($W35="Yes",Lists!$I$2,0))</f>
        <v/>
      </c>
      <c r="W35" s="7" t="str">
        <f aca="false">IF($B35="","",IF(COUNTIFS($L$2:$L$41,$A35,$E$2:$E$41,"Open",$A$2:$A$41,"&lt;&gt;"&amp;$A35)&gt;0,"Yes","No"))</f>
        <v/>
      </c>
      <c r="X35" s="7" t="str">
        <f aca="false">IF($B35="","",IF($V35&gt;=Lists!$F$2,"High",IF($V35&gt;=Lists!$F$3,"Medium","Low")))</f>
        <v/>
      </c>
      <c r="Y35" s="7" t="str">
        <f aca="false">IF(OR($B35="",$E35&lt;&gt;"Open"),"",IF($L35="",(INDEX(Lists!$G$2:$G$4,MATCH($X35,Lists!$E$2:$E$4,0))*1000000000000-$U35-$H35),IFERROR(MAX((INDEX(Lists!$G$2:$G$4,MATCH($X35,Lists!$E$2:$E$4,0))*1000000000000-$U35-$H35),INDEX($Y$2:$Y$41,MATCH($L35,$A$2:$A$41,0))+1),(INDEX(Lists!$G$2:$G$4,MATCH($X35,Lists!$E$2:$E$4,0))*1000000000000-$U35-$H35))))</f>
        <v/>
      </c>
      <c r="Z35" s="7" t="str">
        <f aca="false">IF($Y35="","",RANK($Y35,$Y$2:$Y$41,1)+COUNTIF($Y$2:$Y35,$Y35)-1)</f>
        <v/>
      </c>
      <c r="AA35" s="7" t="str">
        <f aca="false">""</f>
        <v/>
      </c>
      <c r="AB35" s="8" t="str">
        <f aca="false">IF(OR($B35="",1&gt;Parameters!$B$7),"",IF(1&lt;=0,0,IF(ABS((1+$H35)/(1+Parameters!$B$10)-1)&lt;0.000001,1*$G35/(1+Parameters!$B$10),$G35/(1+Parameters!$B$10)*(1-((1+$H35)/(1+Parameters!$B$10))^1)/(1-(1+$H35)/(1+Parameters!$B$10))))+$F35/(1+Parameters!$B$10)^1+IF(1&lt;=0,0,IF(Parameters!$B$10=0,1*$I35*$J35,$I35*$J35*(1-(1/(1+Parameters!$B$10))^1)/Parameters!$B$10)))</f>
        <v/>
      </c>
      <c r="AC35" s="8" t="str">
        <f aca="false">IF(OR($B35="",2&gt;Parameters!$B$7),"",IF(2&lt;=0,0,IF(ABS((1+$H35)/(1+Parameters!$B$10)-1)&lt;0.000001,2*$G35/(1+Parameters!$B$10),$G35/(1+Parameters!$B$10)*(1-((1+$H35)/(1+Parameters!$B$10))^2)/(1-(1+$H35)/(1+Parameters!$B$10))))+$F35/(1+Parameters!$B$10)^2+IF(2&lt;=0,0,IF(Parameters!$B$10=0,2*$I35*$J35,$I35*$J35*(1-(1/(1+Parameters!$B$10))^2)/Parameters!$B$10)))</f>
        <v/>
      </c>
      <c r="AD35" s="8" t="str">
        <f aca="false">IF(OR($B35="",3&gt;Parameters!$B$7),"",IF(3&lt;=0,0,IF(ABS((1+$H35)/(1+Parameters!$B$10)-1)&lt;0.000001,3*$G35/(1+Parameters!$B$10),$G35/(1+Parameters!$B$10)*(1-((1+$H35)/(1+Parameters!$B$10))^3)/(1-(1+$H35)/(1+Parameters!$B$10))))+$F35/(1+Parameters!$B$10)^3+IF(3&lt;=0,0,IF(Parameters!$B$10=0,3*$I35*$J35,$I35*$J35*(1-(1/(1+Parameters!$B$10))^3)/Parameters!$B$10)))</f>
        <v/>
      </c>
      <c r="AE35" s="8" t="str">
        <f aca="false">IF(OR($B35="",4&gt;Parameters!$B$7),"",IF(4&lt;=0,0,IF(ABS((1+$H35)/(1+Parameters!$B$10)-1)&lt;0.000001,4*$G35/(1+Parameters!$B$10),$G35/(1+Parameters!$B$10)*(1-((1+$H35)/(1+Parameters!$B$10))^4)/(1-(1+$H35)/(1+Parameters!$B$10))))+$F35/(1+Parameters!$B$10)^4+IF(4&lt;=0,0,IF(Parameters!$B$10=0,4*$I35*$J35,$I35*$J35*(1-(1/(1+Parameters!$B$10))^4)/Parameters!$B$10)))</f>
        <v/>
      </c>
      <c r="AF35" s="8" t="str">
        <f aca="false">IF(OR($B35="",5&gt;Parameters!$B$7),"",IF(5&lt;=0,0,IF(ABS((1+$H35)/(1+Parameters!$B$10)-1)&lt;0.000001,5*$G35/(1+Parameters!$B$10),$G35/(1+Parameters!$B$10)*(1-((1+$H35)/(1+Parameters!$B$10))^5)/(1-(1+$H35)/(1+Parameters!$B$10))))+$F35/(1+Parameters!$B$10)^5+IF(5&lt;=0,0,IF(Parameters!$B$10=0,5*$I35*$J35,$I35*$J35*(1-(1/(1+Parameters!$B$10))^5)/Parameters!$B$10)))</f>
        <v/>
      </c>
      <c r="AG35" s="8" t="str">
        <f aca="false">IF(OR($B35="",1&gt;Parameters!$B$7),"",$G35*(1+$H35)^(1-1))</f>
        <v/>
      </c>
      <c r="AH35" s="8" t="str">
        <f aca="false">IF(OR($B35="",2&gt;Parameters!$B$7),"",$G35*(1+$H35)^(2-1))</f>
        <v/>
      </c>
      <c r="AI35" s="8" t="str">
        <f aca="false">IF(OR($B35="",3&gt;Parameters!$B$7),"",$G35*(1+$H35)^(3-1))</f>
        <v/>
      </c>
      <c r="AJ35" s="8" t="str">
        <f aca="false">IF(OR($B35="",4&gt;Parameters!$B$7),"",$G35*(1+$H35)^(4-1))</f>
        <v/>
      </c>
      <c r="AK35" s="8" t="str">
        <f aca="false">IF(OR($B35="",5&gt;Parameters!$B$7),"",$G35*(1+$H35)^(5-1))</f>
        <v/>
      </c>
    </row>
    <row r="36" customFormat="false" ht="15" hidden="false" customHeight="false" outlineLevel="0" collapsed="false">
      <c r="A36" s="33"/>
      <c r="B36" s="33"/>
      <c r="C36" s="33"/>
      <c r="D36" s="33"/>
      <c r="E36" s="33"/>
      <c r="F36" s="35"/>
      <c r="G36" s="35"/>
      <c r="H36" s="37"/>
      <c r="I36" s="37"/>
      <c r="J36" s="35"/>
      <c r="K36" s="36"/>
      <c r="L36" s="33"/>
      <c r="M36" s="8" t="str">
        <f aca="false">IF($B36="","",$G36+$I36*$J36)</f>
        <v/>
      </c>
      <c r="N36" s="8" t="str">
        <f aca="false">IF($B36="","",IF(Parameters!$B$7&lt;=0,0,IF(ABS((1+$H36)/(1+Parameters!$B$10)-1)&lt;0.000001,Parameters!$B$7*$G36/(1+Parameters!$B$10),$G36/(1+Parameters!$B$10)*(1-((1+$H36)/(1+Parameters!$B$10))^Parameters!$B$7)/(1-(1+$H36)/(1+Parameters!$B$10))))+IF(Parameters!$B$7&lt;=0,0,IF(Parameters!$B$10=0,Parameters!$B$7*$I36*$J36,$I36*$J36*(1-(1/(1+Parameters!$B$10))^Parameters!$B$7)/Parameters!$B$10)))</f>
        <v/>
      </c>
      <c r="O36" s="8" t="str">
        <f aca="false">IF(OR($B36="",1&gt;Parameters!$B$7),"",$N36-AB36)</f>
        <v/>
      </c>
      <c r="P36" s="8" t="str">
        <f aca="false">IF(OR($B36="",2&gt;Parameters!$B$7),"",$N36-AC36)</f>
        <v/>
      </c>
      <c r="Q36" s="8" t="str">
        <f aca="false">IF(OR($B36="",3&gt;Parameters!$B$7),"",$N36-AD36)</f>
        <v/>
      </c>
      <c r="R36" s="8" t="str">
        <f aca="false">IF(OR($B36="",4&gt;Parameters!$B$7),"",$N36-AE36)</f>
        <v/>
      </c>
      <c r="S36" s="8" t="str">
        <f aca="false">IF(OR($B36="",5&gt;Parameters!$B$7),"",$N36-AF36)</f>
        <v/>
      </c>
      <c r="T36" s="7" t="str">
        <f aca="false">IF($B36="","",IF(MAX($O36:$S36)&lt;0,"Accept",MATCH(MAX($O36:$S36),$O36:$S36,0)))</f>
        <v/>
      </c>
      <c r="U36" s="8" t="str">
        <f aca="false">IF($B36="","",MAX($O36:$S36))</f>
        <v/>
      </c>
      <c r="V36" s="40" t="str">
        <f aca="false">IF($B36="","",IF($F36&gt;0,ROUND($O36/$F36,2),IF(N($O36)&gt;0,Lists!$F$2,0))+IF($W36="Yes",Lists!$I$2,0))</f>
        <v/>
      </c>
      <c r="W36" s="7" t="str">
        <f aca="false">IF($B36="","",IF(COUNTIFS($L$2:$L$41,$A36,$E$2:$E$41,"Open",$A$2:$A$41,"&lt;&gt;"&amp;$A36)&gt;0,"Yes","No"))</f>
        <v/>
      </c>
      <c r="X36" s="7" t="str">
        <f aca="false">IF($B36="","",IF($V36&gt;=Lists!$F$2,"High",IF($V36&gt;=Lists!$F$3,"Medium","Low")))</f>
        <v/>
      </c>
      <c r="Y36" s="7" t="str">
        <f aca="false">IF(OR($B36="",$E36&lt;&gt;"Open"),"",IF($L36="",(INDEX(Lists!$G$2:$G$4,MATCH($X36,Lists!$E$2:$E$4,0))*1000000000000-$U36-$H36),IFERROR(MAX((INDEX(Lists!$G$2:$G$4,MATCH($X36,Lists!$E$2:$E$4,0))*1000000000000-$U36-$H36),INDEX($Y$2:$Y$41,MATCH($L36,$A$2:$A$41,0))+1),(INDEX(Lists!$G$2:$G$4,MATCH($X36,Lists!$E$2:$E$4,0))*1000000000000-$U36-$H36))))</f>
        <v/>
      </c>
      <c r="Z36" s="7" t="str">
        <f aca="false">IF($Y36="","",RANK($Y36,$Y$2:$Y$41,1)+COUNTIF($Y$2:$Y36,$Y36)-1)</f>
        <v/>
      </c>
      <c r="AA36" s="7" t="str">
        <f aca="false">""</f>
        <v/>
      </c>
      <c r="AB36" s="8" t="str">
        <f aca="false">IF(OR($B36="",1&gt;Parameters!$B$7),"",IF(1&lt;=0,0,IF(ABS((1+$H36)/(1+Parameters!$B$10)-1)&lt;0.000001,1*$G36/(1+Parameters!$B$10),$G36/(1+Parameters!$B$10)*(1-((1+$H36)/(1+Parameters!$B$10))^1)/(1-(1+$H36)/(1+Parameters!$B$10))))+$F36/(1+Parameters!$B$10)^1+IF(1&lt;=0,0,IF(Parameters!$B$10=0,1*$I36*$J36,$I36*$J36*(1-(1/(1+Parameters!$B$10))^1)/Parameters!$B$10)))</f>
        <v/>
      </c>
      <c r="AC36" s="8" t="str">
        <f aca="false">IF(OR($B36="",2&gt;Parameters!$B$7),"",IF(2&lt;=0,0,IF(ABS((1+$H36)/(1+Parameters!$B$10)-1)&lt;0.000001,2*$G36/(1+Parameters!$B$10),$G36/(1+Parameters!$B$10)*(1-((1+$H36)/(1+Parameters!$B$10))^2)/(1-(1+$H36)/(1+Parameters!$B$10))))+$F36/(1+Parameters!$B$10)^2+IF(2&lt;=0,0,IF(Parameters!$B$10=0,2*$I36*$J36,$I36*$J36*(1-(1/(1+Parameters!$B$10))^2)/Parameters!$B$10)))</f>
        <v/>
      </c>
      <c r="AD36" s="8" t="str">
        <f aca="false">IF(OR($B36="",3&gt;Parameters!$B$7),"",IF(3&lt;=0,0,IF(ABS((1+$H36)/(1+Parameters!$B$10)-1)&lt;0.000001,3*$G36/(1+Parameters!$B$10),$G36/(1+Parameters!$B$10)*(1-((1+$H36)/(1+Parameters!$B$10))^3)/(1-(1+$H36)/(1+Parameters!$B$10))))+$F36/(1+Parameters!$B$10)^3+IF(3&lt;=0,0,IF(Parameters!$B$10=0,3*$I36*$J36,$I36*$J36*(1-(1/(1+Parameters!$B$10))^3)/Parameters!$B$10)))</f>
        <v/>
      </c>
      <c r="AE36" s="8" t="str">
        <f aca="false">IF(OR($B36="",4&gt;Parameters!$B$7),"",IF(4&lt;=0,0,IF(ABS((1+$H36)/(1+Parameters!$B$10)-1)&lt;0.000001,4*$G36/(1+Parameters!$B$10),$G36/(1+Parameters!$B$10)*(1-((1+$H36)/(1+Parameters!$B$10))^4)/(1-(1+$H36)/(1+Parameters!$B$10))))+$F36/(1+Parameters!$B$10)^4+IF(4&lt;=0,0,IF(Parameters!$B$10=0,4*$I36*$J36,$I36*$J36*(1-(1/(1+Parameters!$B$10))^4)/Parameters!$B$10)))</f>
        <v/>
      </c>
      <c r="AF36" s="8" t="str">
        <f aca="false">IF(OR($B36="",5&gt;Parameters!$B$7),"",IF(5&lt;=0,0,IF(ABS((1+$H36)/(1+Parameters!$B$10)-1)&lt;0.000001,5*$G36/(1+Parameters!$B$10),$G36/(1+Parameters!$B$10)*(1-((1+$H36)/(1+Parameters!$B$10))^5)/(1-(1+$H36)/(1+Parameters!$B$10))))+$F36/(1+Parameters!$B$10)^5+IF(5&lt;=0,0,IF(Parameters!$B$10=0,5*$I36*$J36,$I36*$J36*(1-(1/(1+Parameters!$B$10))^5)/Parameters!$B$10)))</f>
        <v/>
      </c>
      <c r="AG36" s="8" t="str">
        <f aca="false">IF(OR($B36="",1&gt;Parameters!$B$7),"",$G36*(1+$H36)^(1-1))</f>
        <v/>
      </c>
      <c r="AH36" s="8" t="str">
        <f aca="false">IF(OR($B36="",2&gt;Parameters!$B$7),"",$G36*(1+$H36)^(2-1))</f>
        <v/>
      </c>
      <c r="AI36" s="8" t="str">
        <f aca="false">IF(OR($B36="",3&gt;Parameters!$B$7),"",$G36*(1+$H36)^(3-1))</f>
        <v/>
      </c>
      <c r="AJ36" s="8" t="str">
        <f aca="false">IF(OR($B36="",4&gt;Parameters!$B$7),"",$G36*(1+$H36)^(4-1))</f>
        <v/>
      </c>
      <c r="AK36" s="8" t="str">
        <f aca="false">IF(OR($B36="",5&gt;Parameters!$B$7),"",$G36*(1+$H36)^(5-1))</f>
        <v/>
      </c>
    </row>
    <row r="37" customFormat="false" ht="15" hidden="false" customHeight="false" outlineLevel="0" collapsed="false">
      <c r="A37" s="33"/>
      <c r="B37" s="33"/>
      <c r="C37" s="33"/>
      <c r="D37" s="33"/>
      <c r="E37" s="33"/>
      <c r="F37" s="35"/>
      <c r="G37" s="35"/>
      <c r="H37" s="37"/>
      <c r="I37" s="37"/>
      <c r="J37" s="35"/>
      <c r="K37" s="36"/>
      <c r="L37" s="33"/>
      <c r="M37" s="8" t="str">
        <f aca="false">IF($B37="","",$G37+$I37*$J37)</f>
        <v/>
      </c>
      <c r="N37" s="8" t="str">
        <f aca="false">IF($B37="","",IF(Parameters!$B$7&lt;=0,0,IF(ABS((1+$H37)/(1+Parameters!$B$10)-1)&lt;0.000001,Parameters!$B$7*$G37/(1+Parameters!$B$10),$G37/(1+Parameters!$B$10)*(1-((1+$H37)/(1+Parameters!$B$10))^Parameters!$B$7)/(1-(1+$H37)/(1+Parameters!$B$10))))+IF(Parameters!$B$7&lt;=0,0,IF(Parameters!$B$10=0,Parameters!$B$7*$I37*$J37,$I37*$J37*(1-(1/(1+Parameters!$B$10))^Parameters!$B$7)/Parameters!$B$10)))</f>
        <v/>
      </c>
      <c r="O37" s="8" t="str">
        <f aca="false">IF(OR($B37="",1&gt;Parameters!$B$7),"",$N37-AB37)</f>
        <v/>
      </c>
      <c r="P37" s="8" t="str">
        <f aca="false">IF(OR($B37="",2&gt;Parameters!$B$7),"",$N37-AC37)</f>
        <v/>
      </c>
      <c r="Q37" s="8" t="str">
        <f aca="false">IF(OR($B37="",3&gt;Parameters!$B$7),"",$N37-AD37)</f>
        <v/>
      </c>
      <c r="R37" s="8" t="str">
        <f aca="false">IF(OR($B37="",4&gt;Parameters!$B$7),"",$N37-AE37)</f>
        <v/>
      </c>
      <c r="S37" s="8" t="str">
        <f aca="false">IF(OR($B37="",5&gt;Parameters!$B$7),"",$N37-AF37)</f>
        <v/>
      </c>
      <c r="T37" s="7" t="str">
        <f aca="false">IF($B37="","",IF(MAX($O37:$S37)&lt;0,"Accept",MATCH(MAX($O37:$S37),$O37:$S37,0)))</f>
        <v/>
      </c>
      <c r="U37" s="8" t="str">
        <f aca="false">IF($B37="","",MAX($O37:$S37))</f>
        <v/>
      </c>
      <c r="V37" s="40" t="str">
        <f aca="false">IF($B37="","",IF($F37&gt;0,ROUND($O37/$F37,2),IF(N($O37)&gt;0,Lists!$F$2,0))+IF($W37="Yes",Lists!$I$2,0))</f>
        <v/>
      </c>
      <c r="W37" s="7" t="str">
        <f aca="false">IF($B37="","",IF(COUNTIFS($L$2:$L$41,$A37,$E$2:$E$41,"Open",$A$2:$A$41,"&lt;&gt;"&amp;$A37)&gt;0,"Yes","No"))</f>
        <v/>
      </c>
      <c r="X37" s="7" t="str">
        <f aca="false">IF($B37="","",IF($V37&gt;=Lists!$F$2,"High",IF($V37&gt;=Lists!$F$3,"Medium","Low")))</f>
        <v/>
      </c>
      <c r="Y37" s="7" t="str">
        <f aca="false">IF(OR($B37="",$E37&lt;&gt;"Open"),"",IF($L37="",(INDEX(Lists!$G$2:$G$4,MATCH($X37,Lists!$E$2:$E$4,0))*1000000000000-$U37-$H37),IFERROR(MAX((INDEX(Lists!$G$2:$G$4,MATCH($X37,Lists!$E$2:$E$4,0))*1000000000000-$U37-$H37),INDEX($Y$2:$Y$41,MATCH($L37,$A$2:$A$41,0))+1),(INDEX(Lists!$G$2:$G$4,MATCH($X37,Lists!$E$2:$E$4,0))*1000000000000-$U37-$H37))))</f>
        <v/>
      </c>
      <c r="Z37" s="7" t="str">
        <f aca="false">IF($Y37="","",RANK($Y37,$Y$2:$Y$41,1)+COUNTIF($Y$2:$Y37,$Y37)-1)</f>
        <v/>
      </c>
      <c r="AA37" s="7" t="str">
        <f aca="false">""</f>
        <v/>
      </c>
      <c r="AB37" s="8" t="str">
        <f aca="false">IF(OR($B37="",1&gt;Parameters!$B$7),"",IF(1&lt;=0,0,IF(ABS((1+$H37)/(1+Parameters!$B$10)-1)&lt;0.000001,1*$G37/(1+Parameters!$B$10),$G37/(1+Parameters!$B$10)*(1-((1+$H37)/(1+Parameters!$B$10))^1)/(1-(1+$H37)/(1+Parameters!$B$10))))+$F37/(1+Parameters!$B$10)^1+IF(1&lt;=0,0,IF(Parameters!$B$10=0,1*$I37*$J37,$I37*$J37*(1-(1/(1+Parameters!$B$10))^1)/Parameters!$B$10)))</f>
        <v/>
      </c>
      <c r="AC37" s="8" t="str">
        <f aca="false">IF(OR($B37="",2&gt;Parameters!$B$7),"",IF(2&lt;=0,0,IF(ABS((1+$H37)/(1+Parameters!$B$10)-1)&lt;0.000001,2*$G37/(1+Parameters!$B$10),$G37/(1+Parameters!$B$10)*(1-((1+$H37)/(1+Parameters!$B$10))^2)/(1-(1+$H37)/(1+Parameters!$B$10))))+$F37/(1+Parameters!$B$10)^2+IF(2&lt;=0,0,IF(Parameters!$B$10=0,2*$I37*$J37,$I37*$J37*(1-(1/(1+Parameters!$B$10))^2)/Parameters!$B$10)))</f>
        <v/>
      </c>
      <c r="AD37" s="8" t="str">
        <f aca="false">IF(OR($B37="",3&gt;Parameters!$B$7),"",IF(3&lt;=0,0,IF(ABS((1+$H37)/(1+Parameters!$B$10)-1)&lt;0.000001,3*$G37/(1+Parameters!$B$10),$G37/(1+Parameters!$B$10)*(1-((1+$H37)/(1+Parameters!$B$10))^3)/(1-(1+$H37)/(1+Parameters!$B$10))))+$F37/(1+Parameters!$B$10)^3+IF(3&lt;=0,0,IF(Parameters!$B$10=0,3*$I37*$J37,$I37*$J37*(1-(1/(1+Parameters!$B$10))^3)/Parameters!$B$10)))</f>
        <v/>
      </c>
      <c r="AE37" s="8" t="str">
        <f aca="false">IF(OR($B37="",4&gt;Parameters!$B$7),"",IF(4&lt;=0,0,IF(ABS((1+$H37)/(1+Parameters!$B$10)-1)&lt;0.000001,4*$G37/(1+Parameters!$B$10),$G37/(1+Parameters!$B$10)*(1-((1+$H37)/(1+Parameters!$B$10))^4)/(1-(1+$H37)/(1+Parameters!$B$10))))+$F37/(1+Parameters!$B$10)^4+IF(4&lt;=0,0,IF(Parameters!$B$10=0,4*$I37*$J37,$I37*$J37*(1-(1/(1+Parameters!$B$10))^4)/Parameters!$B$10)))</f>
        <v/>
      </c>
      <c r="AF37" s="8" t="str">
        <f aca="false">IF(OR($B37="",5&gt;Parameters!$B$7),"",IF(5&lt;=0,0,IF(ABS((1+$H37)/(1+Parameters!$B$10)-1)&lt;0.000001,5*$G37/(1+Parameters!$B$10),$G37/(1+Parameters!$B$10)*(1-((1+$H37)/(1+Parameters!$B$10))^5)/(1-(1+$H37)/(1+Parameters!$B$10))))+$F37/(1+Parameters!$B$10)^5+IF(5&lt;=0,0,IF(Parameters!$B$10=0,5*$I37*$J37,$I37*$J37*(1-(1/(1+Parameters!$B$10))^5)/Parameters!$B$10)))</f>
        <v/>
      </c>
      <c r="AG37" s="8" t="str">
        <f aca="false">IF(OR($B37="",1&gt;Parameters!$B$7),"",$G37*(1+$H37)^(1-1))</f>
        <v/>
      </c>
      <c r="AH37" s="8" t="str">
        <f aca="false">IF(OR($B37="",2&gt;Parameters!$B$7),"",$G37*(1+$H37)^(2-1))</f>
        <v/>
      </c>
      <c r="AI37" s="8" t="str">
        <f aca="false">IF(OR($B37="",3&gt;Parameters!$B$7),"",$G37*(1+$H37)^(3-1))</f>
        <v/>
      </c>
      <c r="AJ37" s="8" t="str">
        <f aca="false">IF(OR($B37="",4&gt;Parameters!$B$7),"",$G37*(1+$H37)^(4-1))</f>
        <v/>
      </c>
      <c r="AK37" s="8" t="str">
        <f aca="false">IF(OR($B37="",5&gt;Parameters!$B$7),"",$G37*(1+$H37)^(5-1))</f>
        <v/>
      </c>
    </row>
    <row r="38" customFormat="false" ht="15" hidden="false" customHeight="false" outlineLevel="0" collapsed="false">
      <c r="A38" s="33"/>
      <c r="B38" s="33"/>
      <c r="C38" s="33"/>
      <c r="D38" s="33"/>
      <c r="E38" s="33"/>
      <c r="F38" s="35"/>
      <c r="G38" s="35"/>
      <c r="H38" s="37"/>
      <c r="I38" s="37"/>
      <c r="J38" s="35"/>
      <c r="K38" s="36"/>
      <c r="L38" s="33"/>
      <c r="M38" s="8" t="str">
        <f aca="false">IF($B38="","",$G38+$I38*$J38)</f>
        <v/>
      </c>
      <c r="N38" s="8" t="str">
        <f aca="false">IF($B38="","",IF(Parameters!$B$7&lt;=0,0,IF(ABS((1+$H38)/(1+Parameters!$B$10)-1)&lt;0.000001,Parameters!$B$7*$G38/(1+Parameters!$B$10),$G38/(1+Parameters!$B$10)*(1-((1+$H38)/(1+Parameters!$B$10))^Parameters!$B$7)/(1-(1+$H38)/(1+Parameters!$B$10))))+IF(Parameters!$B$7&lt;=0,0,IF(Parameters!$B$10=0,Parameters!$B$7*$I38*$J38,$I38*$J38*(1-(1/(1+Parameters!$B$10))^Parameters!$B$7)/Parameters!$B$10)))</f>
        <v/>
      </c>
      <c r="O38" s="8" t="str">
        <f aca="false">IF(OR($B38="",1&gt;Parameters!$B$7),"",$N38-AB38)</f>
        <v/>
      </c>
      <c r="P38" s="8" t="str">
        <f aca="false">IF(OR($B38="",2&gt;Parameters!$B$7),"",$N38-AC38)</f>
        <v/>
      </c>
      <c r="Q38" s="8" t="str">
        <f aca="false">IF(OR($B38="",3&gt;Parameters!$B$7),"",$N38-AD38)</f>
        <v/>
      </c>
      <c r="R38" s="8" t="str">
        <f aca="false">IF(OR($B38="",4&gt;Parameters!$B$7),"",$N38-AE38)</f>
        <v/>
      </c>
      <c r="S38" s="8" t="str">
        <f aca="false">IF(OR($B38="",5&gt;Parameters!$B$7),"",$N38-AF38)</f>
        <v/>
      </c>
      <c r="T38" s="7" t="str">
        <f aca="false">IF($B38="","",IF(MAX($O38:$S38)&lt;0,"Accept",MATCH(MAX($O38:$S38),$O38:$S38,0)))</f>
        <v/>
      </c>
      <c r="U38" s="8" t="str">
        <f aca="false">IF($B38="","",MAX($O38:$S38))</f>
        <v/>
      </c>
      <c r="V38" s="40" t="str">
        <f aca="false">IF($B38="","",IF($F38&gt;0,ROUND($O38/$F38,2),IF(N($O38)&gt;0,Lists!$F$2,0))+IF($W38="Yes",Lists!$I$2,0))</f>
        <v/>
      </c>
      <c r="W38" s="7" t="str">
        <f aca="false">IF($B38="","",IF(COUNTIFS($L$2:$L$41,$A38,$E$2:$E$41,"Open",$A$2:$A$41,"&lt;&gt;"&amp;$A38)&gt;0,"Yes","No"))</f>
        <v/>
      </c>
      <c r="X38" s="7" t="str">
        <f aca="false">IF($B38="","",IF($V38&gt;=Lists!$F$2,"High",IF($V38&gt;=Lists!$F$3,"Medium","Low")))</f>
        <v/>
      </c>
      <c r="Y38" s="7" t="str">
        <f aca="false">IF(OR($B38="",$E38&lt;&gt;"Open"),"",IF($L38="",(INDEX(Lists!$G$2:$G$4,MATCH($X38,Lists!$E$2:$E$4,0))*1000000000000-$U38-$H38),IFERROR(MAX((INDEX(Lists!$G$2:$G$4,MATCH($X38,Lists!$E$2:$E$4,0))*1000000000000-$U38-$H38),INDEX($Y$2:$Y$41,MATCH($L38,$A$2:$A$41,0))+1),(INDEX(Lists!$G$2:$G$4,MATCH($X38,Lists!$E$2:$E$4,0))*1000000000000-$U38-$H38))))</f>
        <v/>
      </c>
      <c r="Z38" s="7" t="str">
        <f aca="false">IF($Y38="","",RANK($Y38,$Y$2:$Y$41,1)+COUNTIF($Y$2:$Y38,$Y38)-1)</f>
        <v/>
      </c>
      <c r="AA38" s="7" t="str">
        <f aca="false">""</f>
        <v/>
      </c>
      <c r="AB38" s="8" t="str">
        <f aca="false">IF(OR($B38="",1&gt;Parameters!$B$7),"",IF(1&lt;=0,0,IF(ABS((1+$H38)/(1+Parameters!$B$10)-1)&lt;0.000001,1*$G38/(1+Parameters!$B$10),$G38/(1+Parameters!$B$10)*(1-((1+$H38)/(1+Parameters!$B$10))^1)/(1-(1+$H38)/(1+Parameters!$B$10))))+$F38/(1+Parameters!$B$10)^1+IF(1&lt;=0,0,IF(Parameters!$B$10=0,1*$I38*$J38,$I38*$J38*(1-(1/(1+Parameters!$B$10))^1)/Parameters!$B$10)))</f>
        <v/>
      </c>
      <c r="AC38" s="8" t="str">
        <f aca="false">IF(OR($B38="",2&gt;Parameters!$B$7),"",IF(2&lt;=0,0,IF(ABS((1+$H38)/(1+Parameters!$B$10)-1)&lt;0.000001,2*$G38/(1+Parameters!$B$10),$G38/(1+Parameters!$B$10)*(1-((1+$H38)/(1+Parameters!$B$10))^2)/(1-(1+$H38)/(1+Parameters!$B$10))))+$F38/(1+Parameters!$B$10)^2+IF(2&lt;=0,0,IF(Parameters!$B$10=0,2*$I38*$J38,$I38*$J38*(1-(1/(1+Parameters!$B$10))^2)/Parameters!$B$10)))</f>
        <v/>
      </c>
      <c r="AD38" s="8" t="str">
        <f aca="false">IF(OR($B38="",3&gt;Parameters!$B$7),"",IF(3&lt;=0,0,IF(ABS((1+$H38)/(1+Parameters!$B$10)-1)&lt;0.000001,3*$G38/(1+Parameters!$B$10),$G38/(1+Parameters!$B$10)*(1-((1+$H38)/(1+Parameters!$B$10))^3)/(1-(1+$H38)/(1+Parameters!$B$10))))+$F38/(1+Parameters!$B$10)^3+IF(3&lt;=0,0,IF(Parameters!$B$10=0,3*$I38*$J38,$I38*$J38*(1-(1/(1+Parameters!$B$10))^3)/Parameters!$B$10)))</f>
        <v/>
      </c>
      <c r="AE38" s="8" t="str">
        <f aca="false">IF(OR($B38="",4&gt;Parameters!$B$7),"",IF(4&lt;=0,0,IF(ABS((1+$H38)/(1+Parameters!$B$10)-1)&lt;0.000001,4*$G38/(1+Parameters!$B$10),$G38/(1+Parameters!$B$10)*(1-((1+$H38)/(1+Parameters!$B$10))^4)/(1-(1+$H38)/(1+Parameters!$B$10))))+$F38/(1+Parameters!$B$10)^4+IF(4&lt;=0,0,IF(Parameters!$B$10=0,4*$I38*$J38,$I38*$J38*(1-(1/(1+Parameters!$B$10))^4)/Parameters!$B$10)))</f>
        <v/>
      </c>
      <c r="AF38" s="8" t="str">
        <f aca="false">IF(OR($B38="",5&gt;Parameters!$B$7),"",IF(5&lt;=0,0,IF(ABS((1+$H38)/(1+Parameters!$B$10)-1)&lt;0.000001,5*$G38/(1+Parameters!$B$10),$G38/(1+Parameters!$B$10)*(1-((1+$H38)/(1+Parameters!$B$10))^5)/(1-(1+$H38)/(1+Parameters!$B$10))))+$F38/(1+Parameters!$B$10)^5+IF(5&lt;=0,0,IF(Parameters!$B$10=0,5*$I38*$J38,$I38*$J38*(1-(1/(1+Parameters!$B$10))^5)/Parameters!$B$10)))</f>
        <v/>
      </c>
      <c r="AG38" s="8" t="str">
        <f aca="false">IF(OR($B38="",1&gt;Parameters!$B$7),"",$G38*(1+$H38)^(1-1))</f>
        <v/>
      </c>
      <c r="AH38" s="8" t="str">
        <f aca="false">IF(OR($B38="",2&gt;Parameters!$B$7),"",$G38*(1+$H38)^(2-1))</f>
        <v/>
      </c>
      <c r="AI38" s="8" t="str">
        <f aca="false">IF(OR($B38="",3&gt;Parameters!$B$7),"",$G38*(1+$H38)^(3-1))</f>
        <v/>
      </c>
      <c r="AJ38" s="8" t="str">
        <f aca="false">IF(OR($B38="",4&gt;Parameters!$B$7),"",$G38*(1+$H38)^(4-1))</f>
        <v/>
      </c>
      <c r="AK38" s="8" t="str">
        <f aca="false">IF(OR($B38="",5&gt;Parameters!$B$7),"",$G38*(1+$H38)^(5-1))</f>
        <v/>
      </c>
    </row>
    <row r="39" customFormat="false" ht="15" hidden="false" customHeight="false" outlineLevel="0" collapsed="false">
      <c r="A39" s="33"/>
      <c r="B39" s="33"/>
      <c r="C39" s="33"/>
      <c r="D39" s="33"/>
      <c r="E39" s="33"/>
      <c r="F39" s="35"/>
      <c r="G39" s="35"/>
      <c r="H39" s="37"/>
      <c r="I39" s="37"/>
      <c r="J39" s="35"/>
      <c r="K39" s="36"/>
      <c r="L39" s="33"/>
      <c r="M39" s="8" t="str">
        <f aca="false">IF($B39="","",$G39+$I39*$J39)</f>
        <v/>
      </c>
      <c r="N39" s="8" t="str">
        <f aca="false">IF($B39="","",IF(Parameters!$B$7&lt;=0,0,IF(ABS((1+$H39)/(1+Parameters!$B$10)-1)&lt;0.000001,Parameters!$B$7*$G39/(1+Parameters!$B$10),$G39/(1+Parameters!$B$10)*(1-((1+$H39)/(1+Parameters!$B$10))^Parameters!$B$7)/(1-(1+$H39)/(1+Parameters!$B$10))))+IF(Parameters!$B$7&lt;=0,0,IF(Parameters!$B$10=0,Parameters!$B$7*$I39*$J39,$I39*$J39*(1-(1/(1+Parameters!$B$10))^Parameters!$B$7)/Parameters!$B$10)))</f>
        <v/>
      </c>
      <c r="O39" s="8" t="str">
        <f aca="false">IF(OR($B39="",1&gt;Parameters!$B$7),"",$N39-AB39)</f>
        <v/>
      </c>
      <c r="P39" s="8" t="str">
        <f aca="false">IF(OR($B39="",2&gt;Parameters!$B$7),"",$N39-AC39)</f>
        <v/>
      </c>
      <c r="Q39" s="8" t="str">
        <f aca="false">IF(OR($B39="",3&gt;Parameters!$B$7),"",$N39-AD39)</f>
        <v/>
      </c>
      <c r="R39" s="8" t="str">
        <f aca="false">IF(OR($B39="",4&gt;Parameters!$B$7),"",$N39-AE39)</f>
        <v/>
      </c>
      <c r="S39" s="8" t="str">
        <f aca="false">IF(OR($B39="",5&gt;Parameters!$B$7),"",$N39-AF39)</f>
        <v/>
      </c>
      <c r="T39" s="7" t="str">
        <f aca="false">IF($B39="","",IF(MAX($O39:$S39)&lt;0,"Accept",MATCH(MAX($O39:$S39),$O39:$S39,0)))</f>
        <v/>
      </c>
      <c r="U39" s="8" t="str">
        <f aca="false">IF($B39="","",MAX($O39:$S39))</f>
        <v/>
      </c>
      <c r="V39" s="40" t="str">
        <f aca="false">IF($B39="","",IF($F39&gt;0,ROUND($O39/$F39,2),IF(N($O39)&gt;0,Lists!$F$2,0))+IF($W39="Yes",Lists!$I$2,0))</f>
        <v/>
      </c>
      <c r="W39" s="7" t="str">
        <f aca="false">IF($B39="","",IF(COUNTIFS($L$2:$L$41,$A39,$E$2:$E$41,"Open",$A$2:$A$41,"&lt;&gt;"&amp;$A39)&gt;0,"Yes","No"))</f>
        <v/>
      </c>
      <c r="X39" s="7" t="str">
        <f aca="false">IF($B39="","",IF($V39&gt;=Lists!$F$2,"High",IF($V39&gt;=Lists!$F$3,"Medium","Low")))</f>
        <v/>
      </c>
      <c r="Y39" s="7" t="str">
        <f aca="false">IF(OR($B39="",$E39&lt;&gt;"Open"),"",IF($L39="",(INDEX(Lists!$G$2:$G$4,MATCH($X39,Lists!$E$2:$E$4,0))*1000000000000-$U39-$H39),IFERROR(MAX((INDEX(Lists!$G$2:$G$4,MATCH($X39,Lists!$E$2:$E$4,0))*1000000000000-$U39-$H39),INDEX($Y$2:$Y$41,MATCH($L39,$A$2:$A$41,0))+1),(INDEX(Lists!$G$2:$G$4,MATCH($X39,Lists!$E$2:$E$4,0))*1000000000000-$U39-$H39))))</f>
        <v/>
      </c>
      <c r="Z39" s="7" t="str">
        <f aca="false">IF($Y39="","",RANK($Y39,$Y$2:$Y$41,1)+COUNTIF($Y$2:$Y39,$Y39)-1)</f>
        <v/>
      </c>
      <c r="AA39" s="7" t="str">
        <f aca="false">""</f>
        <v/>
      </c>
      <c r="AB39" s="8" t="str">
        <f aca="false">IF(OR($B39="",1&gt;Parameters!$B$7),"",IF(1&lt;=0,0,IF(ABS((1+$H39)/(1+Parameters!$B$10)-1)&lt;0.000001,1*$G39/(1+Parameters!$B$10),$G39/(1+Parameters!$B$10)*(1-((1+$H39)/(1+Parameters!$B$10))^1)/(1-(1+$H39)/(1+Parameters!$B$10))))+$F39/(1+Parameters!$B$10)^1+IF(1&lt;=0,0,IF(Parameters!$B$10=0,1*$I39*$J39,$I39*$J39*(1-(1/(1+Parameters!$B$10))^1)/Parameters!$B$10)))</f>
        <v/>
      </c>
      <c r="AC39" s="8" t="str">
        <f aca="false">IF(OR($B39="",2&gt;Parameters!$B$7),"",IF(2&lt;=0,0,IF(ABS((1+$H39)/(1+Parameters!$B$10)-1)&lt;0.000001,2*$G39/(1+Parameters!$B$10),$G39/(1+Parameters!$B$10)*(1-((1+$H39)/(1+Parameters!$B$10))^2)/(1-(1+$H39)/(1+Parameters!$B$10))))+$F39/(1+Parameters!$B$10)^2+IF(2&lt;=0,0,IF(Parameters!$B$10=0,2*$I39*$J39,$I39*$J39*(1-(1/(1+Parameters!$B$10))^2)/Parameters!$B$10)))</f>
        <v/>
      </c>
      <c r="AD39" s="8" t="str">
        <f aca="false">IF(OR($B39="",3&gt;Parameters!$B$7),"",IF(3&lt;=0,0,IF(ABS((1+$H39)/(1+Parameters!$B$10)-1)&lt;0.000001,3*$G39/(1+Parameters!$B$10),$G39/(1+Parameters!$B$10)*(1-((1+$H39)/(1+Parameters!$B$10))^3)/(1-(1+$H39)/(1+Parameters!$B$10))))+$F39/(1+Parameters!$B$10)^3+IF(3&lt;=0,0,IF(Parameters!$B$10=0,3*$I39*$J39,$I39*$J39*(1-(1/(1+Parameters!$B$10))^3)/Parameters!$B$10)))</f>
        <v/>
      </c>
      <c r="AE39" s="8" t="str">
        <f aca="false">IF(OR($B39="",4&gt;Parameters!$B$7),"",IF(4&lt;=0,0,IF(ABS((1+$H39)/(1+Parameters!$B$10)-1)&lt;0.000001,4*$G39/(1+Parameters!$B$10),$G39/(1+Parameters!$B$10)*(1-((1+$H39)/(1+Parameters!$B$10))^4)/(1-(1+$H39)/(1+Parameters!$B$10))))+$F39/(1+Parameters!$B$10)^4+IF(4&lt;=0,0,IF(Parameters!$B$10=0,4*$I39*$J39,$I39*$J39*(1-(1/(1+Parameters!$B$10))^4)/Parameters!$B$10)))</f>
        <v/>
      </c>
      <c r="AF39" s="8" t="str">
        <f aca="false">IF(OR($B39="",5&gt;Parameters!$B$7),"",IF(5&lt;=0,0,IF(ABS((1+$H39)/(1+Parameters!$B$10)-1)&lt;0.000001,5*$G39/(1+Parameters!$B$10),$G39/(1+Parameters!$B$10)*(1-((1+$H39)/(1+Parameters!$B$10))^5)/(1-(1+$H39)/(1+Parameters!$B$10))))+$F39/(1+Parameters!$B$10)^5+IF(5&lt;=0,0,IF(Parameters!$B$10=0,5*$I39*$J39,$I39*$J39*(1-(1/(1+Parameters!$B$10))^5)/Parameters!$B$10)))</f>
        <v/>
      </c>
      <c r="AG39" s="8" t="str">
        <f aca="false">IF(OR($B39="",1&gt;Parameters!$B$7),"",$G39*(1+$H39)^(1-1))</f>
        <v/>
      </c>
      <c r="AH39" s="8" t="str">
        <f aca="false">IF(OR($B39="",2&gt;Parameters!$B$7),"",$G39*(1+$H39)^(2-1))</f>
        <v/>
      </c>
      <c r="AI39" s="8" t="str">
        <f aca="false">IF(OR($B39="",3&gt;Parameters!$B$7),"",$G39*(1+$H39)^(3-1))</f>
        <v/>
      </c>
      <c r="AJ39" s="8" t="str">
        <f aca="false">IF(OR($B39="",4&gt;Parameters!$B$7),"",$G39*(1+$H39)^(4-1))</f>
        <v/>
      </c>
      <c r="AK39" s="8" t="str">
        <f aca="false">IF(OR($B39="",5&gt;Parameters!$B$7),"",$G39*(1+$H39)^(5-1))</f>
        <v/>
      </c>
    </row>
    <row r="40" customFormat="false" ht="15" hidden="false" customHeight="false" outlineLevel="0" collapsed="false">
      <c r="A40" s="33"/>
      <c r="B40" s="33"/>
      <c r="C40" s="33"/>
      <c r="D40" s="33"/>
      <c r="E40" s="33"/>
      <c r="F40" s="35"/>
      <c r="G40" s="35"/>
      <c r="H40" s="37"/>
      <c r="I40" s="37"/>
      <c r="J40" s="35"/>
      <c r="K40" s="36"/>
      <c r="L40" s="33"/>
      <c r="M40" s="8" t="str">
        <f aca="false">IF($B40="","",$G40+$I40*$J40)</f>
        <v/>
      </c>
      <c r="N40" s="8" t="str">
        <f aca="false">IF($B40="","",IF(Parameters!$B$7&lt;=0,0,IF(ABS((1+$H40)/(1+Parameters!$B$10)-1)&lt;0.000001,Parameters!$B$7*$G40/(1+Parameters!$B$10),$G40/(1+Parameters!$B$10)*(1-((1+$H40)/(1+Parameters!$B$10))^Parameters!$B$7)/(1-(1+$H40)/(1+Parameters!$B$10))))+IF(Parameters!$B$7&lt;=0,0,IF(Parameters!$B$10=0,Parameters!$B$7*$I40*$J40,$I40*$J40*(1-(1/(1+Parameters!$B$10))^Parameters!$B$7)/Parameters!$B$10)))</f>
        <v/>
      </c>
      <c r="O40" s="8" t="str">
        <f aca="false">IF(OR($B40="",1&gt;Parameters!$B$7),"",$N40-AB40)</f>
        <v/>
      </c>
      <c r="P40" s="8" t="str">
        <f aca="false">IF(OR($B40="",2&gt;Parameters!$B$7),"",$N40-AC40)</f>
        <v/>
      </c>
      <c r="Q40" s="8" t="str">
        <f aca="false">IF(OR($B40="",3&gt;Parameters!$B$7),"",$N40-AD40)</f>
        <v/>
      </c>
      <c r="R40" s="8" t="str">
        <f aca="false">IF(OR($B40="",4&gt;Parameters!$B$7),"",$N40-AE40)</f>
        <v/>
      </c>
      <c r="S40" s="8" t="str">
        <f aca="false">IF(OR($B40="",5&gt;Parameters!$B$7),"",$N40-AF40)</f>
        <v/>
      </c>
      <c r="T40" s="7" t="str">
        <f aca="false">IF($B40="","",IF(MAX($O40:$S40)&lt;0,"Accept",MATCH(MAX($O40:$S40),$O40:$S40,0)))</f>
        <v/>
      </c>
      <c r="U40" s="8" t="str">
        <f aca="false">IF($B40="","",MAX($O40:$S40))</f>
        <v/>
      </c>
      <c r="V40" s="40" t="str">
        <f aca="false">IF($B40="","",IF($F40&gt;0,ROUND($O40/$F40,2),IF(N($O40)&gt;0,Lists!$F$2,0))+IF($W40="Yes",Lists!$I$2,0))</f>
        <v/>
      </c>
      <c r="W40" s="7" t="str">
        <f aca="false">IF($B40="","",IF(COUNTIFS($L$2:$L$41,$A40,$E$2:$E$41,"Open",$A$2:$A$41,"&lt;&gt;"&amp;$A40)&gt;0,"Yes","No"))</f>
        <v/>
      </c>
      <c r="X40" s="7" t="str">
        <f aca="false">IF($B40="","",IF($V40&gt;=Lists!$F$2,"High",IF($V40&gt;=Lists!$F$3,"Medium","Low")))</f>
        <v/>
      </c>
      <c r="Y40" s="7" t="str">
        <f aca="false">IF(OR($B40="",$E40&lt;&gt;"Open"),"",IF($L40="",(INDEX(Lists!$G$2:$G$4,MATCH($X40,Lists!$E$2:$E$4,0))*1000000000000-$U40-$H40),IFERROR(MAX((INDEX(Lists!$G$2:$G$4,MATCH($X40,Lists!$E$2:$E$4,0))*1000000000000-$U40-$H40),INDEX($Y$2:$Y$41,MATCH($L40,$A$2:$A$41,0))+1),(INDEX(Lists!$G$2:$G$4,MATCH($X40,Lists!$E$2:$E$4,0))*1000000000000-$U40-$H40))))</f>
        <v/>
      </c>
      <c r="Z40" s="7" t="str">
        <f aca="false">IF($Y40="","",RANK($Y40,$Y$2:$Y$41,1)+COUNTIF($Y$2:$Y40,$Y40)-1)</f>
        <v/>
      </c>
      <c r="AA40" s="7" t="str">
        <f aca="false">""</f>
        <v/>
      </c>
      <c r="AB40" s="8" t="str">
        <f aca="false">IF(OR($B40="",1&gt;Parameters!$B$7),"",IF(1&lt;=0,0,IF(ABS((1+$H40)/(1+Parameters!$B$10)-1)&lt;0.000001,1*$G40/(1+Parameters!$B$10),$G40/(1+Parameters!$B$10)*(1-((1+$H40)/(1+Parameters!$B$10))^1)/(1-(1+$H40)/(1+Parameters!$B$10))))+$F40/(1+Parameters!$B$10)^1+IF(1&lt;=0,0,IF(Parameters!$B$10=0,1*$I40*$J40,$I40*$J40*(1-(1/(1+Parameters!$B$10))^1)/Parameters!$B$10)))</f>
        <v/>
      </c>
      <c r="AC40" s="8" t="str">
        <f aca="false">IF(OR($B40="",2&gt;Parameters!$B$7),"",IF(2&lt;=0,0,IF(ABS((1+$H40)/(1+Parameters!$B$10)-1)&lt;0.000001,2*$G40/(1+Parameters!$B$10),$G40/(1+Parameters!$B$10)*(1-((1+$H40)/(1+Parameters!$B$10))^2)/(1-(1+$H40)/(1+Parameters!$B$10))))+$F40/(1+Parameters!$B$10)^2+IF(2&lt;=0,0,IF(Parameters!$B$10=0,2*$I40*$J40,$I40*$J40*(1-(1/(1+Parameters!$B$10))^2)/Parameters!$B$10)))</f>
        <v/>
      </c>
      <c r="AD40" s="8" t="str">
        <f aca="false">IF(OR($B40="",3&gt;Parameters!$B$7),"",IF(3&lt;=0,0,IF(ABS((1+$H40)/(1+Parameters!$B$10)-1)&lt;0.000001,3*$G40/(1+Parameters!$B$10),$G40/(1+Parameters!$B$10)*(1-((1+$H40)/(1+Parameters!$B$10))^3)/(1-(1+$H40)/(1+Parameters!$B$10))))+$F40/(1+Parameters!$B$10)^3+IF(3&lt;=0,0,IF(Parameters!$B$10=0,3*$I40*$J40,$I40*$J40*(1-(1/(1+Parameters!$B$10))^3)/Parameters!$B$10)))</f>
        <v/>
      </c>
      <c r="AE40" s="8" t="str">
        <f aca="false">IF(OR($B40="",4&gt;Parameters!$B$7),"",IF(4&lt;=0,0,IF(ABS((1+$H40)/(1+Parameters!$B$10)-1)&lt;0.000001,4*$G40/(1+Parameters!$B$10),$G40/(1+Parameters!$B$10)*(1-((1+$H40)/(1+Parameters!$B$10))^4)/(1-(1+$H40)/(1+Parameters!$B$10))))+$F40/(1+Parameters!$B$10)^4+IF(4&lt;=0,0,IF(Parameters!$B$10=0,4*$I40*$J40,$I40*$J40*(1-(1/(1+Parameters!$B$10))^4)/Parameters!$B$10)))</f>
        <v/>
      </c>
      <c r="AF40" s="8" t="str">
        <f aca="false">IF(OR($B40="",5&gt;Parameters!$B$7),"",IF(5&lt;=0,0,IF(ABS((1+$H40)/(1+Parameters!$B$10)-1)&lt;0.000001,5*$G40/(1+Parameters!$B$10),$G40/(1+Parameters!$B$10)*(1-((1+$H40)/(1+Parameters!$B$10))^5)/(1-(1+$H40)/(1+Parameters!$B$10))))+$F40/(1+Parameters!$B$10)^5+IF(5&lt;=0,0,IF(Parameters!$B$10=0,5*$I40*$J40,$I40*$J40*(1-(1/(1+Parameters!$B$10))^5)/Parameters!$B$10)))</f>
        <v/>
      </c>
      <c r="AG40" s="8" t="str">
        <f aca="false">IF(OR($B40="",1&gt;Parameters!$B$7),"",$G40*(1+$H40)^(1-1))</f>
        <v/>
      </c>
      <c r="AH40" s="8" t="str">
        <f aca="false">IF(OR($B40="",2&gt;Parameters!$B$7),"",$G40*(1+$H40)^(2-1))</f>
        <v/>
      </c>
      <c r="AI40" s="8" t="str">
        <f aca="false">IF(OR($B40="",3&gt;Parameters!$B$7),"",$G40*(1+$H40)^(3-1))</f>
        <v/>
      </c>
      <c r="AJ40" s="8" t="str">
        <f aca="false">IF(OR($B40="",4&gt;Parameters!$B$7),"",$G40*(1+$H40)^(4-1))</f>
        <v/>
      </c>
      <c r="AK40" s="8" t="str">
        <f aca="false">IF(OR($B40="",5&gt;Parameters!$B$7),"",$G40*(1+$H40)^(5-1))</f>
        <v/>
      </c>
    </row>
    <row r="41" customFormat="false" ht="15" hidden="false" customHeight="false" outlineLevel="0" collapsed="false">
      <c r="A41" s="33"/>
      <c r="B41" s="33"/>
      <c r="C41" s="33"/>
      <c r="D41" s="33"/>
      <c r="E41" s="33"/>
      <c r="F41" s="35"/>
      <c r="G41" s="35"/>
      <c r="H41" s="37"/>
      <c r="I41" s="37"/>
      <c r="J41" s="35"/>
      <c r="K41" s="36"/>
      <c r="L41" s="33"/>
      <c r="M41" s="8" t="str">
        <f aca="false">IF($B41="","",$G41+$I41*$J41)</f>
        <v/>
      </c>
      <c r="N41" s="8" t="str">
        <f aca="false">IF($B41="","",IF(Parameters!$B$7&lt;=0,0,IF(ABS((1+$H41)/(1+Parameters!$B$10)-1)&lt;0.000001,Parameters!$B$7*$G41/(1+Parameters!$B$10),$G41/(1+Parameters!$B$10)*(1-((1+$H41)/(1+Parameters!$B$10))^Parameters!$B$7)/(1-(1+$H41)/(1+Parameters!$B$10))))+IF(Parameters!$B$7&lt;=0,0,IF(Parameters!$B$10=0,Parameters!$B$7*$I41*$J41,$I41*$J41*(1-(1/(1+Parameters!$B$10))^Parameters!$B$7)/Parameters!$B$10)))</f>
        <v/>
      </c>
      <c r="O41" s="8" t="str">
        <f aca="false">IF(OR($B41="",1&gt;Parameters!$B$7),"",$N41-AB41)</f>
        <v/>
      </c>
      <c r="P41" s="8" t="str">
        <f aca="false">IF(OR($B41="",2&gt;Parameters!$B$7),"",$N41-AC41)</f>
        <v/>
      </c>
      <c r="Q41" s="8" t="str">
        <f aca="false">IF(OR($B41="",3&gt;Parameters!$B$7),"",$N41-AD41)</f>
        <v/>
      </c>
      <c r="R41" s="8" t="str">
        <f aca="false">IF(OR($B41="",4&gt;Parameters!$B$7),"",$N41-AE41)</f>
        <v/>
      </c>
      <c r="S41" s="8" t="str">
        <f aca="false">IF(OR($B41="",5&gt;Parameters!$B$7),"",$N41-AF41)</f>
        <v/>
      </c>
      <c r="T41" s="7" t="str">
        <f aca="false">IF($B41="","",IF(MAX($O41:$S41)&lt;0,"Accept",MATCH(MAX($O41:$S41),$O41:$S41,0)))</f>
        <v/>
      </c>
      <c r="U41" s="8" t="str">
        <f aca="false">IF($B41="","",MAX($O41:$S41))</f>
        <v/>
      </c>
      <c r="V41" s="40" t="str">
        <f aca="false">IF($B41="","",IF($F41&gt;0,ROUND($O41/$F41,2),IF(N($O41)&gt;0,Lists!$F$2,0))+IF($W41="Yes",Lists!$I$2,0))</f>
        <v/>
      </c>
      <c r="W41" s="7" t="str">
        <f aca="false">IF($B41="","",IF(COUNTIFS($L$2:$L$41,$A41,$E$2:$E$41,"Open",$A$2:$A$41,"&lt;&gt;"&amp;$A41)&gt;0,"Yes","No"))</f>
        <v/>
      </c>
      <c r="X41" s="7" t="str">
        <f aca="false">IF($B41="","",IF($V41&gt;=Lists!$F$2,"High",IF($V41&gt;=Lists!$F$3,"Medium","Low")))</f>
        <v/>
      </c>
      <c r="Y41" s="7" t="str">
        <f aca="false">IF(OR($B41="",$E41&lt;&gt;"Open"),"",IF($L41="",(INDEX(Lists!$G$2:$G$4,MATCH($X41,Lists!$E$2:$E$4,0))*1000000000000-$U41-$H41),IFERROR(MAX((INDEX(Lists!$G$2:$G$4,MATCH($X41,Lists!$E$2:$E$4,0))*1000000000000-$U41-$H41),INDEX($Y$2:$Y$41,MATCH($L41,$A$2:$A$41,0))+1),(INDEX(Lists!$G$2:$G$4,MATCH($X41,Lists!$E$2:$E$4,0))*1000000000000-$U41-$H41))))</f>
        <v/>
      </c>
      <c r="Z41" s="7" t="str">
        <f aca="false">IF($Y41="","",RANK($Y41,$Y$2:$Y$41,1)+COUNTIF($Y$2:$Y41,$Y41)-1)</f>
        <v/>
      </c>
      <c r="AA41" s="7" t="str">
        <f aca="false">""</f>
        <v/>
      </c>
      <c r="AB41" s="8" t="str">
        <f aca="false">IF(OR($B41="",1&gt;Parameters!$B$7),"",IF(1&lt;=0,0,IF(ABS((1+$H41)/(1+Parameters!$B$10)-1)&lt;0.000001,1*$G41/(1+Parameters!$B$10),$G41/(1+Parameters!$B$10)*(1-((1+$H41)/(1+Parameters!$B$10))^1)/(1-(1+$H41)/(1+Parameters!$B$10))))+$F41/(1+Parameters!$B$10)^1+IF(1&lt;=0,0,IF(Parameters!$B$10=0,1*$I41*$J41,$I41*$J41*(1-(1/(1+Parameters!$B$10))^1)/Parameters!$B$10)))</f>
        <v/>
      </c>
      <c r="AC41" s="8" t="str">
        <f aca="false">IF(OR($B41="",2&gt;Parameters!$B$7),"",IF(2&lt;=0,0,IF(ABS((1+$H41)/(1+Parameters!$B$10)-1)&lt;0.000001,2*$G41/(1+Parameters!$B$10),$G41/(1+Parameters!$B$10)*(1-((1+$H41)/(1+Parameters!$B$10))^2)/(1-(1+$H41)/(1+Parameters!$B$10))))+$F41/(1+Parameters!$B$10)^2+IF(2&lt;=0,0,IF(Parameters!$B$10=0,2*$I41*$J41,$I41*$J41*(1-(1/(1+Parameters!$B$10))^2)/Parameters!$B$10)))</f>
        <v/>
      </c>
      <c r="AD41" s="8" t="str">
        <f aca="false">IF(OR($B41="",3&gt;Parameters!$B$7),"",IF(3&lt;=0,0,IF(ABS((1+$H41)/(1+Parameters!$B$10)-1)&lt;0.000001,3*$G41/(1+Parameters!$B$10),$G41/(1+Parameters!$B$10)*(1-((1+$H41)/(1+Parameters!$B$10))^3)/(1-(1+$H41)/(1+Parameters!$B$10))))+$F41/(1+Parameters!$B$10)^3+IF(3&lt;=0,0,IF(Parameters!$B$10=0,3*$I41*$J41,$I41*$J41*(1-(1/(1+Parameters!$B$10))^3)/Parameters!$B$10)))</f>
        <v/>
      </c>
      <c r="AE41" s="8" t="str">
        <f aca="false">IF(OR($B41="",4&gt;Parameters!$B$7),"",IF(4&lt;=0,0,IF(ABS((1+$H41)/(1+Parameters!$B$10)-1)&lt;0.000001,4*$G41/(1+Parameters!$B$10),$G41/(1+Parameters!$B$10)*(1-((1+$H41)/(1+Parameters!$B$10))^4)/(1-(1+$H41)/(1+Parameters!$B$10))))+$F41/(1+Parameters!$B$10)^4+IF(4&lt;=0,0,IF(Parameters!$B$10=0,4*$I41*$J41,$I41*$J41*(1-(1/(1+Parameters!$B$10))^4)/Parameters!$B$10)))</f>
        <v/>
      </c>
      <c r="AF41" s="8" t="str">
        <f aca="false">IF(OR($B41="",5&gt;Parameters!$B$7),"",IF(5&lt;=0,0,IF(ABS((1+$H41)/(1+Parameters!$B$10)-1)&lt;0.000001,5*$G41/(1+Parameters!$B$10),$G41/(1+Parameters!$B$10)*(1-((1+$H41)/(1+Parameters!$B$10))^5)/(1-(1+$H41)/(1+Parameters!$B$10))))+$F41/(1+Parameters!$B$10)^5+IF(5&lt;=0,0,IF(Parameters!$B$10=0,5*$I41*$J41,$I41*$J41*(1-(1/(1+Parameters!$B$10))^5)/Parameters!$B$10)))</f>
        <v/>
      </c>
      <c r="AG41" s="8" t="str">
        <f aca="false">IF(OR($B41="",1&gt;Parameters!$B$7),"",$G41*(1+$H41)^(1-1))</f>
        <v/>
      </c>
      <c r="AH41" s="8" t="str">
        <f aca="false">IF(OR($B41="",2&gt;Parameters!$B$7),"",$G41*(1+$H41)^(2-1))</f>
        <v/>
      </c>
      <c r="AI41" s="8" t="str">
        <f aca="false">IF(OR($B41="",3&gt;Parameters!$B$7),"",$G41*(1+$H41)^(3-1))</f>
        <v/>
      </c>
      <c r="AJ41" s="8" t="str">
        <f aca="false">IF(OR($B41="",4&gt;Parameters!$B$7),"",$G41*(1+$H41)^(4-1))</f>
        <v/>
      </c>
      <c r="AK41" s="8" t="str">
        <f aca="false">IF(OR($B41="",5&gt;Parameters!$B$7),"",$G41*(1+$H41)^(5-1))</f>
        <v/>
      </c>
    </row>
  </sheetData>
  <autoFilter ref="A1:AK41"/>
  <conditionalFormatting sqref="X2:X41">
    <cfRule type="expression" priority="2" aboveAverage="0" equalAverage="0" bottom="0" percent="0" rank="0" text="" dxfId="11">
      <formula>EXACT($X2,"High")</formula>
    </cfRule>
    <cfRule type="expression" priority="3" aboveAverage="0" equalAverage="0" bottom="0" percent="0" rank="0" text="" dxfId="12">
      <formula>EXACT($X2,"Medium")</formula>
    </cfRule>
    <cfRule type="expression" priority="4" aboveAverage="0" equalAverage="0" bottom="0" percent="0" rank="0" text="" dxfId="13">
      <formula>EXACT($X2,"Low")</formula>
    </cfRule>
  </conditionalFormatting>
  <conditionalFormatting sqref="A2:AB41">
    <cfRule type="expression" priority="5" aboveAverage="0" equalAverage="0" bottom="0" percent="0" rank="0" text="" dxfId="14">
      <formula>OR($E2="Done",$E2="Accepted")</formula>
    </cfRule>
  </conditionalFormatting>
  <conditionalFormatting sqref="V2:V41">
    <cfRule type="colorScale" priority="6">
      <colorScale>
        <cfvo type="min" val="0"/>
        <cfvo type="max" val="0"/>
        <color rgb="FFFFFFFF"/>
        <color rgb="FFA7F3D0"/>
      </colorScale>
    </cfRule>
  </conditionalFormatting>
  <dataValidations count="3">
    <dataValidation allowBlank="true" errorStyle="stop" operator="between" showDropDown="false" showErrorMessage="true" showInputMessage="false" sqref="C2:C41" type="list">
      <formula1>Lists!$A$2:$A$9</formula1>
      <formula2>0</formula2>
    </dataValidation>
    <dataValidation allowBlank="true" errorStyle="stop" operator="between" showDropDown="false" showErrorMessage="true" showInputMessage="false" sqref="E2:E41" type="list">
      <formula1>Lists!$C$2:$C$4</formula1>
      <formula2>0</formula2>
    </dataValidation>
    <dataValidation allowBlank="true" error="Pick the ID of another item on this sheet." errorStyle="stop" operator="between" showDropDown="false" showErrorMessage="true" showInputMessage="false" sqref="L2:L41" type="list">
      <formula1>$A$2:$A$41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2026-09-04T23:53:33Z</dcterms:created>
  <dc:creator>KF</dc:creator>
  <dc:description/>
  <dc:language>en-US</dc:language>
  <cp:lastModifiedBy>Kevin Forbes</cp:lastModifiedBy>
  <dcterms:modified xsi:type="dcterms:W3CDTF">2026-09-24T15:42:40Z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