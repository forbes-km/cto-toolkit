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kevinforbes/Downloads/cto-toolkit-main/tools/technical-debt-economics/"/>
    </mc:Choice>
  </mc:AlternateContent>
  <xr:revisionPtr revIDLastSave="0" documentId="13_ncr:1_{1689F1A3-EFAF-5847-A1B8-A892E5BA9C22}" xr6:coauthVersionLast="47" xr6:coauthVersionMax="47" xr10:uidLastSave="{00000000-0000-0000-0000-000000000000}"/>
  <bookViews>
    <workbookView xWindow="0" yWindow="780" windowWidth="34200" windowHeight="19940" xr2:uid="{00000000-000D-0000-FFFF-FFFF00000000}"/>
  </bookViews>
  <sheets>
    <sheet name="Summary" sheetId="1" r:id="rId1"/>
    <sheet name="Year by Year" sheetId="2" r:id="rId2"/>
    <sheet name="All Decisions" sheetId="3" r:id="rId3"/>
    <sheet name="Cost Trajectory" sheetId="4" r:id="rId4"/>
  </sheets>
  <calcPr calcId="0"/>
</workbook>
</file>

<file path=xl/sharedStrings.xml><?xml version="1.0" encoding="utf-8"?>
<sst xmlns="http://schemas.openxmlformats.org/spreadsheetml/2006/main" count="114" uniqueCount="87">
  <si>
    <t>Technical Debt Remediation Plan</t>
  </si>
  <si>
    <t>Plan Parameters</t>
  </si>
  <si>
    <t>Organization</t>
  </si>
  <si>
    <t>Example Healthcare Software Co</t>
  </si>
  <si>
    <t>Planning horizon (years)</t>
  </si>
  <si>
    <t>Annual budget</t>
  </si>
  <si>
    <t>Annual capacity (days)</t>
  </si>
  <si>
    <t>Discount rate</t>
  </si>
  <si>
    <t>Plan Results</t>
  </si>
  <si>
    <t>Total items</t>
  </si>
  <si>
    <t>Items remediated within horizon</t>
  </si>
  <si>
    <t>Items deferred</t>
  </si>
  <si>
    <t>Total remediation cost</t>
  </si>
  <si>
    <t>Total carry cost under plan (NPV)</t>
  </si>
  <si>
    <t>Total cost if no action (NPV)</t>
  </si>
  <si>
    <t>NPV savings from plan</t>
  </si>
  <si>
    <t>Year-by-Year Remediation Plan</t>
  </si>
  <si>
    <t>Year</t>
  </si>
  <si>
    <t>Items</t>
  </si>
  <si>
    <t>Total Cost</t>
  </si>
  <si>
    <t>Effort Days</t>
  </si>
  <si>
    <t>Budget Used %</t>
  </si>
  <si>
    <t>Capacity Used %</t>
  </si>
  <si>
    <t>All Remediation Decisions</t>
  </si>
  <si>
    <t>ID</t>
  </si>
  <si>
    <t>Name</t>
  </si>
  <si>
    <t>Domain</t>
  </si>
  <si>
    <t>Priority</t>
  </si>
  <si>
    <t>Confidence</t>
  </si>
  <si>
    <t>Remediation Cost</t>
  </si>
  <si>
    <t>Carry at Year</t>
  </si>
  <si>
    <t>NPV Savings</t>
  </si>
  <si>
    <t>Dependencies</t>
  </si>
  <si>
    <t>Rationale</t>
  </si>
  <si>
    <t>SEC-001</t>
  </si>
  <si>
    <t>SOC 2 Type II expired - access control remediation needed</t>
  </si>
  <si>
    <t>Security</t>
  </si>
  <si>
    <t>Year 1</t>
  </si>
  <si>
    <t>High</t>
  </si>
  <si>
    <t>Year 1 remediation of this high-priority item. Driven by high carry growth rate (20%), elevated incident probability (10%), significant incident cost exposure ($5.0M), NPV savings of $5416K vs no action.</t>
  </si>
  <si>
    <t>PEOPLE-001</t>
  </si>
  <si>
    <t>Key person concentration on platform code</t>
  </si>
  <si>
    <t>People</t>
  </si>
  <si>
    <t>Year 1 remediation of this high-priority item. Driven by high carry growth rate (25%), elevated incident probability (20%), significant incident cost exposure ($2.0M), NPV savings of $2123K vs no action.</t>
  </si>
  <si>
    <t>IP-001</t>
  </si>
  <si>
    <t>Missing IP assignments for 12 engineers</t>
  </si>
  <si>
    <t>Process</t>
  </si>
  <si>
    <t>Year 1 remediation of this high-priority item. Driven by elevated incident probability (10%), significant incident cost exposure ($5.0M), NPV savings of $1805K vs no action.</t>
  </si>
  <si>
    <t>OPS-002</t>
  </si>
  <si>
    <t>DR plan never validated</t>
  </si>
  <si>
    <t>Infrastructure</t>
  </si>
  <si>
    <t>Year 1 remediation of this high-priority item. Driven by significant incident cost exposure ($8.0M), NPV savings of $1615K vs no action.</t>
  </si>
  <si>
    <t>SEC-002</t>
  </si>
  <si>
    <t>Two unremediated High pen test findings</t>
  </si>
  <si>
    <t>Year 1 remediation of this high-priority item. Driven by high carry growth rate (15%), significant incident cost exposure ($2.0M), NPV savings of $708K vs no action.</t>
  </si>
  <si>
    <t>ARCH-002</t>
  </si>
  <si>
    <t>PostgreSQL 11 EOL - upgrade required</t>
  </si>
  <si>
    <t>Year 1 remediation of this high-priority item. Driven by high carry growth rate (30%), significant incident cost exposure ($1.5M), NPV savings of $380K vs no action.</t>
  </si>
  <si>
    <t>OPS-001</t>
  </si>
  <si>
    <t>Cloud cost waste - 24/7 dev environments and no RIs</t>
  </si>
  <si>
    <t>Medium</t>
  </si>
  <si>
    <t>Year 1 remediation of this medium-priority item. Driven by NPV savings of $16161K vs no action.</t>
  </si>
  <si>
    <t>DATA-002</t>
  </si>
  <si>
    <t>Three different MAU definitions across teams</t>
  </si>
  <si>
    <t>Data</t>
  </si>
  <si>
    <t>Year 1 remediation of this medium-priority item. Driven by NPV savings of $172K vs no action.</t>
  </si>
  <si>
    <t>DATA-001</t>
  </si>
  <si>
    <t>Customer churn calculation bug</t>
  </si>
  <si>
    <t>Year 1 remediation of this medium-priority item. Driven by NPV savings of $139K vs no action.</t>
  </si>
  <si>
    <t>PROCESS-001</t>
  </si>
  <si>
    <t>No DORA metrics tracking</t>
  </si>
  <si>
    <t>Year 1 remediation of this medium-priority item. Driven by NPV savings of $62K vs no action.</t>
  </si>
  <si>
    <t>ARCH-001</t>
  </si>
  <si>
    <t>Multi-tenancy migration abandoned mid-flight</t>
  </si>
  <si>
    <t>Architecture</t>
  </si>
  <si>
    <t>Year 2</t>
  </si>
  <si>
    <t>Year 2 remediation of this high-priority item. Driven by significant incident cost exposure ($3.0M), NPV savings of $667K vs no action.</t>
  </si>
  <si>
    <t>ARCH-003</t>
  </si>
  <si>
    <t>Code modernization to support multi-tenancy</t>
  </si>
  <si>
    <t>Code</t>
  </si>
  <si>
    <t>Year 3</t>
  </si>
  <si>
    <t>Low</t>
  </si>
  <si>
    <t>Year 3 remediation of this low-priority item.</t>
  </si>
  <si>
    <t>Cost Trajectory: Plan vs No Action</t>
  </si>
  <si>
    <t>Cost Under Plan</t>
  </si>
  <si>
    <t>Cost If No Action</t>
  </si>
  <si>
    <t>Annual Savings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</si>
</sst>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5" formatCode="0.0%"/>
  </numFmts>
  <fonts count="6" x14ac:knownFonts="1">
    <font>
      <sz val="11"/>
      <color theme="1"/>
      <name val="Calibri"/>
      <family val="2"/>
      <scheme val="minor"/>
    </font>
    <font>
      <b/>
      <sz val="14"/>
      <color rgb="FF1F4E78"/>
      <name val="Arial"/>
    </font>
    <font>
      <b/>
      <sz val="11"/>
      <color rgb="FF1F4E78"/>
      <name val="Arial"/>
    </font>
    <font>
      <b/>
      <sz val="10"/>
      <name val="Arial"/>
    </font>
    <font>
      <sz val="10"/>
      <name val="Arial"/>
    </font>
    <font>
      <b/>
      <sz val="11"/>
      <color rgb="FFFFFFFF"/>
      <name val="Arial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4" fillId="0" borderId="0" xfId="0" applyNumberFormat="1" applyFont="1"/>
    <xf numFmtId="165" fontId="4" fillId="0" borderId="0" xfId="0" applyNumberFormat="1" applyFont="1"/>
    <xf numFmtId="0" fontId="5" fillId="2" borderId="1" xfId="0" applyFont="1" applyFill="1" applyBorder="1" applyAlignment="1">
      <alignment horizontal="center" vertical="center"/>
    </xf>
    <xf numFmtId="9" fontId="4" fillId="0" borderId="0" xfId="0" applyNumberFormat="1" applyFont="1"/>
    <xf numFmtId="0" fontId="4" fillId="0" borderId="0" xfId="0" applyFont="1" applyAlignment="1">
      <alignment horizontal="left" vertical="top" wrapText="1"/>
    </xf>
  </cellXfs>
  <cellStyles count="1">
    <cellStyle name="Normal" xfId="0" builtinId="0"/>
  </cellStyles>
  <dxfs count="4">
    <dxf>
      <fill>
        <patternFill patternType="solid">
          <fgColor rgb="FFD9E1F2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E7E6E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7"/>
  <sheetViews>
    <sheetView tabSelected="1" workbookViewId="0"/>
  </sheetViews>
  <sheetFormatPr baseColWidth="10" defaultColWidth="8.83203125" defaultRowHeight="15" x14ac:dyDescent="0.2"/>
  <cols>
    <col min="1" max="1" width="38" customWidth="1"/>
    <col min="2" max="2" width="22" customWidth="1"/>
  </cols>
  <sheetData>
    <row r="1" spans="1:2" ht="18" x14ac:dyDescent="0.2">
      <c r="A1" s="1" t="s">
        <v>0</v>
      </c>
    </row>
    <row r="3" spans="1:2" x14ac:dyDescent="0.2">
      <c r="A3" s="2" t="s">
        <v>1</v>
      </c>
    </row>
    <row r="4" spans="1:2" x14ac:dyDescent="0.2">
      <c r="A4" s="3" t="s">
        <v>2</v>
      </c>
      <c r="B4" s="4" t="s">
        <v>3</v>
      </c>
    </row>
    <row r="5" spans="1:2" x14ac:dyDescent="0.2">
      <c r="A5" s="3" t="s">
        <v>4</v>
      </c>
      <c r="B5" s="4">
        <v>5</v>
      </c>
    </row>
    <row r="6" spans="1:2" x14ac:dyDescent="0.2">
      <c r="A6" s="3" t="s">
        <v>5</v>
      </c>
      <c r="B6" s="5">
        <v>2000000</v>
      </c>
    </row>
    <row r="7" spans="1:2" x14ac:dyDescent="0.2">
      <c r="A7" s="3" t="s">
        <v>6</v>
      </c>
      <c r="B7" s="4">
        <v>750</v>
      </c>
    </row>
    <row r="8" spans="1:2" x14ac:dyDescent="0.2">
      <c r="A8" s="3" t="s">
        <v>7</v>
      </c>
      <c r="B8" s="6">
        <v>0.08</v>
      </c>
    </row>
    <row r="10" spans="1:2" x14ac:dyDescent="0.2">
      <c r="A10" s="2" t="s">
        <v>8</v>
      </c>
    </row>
    <row r="11" spans="1:2" x14ac:dyDescent="0.2">
      <c r="A11" s="3" t="s">
        <v>9</v>
      </c>
      <c r="B11" s="4">
        <v>12</v>
      </c>
    </row>
    <row r="12" spans="1:2" x14ac:dyDescent="0.2">
      <c r="A12" s="3" t="s">
        <v>10</v>
      </c>
      <c r="B12" s="4">
        <v>12</v>
      </c>
    </row>
    <row r="13" spans="1:2" x14ac:dyDescent="0.2">
      <c r="A13" s="3" t="s">
        <v>11</v>
      </c>
      <c r="B13" s="4">
        <v>0</v>
      </c>
    </row>
    <row r="14" spans="1:2" x14ac:dyDescent="0.2">
      <c r="A14" s="3" t="s">
        <v>12</v>
      </c>
      <c r="B14" s="5">
        <v>3885000</v>
      </c>
    </row>
    <row r="15" spans="1:2" x14ac:dyDescent="0.2">
      <c r="A15" s="3" t="s">
        <v>13</v>
      </c>
      <c r="B15" s="5">
        <v>7700295.3055936601</v>
      </c>
    </row>
    <row r="16" spans="1:2" x14ac:dyDescent="0.2">
      <c r="A16" s="3" t="s">
        <v>14</v>
      </c>
      <c r="B16" s="5">
        <v>39659039.203673929</v>
      </c>
    </row>
    <row r="17" spans="1:2" x14ac:dyDescent="0.2">
      <c r="A17" s="3" t="s">
        <v>15</v>
      </c>
      <c r="B17" s="5">
        <v>28073743.898080271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"/>
  <sheetViews>
    <sheetView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2" width="8" customWidth="1"/>
    <col min="3" max="3" width="16" customWidth="1"/>
    <col min="4" max="4" width="14" customWidth="1"/>
    <col min="5" max="5" width="16" customWidth="1"/>
    <col min="6" max="6" width="18" customWidth="1"/>
  </cols>
  <sheetData>
    <row r="1" spans="1:6" ht="18" x14ac:dyDescent="0.2">
      <c r="A1" s="1" t="s">
        <v>16</v>
      </c>
    </row>
    <row r="3" spans="1:6" ht="30" customHeight="1" x14ac:dyDescent="0.2">
      <c r="A3" s="7" t="s">
        <v>17</v>
      </c>
      <c r="B3" s="7" t="s">
        <v>18</v>
      </c>
      <c r="C3" s="7" t="s">
        <v>19</v>
      </c>
      <c r="D3" s="7" t="s">
        <v>20</v>
      </c>
      <c r="E3" s="7" t="s">
        <v>21</v>
      </c>
      <c r="F3" s="7" t="s">
        <v>22</v>
      </c>
    </row>
    <row r="4" spans="1:6" x14ac:dyDescent="0.2">
      <c r="A4" s="4">
        <v>1</v>
      </c>
      <c r="B4" s="4">
        <v>10</v>
      </c>
      <c r="C4" s="5">
        <v>1585000</v>
      </c>
      <c r="D4" s="4">
        <v>620</v>
      </c>
      <c r="E4" s="6">
        <v>0.79249999999999998</v>
      </c>
      <c r="F4" s="6">
        <v>0.82666666666666666</v>
      </c>
    </row>
    <row r="5" spans="1:6" x14ac:dyDescent="0.2">
      <c r="A5" s="4">
        <v>2</v>
      </c>
      <c r="B5" s="4">
        <v>1</v>
      </c>
      <c r="C5" s="5">
        <v>1500000</v>
      </c>
      <c r="D5" s="4">
        <v>360</v>
      </c>
      <c r="E5" s="6">
        <v>0.75</v>
      </c>
      <c r="F5" s="6">
        <v>0.48</v>
      </c>
    </row>
    <row r="6" spans="1:6" x14ac:dyDescent="0.2">
      <c r="A6" s="4">
        <v>3</v>
      </c>
      <c r="B6" s="4">
        <v>1</v>
      </c>
      <c r="C6" s="5">
        <v>800000</v>
      </c>
      <c r="D6" s="4">
        <v>240</v>
      </c>
      <c r="E6" s="6">
        <v>0.4</v>
      </c>
      <c r="F6" s="6">
        <v>0.32</v>
      </c>
    </row>
    <row r="7" spans="1:6" x14ac:dyDescent="0.2">
      <c r="A7" s="4">
        <v>4</v>
      </c>
      <c r="B7" s="4">
        <v>0</v>
      </c>
      <c r="C7" s="5">
        <v>0</v>
      </c>
      <c r="D7" s="4">
        <v>0</v>
      </c>
      <c r="E7" s="6">
        <v>0</v>
      </c>
      <c r="F7" s="6">
        <v>0</v>
      </c>
    </row>
    <row r="8" spans="1:6" x14ac:dyDescent="0.2">
      <c r="A8" s="4">
        <v>5</v>
      </c>
      <c r="B8" s="4">
        <v>0</v>
      </c>
      <c r="C8" s="5">
        <v>0</v>
      </c>
      <c r="D8" s="4">
        <v>0</v>
      </c>
      <c r="E8" s="6">
        <v>0</v>
      </c>
      <c r="F8" s="6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14" customWidth="1"/>
    <col min="4" max="4" width="12" customWidth="1"/>
    <col min="5" max="5" width="10" customWidth="1"/>
    <col min="6" max="6" width="12" customWidth="1"/>
    <col min="7" max="7" width="16" customWidth="1"/>
    <col min="8" max="8" width="12" customWidth="1"/>
    <col min="9" max="10" width="16" customWidth="1"/>
    <col min="11" max="11" width="22" customWidth="1"/>
    <col min="12" max="12" width="60" customWidth="1"/>
  </cols>
  <sheetData>
    <row r="1" spans="1:12" ht="18" x14ac:dyDescent="0.2">
      <c r="A1" s="1" t="s">
        <v>23</v>
      </c>
    </row>
    <row r="3" spans="1:12" ht="30" customHeight="1" x14ac:dyDescent="0.2">
      <c r="A3" s="7" t="s">
        <v>24</v>
      </c>
      <c r="B3" s="7" t="s">
        <v>25</v>
      </c>
      <c r="C3" s="7" t="s">
        <v>26</v>
      </c>
      <c r="D3" s="7" t="s">
        <v>17</v>
      </c>
      <c r="E3" s="7" t="s">
        <v>27</v>
      </c>
      <c r="F3" s="7" t="s">
        <v>28</v>
      </c>
      <c r="G3" s="7" t="s">
        <v>29</v>
      </c>
      <c r="H3" s="7" t="s">
        <v>20</v>
      </c>
      <c r="I3" s="7" t="s">
        <v>30</v>
      </c>
      <c r="J3" s="7" t="s">
        <v>31</v>
      </c>
      <c r="K3" s="7" t="s">
        <v>32</v>
      </c>
      <c r="L3" s="7" t="s">
        <v>33</v>
      </c>
    </row>
    <row r="4" spans="1:12" ht="42" x14ac:dyDescent="0.2">
      <c r="A4" s="4" t="s">
        <v>34</v>
      </c>
      <c r="B4" s="4" t="s">
        <v>35</v>
      </c>
      <c r="C4" s="4" t="s">
        <v>36</v>
      </c>
      <c r="D4" s="4" t="s">
        <v>37</v>
      </c>
      <c r="E4" s="4" t="s">
        <v>38</v>
      </c>
      <c r="F4" s="8">
        <v>0.97499999999999998</v>
      </c>
      <c r="G4" s="5">
        <v>250000</v>
      </c>
      <c r="H4" s="4">
        <v>90</v>
      </c>
      <c r="I4" s="5">
        <v>800000</v>
      </c>
      <c r="J4" s="5">
        <v>5416043.187122196</v>
      </c>
      <c r="K4" s="4"/>
      <c r="L4" s="9" t="s">
        <v>39</v>
      </c>
    </row>
    <row r="5" spans="1:12" ht="42" x14ac:dyDescent="0.2">
      <c r="A5" s="4" t="s">
        <v>40</v>
      </c>
      <c r="B5" s="4" t="s">
        <v>41</v>
      </c>
      <c r="C5" s="4" t="s">
        <v>42</v>
      </c>
      <c r="D5" s="4" t="s">
        <v>37</v>
      </c>
      <c r="E5" s="4" t="s">
        <v>38</v>
      </c>
      <c r="F5" s="8">
        <v>1</v>
      </c>
      <c r="G5" s="5">
        <v>400000</v>
      </c>
      <c r="H5" s="4">
        <v>120</v>
      </c>
      <c r="I5" s="5">
        <v>200000</v>
      </c>
      <c r="J5" s="5">
        <v>2123372.7900951789</v>
      </c>
      <c r="K5" s="4"/>
      <c r="L5" s="9" t="s">
        <v>43</v>
      </c>
    </row>
    <row r="6" spans="1:12" ht="42" x14ac:dyDescent="0.2">
      <c r="A6" s="4" t="s">
        <v>44</v>
      </c>
      <c r="B6" s="4" t="s">
        <v>45</v>
      </c>
      <c r="C6" s="4" t="s">
        <v>46</v>
      </c>
      <c r="D6" s="4" t="s">
        <v>37</v>
      </c>
      <c r="E6" s="4" t="s">
        <v>38</v>
      </c>
      <c r="F6" s="8">
        <v>0.81471238938053092</v>
      </c>
      <c r="G6" s="5">
        <v>50000</v>
      </c>
      <c r="H6" s="4">
        <v>20</v>
      </c>
      <c r="I6" s="5">
        <v>25000</v>
      </c>
      <c r="J6" s="5">
        <v>1804915.93751188</v>
      </c>
      <c r="K6" s="4"/>
      <c r="L6" s="9" t="s">
        <v>47</v>
      </c>
    </row>
    <row r="7" spans="1:12" ht="28" x14ac:dyDescent="0.2">
      <c r="A7" s="4" t="s">
        <v>48</v>
      </c>
      <c r="B7" s="4" t="s">
        <v>49</v>
      </c>
      <c r="C7" s="4" t="s">
        <v>50</v>
      </c>
      <c r="D7" s="4" t="s">
        <v>37</v>
      </c>
      <c r="E7" s="4" t="s">
        <v>38</v>
      </c>
      <c r="F7" s="8">
        <v>0.86071047012651436</v>
      </c>
      <c r="G7" s="5">
        <v>200000</v>
      </c>
      <c r="H7" s="4">
        <v>90</v>
      </c>
      <c r="I7" s="5">
        <v>100000</v>
      </c>
      <c r="J7" s="5">
        <v>1614551.2751424201</v>
      </c>
      <c r="K7" s="4"/>
      <c r="L7" s="9" t="s">
        <v>51</v>
      </c>
    </row>
    <row r="8" spans="1:12" ht="42" x14ac:dyDescent="0.2">
      <c r="A8" s="4" t="s">
        <v>52</v>
      </c>
      <c r="B8" s="4" t="s">
        <v>53</v>
      </c>
      <c r="C8" s="4" t="s">
        <v>36</v>
      </c>
      <c r="D8" s="4" t="s">
        <v>37</v>
      </c>
      <c r="E8" s="4" t="s">
        <v>38</v>
      </c>
      <c r="F8" s="8">
        <v>0.92390467461044923</v>
      </c>
      <c r="G8" s="5">
        <v>80000</v>
      </c>
      <c r="H8" s="4">
        <v>30</v>
      </c>
      <c r="I8" s="5">
        <v>50000</v>
      </c>
      <c r="J8" s="5">
        <v>707886.23652059771</v>
      </c>
      <c r="K8" s="4"/>
      <c r="L8" s="9" t="s">
        <v>54</v>
      </c>
    </row>
    <row r="9" spans="1:12" ht="42" x14ac:dyDescent="0.2">
      <c r="A9" s="4" t="s">
        <v>55</v>
      </c>
      <c r="B9" s="4" t="s">
        <v>56</v>
      </c>
      <c r="C9" s="4" t="s">
        <v>50</v>
      </c>
      <c r="D9" s="4" t="s">
        <v>37</v>
      </c>
      <c r="E9" s="4" t="s">
        <v>38</v>
      </c>
      <c r="F9" s="8">
        <v>0.82028624724393684</v>
      </c>
      <c r="G9" s="5">
        <v>200000</v>
      </c>
      <c r="H9" s="4">
        <v>90</v>
      </c>
      <c r="I9" s="5">
        <v>50000</v>
      </c>
      <c r="J9" s="5">
        <v>380285.40584136458</v>
      </c>
      <c r="K9" s="4"/>
      <c r="L9" s="9" t="s">
        <v>57</v>
      </c>
    </row>
    <row r="10" spans="1:12" ht="28" x14ac:dyDescent="0.2">
      <c r="A10" s="4" t="s">
        <v>58</v>
      </c>
      <c r="B10" s="4" t="s">
        <v>59</v>
      </c>
      <c r="C10" s="4" t="s">
        <v>50</v>
      </c>
      <c r="D10" s="4" t="s">
        <v>37</v>
      </c>
      <c r="E10" s="4" t="s">
        <v>60</v>
      </c>
      <c r="F10" s="8">
        <v>0.64408491359136999</v>
      </c>
      <c r="G10" s="5">
        <v>150000</v>
      </c>
      <c r="H10" s="4">
        <v>60</v>
      </c>
      <c r="I10" s="5">
        <v>4400000</v>
      </c>
      <c r="J10" s="5">
        <v>16160937.154481521</v>
      </c>
      <c r="K10" s="4"/>
      <c r="L10" s="9" t="s">
        <v>61</v>
      </c>
    </row>
    <row r="11" spans="1:12" ht="28" x14ac:dyDescent="0.2">
      <c r="A11" s="4" t="s">
        <v>62</v>
      </c>
      <c r="B11" s="4" t="s">
        <v>63</v>
      </c>
      <c r="C11" s="4" t="s">
        <v>64</v>
      </c>
      <c r="D11" s="4" t="s">
        <v>37</v>
      </c>
      <c r="E11" s="4" t="s">
        <v>60</v>
      </c>
      <c r="F11" s="8">
        <v>0.91669695600744605</v>
      </c>
      <c r="G11" s="5">
        <v>120000</v>
      </c>
      <c r="H11" s="4">
        <v>60</v>
      </c>
      <c r="I11" s="5">
        <v>80000</v>
      </c>
      <c r="J11" s="5">
        <v>172232.2126390881</v>
      </c>
      <c r="K11" s="4"/>
      <c r="L11" s="9" t="s">
        <v>65</v>
      </c>
    </row>
    <row r="12" spans="1:12" ht="28" x14ac:dyDescent="0.2">
      <c r="A12" s="4" t="s">
        <v>66</v>
      </c>
      <c r="B12" s="4" t="s">
        <v>67</v>
      </c>
      <c r="C12" s="4" t="s">
        <v>64</v>
      </c>
      <c r="D12" s="4" t="s">
        <v>37</v>
      </c>
      <c r="E12" s="4" t="s">
        <v>60</v>
      </c>
      <c r="F12" s="8">
        <v>0.95284418781932179</v>
      </c>
      <c r="G12" s="5">
        <v>75000</v>
      </c>
      <c r="H12" s="4">
        <v>30</v>
      </c>
      <c r="I12" s="5">
        <v>50000</v>
      </c>
      <c r="J12" s="5">
        <v>138530.41979793739</v>
      </c>
      <c r="K12" s="4"/>
      <c r="L12" s="9" t="s">
        <v>68</v>
      </c>
    </row>
    <row r="13" spans="1:12" ht="28" x14ac:dyDescent="0.2">
      <c r="A13" s="4" t="s">
        <v>69</v>
      </c>
      <c r="B13" s="4" t="s">
        <v>70</v>
      </c>
      <c r="C13" s="4" t="s">
        <v>46</v>
      </c>
      <c r="D13" s="4" t="s">
        <v>37</v>
      </c>
      <c r="E13" s="4" t="s">
        <v>60</v>
      </c>
      <c r="F13" s="8">
        <v>0.90857857223973371</v>
      </c>
      <c r="G13" s="5">
        <v>60000</v>
      </c>
      <c r="H13" s="4">
        <v>30</v>
      </c>
      <c r="I13" s="5">
        <v>30000</v>
      </c>
      <c r="J13" s="5">
        <v>62169.868841643292</v>
      </c>
      <c r="K13" s="4"/>
      <c r="L13" s="9" t="s">
        <v>71</v>
      </c>
    </row>
    <row r="14" spans="1:12" ht="28" x14ac:dyDescent="0.2">
      <c r="A14" s="4" t="s">
        <v>72</v>
      </c>
      <c r="B14" s="4" t="s">
        <v>73</v>
      </c>
      <c r="C14" s="4" t="s">
        <v>74</v>
      </c>
      <c r="D14" s="4" t="s">
        <v>75</v>
      </c>
      <c r="E14" s="4" t="s">
        <v>38</v>
      </c>
      <c r="F14" s="8">
        <v>0.88871311644876982</v>
      </c>
      <c r="G14" s="5">
        <v>1500000</v>
      </c>
      <c r="H14" s="4">
        <v>360</v>
      </c>
      <c r="I14" s="5">
        <v>392000.00000000012</v>
      </c>
      <c r="J14" s="5">
        <v>667317.70928615006</v>
      </c>
      <c r="K14" s="4"/>
      <c r="L14" s="9" t="s">
        <v>76</v>
      </c>
    </row>
    <row r="15" spans="1:12" x14ac:dyDescent="0.2">
      <c r="A15" s="4" t="s">
        <v>77</v>
      </c>
      <c r="B15" s="4" t="s">
        <v>78</v>
      </c>
      <c r="C15" s="4" t="s">
        <v>79</v>
      </c>
      <c r="D15" s="4" t="s">
        <v>80</v>
      </c>
      <c r="E15" s="4" t="s">
        <v>81</v>
      </c>
      <c r="F15" s="8">
        <v>0.98346264359639435</v>
      </c>
      <c r="G15" s="5">
        <v>800000</v>
      </c>
      <c r="H15" s="4">
        <v>240</v>
      </c>
      <c r="I15" s="5">
        <v>181500</v>
      </c>
      <c r="J15" s="5">
        <v>0</v>
      </c>
      <c r="K15" s="4" t="s">
        <v>72</v>
      </c>
      <c r="L15" s="9" t="s">
        <v>82</v>
      </c>
    </row>
  </sheetData>
  <conditionalFormatting sqref="D4:D15">
    <cfRule type="cellIs" dxfId="3" priority="4" operator="equal">
      <formula>"Deferred"</formula>
    </cfRule>
  </conditionalFormatting>
  <conditionalFormatting sqref="E4:E15">
    <cfRule type="cellIs" dxfId="2" priority="1" operator="equal">
      <formula>"High"</formula>
    </cfRule>
    <cfRule type="cellIs" dxfId="1" priority="2" operator="equal">
      <formula>"Medium"</formula>
    </cfRule>
    <cfRule type="cellIs" dxfId="0" priority="3" operator="equal">
      <formula>"Low"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"/>
  <sheetViews>
    <sheetView workbookViewId="0"/>
  </sheetViews>
  <sheetFormatPr baseColWidth="10" defaultColWidth="8.83203125" defaultRowHeight="15" x14ac:dyDescent="0.2"/>
  <cols>
    <col min="1" max="1" width="8" customWidth="1"/>
    <col min="2" max="2" width="18" customWidth="1"/>
    <col min="3" max="3" width="20" customWidth="1"/>
    <col min="4" max="4" width="18" customWidth="1"/>
  </cols>
  <sheetData>
    <row r="1" spans="1:4" ht="18" x14ac:dyDescent="0.2">
      <c r="A1" s="1" t="s">
        <v>83</v>
      </c>
    </row>
    <row r="3" spans="1:4" x14ac:dyDescent="0.2">
      <c r="A3" s="7" t="s">
        <v>17</v>
      </c>
      <c r="B3" s="7" t="s">
        <v>84</v>
      </c>
      <c r="C3" s="7" t="s">
        <v>85</v>
      </c>
      <c r="D3" s="7" t="s">
        <v>86</v>
      </c>
    </row>
    <row r="4" spans="1:4" x14ac:dyDescent="0.2">
      <c r="A4" s="4">
        <v>1</v>
      </c>
      <c r="B4" s="5">
        <v>5187500</v>
      </c>
      <c r="C4" s="5">
        <v>8547000</v>
      </c>
      <c r="D4" s="5">
        <v>3359500</v>
      </c>
    </row>
    <row r="5" spans="1:4" x14ac:dyDescent="0.2">
      <c r="A5" s="4">
        <v>2</v>
      </c>
      <c r="B5" s="5">
        <v>1891000</v>
      </c>
      <c r="C5" s="5">
        <v>9207750</v>
      </c>
      <c r="D5" s="5">
        <v>7316750</v>
      </c>
    </row>
    <row r="6" spans="1:4" x14ac:dyDescent="0.2">
      <c r="A6" s="4">
        <v>3</v>
      </c>
      <c r="B6" s="5">
        <v>890750</v>
      </c>
      <c r="C6" s="5">
        <v>9954787.5</v>
      </c>
      <c r="D6" s="5">
        <v>9064037.5</v>
      </c>
    </row>
    <row r="7" spans="1:4" x14ac:dyDescent="0.2">
      <c r="A7" s="4">
        <v>4</v>
      </c>
      <c r="B7" s="5">
        <v>0</v>
      </c>
      <c r="C7" s="5">
        <v>10802286.975</v>
      </c>
      <c r="D7" s="5">
        <v>10802286.975</v>
      </c>
    </row>
    <row r="8" spans="1:4" x14ac:dyDescent="0.2">
      <c r="A8" s="4">
        <v>5</v>
      </c>
      <c r="B8" s="5">
        <v>0</v>
      </c>
      <c r="C8" s="5">
        <v>11767193.418749999</v>
      </c>
      <c r="D8" s="5">
        <v>11767193.418749999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Year by Year</vt:lpstr>
      <vt:lpstr>All Decisions</vt:lpstr>
      <vt:lpstr>Cost Trajectory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KF</dc:creator>
  <cp:keywords/>
  <dc:description/>
  <cp:lastModifiedBy>Kevin Forbes</cp:lastModifiedBy>
  <dcterms:created xsi:type="dcterms:W3CDTF">2026-04-28T00:22:18Z</dcterms:created>
  <dcterms:modified xsi:type="dcterms:W3CDTF">2026-09-05T00:05:45Z</dcterms:modified>
  <cp:category/>
</cp:coreProperties>
</file>