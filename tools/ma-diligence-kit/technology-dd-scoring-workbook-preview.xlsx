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al Context" sheetId="2" state="visible" r:id="rId4"/>
    <sheet name="Domain Scoring" sheetId="3" state="visible" r:id="rId5"/>
    <sheet name="Integration Complexity" sheetId="4" state="visible" r:id="rId6"/>
    <sheet name="Red Flags" sheetId="5" state="visible" r:id="rId7"/>
    <sheet name="Findings Log" sheetId="6" state="visible" r:id="rId8"/>
    <sheet name="Cost Estimator" sheetId="7" state="visible" r:id="rId9"/>
    <sheet name="Executive Summary"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<sst xmlns="http://schemas.openxmlformats.org/spreadsheetml/2006/main" count="436" uniqueCount="303">
  <si>
    <t xml:space="preserve">Technology Due Diligence Scoring Workbook (Preview)</t>
  </si>
  <si>
    <t xml:space="preserve">Purpose</t>
  </si>
  <si>
    <t xml:space="preserve">This workbook provides a systematic framework for scoring technology due diligence findings across eight domains and assessing integration complexity. It is designed for use during confirmatory or exclusivity diligence on healthcare and SaaS technology acquisitions.</t>
  </si>
  <si>
    <t xml:space="preserve">Workbook Structure</t>
  </si>
  <si>
    <t xml:space="preserve">Sheet</t>
  </si>
  <si>
    <t xml:space="preserve">When to Use</t>
  </si>
  <si>
    <t xml:space="preserve">README</t>
  </si>
  <si>
    <t xml:space="preserve">Instructions and guide</t>
  </si>
  <si>
    <t xml:space="preserve">Start here</t>
  </si>
  <si>
    <t xml:space="preserve">Deal Context</t>
  </si>
  <si>
    <t xml:space="preserve">Deal parameters and scoring weights</t>
  </si>
  <si>
    <t xml:space="preserve">Complete at engagement start</t>
  </si>
  <si>
    <t xml:space="preserve">Domain Scoring</t>
  </si>
  <si>
    <t xml:space="preserve">Eight-domain assessment with 1-5 scoring</t>
  </si>
  <si>
    <t xml:space="preserve">Primary diligence worksheet</t>
  </si>
  <si>
    <t xml:space="preserve">Integration Complexity</t>
  </si>
  <si>
    <t xml:space="preserve">Seven-dimension integration assessment</t>
  </si>
  <si>
    <t xml:space="preserve">After domain scoring</t>
  </si>
  <si>
    <t xml:space="preserve">Red Flags</t>
  </si>
  <si>
    <t xml:space="preserve">Pattern library of critical findings</t>
  </si>
  <si>
    <t xml:space="preserve">Reference during assessment</t>
  </si>
  <si>
    <t xml:space="preserve">Findings Log</t>
  </si>
  <si>
    <t xml:space="preserve">Individual finding tracking with severity</t>
  </si>
  <si>
    <t xml:space="preserve">Throughout engagement</t>
  </si>
  <si>
    <t xml:space="preserve">Cost Estimator</t>
  </si>
  <si>
    <t xml:space="preserve">Integration cost projection based on complexity</t>
  </si>
  <si>
    <t xml:space="preserve">After complexity scoring</t>
  </si>
  <si>
    <t xml:space="preserve">Executive Summary</t>
  </si>
  <si>
    <t xml:space="preserve">Auto-generated summary for deal team</t>
  </si>
  <si>
    <t xml:space="preserve">Final output</t>
  </si>
  <si>
    <t xml:space="preserve">Scoring Conventions</t>
  </si>
  <si>
    <t xml:space="preserve">Score</t>
  </si>
  <si>
    <t xml:space="preserve">Meaning</t>
  </si>
  <si>
    <t xml:space="preserve">Implication</t>
  </si>
  <si>
    <t xml:space="preserve">1</t>
  </si>
  <si>
    <t xml:space="preserve">Excellent</t>
  </si>
  <si>
    <t xml:space="preserve">No action required; potential strength</t>
  </si>
  <si>
    <t xml:space="preserve">2</t>
  </si>
  <si>
    <t xml:space="preserve">Solid</t>
  </si>
  <si>
    <t xml:space="preserve">Minor attention in integration planning</t>
  </si>
  <si>
    <t xml:space="preserve">3</t>
  </si>
  <si>
    <t xml:space="preserve">Functional with gaps</t>
  </si>
  <si>
    <t xml:space="preserve">Material investment in integration or remediation</t>
  </si>
  <si>
    <t xml:space="preserve">4</t>
  </si>
  <si>
    <t xml:space="preserve">Significant concerns</t>
  </si>
  <si>
    <t xml:space="preserve">Substantial investment; consider deal structure adjustment</t>
  </si>
  <si>
    <t xml:space="preserve">5</t>
  </si>
  <si>
    <t xml:space="preserve">Critical</t>
  </si>
  <si>
    <t xml:space="preserve">May affect deal viability; requires deal team attention</t>
  </si>
  <si>
    <t xml:space="preserve">Color Coding</t>
  </si>
  <si>
    <t xml:space="preserve">Blue text</t>
  </si>
  <si>
    <t xml:space="preserve">Inputs you will customize for this deal</t>
  </si>
  <si>
    <t xml:space="preserve">Black text</t>
  </si>
  <si>
    <t xml:space="preserve">Formulas and calculations (do not modify)</t>
  </si>
  <si>
    <t xml:space="preserve">Green text</t>
  </si>
  <si>
    <t xml:space="preserve">Links pulling from other sheets in this workbook</t>
  </si>
  <si>
    <t xml:space="preserve">Yellow background</t>
  </si>
  <si>
    <t xml:space="preserve">Key assumptions requiring attention</t>
  </si>
  <si>
    <t xml:space="preserve">About this preview</t>
  </si>
  <si>
    <t xml:space="preserve">The structure, scales, scoring guidance, findings log, and executive summary are complete and usable as they stand. Three things are held back: calibrated domain and integration weights by deal type, the full red flag library, and the integration cost bands from engagement history. Each is marked where it would sit.</t>
  </si>
  <si>
    <t xml:space="preserve">Deal Context and Scoring Weights</t>
  </si>
  <si>
    <t xml:space="preserve">Deal Parameters</t>
  </si>
  <si>
    <t xml:space="preserve">Target Company Name</t>
  </si>
  <si>
    <t xml:space="preserve">[Enter target name]</t>
  </si>
  <si>
    <t xml:space="preserve">Deal Type</t>
  </si>
  <si>
    <t xml:space="preserve">[Strategic / PE / Growth / Carveout]</t>
  </si>
  <si>
    <t xml:space="preserve">Indicative Deal Value ($M)</t>
  </si>
  <si>
    <t xml:space="preserve">Diligence Start Date</t>
  </si>
  <si>
    <t xml:space="preserve">[Date]</t>
  </si>
  <si>
    <t xml:space="preserve">Diligence Duration (weeks)</t>
  </si>
  <si>
    <t xml:space="preserve">Deal Team Lead</t>
  </si>
  <si>
    <t xml:space="preserve">[Name]</t>
  </si>
  <si>
    <t xml:space="preserve">Diligence Lead</t>
  </si>
  <si>
    <t xml:space="preserve">Integration Lead</t>
  </si>
  <si>
    <t xml:space="preserve">Deal Thesis</t>
  </si>
  <si>
    <t xml:space="preserve">Primary Thesis</t>
  </si>
  <si>
    <t xml:space="preserve">[Cost synergies / Customer expansion / Capability acquisition / Market access]</t>
  </si>
  <si>
    <t xml:space="preserve">Synergy Target ($M)</t>
  </si>
  <si>
    <t xml:space="preserve">Domain Scoring Weights</t>
  </si>
  <si>
    <t xml:space="preserve">Adjust weights based on deal thesis. Weights should sum to 100%. This preview ships with even weights; calibrated weights by deal type are part of the full workbook.</t>
  </si>
  <si>
    <t xml:space="preserve">Domain</t>
  </si>
  <si>
    <t xml:space="preserve">Weight</t>
  </si>
  <si>
    <t xml:space="preserve">Rationale</t>
  </si>
  <si>
    <t xml:space="preserve">Architecture and Technology</t>
  </si>
  <si>
    <t xml:space="preserve">Even default. Calibrate to the deal thesis.</t>
  </si>
  <si>
    <t xml:space="preserve">Security Posture</t>
  </si>
  <si>
    <t xml:space="preserve">Regulatory Compliance</t>
  </si>
  <si>
    <t xml:space="preserve">Data and Data Management</t>
  </si>
  <si>
    <t xml:space="preserve">Operations and Reliability</t>
  </si>
  <si>
    <t xml:space="preserve">Engineering Organization and Talent</t>
  </si>
  <si>
    <t xml:space="preserve">Intellectual Property and Third-Party</t>
  </si>
  <si>
    <t xml:space="preserve">Healthcare-Specific</t>
  </si>
  <si>
    <t xml:space="preserve">Total</t>
  </si>
  <si>
    <t xml:space="preserve">Must equal 100%</t>
  </si>
  <si>
    <t xml:space="preserve">Integration Dimension Weights</t>
  </si>
  <si>
    <t xml:space="preserve">Weight integration dimensions based on deal thesis.</t>
  </si>
  <si>
    <t xml:space="preserve">Dimension</t>
  </si>
  <si>
    <t xml:space="preserve">Architecture Compatibility</t>
  </si>
  <si>
    <t xml:space="preserve">Data Model Compatibility</t>
  </si>
  <si>
    <t xml:space="preserve">Identity and Access Management</t>
  </si>
  <si>
    <t xml:space="preserve">Security and Compliance</t>
  </si>
  <si>
    <t xml:space="preserve">Integration Surface Area</t>
  </si>
  <si>
    <t xml:space="preserve">Operational Compatibility</t>
  </si>
  <si>
    <t xml:space="preserve">Team and Cultural Compatibility</t>
  </si>
  <si>
    <t xml:space="preserve">Eight-Domain Technology Assessment</t>
  </si>
  <si>
    <t xml:space="preserve">Score each domain 1 (excellent) to 5 (critical). Document evidence supporting the score. Overall score is weighted average from Deal Context sheet.</t>
  </si>
  <si>
    <t xml:space="preserve">Score (1-5)</t>
  </si>
  <si>
    <t xml:space="preserve">Weighted</t>
  </si>
  <si>
    <t xml:space="preserve">Evidence Summary</t>
  </si>
  <si>
    <t xml:space="preserve">Key Findings</t>
  </si>
  <si>
    <t xml:space="preserve">[Document evidence supporting score]</t>
  </si>
  <si>
    <t xml:space="preserve">[Key findings from domain assessment]</t>
  </si>
  <si>
    <t xml:space="preserve">OVERALL SCORE</t>
  </si>
  <si>
    <t xml:space="preserve">Domain Scoring Guidance</t>
  </si>
  <si>
    <t xml:space="preserve">Architecture</t>
  </si>
  <si>
    <t xml:space="preserve">Security</t>
  </si>
  <si>
    <t xml:space="preserve">Compliance</t>
  </si>
  <si>
    <t xml:space="preserve">Data</t>
  </si>
  <si>
    <t xml:space="preserve">Operations</t>
  </si>
  <si>
    <t xml:space="preserve">Healthcare</t>
  </si>
  <si>
    <t xml:space="preserve">Modern, documented, scalable</t>
  </si>
  <si>
    <t xml:space="preserve">Mature program, current certs, clean history</t>
  </si>
  <si>
    <t xml:space="preserve">Current certifications, clean history</t>
  </si>
  <si>
    <t xml:space="preserve">Mature management, clear governance</t>
  </si>
  <si>
    <t xml:space="preserve">Elite DORA, proven reliability</t>
  </si>
  <si>
    <t xml:space="preserve">Clean HIPAA/HITRUST history, current certs, no investigations</t>
  </si>
  <si>
    <t xml:space="preserve">Solid with minor improvement</t>
  </si>
  <si>
    <t xml:space="preserve">Solid with minor gaps</t>
  </si>
  <si>
    <t xml:space="preserve">Solid with minor improvements</t>
  </si>
  <si>
    <t xml:space="preserve">Solid healthcare compliance with minor gaps</t>
  </si>
  <si>
    <t xml:space="preserve">Functional with modernization needs</t>
  </si>
  <si>
    <t xml:space="preserve">Functional with material gaps</t>
  </si>
  <si>
    <t xml:space="preserve">Functional with material BAA or HITRUST scope gaps</t>
  </si>
  <si>
    <t xml:space="preserve">Significant architectural concerns</t>
  </si>
  <si>
    <t xml:space="preserve">Significant security concerns</t>
  </si>
  <si>
    <t xml:space="preserve">Significant compliance concerns</t>
  </si>
  <si>
    <t xml:space="preserve">Significant data concerns</t>
  </si>
  <si>
    <t xml:space="preserve">Significant operational concerns</t>
  </si>
  <si>
    <t xml:space="preserve">Significant healthcare compliance concerns or recent breaches</t>
  </si>
  <si>
    <t xml:space="preserve">End of life or incompatible</t>
  </si>
  <si>
    <t xml:space="preserve">Critical posture, active incidents</t>
  </si>
  <si>
    <t xml:space="preserve">Critical exposure, active proceedings</t>
  </si>
  <si>
    <t xml:space="preserve">Critical data integrity issues</t>
  </si>
  <si>
    <t xml:space="preserve">Critical operational issues</t>
  </si>
  <si>
    <t xml:space="preserve">Critical: active OCR/OIG investigation or major HIPAA breach</t>
  </si>
  <si>
    <t xml:space="preserve">Integration Complexity Assessment</t>
  </si>
  <si>
    <t xml:space="preserve">Score each dimension 1 (low complexity) to 5 (high complexity). Weighted score drives timeline and cost projections.</t>
  </si>
  <si>
    <t xml:space="preserve">Notes</t>
  </si>
  <si>
    <t xml:space="preserve">Risk Level</t>
  </si>
  <si>
    <t xml:space="preserve">[Observations and concerns]</t>
  </si>
  <si>
    <t xml:space="preserve">OVERALL COMPLEXITY</t>
  </si>
  <si>
    <t xml:space="preserve">Score Translation</t>
  </si>
  <si>
    <t xml:space="preserve">Score Range</t>
  </si>
  <si>
    <t xml:space="preserve">Timeline Range</t>
  </si>
  <si>
    <t xml:space="preserve">Cost as % of Deal Value</t>
  </si>
  <si>
    <t xml:space="preserve">Integration Character</t>
  </si>
  <si>
    <t xml:space="preserve">1.0 - 1.9</t>
  </si>
  <si>
    <t xml:space="preserve">3-6 months</t>
  </si>
  <si>
    <t xml:space="preserve">3-8%</t>
  </si>
  <si>
    <t xml:space="preserve">Straightforward integration</t>
  </si>
  <si>
    <t xml:space="preserve">2.0 - 2.9</t>
  </si>
  <si>
    <t xml:space="preserve">6-12 months</t>
  </si>
  <si>
    <t xml:space="preserve">8-15%</t>
  </si>
  <si>
    <t xml:space="preserve">Standard integration with manageable complexity</t>
  </si>
  <si>
    <t xml:space="preserve">3.0 - 3.9</t>
  </si>
  <si>
    <t xml:space="preserve">12-18 months</t>
  </si>
  <si>
    <t xml:space="preserve">15-25%</t>
  </si>
  <si>
    <t xml:space="preserve">Complex integration requiring careful planning</t>
  </si>
  <si>
    <t xml:space="preserve">4.0 - 4.9</t>
  </si>
  <si>
    <t xml:space="preserve">18-30 months</t>
  </si>
  <si>
    <t xml:space="preserve">25-40%</t>
  </si>
  <si>
    <t xml:space="preserve">Highly complex integration, significant risk</t>
  </si>
  <si>
    <t xml:space="preserve">5.0</t>
  </si>
  <si>
    <t xml:space="preserve">30+ months or infeasible</t>
  </si>
  <si>
    <t xml:space="preserve">40%+ or deal-breaking</t>
  </si>
  <si>
    <t xml:space="preserve">Fundamental incompatibility</t>
  </si>
  <si>
    <t xml:space="preserve">Red Flag Pattern Library</t>
  </si>
  <si>
    <t xml:space="preserve">Reference during assessment. Mark applicable flags. Each flag present should inform scoring and findings.</t>
  </si>
  <si>
    <t xml:space="preserve">Red Flag</t>
  </si>
  <si>
    <t xml:space="preserve">Severity</t>
  </si>
  <si>
    <t xml:space="preserve">Present?</t>
  </si>
  <si>
    <t xml:space="preserve">Undocumented architecture</t>
  </si>
  <si>
    <t xml:space="preserve">Significant</t>
  </si>
  <si>
    <t xml:space="preserve">Heavy reliance on end-of-life technology</t>
  </si>
  <si>
    <t xml:space="preserve">Expired security certifications</t>
  </si>
  <si>
    <t xml:space="preserve">Unremediated critical/high penetration test findings</t>
  </si>
  <si>
    <t xml:space="preserve">Active regulatory proceedings</t>
  </si>
  <si>
    <t xml:space="preserve">Material regulatory findings in past 36 months</t>
  </si>
  <si>
    <t xml:space="preserve">No data classification</t>
  </si>
  <si>
    <t xml:space="preserve">Known data quality issues affecting operations</t>
  </si>
  <si>
    <t xml:space="preserve">Material</t>
  </si>
  <si>
    <t xml:space="preserve">No DORA metrics tracking</t>
  </si>
  <si>
    <t xml:space="preserve">Chronic incident patterns</t>
  </si>
  <si>
    <t xml:space="preserve">Organization</t>
  </si>
  <si>
    <t xml:space="preserve">Elevated voluntary attrition (&gt;20% annual)</t>
  </si>
  <si>
    <t xml:space="preserve">Key person concentration in 1-2 individuals</t>
  </si>
  <si>
    <t xml:space="preserve">IP</t>
  </si>
  <si>
    <t xml:space="preserve">Missing or weak employee IP assignments</t>
  </si>
  <si>
    <t xml:space="preserve">Open-source license violations</t>
  </si>
  <si>
    <t xml:space="preserve">BAA portfolio with assignment restrictions</t>
  </si>
  <si>
    <t xml:space="preserve">Open HIPAA breach notifications</t>
  </si>
  <si>
    <t xml:space="preserve">Preview: two illustrative patterns per domain. The full library holds roughly fifty patterns with severity and deal-implication notes, and is part of the full workbook.</t>
  </si>
  <si>
    <t xml:space="preserve">Detailed Findings Log</t>
  </si>
  <si>
    <t xml:space="preserve">Document individual findings with severity, evidence, and deal implications.</t>
  </si>
  <si>
    <t xml:space="preserve">ID</t>
  </si>
  <si>
    <t xml:space="preserve">Date</t>
  </si>
  <si>
    <t xml:space="preserve">Finding</t>
  </si>
  <si>
    <t xml:space="preserve">Evidence</t>
  </si>
  <si>
    <t xml:space="preserve">Deal Implication</t>
  </si>
  <si>
    <t xml:space="preserve">Status</t>
  </si>
  <si>
    <t xml:space="preserve">F-001</t>
  </si>
  <si>
    <t xml:space="preserve">F-002</t>
  </si>
  <si>
    <t xml:space="preserve">F-003</t>
  </si>
  <si>
    <t xml:space="preserve">F-004</t>
  </si>
  <si>
    <t xml:space="preserve">F-005</t>
  </si>
  <si>
    <t xml:space="preserve">F-006</t>
  </si>
  <si>
    <t xml:space="preserve">F-007</t>
  </si>
  <si>
    <t xml:space="preserve">F-008</t>
  </si>
  <si>
    <t xml:space="preserve">F-009</t>
  </si>
  <si>
    <t xml:space="preserve">F-010</t>
  </si>
  <si>
    <t xml:space="preserve">F-011</t>
  </si>
  <si>
    <t xml:space="preserve">F-012</t>
  </si>
  <si>
    <t xml:space="preserve">F-013</t>
  </si>
  <si>
    <t xml:space="preserve">F-014</t>
  </si>
  <si>
    <t xml:space="preserve">F-015</t>
  </si>
  <si>
    <t xml:space="preserve">F-016</t>
  </si>
  <si>
    <t xml:space="preserve">F-017</t>
  </si>
  <si>
    <t xml:space="preserve">F-018</t>
  </si>
  <si>
    <t xml:space="preserve">F-019</t>
  </si>
  <si>
    <t xml:space="preserve">F-020</t>
  </si>
  <si>
    <t xml:space="preserve">F-021</t>
  </si>
  <si>
    <t xml:space="preserve">F-022</t>
  </si>
  <si>
    <t xml:space="preserve">F-023</t>
  </si>
  <si>
    <t xml:space="preserve">F-024</t>
  </si>
  <si>
    <t xml:space="preserve">F-025</t>
  </si>
  <si>
    <t xml:space="preserve">F-026</t>
  </si>
  <si>
    <t xml:space="preserve">F-027</t>
  </si>
  <si>
    <t xml:space="preserve">F-028</t>
  </si>
  <si>
    <t xml:space="preserve">F-029</t>
  </si>
  <si>
    <t xml:space="preserve">F-030</t>
  </si>
  <si>
    <t xml:space="preserve">F-031</t>
  </si>
  <si>
    <t xml:space="preserve">F-032</t>
  </si>
  <si>
    <t xml:space="preserve">F-033</t>
  </si>
  <si>
    <t xml:space="preserve">F-034</t>
  </si>
  <si>
    <t xml:space="preserve">F-035</t>
  </si>
  <si>
    <t xml:space="preserve">F-036</t>
  </si>
  <si>
    <t xml:space="preserve">F-037</t>
  </si>
  <si>
    <t xml:space="preserve">F-038</t>
  </si>
  <si>
    <t xml:space="preserve">F-039</t>
  </si>
  <si>
    <t xml:space="preserve">F-040</t>
  </si>
  <si>
    <t xml:space="preserve">F-041</t>
  </si>
  <si>
    <t xml:space="preserve">F-042</t>
  </si>
  <si>
    <t xml:space="preserve">F-043</t>
  </si>
  <si>
    <t xml:space="preserve">F-044</t>
  </si>
  <si>
    <t xml:space="preserve">F-045</t>
  </si>
  <si>
    <t xml:space="preserve">F-046</t>
  </si>
  <si>
    <t xml:space="preserve">F-047</t>
  </si>
  <si>
    <t xml:space="preserve">F-048</t>
  </si>
  <si>
    <t xml:space="preserve">F-049</t>
  </si>
  <si>
    <t xml:space="preserve">F-050</t>
  </si>
  <si>
    <t xml:space="preserve">Integration Cost Estimator</t>
  </si>
  <si>
    <t xml:space="preserve">Integration cost projection from complexity score and deal value. In this preview the percentage bands and timelines are inputs; enter figures from your own deal history.</t>
  </si>
  <si>
    <t xml:space="preserve">Integration cost projection based on complexity score and deal value.</t>
  </si>
  <si>
    <t xml:space="preserve">Inputs</t>
  </si>
  <si>
    <t xml:space="preserve">Deal Value ($M)</t>
  </si>
  <si>
    <t xml:space="preserve">Integration Complexity Score</t>
  </si>
  <si>
    <t xml:space="preserve">Cost Projection</t>
  </si>
  <si>
    <t xml:space="preserve">Scenario</t>
  </si>
  <si>
    <t xml:space="preserve">Cost as % of Deal</t>
  </si>
  <si>
    <t xml:space="preserve">Estimated Cost ($M)</t>
  </si>
  <si>
    <t xml:space="preserve">Timeline</t>
  </si>
  <si>
    <t xml:space="preserve">Low estimate</t>
  </si>
  <si>
    <t xml:space="preserve">[estimate]</t>
  </si>
  <si>
    <t xml:space="preserve">High estimate</t>
  </si>
  <si>
    <t xml:space="preserve">Midpoint</t>
  </si>
  <si>
    <t xml:space="preserve">Cost Categories</t>
  </si>
  <si>
    <t xml:space="preserve">Typical cost allocation across integration categories:</t>
  </si>
  <si>
    <t xml:space="preserve">Category</t>
  </si>
  <si>
    <t xml:space="preserve">Low %</t>
  </si>
  <si>
    <t xml:space="preserve">High %</t>
  </si>
  <si>
    <t xml:space="preserve">Technology integration (systems, data, identity)</t>
  </si>
  <si>
    <t xml:space="preserve">[calibrate]</t>
  </si>
  <si>
    <t xml:space="preserve">Platform consolidation and connection</t>
  </si>
  <si>
    <t xml:space="preserve">Organizational integration (people, culture)</t>
  </si>
  <si>
    <t xml:space="preserve">Retention, restructuring, training</t>
  </si>
  <si>
    <t xml:space="preserve">External services (advisors, specialists)</t>
  </si>
  <si>
    <t xml:space="preserve">Consultants, legal, specialist support</t>
  </si>
  <si>
    <t xml:space="preserve">Compliance and regulatory</t>
  </si>
  <si>
    <t xml:space="preserve">Certifications, audits, re-assessments</t>
  </si>
  <si>
    <t xml:space="preserve">Customer-facing changes</t>
  </si>
  <si>
    <t xml:space="preserve">Migration support, communications</t>
  </si>
  <si>
    <t xml:space="preserve">Contingency</t>
  </si>
  <si>
    <t xml:space="preserve">Unknown unknowns</t>
  </si>
  <si>
    <t xml:space="preserve">Illustrative placeholders only. The calibrated bands by complexity score and the category allocation come from engagement history and are part of the full workbook.</t>
  </si>
  <si>
    <t xml:space="preserve">Technology Diligence Executive Summary</t>
  </si>
  <si>
    <t xml:space="preserve">Target</t>
  </si>
  <si>
    <t xml:space="preserve">Deal Value</t>
  </si>
  <si>
    <t xml:space="preserve">Overall Assessment</t>
  </si>
  <si>
    <t xml:space="preserve">Domain Score</t>
  </si>
  <si>
    <t xml:space="preserve">Integration Cost (Midpoint)</t>
  </si>
  <si>
    <t xml:space="preserve">Red flags marked present</t>
  </si>
  <si>
    <t xml:space="preserve">Domain Summary</t>
  </si>
  <si>
    <t xml:space="preserve">Recommendations</t>
  </si>
</sst>
</file>

<file path=xl/styles.xml><?xml version="1.0" encoding="utf-8"?>
<styleSheet xmlns="http://schemas.openxmlformats.org/spreadsheetml/2006/main">
  <numFmts count="8">
    <numFmt numFmtId="164" formatCode="General"/>
    <numFmt numFmtId="165" formatCode="0.0%"/>
    <numFmt numFmtId="166" formatCode="0.00"/>
    <numFmt numFmtId="167" formatCode="\$#,##0"/>
    <numFmt numFmtId="168" formatCode="0%"/>
    <numFmt numFmtId="169" formatCode="\$#,##0.0"/>
    <numFmt numFmtId="170" formatCode="0"/>
    <numFmt numFmtId="171"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1F3864"/>
      <name val="Arial"/>
      <family val="2"/>
      <charset val="1"/>
    </font>
    <font>
      <b val="true"/>
      <sz val="11"/>
      <color rgb="FF000000"/>
      <name val="Arial"/>
      <family val="2"/>
      <charset val="1"/>
    </font>
    <font>
      <b val="true"/>
      <sz val="10"/>
      <name val="Arial"/>
      <family val="2"/>
      <charset val="1"/>
    </font>
    <font>
      <sz val="10"/>
      <name val="Arial"/>
      <family val="2"/>
      <charset val="1"/>
    </font>
    <font>
      <sz val="10"/>
      <color rgb="FF0000FF"/>
      <name val="Arial"/>
      <family val="2"/>
      <charset val="1"/>
    </font>
    <font>
      <i val="true"/>
      <sz val="9"/>
      <color rgb="FF595959"/>
      <name val="Arial"/>
      <family val="2"/>
      <charset val="1"/>
    </font>
    <font>
      <b val="true"/>
      <sz val="11"/>
      <color rgb="FFFFFFFF"/>
      <name val="Arial"/>
      <family val="2"/>
      <charset val="1"/>
    </font>
    <font>
      <sz val="10"/>
      <color rgb="FF008000"/>
      <name val="Arial"/>
      <family val="2"/>
      <charset val="1"/>
    </font>
    <font>
      <sz val="10"/>
      <color rgb="FF000000"/>
      <name val="Arial"/>
      <family val="2"/>
      <charset val="1"/>
    </font>
    <font>
      <sz val="10"/>
      <color rgb="FF6B7280"/>
      <name val="Arial"/>
      <family val="2"/>
      <charset val="1"/>
    </font>
  </fonts>
  <fills count="8">
    <fill>
      <patternFill patternType="none"/>
    </fill>
    <fill>
      <patternFill patternType="gray125"/>
    </fill>
    <fill>
      <patternFill patternType="solid">
        <fgColor rgb="FFD9E2F3"/>
        <bgColor rgb="FFE7E6E6"/>
      </patternFill>
    </fill>
    <fill>
      <patternFill patternType="solid">
        <fgColor rgb="FFE7E6E6"/>
        <bgColor rgb="FFD9E2F3"/>
      </patternFill>
    </fill>
    <fill>
      <patternFill patternType="solid">
        <fgColor rgb="FFFFFF00"/>
        <bgColor rgb="FFFFFF00"/>
      </patternFill>
    </fill>
    <fill>
      <patternFill patternType="solid">
        <fgColor rgb="FF1F3864"/>
        <bgColor rgb="FF333399"/>
      </patternFill>
    </fill>
    <fill>
      <patternFill patternType="solid">
        <fgColor rgb="FFFFE699"/>
        <bgColor rgb="FFF8CBAD"/>
      </patternFill>
    </fill>
    <fill>
      <patternFill patternType="solid">
        <fgColor rgb="FFF8CBAD"/>
        <bgColor rgb="FFFFE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6" fontId="12" fillId="2" borderId="1" xfId="0" applyFont="true" applyBorder="true" applyAlignment="true" applyProtection="false">
      <alignment horizontal="center" vertical="bottom" textRotation="0" wrapText="false" indent="0" shrinkToFit="false"/>
      <protection locked="true" hidden="false"/>
    </xf>
    <xf numFmtId="165" fontId="12"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8" fontId="8" fillId="4"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9" fontId="12" fillId="2"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71" fontId="11"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AD"/>
        </patternFill>
      </fill>
    </dxf>
    <dxf>
      <fill>
        <patternFill>
          <bgColor rgb="FFFFE699"/>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7E6E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6B7280"/>
      <rgbColor rgb="FF969696"/>
      <rgbColor rgb="FF1F3864"/>
      <rgbColor rgb="FF339966"/>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18"/>
    <col collapsed="false" customWidth="true" hidden="false" outlineLevel="0" max="3" min="2" style="0" width="35"/>
    <col collapsed="false" customWidth="true" hidden="false" outlineLevel="0" max="4" min="4" style="0" width="20"/>
    <col collapsed="false" customWidth="true" hidden="false" outlineLevel="0" max="6" min="5" style="0" width="15"/>
  </cols>
  <sheetData>
    <row r="1" customFormat="false" ht="19.5" hidden="false" customHeight="true" outlineLevel="0" collapsed="false">
      <c r="A1" s="1" t="s">
        <v>0</v>
      </c>
      <c r="B1" s="1"/>
      <c r="C1" s="1"/>
      <c r="D1" s="1"/>
      <c r="E1" s="1"/>
      <c r="F1" s="1"/>
    </row>
    <row r="3" customFormat="false" ht="15" hidden="false" customHeight="true" outlineLevel="0" collapsed="false">
      <c r="A3" s="2" t="s">
        <v>1</v>
      </c>
      <c r="B3" s="2"/>
      <c r="C3" s="2"/>
      <c r="D3" s="2"/>
      <c r="E3" s="2"/>
      <c r="F3" s="2"/>
    </row>
    <row r="4" customFormat="false" ht="15" hidden="false" customHeight="true" outlineLevel="0" collapsed="false">
      <c r="A4" s="3" t="s">
        <v>2</v>
      </c>
      <c r="B4" s="3"/>
      <c r="C4" s="3"/>
      <c r="D4" s="3"/>
      <c r="E4" s="3"/>
      <c r="F4" s="3"/>
    </row>
    <row r="5" customFormat="false" ht="15" hidden="false" customHeight="true" outlineLevel="0" collapsed="false">
      <c r="A5" s="3"/>
      <c r="B5" s="3"/>
      <c r="C5" s="3"/>
      <c r="D5" s="3"/>
      <c r="E5" s="3"/>
      <c r="F5" s="3"/>
    </row>
    <row r="7" customFormat="false" ht="15" hidden="false" customHeight="true" outlineLevel="0" collapsed="false">
      <c r="A7" s="2" t="s">
        <v>3</v>
      </c>
      <c r="B7" s="2"/>
      <c r="C7" s="2"/>
      <c r="D7" s="2"/>
      <c r="E7" s="2"/>
      <c r="F7" s="2"/>
    </row>
    <row r="8" customFormat="false" ht="15" hidden="false" customHeight="true" outlineLevel="0" collapsed="false">
      <c r="A8" s="4" t="s">
        <v>4</v>
      </c>
      <c r="B8" s="4" t="s">
        <v>1</v>
      </c>
      <c r="C8" s="4" t="s">
        <v>5</v>
      </c>
    </row>
    <row r="9" customFormat="false" ht="15" hidden="false" customHeight="true" outlineLevel="0" collapsed="false">
      <c r="A9" s="5" t="s">
        <v>6</v>
      </c>
      <c r="B9" s="5" t="s">
        <v>7</v>
      </c>
      <c r="C9" s="5" t="s">
        <v>8</v>
      </c>
    </row>
    <row r="10" customFormat="false" ht="15" hidden="false" customHeight="true" outlineLevel="0" collapsed="false">
      <c r="A10" s="5" t="s">
        <v>9</v>
      </c>
      <c r="B10" s="5" t="s">
        <v>10</v>
      </c>
      <c r="C10" s="5" t="s">
        <v>11</v>
      </c>
    </row>
    <row r="11" customFormat="false" ht="15" hidden="false" customHeight="true" outlineLevel="0" collapsed="false">
      <c r="A11" s="5" t="s">
        <v>12</v>
      </c>
      <c r="B11" s="5" t="s">
        <v>13</v>
      </c>
      <c r="C11" s="5" t="s">
        <v>14</v>
      </c>
    </row>
    <row r="12" customFormat="false" ht="23.25" hidden="false" customHeight="true" outlineLevel="0" collapsed="false">
      <c r="A12" s="5" t="s">
        <v>15</v>
      </c>
      <c r="B12" s="5" t="s">
        <v>16</v>
      </c>
      <c r="C12" s="5" t="s">
        <v>17</v>
      </c>
    </row>
    <row r="13" customFormat="false" ht="15" hidden="false" customHeight="true" outlineLevel="0" collapsed="false">
      <c r="A13" s="5" t="s">
        <v>18</v>
      </c>
      <c r="B13" s="5" t="s">
        <v>19</v>
      </c>
      <c r="C13" s="5" t="s">
        <v>20</v>
      </c>
    </row>
    <row r="14" customFormat="false" ht="15" hidden="false" customHeight="true" outlineLevel="0" collapsed="false">
      <c r="A14" s="5" t="s">
        <v>21</v>
      </c>
      <c r="B14" s="5" t="s">
        <v>22</v>
      </c>
      <c r="C14" s="5" t="s">
        <v>23</v>
      </c>
    </row>
    <row r="15" customFormat="false" ht="23.25" hidden="false" customHeight="true" outlineLevel="0" collapsed="false">
      <c r="A15" s="5" t="s">
        <v>24</v>
      </c>
      <c r="B15" s="5" t="s">
        <v>25</v>
      </c>
      <c r="C15" s="5" t="s">
        <v>26</v>
      </c>
    </row>
    <row r="16" customFormat="false" ht="15" hidden="false" customHeight="true" outlineLevel="0" collapsed="false">
      <c r="A16" s="5" t="s">
        <v>27</v>
      </c>
      <c r="B16" s="5" t="s">
        <v>28</v>
      </c>
      <c r="C16" s="5" t="s">
        <v>29</v>
      </c>
    </row>
    <row r="18" customFormat="false" ht="15" hidden="false" customHeight="true" outlineLevel="0" collapsed="false">
      <c r="A18" s="2" t="s">
        <v>30</v>
      </c>
      <c r="B18" s="2"/>
      <c r="C18" s="2"/>
      <c r="D18" s="2"/>
      <c r="E18" s="2"/>
      <c r="F18" s="2"/>
    </row>
    <row r="19" customFormat="false" ht="15" hidden="false" customHeight="true" outlineLevel="0" collapsed="false">
      <c r="A19" s="6" t="s">
        <v>31</v>
      </c>
      <c r="B19" s="6" t="s">
        <v>32</v>
      </c>
      <c r="C19" s="6" t="s">
        <v>33</v>
      </c>
    </row>
    <row r="20" customFormat="false" ht="15" hidden="false" customHeight="true" outlineLevel="0" collapsed="false">
      <c r="A20" s="7" t="s">
        <v>34</v>
      </c>
      <c r="B20" s="7" t="s">
        <v>35</v>
      </c>
      <c r="C20" s="7" t="s">
        <v>36</v>
      </c>
    </row>
    <row r="21" customFormat="false" ht="15" hidden="false" customHeight="true" outlineLevel="0" collapsed="false">
      <c r="A21" s="7" t="s">
        <v>37</v>
      </c>
      <c r="B21" s="7" t="s">
        <v>38</v>
      </c>
      <c r="C21" s="7" t="s">
        <v>39</v>
      </c>
    </row>
    <row r="22" customFormat="false" ht="15" hidden="false" customHeight="true" outlineLevel="0" collapsed="false">
      <c r="A22" s="7" t="s">
        <v>40</v>
      </c>
      <c r="B22" s="7" t="s">
        <v>41</v>
      </c>
      <c r="C22" s="7" t="s">
        <v>42</v>
      </c>
    </row>
    <row r="23" customFormat="false" ht="15" hidden="false" customHeight="true" outlineLevel="0" collapsed="false">
      <c r="A23" s="7" t="s">
        <v>43</v>
      </c>
      <c r="B23" s="7" t="s">
        <v>44</v>
      </c>
      <c r="C23" s="7" t="s">
        <v>45</v>
      </c>
    </row>
    <row r="24" customFormat="false" ht="15" hidden="false" customHeight="true" outlineLevel="0" collapsed="false">
      <c r="A24" s="7" t="s">
        <v>46</v>
      </c>
      <c r="B24" s="7" t="s">
        <v>47</v>
      </c>
      <c r="C24" s="7" t="s">
        <v>48</v>
      </c>
    </row>
    <row r="26" customFormat="false" ht="15" hidden="false" customHeight="true" outlineLevel="0" collapsed="false">
      <c r="A26" s="2" t="s">
        <v>49</v>
      </c>
      <c r="B26" s="2"/>
      <c r="C26" s="2"/>
      <c r="D26" s="2"/>
      <c r="E26" s="2"/>
      <c r="F26" s="2"/>
    </row>
    <row r="27" customFormat="false" ht="15" hidden="false" customHeight="true" outlineLevel="0" collapsed="false">
      <c r="A27" s="7" t="s">
        <v>50</v>
      </c>
      <c r="B27" s="7" t="s">
        <v>51</v>
      </c>
    </row>
    <row r="28" customFormat="false" ht="15" hidden="false" customHeight="true" outlineLevel="0" collapsed="false">
      <c r="A28" s="7" t="s">
        <v>52</v>
      </c>
      <c r="B28" s="7" t="s">
        <v>53</v>
      </c>
    </row>
    <row r="29" customFormat="false" ht="15" hidden="false" customHeight="true" outlineLevel="0" collapsed="false">
      <c r="A29" s="7" t="s">
        <v>54</v>
      </c>
      <c r="B29" s="7" t="s">
        <v>55</v>
      </c>
    </row>
    <row r="30" customFormat="false" ht="15" hidden="false" customHeight="true" outlineLevel="0" collapsed="false">
      <c r="A30" s="7" t="s">
        <v>56</v>
      </c>
      <c r="B30" s="7" t="s">
        <v>57</v>
      </c>
    </row>
    <row r="32" customFormat="false" ht="15" hidden="false" customHeight="false" outlineLevel="0" collapsed="false">
      <c r="A32" s="8" t="s">
        <v>58</v>
      </c>
    </row>
    <row r="33" customFormat="false" ht="48" hidden="false" customHeight="true" outlineLevel="0" collapsed="false">
      <c r="A33" s="9" t="s">
        <v>59</v>
      </c>
      <c r="B33" s="9"/>
      <c r="C33" s="9"/>
      <c r="D33" s="9"/>
      <c r="E33" s="9"/>
      <c r="F33" s="9"/>
    </row>
  </sheetData>
  <mergeCells count="7">
    <mergeCell ref="A1:F1"/>
    <mergeCell ref="A3:F3"/>
    <mergeCell ref="A4:F5"/>
    <mergeCell ref="A7:F7"/>
    <mergeCell ref="A18:F18"/>
    <mergeCell ref="A26:F26"/>
    <mergeCell ref="A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8"/>
    <col collapsed="false" customWidth="true" hidden="false" outlineLevel="0" max="2" min="2" style="0" width="15"/>
    <col collapsed="false" customWidth="true" hidden="false" outlineLevel="0" max="3" min="3" style="0" width="45"/>
    <col collapsed="false" customWidth="true" hidden="false" outlineLevel="0" max="4" min="4" style="0" width="15"/>
  </cols>
  <sheetData>
    <row r="1" customFormat="false" ht="19.5" hidden="false" customHeight="true" outlineLevel="0" collapsed="false">
      <c r="A1" s="1" t="s">
        <v>60</v>
      </c>
      <c r="B1" s="1"/>
      <c r="C1" s="1"/>
      <c r="D1" s="1"/>
    </row>
    <row r="3" customFormat="false" ht="15" hidden="false" customHeight="true" outlineLevel="0" collapsed="false">
      <c r="A3" s="2" t="s">
        <v>61</v>
      </c>
      <c r="B3" s="2"/>
      <c r="C3" s="2"/>
      <c r="D3" s="2"/>
    </row>
    <row r="4" customFormat="false" ht="15" hidden="false" customHeight="true" outlineLevel="0" collapsed="false">
      <c r="A4" s="8" t="s">
        <v>62</v>
      </c>
      <c r="B4" s="10" t="s">
        <v>63</v>
      </c>
    </row>
    <row r="5" customFormat="false" ht="15" hidden="false" customHeight="true" outlineLevel="0" collapsed="false">
      <c r="A5" s="8" t="s">
        <v>64</v>
      </c>
      <c r="B5" s="10" t="s">
        <v>65</v>
      </c>
    </row>
    <row r="6" customFormat="false" ht="15" hidden="false" customHeight="true" outlineLevel="0" collapsed="false">
      <c r="A6" s="8" t="s">
        <v>66</v>
      </c>
      <c r="B6" s="10" t="n">
        <v>100</v>
      </c>
    </row>
    <row r="7" customFormat="false" ht="15" hidden="false" customHeight="true" outlineLevel="0" collapsed="false">
      <c r="A7" s="8" t="s">
        <v>67</v>
      </c>
      <c r="B7" s="10" t="s">
        <v>68</v>
      </c>
    </row>
    <row r="8" customFormat="false" ht="15" hidden="false" customHeight="true" outlineLevel="0" collapsed="false">
      <c r="A8" s="8" t="s">
        <v>69</v>
      </c>
      <c r="B8" s="10" t="n">
        <v>4</v>
      </c>
    </row>
    <row r="9" customFormat="false" ht="15" hidden="false" customHeight="true" outlineLevel="0" collapsed="false">
      <c r="A9" s="8" t="s">
        <v>70</v>
      </c>
      <c r="B9" s="10" t="s">
        <v>71</v>
      </c>
    </row>
    <row r="10" customFormat="false" ht="15" hidden="false" customHeight="true" outlineLevel="0" collapsed="false">
      <c r="A10" s="8" t="s">
        <v>72</v>
      </c>
      <c r="B10" s="10" t="s">
        <v>71</v>
      </c>
    </row>
    <row r="11" customFormat="false" ht="15" hidden="false" customHeight="true" outlineLevel="0" collapsed="false">
      <c r="A11" s="8" t="s">
        <v>73</v>
      </c>
      <c r="B11" s="10" t="s">
        <v>71</v>
      </c>
    </row>
    <row r="14" customFormat="false" ht="15" hidden="false" customHeight="true" outlineLevel="0" collapsed="false">
      <c r="A14" s="2" t="s">
        <v>74</v>
      </c>
      <c r="B14" s="2"/>
      <c r="C14" s="2"/>
      <c r="D14" s="2"/>
    </row>
    <row r="15" customFormat="false" ht="15" hidden="false" customHeight="true" outlineLevel="0" collapsed="false">
      <c r="A15" s="8" t="s">
        <v>75</v>
      </c>
      <c r="B15" s="11" t="s">
        <v>76</v>
      </c>
      <c r="C15" s="11"/>
      <c r="D15" s="11"/>
    </row>
    <row r="16" customFormat="false" ht="15" hidden="false" customHeight="true" outlineLevel="0" collapsed="false">
      <c r="A16" s="8" t="s">
        <v>77</v>
      </c>
      <c r="B16" s="10" t="n">
        <v>10</v>
      </c>
    </row>
    <row r="19" customFormat="false" ht="15" hidden="false" customHeight="true" outlineLevel="0" collapsed="false">
      <c r="A19" s="2" t="s">
        <v>78</v>
      </c>
      <c r="B19" s="2"/>
      <c r="C19" s="2"/>
      <c r="D19" s="2"/>
    </row>
    <row r="20" customFormat="false" ht="15" hidden="false" customHeight="true" outlineLevel="0" collapsed="false">
      <c r="A20" s="12" t="s">
        <v>79</v>
      </c>
      <c r="B20" s="12"/>
      <c r="C20" s="12"/>
      <c r="D20" s="12"/>
    </row>
    <row r="21" customFormat="false" ht="15" hidden="false" customHeight="true" outlineLevel="0" collapsed="false">
      <c r="A21" s="6" t="s">
        <v>80</v>
      </c>
      <c r="B21" s="6" t="s">
        <v>81</v>
      </c>
      <c r="C21" s="6" t="s">
        <v>82</v>
      </c>
      <c r="D21" s="6"/>
    </row>
    <row r="22" customFormat="false" ht="15" hidden="false" customHeight="true" outlineLevel="0" collapsed="false">
      <c r="A22" s="7" t="s">
        <v>83</v>
      </c>
      <c r="B22" s="13" t="n">
        <v>0.125</v>
      </c>
      <c r="C22" s="14" t="s">
        <v>84</v>
      </c>
      <c r="D22" s="14"/>
    </row>
    <row r="23" customFormat="false" ht="15" hidden="false" customHeight="true" outlineLevel="0" collapsed="false">
      <c r="A23" s="7" t="s">
        <v>85</v>
      </c>
      <c r="B23" s="13" t="n">
        <v>0.125</v>
      </c>
      <c r="C23" s="14" t="s">
        <v>84</v>
      </c>
      <c r="D23" s="14"/>
    </row>
    <row r="24" customFormat="false" ht="15" hidden="false" customHeight="true" outlineLevel="0" collapsed="false">
      <c r="A24" s="7" t="s">
        <v>86</v>
      </c>
      <c r="B24" s="13" t="n">
        <v>0.125</v>
      </c>
      <c r="C24" s="14" t="s">
        <v>84</v>
      </c>
      <c r="D24" s="14"/>
    </row>
    <row r="25" customFormat="false" ht="15" hidden="false" customHeight="true" outlineLevel="0" collapsed="false">
      <c r="A25" s="7" t="s">
        <v>87</v>
      </c>
      <c r="B25" s="13" t="n">
        <v>0.125</v>
      </c>
      <c r="C25" s="14" t="s">
        <v>84</v>
      </c>
      <c r="D25" s="14"/>
    </row>
    <row r="26" customFormat="false" ht="15" hidden="false" customHeight="true" outlineLevel="0" collapsed="false">
      <c r="A26" s="7" t="s">
        <v>88</v>
      </c>
      <c r="B26" s="13" t="n">
        <v>0.125</v>
      </c>
      <c r="C26" s="14" t="s">
        <v>84</v>
      </c>
      <c r="D26" s="14"/>
    </row>
    <row r="27" customFormat="false" ht="15" hidden="false" customHeight="true" outlineLevel="0" collapsed="false">
      <c r="A27" s="7" t="s">
        <v>89</v>
      </c>
      <c r="B27" s="13" t="n">
        <v>0.125</v>
      </c>
      <c r="C27" s="14" t="s">
        <v>84</v>
      </c>
      <c r="D27" s="14"/>
    </row>
    <row r="28" customFormat="false" ht="15" hidden="false" customHeight="true" outlineLevel="0" collapsed="false">
      <c r="A28" s="7" t="s">
        <v>90</v>
      </c>
      <c r="B28" s="13" t="n">
        <v>0.125</v>
      </c>
      <c r="C28" s="14" t="s">
        <v>84</v>
      </c>
      <c r="D28" s="14"/>
    </row>
    <row r="29" customFormat="false" ht="15" hidden="false" customHeight="true" outlineLevel="0" collapsed="false">
      <c r="A29" s="7" t="s">
        <v>91</v>
      </c>
      <c r="B29" s="13" t="n">
        <v>0.125</v>
      </c>
      <c r="C29" s="14" t="s">
        <v>84</v>
      </c>
    </row>
    <row r="30" customFormat="false" ht="15" hidden="false" customHeight="true" outlineLevel="0" collapsed="false">
      <c r="A30" s="6" t="s">
        <v>92</v>
      </c>
      <c r="B30" s="15" t="n">
        <f aca="false">SUM(B22:B29)</f>
        <v>1</v>
      </c>
      <c r="C30" s="6" t="s">
        <v>93</v>
      </c>
      <c r="D30" s="6" t="str">
        <f aca="false">IF(ABS(B30-1)&lt;0.001,"OK","Weights sum to "&amp;TEXT(B30,"0.0%")&amp;"; scores are normalized")</f>
        <v>OK</v>
      </c>
    </row>
    <row r="32" customFormat="false" ht="15" hidden="false" customHeight="true" outlineLevel="0" collapsed="false">
      <c r="A32" s="16"/>
      <c r="B32" s="16"/>
      <c r="C32" s="16"/>
      <c r="D32" s="16"/>
    </row>
    <row r="33" customFormat="false" ht="15" hidden="false" customHeight="true" outlineLevel="0" collapsed="false">
      <c r="A33" s="2" t="s">
        <v>94</v>
      </c>
      <c r="B33" s="2"/>
      <c r="C33" s="2"/>
      <c r="D33" s="2"/>
    </row>
    <row r="34" customFormat="false" ht="15" hidden="false" customHeight="true" outlineLevel="0" collapsed="false">
      <c r="A34" s="17" t="s">
        <v>95</v>
      </c>
    </row>
    <row r="35" customFormat="false" ht="15" hidden="false" customHeight="true" outlineLevel="0" collapsed="false">
      <c r="A35" s="6" t="s">
        <v>96</v>
      </c>
      <c r="B35" s="6" t="s">
        <v>81</v>
      </c>
      <c r="C35" s="6" t="s">
        <v>82</v>
      </c>
      <c r="D35" s="6"/>
    </row>
    <row r="36" customFormat="false" ht="15" hidden="false" customHeight="true" outlineLevel="0" collapsed="false">
      <c r="A36" s="7" t="s">
        <v>97</v>
      </c>
      <c r="B36" s="13" t="n">
        <v>0.142857142857143</v>
      </c>
      <c r="C36" s="14" t="s">
        <v>84</v>
      </c>
      <c r="D36" s="14"/>
    </row>
    <row r="37" customFormat="false" ht="15" hidden="false" customHeight="true" outlineLevel="0" collapsed="false">
      <c r="A37" s="7" t="s">
        <v>98</v>
      </c>
      <c r="B37" s="13" t="n">
        <v>0.142857142857143</v>
      </c>
      <c r="C37" s="14" t="s">
        <v>84</v>
      </c>
      <c r="D37" s="14"/>
    </row>
    <row r="38" customFormat="false" ht="15" hidden="false" customHeight="true" outlineLevel="0" collapsed="false">
      <c r="A38" s="7" t="s">
        <v>99</v>
      </c>
      <c r="B38" s="13" t="n">
        <v>0.142857142857143</v>
      </c>
      <c r="C38" s="14" t="s">
        <v>84</v>
      </c>
      <c r="D38" s="14"/>
    </row>
    <row r="39" customFormat="false" ht="15" hidden="false" customHeight="true" outlineLevel="0" collapsed="false">
      <c r="A39" s="7" t="s">
        <v>100</v>
      </c>
      <c r="B39" s="13" t="n">
        <v>0.142857142857143</v>
      </c>
      <c r="C39" s="14" t="s">
        <v>84</v>
      </c>
      <c r="D39" s="14"/>
    </row>
    <row r="40" customFormat="false" ht="15" hidden="false" customHeight="true" outlineLevel="0" collapsed="false">
      <c r="A40" s="7" t="s">
        <v>101</v>
      </c>
      <c r="B40" s="13" t="n">
        <v>0.142857142857143</v>
      </c>
      <c r="C40" s="14" t="s">
        <v>84</v>
      </c>
      <c r="D40" s="14"/>
    </row>
    <row r="41" customFormat="false" ht="15" hidden="false" customHeight="true" outlineLevel="0" collapsed="false">
      <c r="A41" s="7" t="s">
        <v>102</v>
      </c>
      <c r="B41" s="13" t="n">
        <v>0.142857142857143</v>
      </c>
      <c r="C41" s="14" t="s">
        <v>84</v>
      </c>
      <c r="D41" s="14"/>
    </row>
    <row r="42" customFormat="false" ht="15" hidden="false" customHeight="true" outlineLevel="0" collapsed="false">
      <c r="A42" s="7" t="s">
        <v>103</v>
      </c>
      <c r="B42" s="13" t="n">
        <v>0.142857142857143</v>
      </c>
      <c r="C42" s="14" t="s">
        <v>84</v>
      </c>
      <c r="D42" s="14"/>
    </row>
    <row r="43" customFormat="false" ht="15" hidden="false" customHeight="true" outlineLevel="0" collapsed="false">
      <c r="A43" s="6" t="s">
        <v>92</v>
      </c>
      <c r="B43" s="15" t="n">
        <f aca="false">SUM(B36:B42)</f>
        <v>1</v>
      </c>
      <c r="C43" s="6" t="s">
        <v>93</v>
      </c>
      <c r="D43" s="6" t="str">
        <f aca="false">IF(ABS(B43-1)&lt;0.001,"OK","Weights sum to "&amp;TEXT(B43,"0.0%")&amp;"; scores are normalized")</f>
        <v>OK</v>
      </c>
    </row>
  </sheetData>
  <mergeCells count="8">
    <mergeCell ref="A1:D1"/>
    <mergeCell ref="A3:D3"/>
    <mergeCell ref="A14:D14"/>
    <mergeCell ref="B15:D15"/>
    <mergeCell ref="A19:D19"/>
    <mergeCell ref="A20:D20"/>
    <mergeCell ref="A32:D32"/>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2"/>
    <col collapsed="false" customWidth="true" hidden="false" outlineLevel="0" max="3" min="2" style="0" width="12"/>
    <col collapsed="false" customWidth="true" hidden="false" outlineLevel="0" max="4" min="4" style="0" width="15"/>
    <col collapsed="false" customWidth="true" hidden="false" outlineLevel="0" max="6" min="5" style="0" width="30"/>
    <col collapsed="false" customWidth="true" hidden="false" outlineLevel="0" max="7" min="7" style="0" width="50"/>
  </cols>
  <sheetData>
    <row r="1" customFormat="false" ht="19.5" hidden="false" customHeight="true" outlineLevel="0" collapsed="false">
      <c r="A1" s="1" t="s">
        <v>104</v>
      </c>
      <c r="B1" s="1"/>
      <c r="C1" s="1"/>
      <c r="D1" s="1"/>
      <c r="E1" s="1"/>
      <c r="F1" s="1"/>
    </row>
    <row r="3" customFormat="false" ht="15" hidden="false" customHeight="true" outlineLevel="0" collapsed="false">
      <c r="A3" s="18" t="s">
        <v>105</v>
      </c>
      <c r="B3" s="18"/>
      <c r="C3" s="18"/>
      <c r="D3" s="18"/>
      <c r="E3" s="18"/>
      <c r="F3" s="18"/>
    </row>
    <row r="4" customFormat="false" ht="15" hidden="false" customHeight="true" outlineLevel="0" collapsed="false">
      <c r="A4" s="18"/>
      <c r="B4" s="18"/>
      <c r="C4" s="18"/>
      <c r="D4" s="18"/>
      <c r="E4" s="18"/>
      <c r="F4" s="18"/>
    </row>
    <row r="6" customFormat="false" ht="15" hidden="false" customHeight="true" outlineLevel="0" collapsed="false">
      <c r="A6" s="19" t="s">
        <v>80</v>
      </c>
      <c r="B6" s="19" t="s">
        <v>106</v>
      </c>
      <c r="C6" s="19" t="s">
        <v>81</v>
      </c>
      <c r="D6" s="19" t="s">
        <v>107</v>
      </c>
      <c r="E6" s="19" t="s">
        <v>108</v>
      </c>
      <c r="F6" s="19" t="s">
        <v>109</v>
      </c>
    </row>
    <row r="7" customFormat="false" ht="23.25" hidden="false" customHeight="true" outlineLevel="0" collapsed="false">
      <c r="A7" s="5" t="s">
        <v>83</v>
      </c>
      <c r="B7" s="20" t="n">
        <v>3</v>
      </c>
      <c r="C7" s="21" t="n">
        <f aca="false">'Deal Context'!B22</f>
        <v>0.125</v>
      </c>
      <c r="D7" s="22" t="n">
        <f aca="false">B7*C7</f>
        <v>0.375</v>
      </c>
      <c r="E7" s="20" t="s">
        <v>110</v>
      </c>
      <c r="F7" s="20" t="s">
        <v>111</v>
      </c>
    </row>
    <row r="8" customFormat="false" ht="23.25" hidden="false" customHeight="true" outlineLevel="0" collapsed="false">
      <c r="A8" s="5" t="s">
        <v>85</v>
      </c>
      <c r="B8" s="20" t="n">
        <v>3</v>
      </c>
      <c r="C8" s="21" t="n">
        <f aca="false">'Deal Context'!B23</f>
        <v>0.125</v>
      </c>
      <c r="D8" s="22" t="n">
        <f aca="false">B8*C8</f>
        <v>0.375</v>
      </c>
      <c r="E8" s="20" t="s">
        <v>110</v>
      </c>
      <c r="F8" s="20" t="s">
        <v>111</v>
      </c>
    </row>
    <row r="9" customFormat="false" ht="23.25" hidden="false" customHeight="true" outlineLevel="0" collapsed="false">
      <c r="A9" s="5" t="s">
        <v>86</v>
      </c>
      <c r="B9" s="20" t="n">
        <v>3</v>
      </c>
      <c r="C9" s="21" t="n">
        <f aca="false">'Deal Context'!B24</f>
        <v>0.125</v>
      </c>
      <c r="D9" s="22" t="n">
        <f aca="false">B9*C9</f>
        <v>0.375</v>
      </c>
      <c r="E9" s="20" t="s">
        <v>110</v>
      </c>
      <c r="F9" s="20" t="s">
        <v>111</v>
      </c>
    </row>
    <row r="10" customFormat="false" ht="23.25" hidden="false" customHeight="true" outlineLevel="0" collapsed="false">
      <c r="A10" s="5" t="s">
        <v>87</v>
      </c>
      <c r="B10" s="20" t="n">
        <v>3</v>
      </c>
      <c r="C10" s="21" t="n">
        <f aca="false">'Deal Context'!B25</f>
        <v>0.125</v>
      </c>
      <c r="D10" s="22" t="n">
        <f aca="false">B10*C10</f>
        <v>0.375</v>
      </c>
      <c r="E10" s="20" t="s">
        <v>110</v>
      </c>
      <c r="F10" s="20" t="s">
        <v>111</v>
      </c>
    </row>
    <row r="11" customFormat="false" ht="23.25" hidden="false" customHeight="true" outlineLevel="0" collapsed="false">
      <c r="A11" s="5" t="s">
        <v>88</v>
      </c>
      <c r="B11" s="20" t="n">
        <v>3</v>
      </c>
      <c r="C11" s="21" t="n">
        <f aca="false">'Deal Context'!B26</f>
        <v>0.125</v>
      </c>
      <c r="D11" s="22" t="n">
        <f aca="false">B11*C11</f>
        <v>0.375</v>
      </c>
      <c r="E11" s="20" t="s">
        <v>110</v>
      </c>
      <c r="F11" s="20" t="s">
        <v>111</v>
      </c>
    </row>
    <row r="12" customFormat="false" ht="23.25" hidden="false" customHeight="true" outlineLevel="0" collapsed="false">
      <c r="A12" s="5" t="s">
        <v>89</v>
      </c>
      <c r="B12" s="20" t="n">
        <v>3</v>
      </c>
      <c r="C12" s="21" t="n">
        <f aca="false">'Deal Context'!B27</f>
        <v>0.125</v>
      </c>
      <c r="D12" s="22" t="n">
        <f aca="false">B12*C12</f>
        <v>0.375</v>
      </c>
      <c r="E12" s="20" t="s">
        <v>110</v>
      </c>
      <c r="F12" s="20" t="s">
        <v>111</v>
      </c>
    </row>
    <row r="13" customFormat="false" ht="23.25" hidden="false" customHeight="true" outlineLevel="0" collapsed="false">
      <c r="A13" s="5" t="s">
        <v>90</v>
      </c>
      <c r="B13" s="20" t="n">
        <v>3</v>
      </c>
      <c r="C13" s="21" t="n">
        <f aca="false">'Deal Context'!B28</f>
        <v>0.125</v>
      </c>
      <c r="D13" s="22" t="n">
        <f aca="false">B13*C13</f>
        <v>0.375</v>
      </c>
      <c r="E13" s="20" t="s">
        <v>110</v>
      </c>
      <c r="F13" s="20" t="s">
        <v>111</v>
      </c>
    </row>
    <row r="14" customFormat="false" ht="23.25" hidden="false" customHeight="true" outlineLevel="0" collapsed="false">
      <c r="A14" s="5" t="s">
        <v>91</v>
      </c>
      <c r="B14" s="20" t="n">
        <v>3</v>
      </c>
      <c r="C14" s="21" t="n">
        <f aca="false">'Deal Context'!B29</f>
        <v>0.125</v>
      </c>
      <c r="D14" s="22" t="n">
        <f aca="false">B14*C14</f>
        <v>0.375</v>
      </c>
      <c r="E14" s="20" t="s">
        <v>110</v>
      </c>
      <c r="F14" s="20" t="s">
        <v>111</v>
      </c>
    </row>
    <row r="15" customFormat="false" ht="15" hidden="false" customHeight="true" outlineLevel="0" collapsed="false">
      <c r="A15" s="23" t="s">
        <v>112</v>
      </c>
      <c r="B15" s="24" t="n">
        <f aca="false">IFERROR(SUMPRODUCT(B7:B14,C7:C14)/SUM(C7:C14),0)</f>
        <v>3</v>
      </c>
      <c r="C15" s="25" t="n">
        <f aca="false">SUM(C7:C14)</f>
        <v>1</v>
      </c>
      <c r="D15" s="23" t="s">
        <v>107</v>
      </c>
      <c r="E15" s="26"/>
      <c r="F15" s="26"/>
    </row>
    <row r="16" customFormat="false" ht="15" hidden="false" customHeight="true" outlineLevel="0" collapsed="false">
      <c r="A16" s="16"/>
      <c r="B16" s="16"/>
      <c r="C16" s="16"/>
      <c r="D16" s="16"/>
      <c r="E16" s="16"/>
      <c r="F16" s="16"/>
    </row>
    <row r="17" customFormat="false" ht="15" hidden="false" customHeight="true" outlineLevel="0" collapsed="false">
      <c r="A17" s="27" t="s">
        <v>113</v>
      </c>
    </row>
    <row r="18" customFormat="false" ht="15" hidden="false" customHeight="true" outlineLevel="0" collapsed="false">
      <c r="A18" s="4" t="s">
        <v>31</v>
      </c>
      <c r="B18" s="4" t="s">
        <v>114</v>
      </c>
      <c r="C18" s="4" t="s">
        <v>115</v>
      </c>
      <c r="D18" s="4" t="s">
        <v>116</v>
      </c>
      <c r="E18" s="4" t="s">
        <v>117</v>
      </c>
      <c r="F18" s="4" t="s">
        <v>118</v>
      </c>
      <c r="G18" s="4" t="s">
        <v>119</v>
      </c>
    </row>
    <row r="19" customFormat="false" ht="45.75" hidden="false" customHeight="true" outlineLevel="0" collapsed="false">
      <c r="A19" s="5" t="s">
        <v>34</v>
      </c>
      <c r="B19" s="5" t="s">
        <v>120</v>
      </c>
      <c r="C19" s="5" t="s">
        <v>121</v>
      </c>
      <c r="D19" s="5" t="s">
        <v>122</v>
      </c>
      <c r="E19" s="5" t="s">
        <v>123</v>
      </c>
      <c r="F19" s="5" t="s">
        <v>124</v>
      </c>
      <c r="G19" s="5" t="s">
        <v>125</v>
      </c>
    </row>
    <row r="20" customFormat="false" ht="34.5" hidden="false" customHeight="true" outlineLevel="0" collapsed="false">
      <c r="A20" s="5" t="s">
        <v>37</v>
      </c>
      <c r="B20" s="5" t="s">
        <v>126</v>
      </c>
      <c r="C20" s="5" t="s">
        <v>127</v>
      </c>
      <c r="D20" s="5" t="s">
        <v>127</v>
      </c>
      <c r="E20" s="5" t="s">
        <v>128</v>
      </c>
      <c r="F20" s="5" t="s">
        <v>128</v>
      </c>
      <c r="G20" s="5" t="s">
        <v>129</v>
      </c>
    </row>
    <row r="21" customFormat="false" ht="45.75" hidden="false" customHeight="true" outlineLevel="0" collapsed="false">
      <c r="A21" s="5" t="s">
        <v>40</v>
      </c>
      <c r="B21" s="5" t="s">
        <v>130</v>
      </c>
      <c r="C21" s="5" t="s">
        <v>131</v>
      </c>
      <c r="D21" s="5" t="s">
        <v>131</v>
      </c>
      <c r="E21" s="5" t="s">
        <v>41</v>
      </c>
      <c r="F21" s="5" t="s">
        <v>41</v>
      </c>
      <c r="G21" s="5" t="s">
        <v>132</v>
      </c>
    </row>
    <row r="22" customFormat="false" ht="34.5" hidden="false" customHeight="true" outlineLevel="0" collapsed="false">
      <c r="A22" s="5" t="s">
        <v>43</v>
      </c>
      <c r="B22" s="5" t="s">
        <v>133</v>
      </c>
      <c r="C22" s="5" t="s">
        <v>134</v>
      </c>
      <c r="D22" s="5" t="s">
        <v>135</v>
      </c>
      <c r="E22" s="5" t="s">
        <v>136</v>
      </c>
      <c r="F22" s="5" t="s">
        <v>137</v>
      </c>
      <c r="G22" s="5" t="s">
        <v>138</v>
      </c>
    </row>
    <row r="23" customFormat="false" ht="45.75" hidden="false" customHeight="true" outlineLevel="0" collapsed="false">
      <c r="A23" s="5" t="s">
        <v>46</v>
      </c>
      <c r="B23" s="5" t="s">
        <v>139</v>
      </c>
      <c r="C23" s="5" t="s">
        <v>140</v>
      </c>
      <c r="D23" s="5" t="s">
        <v>141</v>
      </c>
      <c r="E23" s="5" t="s">
        <v>142</v>
      </c>
      <c r="F23" s="5" t="s">
        <v>143</v>
      </c>
      <c r="G23" s="5" t="s">
        <v>144</v>
      </c>
    </row>
  </sheetData>
  <mergeCells count="3">
    <mergeCell ref="A1:F1"/>
    <mergeCell ref="A3:F4"/>
    <mergeCell ref="A16:F16"/>
  </mergeCells>
  <conditionalFormatting sqref="B7:B13">
    <cfRule type="cellIs" priority="2" operator="greaterThanOrEqual" aboveAverage="0" equalAverage="0" bottom="0" percent="0" rank="0" text="" dxfId="0">
      <formula>4</formula>
    </cfRule>
    <cfRule type="cellIs" priority="3" operator="equal" aboveAverage="0" equalAverage="0" bottom="0" percent="0" rank="0" text="" dxfId="1">
      <formula>3</formula>
    </cfRule>
    <cfRule type="cellIs" priority="4" operator="lessThanOrEqual" aboveAverage="0" equalAverage="0" bottom="0" percent="0" rank="0" text="" dxfId="2">
      <formula>2</formula>
    </cfRule>
  </conditionalFormatting>
  <dataValidations count="1">
    <dataValidation allowBlank="true" error="Score 1 (excellent) to 5 (critical)." errorStyle="stop" operator="between" showDropDown="false" showErrorMessage="true" showInputMessage="false" sqref="B7:B14"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5"/>
    <col collapsed="false" customWidth="true" hidden="false" outlineLevel="0" max="4" min="2" style="0" width="12"/>
    <col collapsed="false" customWidth="true" hidden="false" outlineLevel="0" max="5" min="5" style="0" width="35"/>
    <col collapsed="false" customWidth="true" hidden="false" outlineLevel="0" max="6" min="6" style="0" width="15"/>
  </cols>
  <sheetData>
    <row r="1" customFormat="false" ht="19.5" hidden="false" customHeight="true" outlineLevel="0" collapsed="false">
      <c r="A1" s="1" t="s">
        <v>145</v>
      </c>
      <c r="B1" s="1"/>
      <c r="C1" s="1"/>
      <c r="D1" s="1"/>
      <c r="E1" s="1"/>
      <c r="F1" s="1"/>
    </row>
    <row r="3" customFormat="false" ht="15" hidden="false" customHeight="true" outlineLevel="0" collapsed="false">
      <c r="A3" s="12" t="s">
        <v>146</v>
      </c>
      <c r="B3" s="12"/>
      <c r="C3" s="12"/>
      <c r="D3" s="12"/>
      <c r="E3" s="12"/>
      <c r="F3" s="12"/>
    </row>
    <row r="4" customFormat="false" ht="15" hidden="false" customHeight="true" outlineLevel="0" collapsed="false">
      <c r="A4" s="12"/>
      <c r="B4" s="12"/>
      <c r="C4" s="12"/>
      <c r="D4" s="12"/>
      <c r="E4" s="12"/>
      <c r="F4" s="12"/>
    </row>
    <row r="6" customFormat="false" ht="15" hidden="false" customHeight="true" outlineLevel="0" collapsed="false">
      <c r="A6" s="19" t="s">
        <v>96</v>
      </c>
      <c r="B6" s="19" t="s">
        <v>106</v>
      </c>
      <c r="C6" s="19" t="s">
        <v>81</v>
      </c>
      <c r="D6" s="19" t="s">
        <v>107</v>
      </c>
      <c r="E6" s="19" t="s">
        <v>147</v>
      </c>
      <c r="F6" s="19" t="s">
        <v>148</v>
      </c>
    </row>
    <row r="7" customFormat="false" ht="15" hidden="false" customHeight="true" outlineLevel="0" collapsed="false">
      <c r="A7" s="5" t="s">
        <v>97</v>
      </c>
      <c r="B7" s="20" t="n">
        <v>3</v>
      </c>
      <c r="C7" s="21" t="n">
        <f aca="false">'Deal Context'!B36</f>
        <v>0.142857142857143</v>
      </c>
      <c r="D7" s="22" t="n">
        <f aca="false">B7*C7</f>
        <v>0.428571428571428</v>
      </c>
      <c r="E7" s="20" t="s">
        <v>149</v>
      </c>
      <c r="F7" s="28" t="str">
        <f aca="false">IF(B7&gt;=4,"HIGH",IF(B7=3,"MEDIUM","LOW"))</f>
        <v>MEDIUM</v>
      </c>
    </row>
    <row r="8" customFormat="false" ht="15" hidden="false" customHeight="true" outlineLevel="0" collapsed="false">
      <c r="A8" s="5" t="s">
        <v>98</v>
      </c>
      <c r="B8" s="20" t="n">
        <v>3</v>
      </c>
      <c r="C8" s="21" t="n">
        <f aca="false">'Deal Context'!B37</f>
        <v>0.142857142857143</v>
      </c>
      <c r="D8" s="22" t="n">
        <f aca="false">B8*C8</f>
        <v>0.428571428571428</v>
      </c>
      <c r="E8" s="20" t="s">
        <v>149</v>
      </c>
      <c r="F8" s="28" t="str">
        <f aca="false">IF(B8&gt;=4,"HIGH",IF(B8=3,"MEDIUM","LOW"))</f>
        <v>MEDIUM</v>
      </c>
    </row>
    <row r="9" customFormat="false" ht="15" hidden="false" customHeight="true" outlineLevel="0" collapsed="false">
      <c r="A9" s="5" t="s">
        <v>99</v>
      </c>
      <c r="B9" s="20" t="n">
        <v>3</v>
      </c>
      <c r="C9" s="21" t="n">
        <f aca="false">'Deal Context'!B38</f>
        <v>0.142857142857143</v>
      </c>
      <c r="D9" s="22" t="n">
        <f aca="false">B9*C9</f>
        <v>0.428571428571428</v>
      </c>
      <c r="E9" s="20" t="s">
        <v>149</v>
      </c>
      <c r="F9" s="28" t="str">
        <f aca="false">IF(B9&gt;=4,"HIGH",IF(B9=3,"MEDIUM","LOW"))</f>
        <v>MEDIUM</v>
      </c>
    </row>
    <row r="10" customFormat="false" ht="15" hidden="false" customHeight="true" outlineLevel="0" collapsed="false">
      <c r="A10" s="5" t="s">
        <v>100</v>
      </c>
      <c r="B10" s="20" t="n">
        <v>3</v>
      </c>
      <c r="C10" s="21" t="n">
        <f aca="false">'Deal Context'!B39</f>
        <v>0.142857142857143</v>
      </c>
      <c r="D10" s="22" t="n">
        <f aca="false">B10*C10</f>
        <v>0.428571428571428</v>
      </c>
      <c r="E10" s="20" t="s">
        <v>149</v>
      </c>
      <c r="F10" s="28" t="str">
        <f aca="false">IF(B10&gt;=4,"HIGH",IF(B10=3,"MEDIUM","LOW"))</f>
        <v>MEDIUM</v>
      </c>
    </row>
    <row r="11" customFormat="false" ht="15" hidden="false" customHeight="true" outlineLevel="0" collapsed="false">
      <c r="A11" s="5" t="s">
        <v>101</v>
      </c>
      <c r="B11" s="20" t="n">
        <v>3</v>
      </c>
      <c r="C11" s="21" t="n">
        <f aca="false">'Deal Context'!B40</f>
        <v>0.142857142857143</v>
      </c>
      <c r="D11" s="22" t="n">
        <f aca="false">B11*C11</f>
        <v>0.428571428571428</v>
      </c>
      <c r="E11" s="20" t="s">
        <v>149</v>
      </c>
      <c r="F11" s="28" t="str">
        <f aca="false">IF(B11&gt;=4,"HIGH",IF(B11=3,"MEDIUM","LOW"))</f>
        <v>MEDIUM</v>
      </c>
    </row>
    <row r="12" customFormat="false" ht="15" hidden="false" customHeight="true" outlineLevel="0" collapsed="false">
      <c r="A12" s="5" t="s">
        <v>102</v>
      </c>
      <c r="B12" s="20" t="n">
        <v>3</v>
      </c>
      <c r="C12" s="21" t="n">
        <f aca="false">'Deal Context'!B41</f>
        <v>0.142857142857143</v>
      </c>
      <c r="D12" s="22" t="n">
        <f aca="false">B12*C12</f>
        <v>0.428571428571428</v>
      </c>
      <c r="E12" s="20" t="s">
        <v>149</v>
      </c>
      <c r="F12" s="28" t="str">
        <f aca="false">IF(B12&gt;=4,"HIGH",IF(B12=3,"MEDIUM","LOW"))</f>
        <v>MEDIUM</v>
      </c>
    </row>
    <row r="13" customFormat="false" ht="15" hidden="false" customHeight="true" outlineLevel="0" collapsed="false">
      <c r="A13" s="5" t="s">
        <v>103</v>
      </c>
      <c r="B13" s="20" t="n">
        <v>3</v>
      </c>
      <c r="C13" s="21" t="n">
        <f aca="false">'Deal Context'!B42</f>
        <v>0.142857142857143</v>
      </c>
      <c r="D13" s="22" t="n">
        <f aca="false">B13*C13</f>
        <v>0.428571428571428</v>
      </c>
      <c r="E13" s="20" t="s">
        <v>149</v>
      </c>
      <c r="F13" s="28" t="str">
        <f aca="false">IF(B13&gt;=4,"HIGH",IF(B13=3,"MEDIUM","LOW"))</f>
        <v>MEDIUM</v>
      </c>
    </row>
    <row r="14" customFormat="false" ht="15" hidden="false" customHeight="true" outlineLevel="0" collapsed="false">
      <c r="A14" s="23" t="s">
        <v>150</v>
      </c>
      <c r="B14" s="24" t="n">
        <f aca="false">IFERROR(SUMPRODUCT(B7:B13,C7:C13)/SUM(C7:C13),0)</f>
        <v>3</v>
      </c>
      <c r="C14" s="25" t="n">
        <f aca="false">SUM(C7:C13)</f>
        <v>1</v>
      </c>
      <c r="D14" s="26"/>
      <c r="E14" s="26"/>
      <c r="F14" s="26"/>
    </row>
    <row r="16" customFormat="false" ht="15" hidden="false" customHeight="true" outlineLevel="0" collapsed="false">
      <c r="A16" s="2" t="s">
        <v>151</v>
      </c>
      <c r="B16" s="2"/>
      <c r="C16" s="2"/>
      <c r="D16" s="2"/>
      <c r="E16" s="2"/>
      <c r="F16" s="2"/>
    </row>
    <row r="17" customFormat="false" ht="15" hidden="false" customHeight="true" outlineLevel="0" collapsed="false">
      <c r="A17" s="6" t="s">
        <v>152</v>
      </c>
      <c r="B17" s="6" t="s">
        <v>153</v>
      </c>
      <c r="C17" s="6" t="s">
        <v>154</v>
      </c>
      <c r="D17" s="6" t="s">
        <v>155</v>
      </c>
    </row>
    <row r="18" customFormat="false" ht="15" hidden="false" customHeight="true" outlineLevel="0" collapsed="false">
      <c r="A18" s="7" t="s">
        <v>156</v>
      </c>
      <c r="B18" s="7" t="s">
        <v>157</v>
      </c>
      <c r="C18" s="7" t="s">
        <v>158</v>
      </c>
      <c r="D18" s="7" t="s">
        <v>159</v>
      </c>
    </row>
    <row r="19" customFormat="false" ht="15" hidden="false" customHeight="true" outlineLevel="0" collapsed="false">
      <c r="A19" s="7" t="s">
        <v>160</v>
      </c>
      <c r="B19" s="7" t="s">
        <v>161</v>
      </c>
      <c r="C19" s="7" t="s">
        <v>162</v>
      </c>
      <c r="D19" s="7" t="s">
        <v>163</v>
      </c>
    </row>
    <row r="20" customFormat="false" ht="15" hidden="false" customHeight="true" outlineLevel="0" collapsed="false">
      <c r="A20" s="7" t="s">
        <v>164</v>
      </c>
      <c r="B20" s="7" t="s">
        <v>165</v>
      </c>
      <c r="C20" s="7" t="s">
        <v>166</v>
      </c>
      <c r="D20" s="7" t="s">
        <v>167</v>
      </c>
    </row>
    <row r="21" customFormat="false" ht="15" hidden="false" customHeight="true" outlineLevel="0" collapsed="false">
      <c r="A21" s="7" t="s">
        <v>168</v>
      </c>
      <c r="B21" s="7" t="s">
        <v>169</v>
      </c>
      <c r="C21" s="7" t="s">
        <v>170</v>
      </c>
      <c r="D21" s="7" t="s">
        <v>171</v>
      </c>
    </row>
    <row r="22" customFormat="false" ht="15" hidden="false" customHeight="true" outlineLevel="0" collapsed="false">
      <c r="A22" s="7" t="s">
        <v>172</v>
      </c>
      <c r="B22" s="7" t="s">
        <v>173</v>
      </c>
      <c r="C22" s="7" t="s">
        <v>174</v>
      </c>
      <c r="D22" s="7" t="s">
        <v>175</v>
      </c>
    </row>
  </sheetData>
  <mergeCells count="3">
    <mergeCell ref="A1:F1"/>
    <mergeCell ref="A3:F4"/>
    <mergeCell ref="A16:F16"/>
  </mergeCells>
  <conditionalFormatting sqref="B7:B13">
    <cfRule type="cellIs" priority="2" operator="greaterThanOrEqual" aboveAverage="0" equalAverage="0" bottom="0" percent="0" rank="0" text="" dxfId="0">
      <formula>4</formula>
    </cfRule>
    <cfRule type="cellIs" priority="3" operator="equal" aboveAverage="0" equalAverage="0" bottom="0" percent="0" rank="0" text="" dxfId="1">
      <formula>3</formula>
    </cfRule>
    <cfRule type="cellIs" priority="4" operator="lessThanOrEqual" aboveAverage="0" equalAverage="0" bottom="0" percent="0" rank="0" text="" dxfId="2">
      <formula>2</formula>
    </cfRule>
  </conditionalFormatting>
  <dataValidations count="1">
    <dataValidation allowBlank="true" error="Score 1 (low) to 5 (high)." errorStyle="stop" operator="between" showDropDown="false" showErrorMessage="true" showInputMessage="false" sqref="B7:B13"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15"/>
    <col collapsed="false" customWidth="true" hidden="false" outlineLevel="0" max="2" min="2" style="0" width="55"/>
    <col collapsed="false" customWidth="true" hidden="false" outlineLevel="0" max="3" min="3" style="0" width="15"/>
    <col collapsed="false" customWidth="true" hidden="false" outlineLevel="0" max="4" min="4" style="0" width="12"/>
    <col collapsed="false" customWidth="true" hidden="false" outlineLevel="0" max="5" min="5" style="0" width="35"/>
  </cols>
  <sheetData>
    <row r="1" customFormat="false" ht="19.5" hidden="false" customHeight="true" outlineLevel="0" collapsed="false">
      <c r="A1" s="1" t="s">
        <v>176</v>
      </c>
      <c r="B1" s="1"/>
      <c r="C1" s="1"/>
      <c r="D1" s="1"/>
      <c r="E1" s="1"/>
    </row>
    <row r="3" customFormat="false" ht="15" hidden="false" customHeight="true" outlineLevel="0" collapsed="false">
      <c r="A3" s="12" t="s">
        <v>177</v>
      </c>
      <c r="B3" s="12"/>
      <c r="C3" s="12"/>
      <c r="D3" s="12"/>
      <c r="E3" s="12"/>
    </row>
    <row r="5" customFormat="false" ht="15" hidden="false" customHeight="true" outlineLevel="0" collapsed="false">
      <c r="A5" s="29" t="s">
        <v>80</v>
      </c>
      <c r="B5" s="29" t="s">
        <v>178</v>
      </c>
      <c r="C5" s="29" t="s">
        <v>179</v>
      </c>
      <c r="D5" s="29" t="s">
        <v>180</v>
      </c>
      <c r="E5" s="29" t="s">
        <v>147</v>
      </c>
    </row>
    <row r="6" customFormat="false" ht="15" hidden="false" customHeight="true" outlineLevel="0" collapsed="false">
      <c r="A6" s="30" t="s">
        <v>114</v>
      </c>
      <c r="B6" s="30" t="s">
        <v>181</v>
      </c>
      <c r="C6" s="31" t="s">
        <v>182</v>
      </c>
      <c r="D6" s="32"/>
      <c r="E6" s="30"/>
    </row>
    <row r="7" customFormat="false" ht="15" hidden="false" customHeight="true" outlineLevel="0" collapsed="false">
      <c r="A7" s="30" t="s">
        <v>114</v>
      </c>
      <c r="B7" s="30" t="s">
        <v>183</v>
      </c>
      <c r="C7" s="31" t="s">
        <v>182</v>
      </c>
      <c r="D7" s="32"/>
      <c r="E7" s="30"/>
    </row>
    <row r="8" customFormat="false" ht="15" hidden="false" customHeight="true" outlineLevel="0" collapsed="false">
      <c r="A8" s="30" t="s">
        <v>115</v>
      </c>
      <c r="B8" s="30" t="s">
        <v>184</v>
      </c>
      <c r="C8" s="31" t="s">
        <v>182</v>
      </c>
      <c r="D8" s="32"/>
      <c r="E8" s="30"/>
    </row>
    <row r="9" customFormat="false" ht="15" hidden="false" customHeight="true" outlineLevel="0" collapsed="false">
      <c r="A9" s="30" t="s">
        <v>115</v>
      </c>
      <c r="B9" s="30" t="s">
        <v>185</v>
      </c>
      <c r="C9" s="33" t="s">
        <v>47</v>
      </c>
      <c r="D9" s="32"/>
      <c r="E9" s="30"/>
    </row>
    <row r="10" customFormat="false" ht="15" hidden="false" customHeight="true" outlineLevel="0" collapsed="false">
      <c r="A10" s="30" t="s">
        <v>116</v>
      </c>
      <c r="B10" s="30" t="s">
        <v>186</v>
      </c>
      <c r="C10" s="33" t="s">
        <v>47</v>
      </c>
      <c r="D10" s="32"/>
      <c r="E10" s="30"/>
    </row>
    <row r="11" customFormat="false" ht="15" hidden="false" customHeight="true" outlineLevel="0" collapsed="false">
      <c r="A11" s="30" t="s">
        <v>116</v>
      </c>
      <c r="B11" s="30" t="s">
        <v>187</v>
      </c>
      <c r="C11" s="31" t="s">
        <v>182</v>
      </c>
      <c r="D11" s="32"/>
      <c r="E11" s="30"/>
    </row>
    <row r="12" customFormat="false" ht="15" hidden="false" customHeight="true" outlineLevel="0" collapsed="false">
      <c r="A12" s="30" t="s">
        <v>117</v>
      </c>
      <c r="B12" s="30" t="s">
        <v>188</v>
      </c>
      <c r="C12" s="31" t="s">
        <v>182</v>
      </c>
      <c r="D12" s="32"/>
      <c r="E12" s="30"/>
    </row>
    <row r="13" customFormat="false" ht="15" hidden="false" customHeight="true" outlineLevel="0" collapsed="false">
      <c r="A13" s="30" t="s">
        <v>117</v>
      </c>
      <c r="B13" s="30" t="s">
        <v>189</v>
      </c>
      <c r="C13" s="34" t="s">
        <v>190</v>
      </c>
      <c r="D13" s="32"/>
      <c r="E13" s="30"/>
    </row>
    <row r="14" customFormat="false" ht="15" hidden="false" customHeight="true" outlineLevel="0" collapsed="false">
      <c r="A14" s="30" t="s">
        <v>118</v>
      </c>
      <c r="B14" s="30" t="s">
        <v>191</v>
      </c>
      <c r="C14" s="31" t="s">
        <v>182</v>
      </c>
      <c r="D14" s="32"/>
      <c r="E14" s="30"/>
    </row>
    <row r="15" customFormat="false" ht="15" hidden="false" customHeight="true" outlineLevel="0" collapsed="false">
      <c r="A15" s="30" t="s">
        <v>118</v>
      </c>
      <c r="B15" s="30" t="s">
        <v>192</v>
      </c>
      <c r="C15" s="31" t="s">
        <v>182</v>
      </c>
      <c r="D15" s="32"/>
      <c r="E15" s="30"/>
    </row>
    <row r="16" customFormat="false" ht="15" hidden="false" customHeight="true" outlineLevel="0" collapsed="false">
      <c r="A16" s="30" t="s">
        <v>193</v>
      </c>
      <c r="B16" s="30" t="s">
        <v>194</v>
      </c>
      <c r="C16" s="31" t="s">
        <v>182</v>
      </c>
      <c r="D16" s="32"/>
      <c r="E16" s="30"/>
    </row>
    <row r="17" customFormat="false" ht="15" hidden="false" customHeight="true" outlineLevel="0" collapsed="false">
      <c r="A17" s="30" t="s">
        <v>193</v>
      </c>
      <c r="B17" s="30" t="s">
        <v>195</v>
      </c>
      <c r="C17" s="33" t="s">
        <v>47</v>
      </c>
      <c r="D17" s="32"/>
      <c r="E17" s="30"/>
    </row>
    <row r="18" customFormat="false" ht="15" hidden="false" customHeight="true" outlineLevel="0" collapsed="false">
      <c r="A18" s="30" t="s">
        <v>196</v>
      </c>
      <c r="B18" s="30" t="s">
        <v>197</v>
      </c>
      <c r="C18" s="33" t="s">
        <v>47</v>
      </c>
      <c r="D18" s="32"/>
      <c r="E18" s="30"/>
    </row>
    <row r="19" customFormat="false" ht="15" hidden="false" customHeight="true" outlineLevel="0" collapsed="false">
      <c r="A19" s="30" t="s">
        <v>196</v>
      </c>
      <c r="B19" s="30" t="s">
        <v>198</v>
      </c>
      <c r="C19" s="31" t="s">
        <v>182</v>
      </c>
      <c r="D19" s="32"/>
      <c r="E19" s="30"/>
    </row>
    <row r="20" customFormat="false" ht="15" hidden="false" customHeight="true" outlineLevel="0" collapsed="false">
      <c r="A20" s="30" t="s">
        <v>119</v>
      </c>
      <c r="B20" s="30" t="s">
        <v>199</v>
      </c>
      <c r="C20" s="31" t="s">
        <v>182</v>
      </c>
      <c r="D20" s="32"/>
      <c r="E20" s="30"/>
    </row>
    <row r="21" customFormat="false" ht="15" hidden="false" customHeight="true" outlineLevel="0" collapsed="false">
      <c r="A21" s="30" t="s">
        <v>119</v>
      </c>
      <c r="B21" s="30" t="s">
        <v>200</v>
      </c>
      <c r="C21" s="33" t="s">
        <v>47</v>
      </c>
      <c r="D21" s="32"/>
      <c r="E21" s="30"/>
    </row>
    <row r="22" customFormat="false" ht="15" hidden="false" customHeight="true" outlineLevel="0" collapsed="false">
      <c r="A22" s="35" t="s">
        <v>201</v>
      </c>
    </row>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sheetData>
  <mergeCells count="2">
    <mergeCell ref="A1:E1"/>
    <mergeCell ref="A3:E3"/>
  </mergeCells>
  <dataValidations count="1">
    <dataValidation allowBlank="true" errorStyle="stop" operator="between" showDropDown="false" showErrorMessage="true" showInputMessage="false" sqref="D6:D2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8"/>
    <col collapsed="false" customWidth="true" hidden="false" outlineLevel="0" max="4" min="4" style="0" width="35"/>
    <col collapsed="false" customWidth="true" hidden="false" outlineLevel="0" max="5" min="5" style="0" width="12"/>
    <col collapsed="false" customWidth="true" hidden="false" outlineLevel="0" max="6" min="6" style="0" width="30"/>
    <col collapsed="false" customWidth="true" hidden="false" outlineLevel="0" max="7" min="7" style="0" width="25"/>
    <col collapsed="false" customWidth="true" hidden="false" outlineLevel="0" max="8" min="8" style="0" width="12"/>
  </cols>
  <sheetData>
    <row r="1" customFormat="false" ht="19.5" hidden="false" customHeight="true" outlineLevel="0" collapsed="false">
      <c r="A1" s="1" t="s">
        <v>202</v>
      </c>
      <c r="B1" s="1"/>
      <c r="C1" s="1"/>
      <c r="D1" s="1"/>
      <c r="E1" s="1"/>
      <c r="F1" s="1"/>
      <c r="G1" s="1"/>
      <c r="H1" s="1"/>
    </row>
    <row r="3" customFormat="false" ht="15" hidden="false" customHeight="true" outlineLevel="0" collapsed="false">
      <c r="A3" s="12" t="s">
        <v>203</v>
      </c>
      <c r="B3" s="12"/>
      <c r="C3" s="12"/>
      <c r="D3" s="12"/>
      <c r="E3" s="12"/>
      <c r="F3" s="12"/>
      <c r="G3" s="12"/>
      <c r="H3" s="12"/>
    </row>
    <row r="5" customFormat="false" ht="15" hidden="false" customHeight="true" outlineLevel="0" collapsed="false">
      <c r="A5" s="19" t="s">
        <v>204</v>
      </c>
      <c r="B5" s="19" t="s">
        <v>205</v>
      </c>
      <c r="C5" s="19" t="s">
        <v>80</v>
      </c>
      <c r="D5" s="19" t="s">
        <v>206</v>
      </c>
      <c r="E5" s="19" t="s">
        <v>179</v>
      </c>
      <c r="F5" s="19" t="s">
        <v>207</v>
      </c>
      <c r="G5" s="19" t="s">
        <v>208</v>
      </c>
      <c r="H5" s="19" t="s">
        <v>209</v>
      </c>
    </row>
    <row r="6" customFormat="false" ht="15" hidden="false" customHeight="true" outlineLevel="0" collapsed="false">
      <c r="A6" s="36" t="s">
        <v>210</v>
      </c>
      <c r="B6" s="37"/>
      <c r="C6" s="37"/>
      <c r="D6" s="37"/>
      <c r="E6" s="37"/>
      <c r="F6" s="37"/>
      <c r="G6" s="37"/>
      <c r="H6" s="37"/>
    </row>
    <row r="7" customFormat="false" ht="15" hidden="false" customHeight="true" outlineLevel="0" collapsed="false">
      <c r="A7" s="36" t="s">
        <v>211</v>
      </c>
      <c r="B7" s="37"/>
      <c r="C7" s="37"/>
      <c r="D7" s="37"/>
      <c r="E7" s="37"/>
      <c r="F7" s="37"/>
      <c r="G7" s="37"/>
      <c r="H7" s="37"/>
    </row>
    <row r="8" customFormat="false" ht="15" hidden="false" customHeight="true" outlineLevel="0" collapsed="false">
      <c r="A8" s="36" t="s">
        <v>212</v>
      </c>
      <c r="B8" s="37"/>
      <c r="C8" s="37"/>
      <c r="D8" s="37"/>
      <c r="E8" s="37"/>
      <c r="F8" s="37"/>
      <c r="G8" s="37"/>
      <c r="H8" s="37"/>
    </row>
    <row r="9" customFormat="false" ht="15" hidden="false" customHeight="true" outlineLevel="0" collapsed="false">
      <c r="A9" s="36" t="s">
        <v>213</v>
      </c>
      <c r="B9" s="37"/>
      <c r="C9" s="37"/>
      <c r="D9" s="37"/>
      <c r="E9" s="37"/>
      <c r="F9" s="37"/>
      <c r="G9" s="37"/>
      <c r="H9" s="37"/>
    </row>
    <row r="10" customFormat="false" ht="15" hidden="false" customHeight="true" outlineLevel="0" collapsed="false">
      <c r="A10" s="36" t="s">
        <v>214</v>
      </c>
      <c r="B10" s="37"/>
      <c r="C10" s="37"/>
      <c r="D10" s="37"/>
      <c r="E10" s="37"/>
      <c r="F10" s="37"/>
      <c r="G10" s="37"/>
      <c r="H10" s="37"/>
    </row>
    <row r="11" customFormat="false" ht="15" hidden="false" customHeight="true" outlineLevel="0" collapsed="false">
      <c r="A11" s="36" t="s">
        <v>215</v>
      </c>
      <c r="B11" s="37"/>
      <c r="C11" s="37"/>
      <c r="D11" s="37"/>
      <c r="E11" s="37"/>
      <c r="F11" s="37"/>
      <c r="G11" s="37"/>
      <c r="H11" s="37"/>
    </row>
    <row r="12" customFormat="false" ht="15" hidden="false" customHeight="true" outlineLevel="0" collapsed="false">
      <c r="A12" s="36" t="s">
        <v>216</v>
      </c>
      <c r="B12" s="37"/>
      <c r="C12" s="37"/>
      <c r="D12" s="37"/>
      <c r="E12" s="37"/>
      <c r="F12" s="37"/>
      <c r="G12" s="37"/>
      <c r="H12" s="37"/>
    </row>
    <row r="13" customFormat="false" ht="15" hidden="false" customHeight="true" outlineLevel="0" collapsed="false">
      <c r="A13" s="36" t="s">
        <v>217</v>
      </c>
      <c r="B13" s="37"/>
      <c r="C13" s="37"/>
      <c r="D13" s="37"/>
      <c r="E13" s="37"/>
      <c r="F13" s="37"/>
      <c r="G13" s="37"/>
      <c r="H13" s="37"/>
    </row>
    <row r="14" customFormat="false" ht="15" hidden="false" customHeight="true" outlineLevel="0" collapsed="false">
      <c r="A14" s="36" t="s">
        <v>218</v>
      </c>
      <c r="B14" s="37"/>
      <c r="C14" s="37"/>
      <c r="D14" s="37"/>
      <c r="E14" s="37"/>
      <c r="F14" s="37"/>
      <c r="G14" s="37"/>
      <c r="H14" s="37"/>
    </row>
    <row r="15" customFormat="false" ht="15" hidden="false" customHeight="true" outlineLevel="0" collapsed="false">
      <c r="A15" s="36" t="s">
        <v>219</v>
      </c>
      <c r="B15" s="37"/>
      <c r="C15" s="37"/>
      <c r="D15" s="37"/>
      <c r="E15" s="37"/>
      <c r="F15" s="37"/>
      <c r="G15" s="37"/>
      <c r="H15" s="37"/>
    </row>
    <row r="16" customFormat="false" ht="15" hidden="false" customHeight="true" outlineLevel="0" collapsed="false">
      <c r="A16" s="36" t="s">
        <v>220</v>
      </c>
      <c r="B16" s="37"/>
      <c r="C16" s="37"/>
      <c r="D16" s="37"/>
      <c r="E16" s="37"/>
      <c r="F16" s="37"/>
      <c r="G16" s="37"/>
      <c r="H16" s="37"/>
    </row>
    <row r="17" customFormat="false" ht="15" hidden="false" customHeight="true" outlineLevel="0" collapsed="false">
      <c r="A17" s="36" t="s">
        <v>221</v>
      </c>
      <c r="B17" s="37"/>
      <c r="C17" s="37"/>
      <c r="D17" s="37"/>
      <c r="E17" s="37"/>
      <c r="F17" s="37"/>
      <c r="G17" s="37"/>
      <c r="H17" s="37"/>
    </row>
    <row r="18" customFormat="false" ht="15" hidden="false" customHeight="true" outlineLevel="0" collapsed="false">
      <c r="A18" s="36" t="s">
        <v>222</v>
      </c>
      <c r="B18" s="37"/>
      <c r="C18" s="37"/>
      <c r="D18" s="37"/>
      <c r="E18" s="37"/>
      <c r="F18" s="37"/>
      <c r="G18" s="37"/>
      <c r="H18" s="37"/>
    </row>
    <row r="19" customFormat="false" ht="15" hidden="false" customHeight="true" outlineLevel="0" collapsed="false">
      <c r="A19" s="36" t="s">
        <v>223</v>
      </c>
      <c r="B19" s="37"/>
      <c r="C19" s="37"/>
      <c r="D19" s="37"/>
      <c r="E19" s="37"/>
      <c r="F19" s="37"/>
      <c r="G19" s="37"/>
      <c r="H19" s="37"/>
    </row>
    <row r="20" customFormat="false" ht="15" hidden="false" customHeight="true" outlineLevel="0" collapsed="false">
      <c r="A20" s="36" t="s">
        <v>224</v>
      </c>
      <c r="B20" s="37"/>
      <c r="C20" s="37"/>
      <c r="D20" s="37"/>
      <c r="E20" s="37"/>
      <c r="F20" s="37"/>
      <c r="G20" s="37"/>
      <c r="H20" s="37"/>
    </row>
    <row r="21" customFormat="false" ht="15" hidden="false" customHeight="true" outlineLevel="0" collapsed="false">
      <c r="A21" s="36" t="s">
        <v>225</v>
      </c>
      <c r="B21" s="37"/>
      <c r="C21" s="37"/>
      <c r="D21" s="37"/>
      <c r="E21" s="37"/>
      <c r="F21" s="37"/>
      <c r="G21" s="37"/>
      <c r="H21" s="37"/>
    </row>
    <row r="22" customFormat="false" ht="15" hidden="false" customHeight="true" outlineLevel="0" collapsed="false">
      <c r="A22" s="36" t="s">
        <v>226</v>
      </c>
      <c r="B22" s="37"/>
      <c r="C22" s="37"/>
      <c r="D22" s="37"/>
      <c r="E22" s="37"/>
      <c r="F22" s="37"/>
      <c r="G22" s="37"/>
      <c r="H22" s="37"/>
    </row>
    <row r="23" customFormat="false" ht="15" hidden="false" customHeight="true" outlineLevel="0" collapsed="false">
      <c r="A23" s="36" t="s">
        <v>227</v>
      </c>
      <c r="B23" s="37"/>
      <c r="C23" s="37"/>
      <c r="D23" s="37"/>
      <c r="E23" s="37"/>
      <c r="F23" s="37"/>
      <c r="G23" s="37"/>
      <c r="H23" s="37"/>
    </row>
    <row r="24" customFormat="false" ht="15" hidden="false" customHeight="true" outlineLevel="0" collapsed="false">
      <c r="A24" s="36" t="s">
        <v>228</v>
      </c>
      <c r="B24" s="37"/>
      <c r="C24" s="37"/>
      <c r="D24" s="37"/>
      <c r="E24" s="37"/>
      <c r="F24" s="37"/>
      <c r="G24" s="37"/>
      <c r="H24" s="37"/>
    </row>
    <row r="25" customFormat="false" ht="15" hidden="false" customHeight="true" outlineLevel="0" collapsed="false">
      <c r="A25" s="36" t="s">
        <v>229</v>
      </c>
      <c r="B25" s="37"/>
      <c r="C25" s="37"/>
      <c r="D25" s="37"/>
      <c r="E25" s="37"/>
      <c r="F25" s="37"/>
      <c r="G25" s="37"/>
      <c r="H25" s="37"/>
    </row>
    <row r="26" customFormat="false" ht="15" hidden="false" customHeight="true" outlineLevel="0" collapsed="false">
      <c r="A26" s="36" t="s">
        <v>230</v>
      </c>
      <c r="B26" s="37"/>
      <c r="C26" s="37"/>
      <c r="D26" s="37"/>
      <c r="E26" s="37"/>
      <c r="F26" s="37"/>
      <c r="G26" s="37"/>
      <c r="H26" s="37"/>
    </row>
    <row r="27" customFormat="false" ht="15" hidden="false" customHeight="true" outlineLevel="0" collapsed="false">
      <c r="A27" s="36" t="s">
        <v>231</v>
      </c>
      <c r="B27" s="37"/>
      <c r="C27" s="37"/>
      <c r="D27" s="37"/>
      <c r="E27" s="37"/>
      <c r="F27" s="37"/>
      <c r="G27" s="37"/>
      <c r="H27" s="37"/>
    </row>
    <row r="28" customFormat="false" ht="15" hidden="false" customHeight="true" outlineLevel="0" collapsed="false">
      <c r="A28" s="36" t="s">
        <v>232</v>
      </c>
      <c r="B28" s="37"/>
      <c r="C28" s="37"/>
      <c r="D28" s="37"/>
      <c r="E28" s="37"/>
      <c r="F28" s="37"/>
      <c r="G28" s="37"/>
      <c r="H28" s="37"/>
    </row>
    <row r="29" customFormat="false" ht="15" hidden="false" customHeight="true" outlineLevel="0" collapsed="false">
      <c r="A29" s="36" t="s">
        <v>233</v>
      </c>
      <c r="B29" s="37"/>
      <c r="C29" s="37"/>
      <c r="D29" s="37"/>
      <c r="E29" s="37"/>
      <c r="F29" s="37"/>
      <c r="G29" s="37"/>
      <c r="H29" s="37"/>
    </row>
    <row r="30" customFormat="false" ht="15" hidden="false" customHeight="true" outlineLevel="0" collapsed="false">
      <c r="A30" s="36" t="s">
        <v>234</v>
      </c>
      <c r="B30" s="37"/>
      <c r="C30" s="37"/>
      <c r="D30" s="37"/>
      <c r="E30" s="37"/>
      <c r="F30" s="37"/>
      <c r="G30" s="37"/>
      <c r="H30" s="37"/>
    </row>
    <row r="31" customFormat="false" ht="15" hidden="false" customHeight="true" outlineLevel="0" collapsed="false">
      <c r="A31" s="36" t="s">
        <v>235</v>
      </c>
      <c r="B31" s="37"/>
      <c r="C31" s="37"/>
      <c r="D31" s="37"/>
      <c r="E31" s="37"/>
      <c r="F31" s="37"/>
      <c r="G31" s="37"/>
      <c r="H31" s="37"/>
    </row>
    <row r="32" customFormat="false" ht="15" hidden="false" customHeight="true" outlineLevel="0" collapsed="false">
      <c r="A32" s="36" t="s">
        <v>236</v>
      </c>
      <c r="B32" s="37"/>
      <c r="C32" s="37"/>
      <c r="D32" s="37"/>
      <c r="E32" s="37"/>
      <c r="F32" s="37"/>
      <c r="G32" s="37"/>
      <c r="H32" s="37"/>
    </row>
    <row r="33" customFormat="false" ht="15" hidden="false" customHeight="true" outlineLevel="0" collapsed="false">
      <c r="A33" s="36" t="s">
        <v>237</v>
      </c>
      <c r="B33" s="37"/>
      <c r="C33" s="37"/>
      <c r="D33" s="37"/>
      <c r="E33" s="37"/>
      <c r="F33" s="37"/>
      <c r="G33" s="37"/>
      <c r="H33" s="37"/>
    </row>
    <row r="34" customFormat="false" ht="15" hidden="false" customHeight="true" outlineLevel="0" collapsed="false">
      <c r="A34" s="36" t="s">
        <v>238</v>
      </c>
      <c r="B34" s="37"/>
      <c r="C34" s="37"/>
      <c r="D34" s="37"/>
      <c r="E34" s="37"/>
      <c r="F34" s="37"/>
      <c r="G34" s="37"/>
      <c r="H34" s="37"/>
    </row>
    <row r="35" customFormat="false" ht="15" hidden="false" customHeight="true" outlineLevel="0" collapsed="false">
      <c r="A35" s="36" t="s">
        <v>239</v>
      </c>
      <c r="B35" s="37"/>
      <c r="C35" s="37"/>
      <c r="D35" s="37"/>
      <c r="E35" s="37"/>
      <c r="F35" s="37"/>
      <c r="G35" s="37"/>
      <c r="H35" s="37"/>
    </row>
    <row r="36" customFormat="false" ht="15" hidden="false" customHeight="true" outlineLevel="0" collapsed="false">
      <c r="A36" s="36" t="s">
        <v>240</v>
      </c>
      <c r="B36" s="37"/>
      <c r="C36" s="37"/>
      <c r="D36" s="37"/>
      <c r="E36" s="37"/>
      <c r="F36" s="37"/>
      <c r="G36" s="37"/>
      <c r="H36" s="37"/>
    </row>
    <row r="37" customFormat="false" ht="15" hidden="false" customHeight="true" outlineLevel="0" collapsed="false">
      <c r="A37" s="36" t="s">
        <v>241</v>
      </c>
      <c r="B37" s="37"/>
      <c r="C37" s="37"/>
      <c r="D37" s="37"/>
      <c r="E37" s="37"/>
      <c r="F37" s="37"/>
      <c r="G37" s="37"/>
      <c r="H37" s="37"/>
    </row>
    <row r="38" customFormat="false" ht="15" hidden="false" customHeight="true" outlineLevel="0" collapsed="false">
      <c r="A38" s="36" t="s">
        <v>242</v>
      </c>
      <c r="B38" s="37"/>
      <c r="C38" s="37"/>
      <c r="D38" s="37"/>
      <c r="E38" s="37"/>
      <c r="F38" s="37"/>
      <c r="G38" s="37"/>
      <c r="H38" s="37"/>
    </row>
    <row r="39" customFormat="false" ht="15" hidden="false" customHeight="true" outlineLevel="0" collapsed="false">
      <c r="A39" s="36" t="s">
        <v>243</v>
      </c>
      <c r="B39" s="37"/>
      <c r="C39" s="37"/>
      <c r="D39" s="37"/>
      <c r="E39" s="37"/>
      <c r="F39" s="37"/>
      <c r="G39" s="37"/>
      <c r="H39" s="37"/>
    </row>
    <row r="40" customFormat="false" ht="15" hidden="false" customHeight="true" outlineLevel="0" collapsed="false">
      <c r="A40" s="36" t="s">
        <v>244</v>
      </c>
      <c r="B40" s="37"/>
      <c r="C40" s="37"/>
      <c r="D40" s="37"/>
      <c r="E40" s="37"/>
      <c r="F40" s="37"/>
      <c r="G40" s="37"/>
      <c r="H40" s="37"/>
    </row>
    <row r="41" customFormat="false" ht="15" hidden="false" customHeight="true" outlineLevel="0" collapsed="false">
      <c r="A41" s="36" t="s">
        <v>245</v>
      </c>
      <c r="B41" s="37"/>
      <c r="C41" s="37"/>
      <c r="D41" s="37"/>
      <c r="E41" s="37"/>
      <c r="F41" s="37"/>
      <c r="G41" s="37"/>
      <c r="H41" s="37"/>
    </row>
    <row r="42" customFormat="false" ht="15" hidden="false" customHeight="true" outlineLevel="0" collapsed="false">
      <c r="A42" s="36" t="s">
        <v>246</v>
      </c>
      <c r="B42" s="37"/>
      <c r="C42" s="37"/>
      <c r="D42" s="37"/>
      <c r="E42" s="37"/>
      <c r="F42" s="37"/>
      <c r="G42" s="37"/>
      <c r="H42" s="37"/>
    </row>
    <row r="43" customFormat="false" ht="15" hidden="false" customHeight="true" outlineLevel="0" collapsed="false">
      <c r="A43" s="36" t="s">
        <v>247</v>
      </c>
      <c r="B43" s="37"/>
      <c r="C43" s="37"/>
      <c r="D43" s="37"/>
      <c r="E43" s="37"/>
      <c r="F43" s="37"/>
      <c r="G43" s="37"/>
      <c r="H43" s="37"/>
    </row>
    <row r="44" customFormat="false" ht="15" hidden="false" customHeight="true" outlineLevel="0" collapsed="false">
      <c r="A44" s="36" t="s">
        <v>248</v>
      </c>
      <c r="B44" s="37"/>
      <c r="C44" s="37"/>
      <c r="D44" s="37"/>
      <c r="E44" s="37"/>
      <c r="F44" s="37"/>
      <c r="G44" s="37"/>
      <c r="H44" s="37"/>
    </row>
    <row r="45" customFormat="false" ht="15" hidden="false" customHeight="true" outlineLevel="0" collapsed="false">
      <c r="A45" s="36" t="s">
        <v>249</v>
      </c>
      <c r="B45" s="37"/>
      <c r="C45" s="37"/>
      <c r="D45" s="37"/>
      <c r="E45" s="37"/>
      <c r="F45" s="37"/>
      <c r="G45" s="37"/>
      <c r="H45" s="37"/>
    </row>
    <row r="46" customFormat="false" ht="15" hidden="false" customHeight="true" outlineLevel="0" collapsed="false">
      <c r="A46" s="36" t="s">
        <v>250</v>
      </c>
      <c r="B46" s="37"/>
      <c r="C46" s="37"/>
      <c r="D46" s="37"/>
      <c r="E46" s="37"/>
      <c r="F46" s="37"/>
      <c r="G46" s="37"/>
      <c r="H46" s="37"/>
    </row>
    <row r="47" customFormat="false" ht="15" hidden="false" customHeight="true" outlineLevel="0" collapsed="false">
      <c r="A47" s="36" t="s">
        <v>251</v>
      </c>
      <c r="B47" s="37"/>
      <c r="C47" s="37"/>
      <c r="D47" s="37"/>
      <c r="E47" s="37"/>
      <c r="F47" s="37"/>
      <c r="G47" s="37"/>
      <c r="H47" s="37"/>
    </row>
    <row r="48" customFormat="false" ht="15" hidden="false" customHeight="true" outlineLevel="0" collapsed="false">
      <c r="A48" s="36" t="s">
        <v>252</v>
      </c>
      <c r="B48" s="37"/>
      <c r="C48" s="37"/>
      <c r="D48" s="37"/>
      <c r="E48" s="37"/>
      <c r="F48" s="37"/>
      <c r="G48" s="37"/>
      <c r="H48" s="37"/>
    </row>
    <row r="49" customFormat="false" ht="15" hidden="false" customHeight="true" outlineLevel="0" collapsed="false">
      <c r="A49" s="36" t="s">
        <v>253</v>
      </c>
      <c r="B49" s="37"/>
      <c r="C49" s="37"/>
      <c r="D49" s="37"/>
      <c r="E49" s="37"/>
      <c r="F49" s="37"/>
      <c r="G49" s="37"/>
      <c r="H49" s="37"/>
    </row>
    <row r="50" customFormat="false" ht="15" hidden="false" customHeight="true" outlineLevel="0" collapsed="false">
      <c r="A50" s="36" t="s">
        <v>254</v>
      </c>
      <c r="B50" s="37"/>
      <c r="C50" s="37"/>
      <c r="D50" s="37"/>
      <c r="E50" s="37"/>
      <c r="F50" s="37"/>
      <c r="G50" s="37"/>
      <c r="H50" s="37"/>
    </row>
    <row r="51" customFormat="false" ht="15" hidden="false" customHeight="true" outlineLevel="0" collapsed="false">
      <c r="A51" s="36" t="s">
        <v>255</v>
      </c>
      <c r="B51" s="37"/>
      <c r="C51" s="37"/>
      <c r="D51" s="37"/>
      <c r="E51" s="37"/>
      <c r="F51" s="37"/>
      <c r="G51" s="37"/>
      <c r="H51" s="37"/>
    </row>
    <row r="52" customFormat="false" ht="15" hidden="false" customHeight="true" outlineLevel="0" collapsed="false">
      <c r="A52" s="36" t="s">
        <v>256</v>
      </c>
      <c r="B52" s="37"/>
      <c r="C52" s="37"/>
      <c r="D52" s="37"/>
      <c r="E52" s="37"/>
      <c r="F52" s="37"/>
      <c r="G52" s="37"/>
      <c r="H52" s="37"/>
    </row>
    <row r="53" customFormat="false" ht="15" hidden="false" customHeight="true" outlineLevel="0" collapsed="false">
      <c r="A53" s="36" t="s">
        <v>257</v>
      </c>
      <c r="B53" s="37"/>
      <c r="C53" s="37"/>
      <c r="D53" s="37"/>
      <c r="E53" s="37"/>
      <c r="F53" s="37"/>
      <c r="G53" s="37"/>
      <c r="H53" s="37"/>
    </row>
    <row r="54" customFormat="false" ht="15" hidden="false" customHeight="true" outlineLevel="0" collapsed="false">
      <c r="A54" s="36" t="s">
        <v>258</v>
      </c>
      <c r="B54" s="37"/>
      <c r="C54" s="37"/>
      <c r="D54" s="37"/>
      <c r="E54" s="37"/>
      <c r="F54" s="37"/>
      <c r="G54" s="37"/>
      <c r="H54" s="37"/>
    </row>
    <row r="55" customFormat="false" ht="15" hidden="false" customHeight="true" outlineLevel="0" collapsed="false">
      <c r="A55" s="36" t="s">
        <v>259</v>
      </c>
      <c r="B55" s="37"/>
      <c r="C55" s="37"/>
      <c r="D55" s="37"/>
      <c r="E55" s="37"/>
      <c r="F55" s="37"/>
      <c r="G55" s="37"/>
      <c r="H55" s="37"/>
    </row>
  </sheetData>
  <mergeCells count="2">
    <mergeCell ref="A1:H1"/>
    <mergeCell ref="A3:H3"/>
  </mergeCells>
  <dataValidations count="2">
    <dataValidation allowBlank="true" errorStyle="stop" operator="between" showDropDown="false" showErrorMessage="true" showInputMessage="false" sqref="E6:E55" type="list">
      <formula1>"Critical,Significant,Material,Minor"</formula1>
      <formula2>0</formula2>
    </dataValidation>
    <dataValidation allowBlank="true" errorStyle="stop" operator="between" showDropDown="false" showErrorMessage="true" showInputMessage="false" sqref="H6:H55" type="list">
      <formula1>"Open,Mitigated,Accepted,Closed"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8"/>
    <col collapsed="false" customWidth="true" hidden="false" outlineLevel="0" max="2" min="2" style="0" width="15"/>
    <col collapsed="false" customWidth="true" hidden="false" outlineLevel="0" max="3" min="3" style="0" width="20"/>
    <col collapsed="false" customWidth="true" hidden="false" outlineLevel="0" max="4" min="4" style="0" width="35"/>
  </cols>
  <sheetData>
    <row r="1" customFormat="false" ht="19.5" hidden="false" customHeight="true" outlineLevel="0" collapsed="false">
      <c r="A1" s="1" t="s">
        <v>260</v>
      </c>
      <c r="B1" s="1"/>
      <c r="C1" s="1"/>
      <c r="D1" s="1"/>
    </row>
    <row r="2" customFormat="false" ht="15" hidden="false" customHeight="false" outlineLevel="0" collapsed="false">
      <c r="A2" s="0" t="s">
        <v>261</v>
      </c>
    </row>
    <row r="3" customFormat="false" ht="15" hidden="false" customHeight="true" outlineLevel="0" collapsed="false">
      <c r="A3" s="12" t="s">
        <v>262</v>
      </c>
      <c r="B3" s="12"/>
      <c r="C3" s="12"/>
      <c r="D3" s="12"/>
    </row>
    <row r="5" customFormat="false" ht="15" hidden="false" customHeight="true" outlineLevel="0" collapsed="false">
      <c r="A5" s="2" t="s">
        <v>263</v>
      </c>
      <c r="B5" s="2"/>
      <c r="C5" s="2"/>
      <c r="D5" s="2"/>
    </row>
    <row r="6" customFormat="false" ht="15" hidden="false" customHeight="true" outlineLevel="0" collapsed="false">
      <c r="A6" s="8" t="s">
        <v>264</v>
      </c>
      <c r="B6" s="38" t="n">
        <f aca="false">'Deal Context'!B6</f>
        <v>100</v>
      </c>
    </row>
    <row r="7" customFormat="false" ht="15" hidden="false" customHeight="true" outlineLevel="0" collapsed="false">
      <c r="A7" s="8" t="s">
        <v>265</v>
      </c>
      <c r="B7" s="39" t="n">
        <f aca="false">'Integration Complexity'!B14</f>
        <v>3</v>
      </c>
    </row>
    <row r="9" customFormat="false" ht="15" hidden="false" customHeight="true" outlineLevel="0" collapsed="false">
      <c r="A9" s="2" t="s">
        <v>266</v>
      </c>
      <c r="B9" s="2"/>
      <c r="C9" s="2"/>
      <c r="D9" s="2"/>
    </row>
    <row r="10" customFormat="false" ht="15" hidden="false" customHeight="true" outlineLevel="0" collapsed="false">
      <c r="A10" s="40" t="s">
        <v>267</v>
      </c>
      <c r="B10" s="40" t="s">
        <v>268</v>
      </c>
      <c r="C10" s="40" t="s">
        <v>269</v>
      </c>
      <c r="D10" s="40" t="s">
        <v>270</v>
      </c>
    </row>
    <row r="11" customFormat="false" ht="15" hidden="false" customHeight="true" outlineLevel="0" collapsed="false">
      <c r="A11" s="7" t="s">
        <v>271</v>
      </c>
      <c r="B11" s="41" t="n">
        <v>0.1</v>
      </c>
      <c r="C11" s="42" t="n">
        <f aca="false">B6*B11</f>
        <v>10</v>
      </c>
      <c r="D11" s="43" t="s">
        <v>272</v>
      </c>
    </row>
    <row r="12" customFormat="false" ht="15" hidden="false" customHeight="true" outlineLevel="0" collapsed="false">
      <c r="A12" s="7" t="s">
        <v>273</v>
      </c>
      <c r="B12" s="41" t="n">
        <v>0.25</v>
      </c>
      <c r="C12" s="42" t="n">
        <f aca="false">B6*B12</f>
        <v>25</v>
      </c>
      <c r="D12" s="43" t="s">
        <v>272</v>
      </c>
    </row>
    <row r="13" customFormat="false" ht="15" hidden="false" customHeight="true" outlineLevel="0" collapsed="false">
      <c r="A13" s="23" t="s">
        <v>274</v>
      </c>
      <c r="B13" s="25" t="n">
        <f aca="false">(B11+B12)/2</f>
        <v>0.175</v>
      </c>
      <c r="C13" s="44" t="n">
        <f aca="false">B6*B13</f>
        <v>17.5</v>
      </c>
      <c r="D13" s="26"/>
    </row>
    <row r="16" customFormat="false" ht="15" hidden="false" customHeight="true" outlineLevel="0" collapsed="false">
      <c r="A16" s="2" t="s">
        <v>275</v>
      </c>
      <c r="B16" s="2"/>
      <c r="C16" s="2"/>
      <c r="D16" s="2"/>
    </row>
    <row r="17" customFormat="false" ht="15" hidden="false" customHeight="true" outlineLevel="0" collapsed="false">
      <c r="A17" s="12" t="s">
        <v>276</v>
      </c>
      <c r="B17" s="12"/>
      <c r="C17" s="12"/>
      <c r="D17" s="12"/>
    </row>
    <row r="18" customFormat="false" ht="15" hidden="false" customHeight="true" outlineLevel="0" collapsed="false">
      <c r="A18" s="6" t="s">
        <v>277</v>
      </c>
      <c r="B18" s="6" t="s">
        <v>278</v>
      </c>
      <c r="C18" s="6" t="s">
        <v>279</v>
      </c>
      <c r="D18" s="6" t="s">
        <v>147</v>
      </c>
    </row>
    <row r="19" customFormat="false" ht="15" hidden="false" customHeight="true" outlineLevel="0" collapsed="false">
      <c r="A19" s="7" t="s">
        <v>280</v>
      </c>
      <c r="B19" s="43" t="s">
        <v>281</v>
      </c>
      <c r="C19" s="43" t="s">
        <v>281</v>
      </c>
      <c r="D19" s="7" t="s">
        <v>282</v>
      </c>
    </row>
    <row r="20" customFormat="false" ht="15" hidden="false" customHeight="true" outlineLevel="0" collapsed="false">
      <c r="A20" s="7" t="s">
        <v>283</v>
      </c>
      <c r="B20" s="43" t="s">
        <v>281</v>
      </c>
      <c r="C20" s="43" t="s">
        <v>281</v>
      </c>
      <c r="D20" s="7" t="s">
        <v>284</v>
      </c>
    </row>
    <row r="21" customFormat="false" ht="15" hidden="false" customHeight="true" outlineLevel="0" collapsed="false">
      <c r="A21" s="7" t="s">
        <v>285</v>
      </c>
      <c r="B21" s="43" t="s">
        <v>281</v>
      </c>
      <c r="C21" s="43" t="s">
        <v>281</v>
      </c>
      <c r="D21" s="7" t="s">
        <v>286</v>
      </c>
    </row>
    <row r="22" customFormat="false" ht="15" hidden="false" customHeight="true" outlineLevel="0" collapsed="false">
      <c r="A22" s="7" t="s">
        <v>287</v>
      </c>
      <c r="B22" s="43" t="s">
        <v>281</v>
      </c>
      <c r="C22" s="43" t="s">
        <v>281</v>
      </c>
      <c r="D22" s="7" t="s">
        <v>288</v>
      </c>
    </row>
    <row r="23" customFormat="false" ht="15" hidden="false" customHeight="true" outlineLevel="0" collapsed="false">
      <c r="A23" s="7" t="s">
        <v>289</v>
      </c>
      <c r="B23" s="43" t="s">
        <v>281</v>
      </c>
      <c r="C23" s="43" t="s">
        <v>281</v>
      </c>
      <c r="D23" s="7" t="s">
        <v>290</v>
      </c>
    </row>
    <row r="24" customFormat="false" ht="15" hidden="false" customHeight="true" outlineLevel="0" collapsed="false">
      <c r="A24" s="7" t="s">
        <v>291</v>
      </c>
      <c r="B24" s="43" t="s">
        <v>281</v>
      </c>
      <c r="C24" s="43" t="s">
        <v>281</v>
      </c>
      <c r="D24" s="7" t="s">
        <v>292</v>
      </c>
    </row>
    <row r="25" customFormat="false" ht="15" hidden="false" customHeight="true" outlineLevel="0" collapsed="false">
      <c r="A25" s="23" t="s">
        <v>92</v>
      </c>
      <c r="B25" s="23"/>
      <c r="C25" s="23"/>
      <c r="D25" s="23"/>
    </row>
    <row r="27" customFormat="false" ht="15" hidden="false" customHeight="false" outlineLevel="0" collapsed="false">
      <c r="A27" s="35" t="s">
        <v>293</v>
      </c>
    </row>
  </sheetData>
  <mergeCells count="6">
    <mergeCell ref="A1:D1"/>
    <mergeCell ref="A3:D3"/>
    <mergeCell ref="A5:D5"/>
    <mergeCell ref="A9:D9"/>
    <mergeCell ref="A16:D16"/>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5"/>
    <col collapsed="false" customWidth="true" hidden="false" outlineLevel="0" max="2" min="2" style="0" width="15"/>
    <col collapsed="false" customWidth="true" hidden="false" outlineLevel="0" max="3" min="3" style="0" width="20"/>
    <col collapsed="false" customWidth="true" hidden="false" outlineLevel="0" max="4" min="4" style="0" width="15"/>
  </cols>
  <sheetData>
    <row r="1" customFormat="false" ht="19.5" hidden="false" customHeight="true" outlineLevel="0" collapsed="false">
      <c r="A1" s="1" t="s">
        <v>294</v>
      </c>
      <c r="B1" s="1"/>
      <c r="C1" s="1"/>
      <c r="D1" s="1"/>
    </row>
    <row r="3" customFormat="false" ht="15" hidden="false" customHeight="true" outlineLevel="0" collapsed="false">
      <c r="A3" s="8" t="s">
        <v>295</v>
      </c>
      <c r="B3" s="45" t="str">
        <f aca="false">'Deal Context'!B4</f>
        <v>[Enter target name]</v>
      </c>
    </row>
    <row r="4" customFormat="false" ht="15" hidden="false" customHeight="true" outlineLevel="0" collapsed="false">
      <c r="A4" s="8" t="s">
        <v>296</v>
      </c>
      <c r="B4" s="38" t="n">
        <f aca="false">'Deal Context'!B6</f>
        <v>100</v>
      </c>
    </row>
    <row r="5" customFormat="false" ht="15" hidden="false" customHeight="true" outlineLevel="0" collapsed="false">
      <c r="A5" s="8" t="s">
        <v>64</v>
      </c>
      <c r="B5" s="45" t="str">
        <f aca="false">'Deal Context'!B5</f>
        <v>[Strategic / PE / Growth / Carveout]</v>
      </c>
    </row>
    <row r="7" customFormat="false" ht="15" hidden="false" customHeight="true" outlineLevel="0" collapsed="false">
      <c r="A7" s="2" t="s">
        <v>297</v>
      </c>
      <c r="B7" s="2"/>
      <c r="C7" s="2"/>
      <c r="D7" s="2"/>
    </row>
    <row r="8" customFormat="false" ht="15" hidden="false" customHeight="true" outlineLevel="0" collapsed="false">
      <c r="A8" s="8" t="s">
        <v>298</v>
      </c>
      <c r="B8" s="39" t="n">
        <f aca="false">'Domain Scoring'!B15</f>
        <v>3</v>
      </c>
      <c r="C8" s="46" t="str">
        <f aca="false">IF(B8&lt;2,"Low risk",IF(B8&lt;3,"Moderate",IF(B8&lt;4,"Material concerns","Critical concerns")))</f>
        <v>Material concerns</v>
      </c>
    </row>
    <row r="9" customFormat="false" ht="15" hidden="false" customHeight="true" outlineLevel="0" collapsed="false">
      <c r="A9" s="8" t="s">
        <v>15</v>
      </c>
      <c r="B9" s="39" t="n">
        <f aca="false">'Integration Complexity'!B14</f>
        <v>3</v>
      </c>
      <c r="C9" s="46" t="str">
        <f aca="false">IF(B9&lt;2,"Straightforward",IF(B9&lt;3,"Standard",IF(B9&lt;4,"Complex","Highly complex")))</f>
        <v>Complex</v>
      </c>
    </row>
    <row r="10" customFormat="false" ht="15" hidden="false" customHeight="true" outlineLevel="0" collapsed="false">
      <c r="A10" s="8" t="s">
        <v>299</v>
      </c>
      <c r="B10" s="47" t="n">
        <f aca="false">'Cost Estimator'!C13</f>
        <v>17.5</v>
      </c>
    </row>
    <row r="11" customFormat="false" ht="15" hidden="false" customHeight="false" outlineLevel="0" collapsed="false">
      <c r="A11" s="8" t="s">
        <v>300</v>
      </c>
      <c r="B11" s="48" t="n">
        <f aca="false">COUNTIF('Red Flags'!D6:D21,"Yes")</f>
        <v>0</v>
      </c>
      <c r="C11" s="46" t="str">
        <f aca="false">COUNTIFS('Red Flags'!C6:C21,"Critical",'Red Flags'!D6:D21,"Yes")&amp;" critical"</f>
        <v>0 critical</v>
      </c>
    </row>
    <row r="12" customFormat="false" ht="15" hidden="false" customHeight="true" outlineLevel="0" collapsed="false">
      <c r="A12" s="2" t="s">
        <v>301</v>
      </c>
      <c r="B12" s="2"/>
      <c r="C12" s="2"/>
      <c r="D12" s="2"/>
    </row>
    <row r="13" customFormat="false" ht="15" hidden="false" customHeight="true" outlineLevel="0" collapsed="false">
      <c r="A13" s="49" t="s">
        <v>80</v>
      </c>
      <c r="B13" s="49" t="s">
        <v>31</v>
      </c>
      <c r="C13" s="49" t="s">
        <v>148</v>
      </c>
    </row>
    <row r="14" customFormat="false" ht="15" hidden="false" customHeight="true" outlineLevel="0" collapsed="false">
      <c r="A14" s="7" t="s">
        <v>83</v>
      </c>
      <c r="B14" s="50" t="n">
        <f aca="false">'Domain Scoring'!B7</f>
        <v>3</v>
      </c>
      <c r="C14" s="51" t="str">
        <f aca="false">IF(B14&gt;=4,"HIGH",IF(B14=3,"MEDIUM","LOW"))</f>
        <v>MEDIUM</v>
      </c>
    </row>
    <row r="15" customFormat="false" ht="15" hidden="false" customHeight="true" outlineLevel="0" collapsed="false">
      <c r="A15" s="7" t="s">
        <v>85</v>
      </c>
      <c r="B15" s="50" t="n">
        <f aca="false">'Domain Scoring'!B8</f>
        <v>3</v>
      </c>
      <c r="C15" s="51" t="str">
        <f aca="false">IF(B15&gt;=4,"HIGH",IF(B15=3,"MEDIUM","LOW"))</f>
        <v>MEDIUM</v>
      </c>
    </row>
    <row r="16" customFormat="false" ht="15" hidden="false" customHeight="true" outlineLevel="0" collapsed="false">
      <c r="A16" s="7" t="s">
        <v>86</v>
      </c>
      <c r="B16" s="50" t="n">
        <f aca="false">'Domain Scoring'!B9</f>
        <v>3</v>
      </c>
      <c r="C16" s="51" t="str">
        <f aca="false">IF(B16&gt;=4,"HIGH",IF(B16=3,"MEDIUM","LOW"))</f>
        <v>MEDIUM</v>
      </c>
    </row>
    <row r="17" customFormat="false" ht="15" hidden="false" customHeight="true" outlineLevel="0" collapsed="false">
      <c r="A17" s="7" t="s">
        <v>87</v>
      </c>
      <c r="B17" s="50" t="n">
        <f aca="false">'Domain Scoring'!B10</f>
        <v>3</v>
      </c>
      <c r="C17" s="51" t="str">
        <f aca="false">IF(B17&gt;=4,"HIGH",IF(B17=3,"MEDIUM","LOW"))</f>
        <v>MEDIUM</v>
      </c>
    </row>
    <row r="18" customFormat="false" ht="15" hidden="false" customHeight="true" outlineLevel="0" collapsed="false">
      <c r="A18" s="7" t="s">
        <v>88</v>
      </c>
      <c r="B18" s="50" t="n">
        <f aca="false">'Domain Scoring'!B11</f>
        <v>3</v>
      </c>
      <c r="C18" s="51" t="str">
        <f aca="false">IF(B18&gt;=4,"HIGH",IF(B18=3,"MEDIUM","LOW"))</f>
        <v>MEDIUM</v>
      </c>
    </row>
    <row r="19" customFormat="false" ht="15" hidden="false" customHeight="true" outlineLevel="0" collapsed="false">
      <c r="A19" s="7" t="s">
        <v>89</v>
      </c>
      <c r="B19" s="50" t="n">
        <f aca="false">'Domain Scoring'!B12</f>
        <v>3</v>
      </c>
      <c r="C19" s="51" t="str">
        <f aca="false">IF(B19&gt;=4,"HIGH",IF(B19=3,"MEDIUM","LOW"))</f>
        <v>MEDIUM</v>
      </c>
    </row>
    <row r="20" customFormat="false" ht="15" hidden="false" customHeight="true" outlineLevel="0" collapsed="false">
      <c r="A20" s="7" t="s">
        <v>90</v>
      </c>
      <c r="B20" s="50" t="n">
        <f aca="false">'Domain Scoring'!B13</f>
        <v>3</v>
      </c>
      <c r="C20" s="51" t="str">
        <f aca="false">IF(B20&gt;=4,"HIGH",IF(B20=3,"MEDIUM","LOW"))</f>
        <v>MEDIUM</v>
      </c>
    </row>
    <row r="21" customFormat="false" ht="15" hidden="false" customHeight="true" outlineLevel="0" collapsed="false">
      <c r="A21" s="7" t="s">
        <v>91</v>
      </c>
      <c r="B21" s="50" t="n">
        <f aca="false">'Domain Scoring'!B14</f>
        <v>3</v>
      </c>
      <c r="C21" s="51" t="str">
        <f aca="false">IF(B21&gt;=4,"HIGH",IF(B21=3,"MEDIUM","LOW"))</f>
        <v>MEDIUM</v>
      </c>
    </row>
    <row r="22" customFormat="false" ht="15" hidden="false" customHeight="true" outlineLevel="0" collapsed="false">
      <c r="A22" s="16"/>
      <c r="B22" s="16"/>
      <c r="C22" s="16"/>
      <c r="D22" s="16"/>
    </row>
    <row r="23" customFormat="false" ht="15" hidden="false" customHeight="true" outlineLevel="0" collapsed="false">
      <c r="A23" s="2" t="s">
        <v>302</v>
      </c>
      <c r="B23" s="2"/>
      <c r="C23" s="2"/>
      <c r="D23" s="2"/>
    </row>
    <row r="24" customFormat="false" ht="15" hidden="false" customHeight="true" outlineLevel="0" collapsed="false">
      <c r="A24" s="2"/>
      <c r="B24" s="2"/>
      <c r="C24" s="2"/>
      <c r="D24" s="2"/>
    </row>
    <row r="25" customFormat="false" ht="15" hidden="false" customHeight="true" outlineLevel="0" collapsed="false">
      <c r="A25" s="2"/>
      <c r="B25" s="2"/>
      <c r="C25" s="2"/>
      <c r="D25" s="2"/>
    </row>
    <row r="26" customFormat="false" ht="15" hidden="false" customHeight="true" outlineLevel="0" collapsed="false">
      <c r="A26" s="2"/>
      <c r="B26" s="2"/>
      <c r="C26" s="2"/>
      <c r="D26" s="2"/>
    </row>
    <row r="27" customFormat="false" ht="15" hidden="false" customHeight="true" outlineLevel="0" collapsed="false">
      <c r="A27" s="2"/>
      <c r="B27" s="2"/>
      <c r="C27" s="2"/>
      <c r="D27" s="2"/>
    </row>
    <row r="28" customFormat="false" ht="15" hidden="false" customHeight="true" outlineLevel="0" collapsed="false">
      <c r="A28" s="2"/>
      <c r="B28" s="2"/>
      <c r="C28" s="2"/>
      <c r="D28" s="2"/>
    </row>
    <row r="29" customFormat="false" ht="15" hidden="false" customHeight="true" outlineLevel="0" collapsed="false">
      <c r="A29" s="2"/>
      <c r="B29" s="2"/>
      <c r="C29" s="2"/>
      <c r="D29" s="2"/>
    </row>
    <row r="30" customFormat="false" ht="15" hidden="false" customHeight="true" outlineLevel="0" collapsed="false">
      <c r="A30" s="2"/>
      <c r="B30" s="2"/>
      <c r="C30" s="2"/>
      <c r="D30" s="2"/>
    </row>
  </sheetData>
  <mergeCells count="5">
    <mergeCell ref="A1:D1"/>
    <mergeCell ref="A7:D7"/>
    <mergeCell ref="A12:D12"/>
    <mergeCell ref="A22:D22"/>
    <mergeCell ref="A23: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2026-04-24T10:30:05Z</dcterms:created>
  <dc:creator>KF</dc:creator>
  <dc:description/>
  <dc:language>en-US</dc:language>
  <cp:lastModifiedBy>Kevin Forbes</cp:lastModifiedBy>
  <dcterms:modified xsi:type="dcterms:W3CDTF">2026-09-24T18:23:06Z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