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kevinforbes/Downloads/cto-toolkit-main/tools/technology-capital-allocation/"/>
    </mc:Choice>
  </mc:AlternateContent>
  <xr:revisionPtr revIDLastSave="0" documentId="13_ncr:1_{C55E1A0F-563A-AB4A-B2DB-0C91387BB8C5}" xr6:coauthVersionLast="47" xr6:coauthVersionMax="47" xr10:uidLastSave="{00000000-0000-0000-0000-000000000000}"/>
  <bookViews>
    <workbookView xWindow="0" yWindow="780" windowWidth="16380" windowHeight="8200" tabRatio="500" xr2:uid="{00000000-000D-0000-FFFF-FFFF00000000}"/>
  </bookViews>
  <sheets>
    <sheet name="Instructions" sheetId="1" r:id="rId1"/>
    <sheet name="Allocation Summary" sheetId="2" r:id="rId2"/>
    <sheet name="$10M Less" sheetId="3" r:id="rId3"/>
    <sheet name="$10M More" sheetId="4" r:id="rId4"/>
    <sheet name="Zero-Based Review" sheetId="5" r:id="rId5"/>
    <sheet name="Real Options Tracker" sheetId="6" r:id="rId6"/>
    <sheet name="3-Year Projection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G15" i="7"/>
  <c r="E15" i="7"/>
  <c r="C15" i="7"/>
  <c r="G14" i="7"/>
  <c r="E14" i="7"/>
  <c r="C14" i="7"/>
  <c r="G13" i="7"/>
  <c r="E13" i="7"/>
  <c r="C13" i="7"/>
  <c r="G12" i="7"/>
  <c r="E12" i="7"/>
  <c r="C12" i="7"/>
  <c r="G11" i="7"/>
  <c r="E11" i="7"/>
  <c r="C11" i="7"/>
  <c r="G10" i="7"/>
  <c r="E10" i="7"/>
  <c r="C10" i="7"/>
  <c r="G9" i="7"/>
  <c r="E9" i="7"/>
  <c r="C9" i="7"/>
  <c r="G8" i="7"/>
  <c r="E8" i="7"/>
  <c r="C8" i="7"/>
  <c r="G13" i="4"/>
  <c r="G12" i="4"/>
  <c r="G11" i="4"/>
  <c r="G10" i="4"/>
  <c r="G9" i="4"/>
  <c r="G8" i="4"/>
  <c r="G7" i="4"/>
  <c r="G6" i="4"/>
  <c r="G5" i="4"/>
  <c r="G14" i="3"/>
  <c r="G13" i="3"/>
  <c r="G12" i="3"/>
  <c r="G11" i="3"/>
  <c r="G10" i="3"/>
  <c r="G9" i="3"/>
  <c r="G8" i="3"/>
  <c r="G7" i="3"/>
  <c r="G6" i="3"/>
  <c r="G5" i="3"/>
  <c r="D15" i="2"/>
  <c r="B15" i="2"/>
  <c r="E14" i="2"/>
  <c r="F14" i="2" s="1"/>
  <c r="G14" i="2" s="1"/>
  <c r="C14" i="2"/>
  <c r="E13" i="2"/>
  <c r="F13" i="2" s="1"/>
  <c r="G13" i="2" s="1"/>
  <c r="C13" i="2"/>
  <c r="E12" i="2"/>
  <c r="F12" i="2" s="1"/>
  <c r="G12" i="2" s="1"/>
  <c r="C12" i="2"/>
  <c r="E11" i="2"/>
  <c r="F11" i="2" s="1"/>
  <c r="G11" i="2" s="1"/>
  <c r="C11" i="2"/>
  <c r="F10" i="2"/>
  <c r="G10" i="2" s="1"/>
  <c r="E10" i="2"/>
  <c r="C10" i="2"/>
  <c r="E9" i="2"/>
  <c r="F9" i="2" s="1"/>
  <c r="G9" i="2" s="1"/>
  <c r="C9" i="2"/>
  <c r="E8" i="2"/>
  <c r="F8" i="2" s="1"/>
  <c r="G8" i="2" s="1"/>
  <c r="C8" i="2"/>
  <c r="E7" i="2"/>
  <c r="E15" i="2" s="1"/>
  <c r="C7" i="2"/>
  <c r="C15" i="2" s="1"/>
  <c r="F7" i="2" l="1"/>
  <c r="G7" i="2" l="1"/>
  <c r="F15" i="2"/>
  <c r="G15" i="2" s="1"/>
</calcChain>
</file>

<file path=xl/sharedStrings.xml><?xml version="1.0" encoding="utf-8"?>
<sst xmlns="http://schemas.openxmlformats.org/spreadsheetml/2006/main" count="182" uniqueCount="138">
  <si>
    <t>Technology Capital Allocation Workbook</t>
  </si>
  <si>
    <t>Companion workbook to the Technology Capital Allocation page. Fill in blue cells; everything else calculates.</t>
  </si>
  <si>
    <t>How to use this workbook</t>
  </si>
  <si>
    <t>Allocation Summary</t>
  </si>
  <si>
    <t>Enter your current spend by category and your target percentage split. The sheet computes variance automatically. Start here.</t>
  </si>
  <si>
    <t>$10M Less</t>
  </si>
  <si>
    <t>Your pre-ranked cut list, built before you need it, per the page's core argument. Rank items in the order you'd cut them, with the real consequence stated plainly.</t>
  </si>
  <si>
    <t>$10M More</t>
  </si>
  <si>
    <t>The mirror image: your pre-ranked list of what gets funded next if a windfall arrives, tied to the three-horizon split.</t>
  </si>
  <si>
    <t>Zero-Based Review</t>
  </si>
  <si>
    <t>Once a year, walk every active investment and ask: would we start this today? A 'No' needs a wind-down date rather than silence.</t>
  </si>
  <si>
    <t>Real Options Tracker</t>
  </si>
  <si>
    <t>Horizon 3 bets staged as options rather than full commitments. Fund the next decision point rather than the whole initiative, until uncertainty resolves.</t>
  </si>
  <si>
    <t>3-Year Projection</t>
  </si>
  <si>
    <t>How the allocation mix is meant to shift over three years, beyond this year's number.</t>
  </si>
  <si>
    <t>Legend</t>
  </si>
  <si>
    <t>Blue text</t>
  </si>
  <si>
    <t>A cell you fill in</t>
  </si>
  <si>
    <t>Black text</t>
  </si>
  <si>
    <t>A formula; don't overwrite</t>
  </si>
  <si>
    <t>Yellow fill</t>
  </si>
  <si>
    <t>Key assumption or example row, replace with your own numbers</t>
  </si>
  <si>
    <t>Source</t>
  </si>
  <si>
    <t>Categories, tests, and the worked allocation shape are drawn from the CTO Toolkit's Technology Capital Allocation page. All figures below are illustrative examples for you to overwrite.</t>
  </si>
  <si>
    <t>Every category has a number and a reason. Fill in current spend and target percentages; variance calculates.</t>
  </si>
  <si>
    <t>Total Annual Technology Budget</t>
  </si>
  <si>
    <t>Category</t>
  </si>
  <si>
    <t>Current $</t>
  </si>
  <si>
    <t>Current %</t>
  </si>
  <si>
    <t>Target %</t>
  </si>
  <si>
    <t>Target $</t>
  </si>
  <si>
    <t>Variance $</t>
  </si>
  <si>
    <t>Variance %</t>
  </si>
  <si>
    <t>Run</t>
  </si>
  <si>
    <t>Grow</t>
  </si>
  <si>
    <t>Transform</t>
  </si>
  <si>
    <t>Security</t>
  </si>
  <si>
    <t>Technical debt</t>
  </si>
  <si>
    <t>Headcount</t>
  </si>
  <si>
    <t>Vendors</t>
  </si>
  <si>
    <t>Reserve</t>
  </si>
  <si>
    <t>Total</t>
  </si>
  <si>
    <t>Target % should sum to 100%. If it doesn't, the allocation is still aspirational rather than decided.</t>
  </si>
  <si>
    <t>$10M Less: Pre-Ranked Cut List</t>
  </si>
  <si>
    <t>Built before you need it, per the page's core argument. Rank in the order you would cut, first to last.</t>
  </si>
  <si>
    <t>Rank</t>
  </si>
  <si>
    <t>Item</t>
  </si>
  <si>
    <t>Annual Savings</t>
  </si>
  <si>
    <t>Real Consequence</t>
  </si>
  <si>
    <t>Prerequisite / Dependency</t>
  </si>
  <si>
    <t>Cumulative Savings</t>
  </si>
  <si>
    <t>Cloud rightsizing sweep</t>
  </si>
  <si>
    <t>Near-zero; idle capacity reclaimed</t>
  </si>
  <si>
    <t>None, execute immediately</t>
  </si>
  <si>
    <t>Duplicate SaaS tooling consolidation</t>
  </si>
  <si>
    <t>Minor workflow friction during migration</t>
  </si>
  <si>
    <t>6-week transition window</t>
  </si>
  <si>
    <t>Pause Horizon 3 exploratory spike</t>
  </si>
  <si>
    <t>Loses the one active real-options bet this year</t>
  </si>
  <si>
    <t>None</t>
  </si>
  <si>
    <t>Reduce contractor headcount on Grow initiative</t>
  </si>
  <si>
    <t>Grow initiative timeline slips one quarter</t>
  </si>
  <si>
    <t>Deprioritize which Grow bet first</t>
  </si>
  <si>
    <t>Defer non-critical technical debt remediation</t>
  </si>
  <si>
    <t>Carry cost compounds; revisit in 2 quarters</t>
  </si>
  <si>
    <t>Must not touch security-adjacent debt</t>
  </si>
  <si>
    <t>Reduce reserve buffer</t>
  </si>
  <si>
    <t>Less room to absorb the next unplanned cost</t>
  </si>
  <si>
    <t>Only after items 1-5 are exhausted</t>
  </si>
  <si>
    <t>A cut list with no stated consequence is a guess. Fill the consequence column candidly, including “near-zero” where that's true.</t>
  </si>
  <si>
    <t>$10M More: Pre-Ranked Funding List</t>
  </si>
  <si>
    <t>The mirror image of the cut list. A windfall gets deployed deliberately instead of absorbed by whoever asks loudest.</t>
  </si>
  <si>
    <t>Horizon</t>
  </si>
  <si>
    <t>Annual Cost</t>
  </si>
  <si>
    <t>“So That” Outcome</t>
  </si>
  <si>
    <t>Cumulative Cost</t>
  </si>
  <si>
    <t>Second Grow-horizon integration platform</t>
  </si>
  <si>
    <t>H2</t>
  </si>
  <si>
    <t>So that the next 5 integrations ship in weeks rather than quarters, measured by integration lead time</t>
  </si>
  <si>
    <t>Dedicated security headcount</t>
  </si>
  <si>
    <t>H1</t>
  </si>
  <si>
    <t>So that vendor risk reviews stop being a part-time responsibility, measured by review turnaround time</t>
  </si>
  <si>
    <t>Full-scale build of the validated Horizon 3 pricing spike</t>
  </si>
  <si>
    <t>H3</t>
  </si>
  <si>
    <t>So that usage-based pricing ships to the first cohort, measured by adoption in the pilot segment</t>
  </si>
  <si>
    <t>Platform team, second engineer</t>
  </si>
  <si>
    <t>So that golden-path adoption reaches 80% of new services, measured by self-service provisioning rate</t>
  </si>
  <si>
    <t>Accelerated technical debt remediation</t>
  </si>
  <si>
    <t>So that change failure rate on the affected systems drops below the elite band within two quarters</t>
  </si>
  <si>
    <t>If an item can't complete the “so that” sentence with a specific outcome and how it's measured, it doesn't belong on this list, whatever its technical merit.</t>
  </si>
  <si>
    <t>Once a year, walk every active investment. Knowing what we know now, would we start this today?</t>
  </si>
  <si>
    <t>Investment</t>
  </si>
  <si>
    <t>Start Today? (Y/N)</t>
  </si>
  <si>
    <t>Wind-Down Target Date (if No)</t>
  </si>
  <si>
    <t>Rationale</t>
  </si>
  <si>
    <t>Legacy reporting platform</t>
  </si>
  <si>
    <t>N</t>
  </si>
  <si>
    <t>Q3 next year</t>
  </si>
  <si>
    <t>Superseded by the new BI layer; kept alive only by one team's dashboards not yet migrated</t>
  </si>
  <si>
    <t>Regional data center lease</t>
  </si>
  <si>
    <t>Y</t>
  </si>
  <si>
    <t>Still the right call given current latency requirements for the affected customer segment</t>
  </si>
  <si>
    <t>Innovation lab headcount (2 FTE)</t>
  </si>
  <si>
    <t>Q1 next year</t>
  </si>
  <si>
    <t>No shipped output in 18 months; convert to the tournament-sourced model instead</t>
  </si>
  <si>
    <t>Customer data platform</t>
  </si>
  <si>
    <t>Core to three of the four Grow-horizon initiatives currently funded</t>
  </si>
  <si>
    <t>An “N” with no wind-down date is worse than not running this exercise at all; it documents the problem without committing to fix it.</t>
  </si>
  <si>
    <t>Horizon 3 bets staged as options. Fund the next decision point rather than the whole initiative, until uncertainty resolves.</t>
  </si>
  <si>
    <t>Bet</t>
  </si>
  <si>
    <t>Option Cost</t>
  </si>
  <si>
    <t>Decision Gate Date</t>
  </si>
  <si>
    <t>Full-Scale Cost if Proceeding</t>
  </si>
  <si>
    <t>Status</t>
  </si>
  <si>
    <t>Usage-based pricing feasibility spike</t>
  </si>
  <si>
    <t>Q2 this year</t>
  </si>
  <si>
    <t>Testing</t>
  </si>
  <si>
    <t>Alternate vendor for core auth, technical trial</t>
  </si>
  <si>
    <t>Q1 this year</t>
  </si>
  <si>
    <t>Proceed</t>
  </si>
  <si>
    <t>AI-assisted support triage pilot</t>
  </si>
  <si>
    <t>Q3 this year</t>
  </si>
  <si>
    <t>Edge deployment feasibility for latency-sensitive segment</t>
  </si>
  <si>
    <t>Q4 this year</t>
  </si>
  <si>
    <t>Not started</t>
  </si>
  <si>
    <t>Status options: Testing, Proceed, Kill, Not started. A bet stuck in Testing past its gate date with no decision made is the trap the whole tracker exists to prevent.</t>
  </si>
  <si>
    <t>3-Year Allocation Projection</t>
  </si>
  <si>
    <t>How the mix is meant to shift over three years, beyond this year's number.</t>
  </si>
  <si>
    <t>Total Budget, Year 1</t>
  </si>
  <si>
    <t>Total Budget, Year 2</t>
  </si>
  <si>
    <t>Total Budget, Year 3</t>
  </si>
  <si>
    <t>Year 1 %</t>
  </si>
  <si>
    <t>Year 1 $</t>
  </si>
  <si>
    <t>Year 2 %</t>
  </si>
  <si>
    <t>Year 2 $</t>
  </si>
  <si>
    <t>Year 3 %</t>
  </si>
  <si>
    <t>Year 3 $</t>
  </si>
  <si>
    <t>Illustrative shift: Run share declining as Transform grows, a common pattern once foundational modernization work matures into steady-state and frees capacity for real bets. Overwrite with your own trajectory.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</si>
</sst>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;\(0.0%\);\-"/>
  </numFmts>
  <fonts count="9" x14ac:knownFonts="1">
    <font>
      <sz val="11"/>
      <color theme="1"/>
      <name val="Calibri"/>
      <family val="2"/>
      <charset val="1"/>
    </font>
    <font>
      <b/>
      <sz val="16"/>
      <color rgb="FF1C1E1B"/>
      <name val="Arial"/>
      <charset val="1"/>
    </font>
    <font>
      <i/>
      <sz val="10"/>
      <color rgb="FF52564F"/>
      <name val="Arial"/>
      <charset val="1"/>
    </font>
    <font>
      <b/>
      <sz val="12"/>
      <color rgb="FF2E5E4E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2E5E4E"/>
        <bgColor rgb="FF52564F"/>
      </patternFill>
    </fill>
    <fill>
      <patternFill patternType="solid">
        <fgColor rgb="FFE4EDE8"/>
        <bgColor rgb="FFDCDAD2"/>
      </patternFill>
    </fill>
  </fills>
  <borders count="2">
    <border>
      <left/>
      <right/>
      <top/>
      <bottom/>
      <diagonal/>
    </border>
    <border>
      <left style="thin">
        <color rgb="FFDCDAD2"/>
      </left>
      <right style="thin">
        <color rgb="FFDCDAD2"/>
      </right>
      <top style="thin">
        <color rgb="FFDCDAD2"/>
      </top>
      <bottom style="thin">
        <color rgb="FFDCDAD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/>
    <xf numFmtId="0" fontId="4" fillId="2" borderId="0" xfId="0" applyFont="1" applyFill="1"/>
    <xf numFmtId="164" fontId="6" fillId="2" borderId="1" xfId="0" applyNumberFormat="1" applyFont="1" applyFill="1" applyBorder="1"/>
    <xf numFmtId="0" fontId="7" fillId="3" borderId="1" xfId="0" applyFont="1" applyFill="1" applyBorder="1" applyAlignment="1">
      <alignment horizontal="left" vertical="center" wrapText="1"/>
    </xf>
    <xf numFmtId="0" fontId="5" fillId="0" borderId="1" xfId="0" applyFont="1" applyBorder="1"/>
    <xf numFmtId="164" fontId="8" fillId="2" borderId="1" xfId="0" applyNumberFormat="1" applyFont="1" applyFill="1" applyBorder="1"/>
    <xf numFmtId="165" fontId="5" fillId="0" borderId="1" xfId="0" applyNumberFormat="1" applyFont="1" applyBorder="1"/>
    <xf numFmtId="165" fontId="8" fillId="2" borderId="1" xfId="0" applyNumberFormat="1" applyFont="1" applyFill="1" applyBorder="1"/>
    <xf numFmtId="164" fontId="5" fillId="0" borderId="1" xfId="0" applyNumberFormat="1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165" fontId="4" fillId="4" borderId="1" xfId="0" applyNumberFormat="1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08080"/>
      <rgbColor rgb="FF9999FF"/>
      <rgbColor rgb="FF993366"/>
      <rgbColor rgb="FFFFFFCC"/>
      <rgbColor rgb="FFE4EDE8"/>
      <rgbColor rgb="FF660066"/>
      <rgbColor rgb="FFFF8080"/>
      <rgbColor rgb="FF0066CC"/>
      <rgbColor rgb="FFDCDA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64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E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>
      <selection sqref="A1:B1"/>
    </sheetView>
  </sheetViews>
  <sheetFormatPr baseColWidth="10" defaultColWidth="8.6640625" defaultRowHeight="15" x14ac:dyDescent="0.2"/>
  <cols>
    <col min="1" max="1" width="28" customWidth="1"/>
    <col min="2" max="2" width="90" customWidth="1"/>
  </cols>
  <sheetData>
    <row r="1" spans="1:2" ht="20" x14ac:dyDescent="0.2">
      <c r="A1" s="5" t="s">
        <v>0</v>
      </c>
      <c r="B1" s="5"/>
    </row>
    <row r="2" spans="1:2" x14ac:dyDescent="0.2">
      <c r="A2" s="4" t="s">
        <v>1</v>
      </c>
      <c r="B2" s="4"/>
    </row>
    <row r="4" spans="1:2" ht="16" x14ac:dyDescent="0.2">
      <c r="A4" s="3" t="s">
        <v>2</v>
      </c>
      <c r="B4" s="3"/>
    </row>
    <row r="6" spans="1:2" ht="31.5" customHeight="1" x14ac:dyDescent="0.2">
      <c r="A6" s="7" t="s">
        <v>3</v>
      </c>
      <c r="B6" s="8" t="s">
        <v>4</v>
      </c>
    </row>
    <row r="7" spans="1:2" ht="31.5" customHeight="1" x14ac:dyDescent="0.2">
      <c r="A7" s="7" t="s">
        <v>5</v>
      </c>
      <c r="B7" s="8" t="s">
        <v>6</v>
      </c>
    </row>
    <row r="8" spans="1:2" ht="31.5" customHeight="1" x14ac:dyDescent="0.2">
      <c r="A8" s="7" t="s">
        <v>7</v>
      </c>
      <c r="B8" s="8" t="s">
        <v>8</v>
      </c>
    </row>
    <row r="9" spans="1:2" ht="31.5" customHeight="1" x14ac:dyDescent="0.2">
      <c r="A9" s="7" t="s">
        <v>9</v>
      </c>
      <c r="B9" s="8" t="s">
        <v>10</v>
      </c>
    </row>
    <row r="10" spans="1:2" ht="31.5" customHeight="1" x14ac:dyDescent="0.2">
      <c r="A10" s="7" t="s">
        <v>11</v>
      </c>
      <c r="B10" s="8" t="s">
        <v>12</v>
      </c>
    </row>
    <row r="11" spans="1:2" ht="31.5" customHeight="1" x14ac:dyDescent="0.2">
      <c r="A11" s="7" t="s">
        <v>13</v>
      </c>
      <c r="B11" s="8" t="s">
        <v>14</v>
      </c>
    </row>
    <row r="13" spans="1:2" ht="16" x14ac:dyDescent="0.2">
      <c r="A13" s="3" t="s">
        <v>15</v>
      </c>
      <c r="B13" s="3"/>
    </row>
    <row r="15" spans="1:2" x14ac:dyDescent="0.2">
      <c r="A15" s="9" t="s">
        <v>16</v>
      </c>
      <c r="B15" s="10" t="s">
        <v>17</v>
      </c>
    </row>
    <row r="16" spans="1:2" x14ac:dyDescent="0.2">
      <c r="A16" s="7" t="s">
        <v>18</v>
      </c>
      <c r="B16" s="10" t="s">
        <v>19</v>
      </c>
    </row>
    <row r="17" spans="1:2" x14ac:dyDescent="0.2">
      <c r="A17" s="11" t="s">
        <v>20</v>
      </c>
      <c r="B17" s="10" t="s">
        <v>21</v>
      </c>
    </row>
    <row r="20" spans="1:2" ht="16" x14ac:dyDescent="0.2">
      <c r="A20" s="6" t="s">
        <v>22</v>
      </c>
    </row>
    <row r="21" spans="1:2" ht="23.75" customHeight="1" x14ac:dyDescent="0.2">
      <c r="A21" s="2" t="s">
        <v>23</v>
      </c>
      <c r="B21" s="2"/>
    </row>
  </sheetData>
  <mergeCells count="5">
    <mergeCell ref="A1:B1"/>
    <mergeCell ref="A2:B2"/>
    <mergeCell ref="A4:B4"/>
    <mergeCell ref="A13:B13"/>
    <mergeCell ref="A21:B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2" width="15" customWidth="1"/>
    <col min="3" max="4" width="12" customWidth="1"/>
    <col min="5" max="6" width="15" customWidth="1"/>
    <col min="7" max="7" width="12" customWidth="1"/>
  </cols>
  <sheetData>
    <row r="1" spans="1:7" ht="20" x14ac:dyDescent="0.2">
      <c r="A1" s="5" t="s">
        <v>3</v>
      </c>
      <c r="B1" s="5"/>
      <c r="C1" s="5"/>
      <c r="D1" s="5"/>
      <c r="E1" s="5"/>
      <c r="F1" s="5"/>
      <c r="G1" s="5"/>
    </row>
    <row r="2" spans="1:7" x14ac:dyDescent="0.2">
      <c r="A2" s="4" t="s">
        <v>24</v>
      </c>
      <c r="B2" s="4"/>
      <c r="C2" s="4"/>
      <c r="D2" s="4"/>
      <c r="E2" s="4"/>
      <c r="F2" s="4"/>
      <c r="G2" s="4"/>
    </row>
    <row r="4" spans="1:7" x14ac:dyDescent="0.2">
      <c r="A4" s="7" t="s">
        <v>25</v>
      </c>
      <c r="B4" s="12">
        <v>10000000</v>
      </c>
    </row>
    <row r="6" spans="1:7" x14ac:dyDescent="0.2">
      <c r="A6" s="13" t="s">
        <v>26</v>
      </c>
      <c r="B6" s="13" t="s">
        <v>27</v>
      </c>
      <c r="C6" s="13" t="s">
        <v>28</v>
      </c>
      <c r="D6" s="13" t="s">
        <v>29</v>
      </c>
      <c r="E6" s="13" t="s">
        <v>30</v>
      </c>
      <c r="F6" s="13" t="s">
        <v>31</v>
      </c>
      <c r="G6" s="13" t="s">
        <v>32</v>
      </c>
    </row>
    <row r="7" spans="1:7" x14ac:dyDescent="0.2">
      <c r="A7" s="14" t="s">
        <v>33</v>
      </c>
      <c r="B7" s="15">
        <v>3970000</v>
      </c>
      <c r="C7" s="16">
        <f t="shared" ref="C7:C14" si="0">B7/$B$4</f>
        <v>0.39700000000000002</v>
      </c>
      <c r="D7" s="17">
        <v>0.4</v>
      </c>
      <c r="E7" s="18">
        <f t="shared" ref="E7:E14" si="1">D7*$B$4</f>
        <v>4000000</v>
      </c>
      <c r="F7" s="18">
        <f t="shared" ref="F7:F14" si="2">B7-E7</f>
        <v>-30000</v>
      </c>
      <c r="G7" s="16">
        <f t="shared" ref="G7:G15" si="3">IFERROR(F7/E7,0)</f>
        <v>-7.4999999999999997E-3</v>
      </c>
    </row>
    <row r="8" spans="1:7" x14ac:dyDescent="0.2">
      <c r="A8" s="14" t="s">
        <v>34</v>
      </c>
      <c r="B8" s="15">
        <v>1600000</v>
      </c>
      <c r="C8" s="16">
        <f t="shared" si="0"/>
        <v>0.16</v>
      </c>
      <c r="D8" s="17">
        <v>0.15</v>
      </c>
      <c r="E8" s="18">
        <f t="shared" si="1"/>
        <v>1500000</v>
      </c>
      <c r="F8" s="18">
        <f t="shared" si="2"/>
        <v>100000</v>
      </c>
      <c r="G8" s="16">
        <f t="shared" si="3"/>
        <v>6.6666666666666666E-2</v>
      </c>
    </row>
    <row r="9" spans="1:7" x14ac:dyDescent="0.2">
      <c r="A9" s="14" t="s">
        <v>35</v>
      </c>
      <c r="B9" s="15">
        <v>700000</v>
      </c>
      <c r="C9" s="16">
        <f t="shared" si="0"/>
        <v>7.0000000000000007E-2</v>
      </c>
      <c r="D9" s="17">
        <v>7.0000000000000007E-2</v>
      </c>
      <c r="E9" s="18">
        <f t="shared" si="1"/>
        <v>700000.00000000012</v>
      </c>
      <c r="F9" s="18">
        <f t="shared" si="2"/>
        <v>0</v>
      </c>
      <c r="G9" s="16">
        <f t="shared" si="3"/>
        <v>0</v>
      </c>
    </row>
    <row r="10" spans="1:7" x14ac:dyDescent="0.2">
      <c r="A10" s="14" t="s">
        <v>36</v>
      </c>
      <c r="B10" s="15">
        <v>950000</v>
      </c>
      <c r="C10" s="16">
        <f t="shared" si="0"/>
        <v>9.5000000000000001E-2</v>
      </c>
      <c r="D10" s="17">
        <v>0.1</v>
      </c>
      <c r="E10" s="18">
        <f t="shared" si="1"/>
        <v>1000000</v>
      </c>
      <c r="F10" s="18">
        <f t="shared" si="2"/>
        <v>-50000</v>
      </c>
      <c r="G10" s="16">
        <f t="shared" si="3"/>
        <v>-0.05</v>
      </c>
    </row>
    <row r="11" spans="1:7" x14ac:dyDescent="0.2">
      <c r="A11" s="14" t="s">
        <v>37</v>
      </c>
      <c r="B11" s="15">
        <v>750000</v>
      </c>
      <c r="C11" s="16">
        <f t="shared" si="0"/>
        <v>7.4999999999999997E-2</v>
      </c>
      <c r="D11" s="17">
        <v>0.08</v>
      </c>
      <c r="E11" s="18">
        <f t="shared" si="1"/>
        <v>800000</v>
      </c>
      <c r="F11" s="18">
        <f t="shared" si="2"/>
        <v>-50000</v>
      </c>
      <c r="G11" s="16">
        <f t="shared" si="3"/>
        <v>-6.25E-2</v>
      </c>
    </row>
    <row r="12" spans="1:7" x14ac:dyDescent="0.2">
      <c r="A12" s="14" t="s">
        <v>38</v>
      </c>
      <c r="B12" s="15">
        <v>1250000</v>
      </c>
      <c r="C12" s="16">
        <f t="shared" si="0"/>
        <v>0.125</v>
      </c>
      <c r="D12" s="17">
        <v>0.12</v>
      </c>
      <c r="E12" s="18">
        <f t="shared" si="1"/>
        <v>1200000</v>
      </c>
      <c r="F12" s="18">
        <f t="shared" si="2"/>
        <v>50000</v>
      </c>
      <c r="G12" s="16">
        <f t="shared" si="3"/>
        <v>4.1666666666666664E-2</v>
      </c>
    </row>
    <row r="13" spans="1:7" x14ac:dyDescent="0.2">
      <c r="A13" s="14" t="s">
        <v>39</v>
      </c>
      <c r="B13" s="15">
        <v>380000</v>
      </c>
      <c r="C13" s="16">
        <f t="shared" si="0"/>
        <v>3.7999999999999999E-2</v>
      </c>
      <c r="D13" s="17">
        <v>0.04</v>
      </c>
      <c r="E13" s="18">
        <f t="shared" si="1"/>
        <v>400000</v>
      </c>
      <c r="F13" s="18">
        <f t="shared" si="2"/>
        <v>-20000</v>
      </c>
      <c r="G13" s="16">
        <f t="shared" si="3"/>
        <v>-0.05</v>
      </c>
    </row>
    <row r="14" spans="1:7" x14ac:dyDescent="0.2">
      <c r="A14" s="14" t="s">
        <v>40</v>
      </c>
      <c r="B14" s="15">
        <v>400000</v>
      </c>
      <c r="C14" s="16">
        <f t="shared" si="0"/>
        <v>0.04</v>
      </c>
      <c r="D14" s="17">
        <v>0.04</v>
      </c>
      <c r="E14" s="18">
        <f t="shared" si="1"/>
        <v>400000</v>
      </c>
      <c r="F14" s="18">
        <f t="shared" si="2"/>
        <v>0</v>
      </c>
      <c r="G14" s="16">
        <f t="shared" si="3"/>
        <v>0</v>
      </c>
    </row>
    <row r="15" spans="1:7" x14ac:dyDescent="0.2">
      <c r="A15" s="19" t="s">
        <v>41</v>
      </c>
      <c r="B15" s="20">
        <f>SUM(B7:B14)</f>
        <v>10000000</v>
      </c>
      <c r="C15" s="21">
        <f>SUM(C7:C14)</f>
        <v>1</v>
      </c>
      <c r="D15" s="21">
        <f>SUM(D7:D14)</f>
        <v>1</v>
      </c>
      <c r="E15" s="20">
        <f>SUM(E7:E14)</f>
        <v>10000000</v>
      </c>
      <c r="F15" s="20">
        <f>SUM(F7:F14)</f>
        <v>0</v>
      </c>
      <c r="G15" s="21">
        <f t="shared" si="3"/>
        <v>0</v>
      </c>
    </row>
    <row r="17" spans="1:7" x14ac:dyDescent="0.2">
      <c r="A17" s="4" t="s">
        <v>42</v>
      </c>
      <c r="B17" s="4"/>
      <c r="C17" s="4"/>
      <c r="D17" s="4"/>
      <c r="E17" s="4"/>
      <c r="F17" s="4"/>
      <c r="G17" s="4"/>
    </row>
  </sheetData>
  <mergeCells count="3">
    <mergeCell ref="A1:G1"/>
    <mergeCell ref="A2:G2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Normal="100" workbookViewId="0"/>
  </sheetViews>
  <sheetFormatPr baseColWidth="10" defaultColWidth="8.6640625" defaultRowHeight="15" x14ac:dyDescent="0.2"/>
  <cols>
    <col min="1" max="1" width="6" customWidth="1"/>
    <col min="2" max="2" width="30" customWidth="1"/>
    <col min="3" max="3" width="16" customWidth="1"/>
    <col min="4" max="4" width="15" customWidth="1"/>
    <col min="5" max="5" width="34" customWidth="1"/>
    <col min="6" max="6" width="26" customWidth="1"/>
    <col min="7" max="7" width="16" customWidth="1"/>
  </cols>
  <sheetData>
    <row r="1" spans="1:7" ht="20" x14ac:dyDescent="0.2">
      <c r="A1" s="5" t="s">
        <v>43</v>
      </c>
      <c r="B1" s="5"/>
      <c r="C1" s="5"/>
      <c r="D1" s="5"/>
      <c r="E1" s="5"/>
      <c r="F1" s="5"/>
      <c r="G1" s="5"/>
    </row>
    <row r="2" spans="1:7" x14ac:dyDescent="0.2">
      <c r="A2" s="4" t="s">
        <v>44</v>
      </c>
      <c r="B2" s="4"/>
      <c r="C2" s="4"/>
      <c r="D2" s="4"/>
      <c r="E2" s="4"/>
      <c r="F2" s="4"/>
      <c r="G2" s="4"/>
    </row>
    <row r="4" spans="1:7" ht="28" x14ac:dyDescent="0.2">
      <c r="A4" s="13" t="s">
        <v>45</v>
      </c>
      <c r="B4" s="13" t="s">
        <v>46</v>
      </c>
      <c r="C4" s="13" t="s">
        <v>26</v>
      </c>
      <c r="D4" s="13" t="s">
        <v>47</v>
      </c>
      <c r="E4" s="13" t="s">
        <v>48</v>
      </c>
      <c r="F4" s="13" t="s">
        <v>49</v>
      </c>
      <c r="G4" s="13" t="s">
        <v>50</v>
      </c>
    </row>
    <row r="5" spans="1:7" ht="30" customHeight="1" x14ac:dyDescent="0.2">
      <c r="A5" s="22">
        <v>1</v>
      </c>
      <c r="B5" s="22" t="s">
        <v>51</v>
      </c>
      <c r="C5" s="22" t="s">
        <v>33</v>
      </c>
      <c r="D5" s="15">
        <v>380000</v>
      </c>
      <c r="E5" s="23" t="s">
        <v>52</v>
      </c>
      <c r="F5" s="23" t="s">
        <v>53</v>
      </c>
      <c r="G5" s="18">
        <f>SUM($D$5:D5)</f>
        <v>380000</v>
      </c>
    </row>
    <row r="6" spans="1:7" ht="30" customHeight="1" x14ac:dyDescent="0.2">
      <c r="A6" s="22">
        <v>2</v>
      </c>
      <c r="B6" s="22" t="s">
        <v>54</v>
      </c>
      <c r="C6" s="22" t="s">
        <v>39</v>
      </c>
      <c r="D6" s="15">
        <v>210000</v>
      </c>
      <c r="E6" s="23" t="s">
        <v>55</v>
      </c>
      <c r="F6" s="23" t="s">
        <v>56</v>
      </c>
      <c r="G6" s="18">
        <f>SUM($D$5:D6)</f>
        <v>590000</v>
      </c>
    </row>
    <row r="7" spans="1:7" ht="30" customHeight="1" x14ac:dyDescent="0.2">
      <c r="A7" s="22">
        <v>3</v>
      </c>
      <c r="B7" s="22" t="s">
        <v>57</v>
      </c>
      <c r="C7" s="22" t="s">
        <v>35</v>
      </c>
      <c r="D7" s="15">
        <v>400000</v>
      </c>
      <c r="E7" s="23" t="s">
        <v>58</v>
      </c>
      <c r="F7" s="23" t="s">
        <v>59</v>
      </c>
      <c r="G7" s="18">
        <f>SUM($D$5:D7)</f>
        <v>990000</v>
      </c>
    </row>
    <row r="8" spans="1:7" ht="30" customHeight="1" x14ac:dyDescent="0.2">
      <c r="A8" s="22">
        <v>4</v>
      </c>
      <c r="B8" s="22" t="s">
        <v>60</v>
      </c>
      <c r="C8" s="22" t="s">
        <v>38</v>
      </c>
      <c r="D8" s="15">
        <v>650000</v>
      </c>
      <c r="E8" s="23" t="s">
        <v>61</v>
      </c>
      <c r="F8" s="23" t="s">
        <v>62</v>
      </c>
      <c r="G8" s="18">
        <f>SUM($D$5:D8)</f>
        <v>1640000</v>
      </c>
    </row>
    <row r="9" spans="1:7" ht="30" customHeight="1" x14ac:dyDescent="0.2">
      <c r="A9" s="22">
        <v>5</v>
      </c>
      <c r="B9" s="22" t="s">
        <v>63</v>
      </c>
      <c r="C9" s="22" t="s">
        <v>37</v>
      </c>
      <c r="D9" s="15">
        <v>500000</v>
      </c>
      <c r="E9" s="23" t="s">
        <v>64</v>
      </c>
      <c r="F9" s="23" t="s">
        <v>65</v>
      </c>
      <c r="G9" s="18">
        <f>SUM($D$5:D9)</f>
        <v>2140000</v>
      </c>
    </row>
    <row r="10" spans="1:7" ht="30" customHeight="1" x14ac:dyDescent="0.2">
      <c r="A10" s="22">
        <v>6</v>
      </c>
      <c r="B10" s="22" t="s">
        <v>66</v>
      </c>
      <c r="C10" s="22" t="s">
        <v>40</v>
      </c>
      <c r="D10" s="15">
        <v>200000</v>
      </c>
      <c r="E10" s="23" t="s">
        <v>67</v>
      </c>
      <c r="F10" s="23" t="s">
        <v>68</v>
      </c>
      <c r="G10" s="18">
        <f>SUM($D$5:D10)</f>
        <v>2340000</v>
      </c>
    </row>
    <row r="11" spans="1:7" x14ac:dyDescent="0.2">
      <c r="A11" s="24"/>
      <c r="B11" s="24"/>
      <c r="C11" s="24"/>
      <c r="D11" s="24"/>
      <c r="E11" s="24"/>
      <c r="F11" s="24"/>
      <c r="G11" s="18">
        <f>SUM($D$5:D11)</f>
        <v>2340000</v>
      </c>
    </row>
    <row r="12" spans="1:7" x14ac:dyDescent="0.2">
      <c r="A12" s="24"/>
      <c r="B12" s="24"/>
      <c r="C12" s="24"/>
      <c r="D12" s="24"/>
      <c r="E12" s="24"/>
      <c r="F12" s="24"/>
      <c r="G12" s="18">
        <f>SUM($D$5:D12)</f>
        <v>2340000</v>
      </c>
    </row>
    <row r="13" spans="1:7" x14ac:dyDescent="0.2">
      <c r="A13" s="24"/>
      <c r="B13" s="24"/>
      <c r="C13" s="24"/>
      <c r="D13" s="24"/>
      <c r="E13" s="24"/>
      <c r="F13" s="24"/>
      <c r="G13" s="18">
        <f>SUM($D$5:D13)</f>
        <v>2340000</v>
      </c>
    </row>
    <row r="14" spans="1:7" x14ac:dyDescent="0.2">
      <c r="A14" s="24"/>
      <c r="B14" s="24"/>
      <c r="C14" s="24"/>
      <c r="D14" s="24"/>
      <c r="E14" s="24"/>
      <c r="F14" s="24"/>
      <c r="G14" s="18">
        <f>SUM($D$5:D14)</f>
        <v>2340000</v>
      </c>
    </row>
    <row r="16" spans="1:7" x14ac:dyDescent="0.2">
      <c r="A16" s="4" t="s">
        <v>69</v>
      </c>
      <c r="B16" s="4"/>
      <c r="C16" s="4"/>
      <c r="D16" s="4"/>
      <c r="E16" s="4"/>
      <c r="F16" s="4"/>
      <c r="G16" s="4"/>
    </row>
  </sheetData>
  <mergeCells count="3">
    <mergeCell ref="A1:G1"/>
    <mergeCell ref="A2:G2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zoomScaleNormal="100" workbookViewId="0"/>
  </sheetViews>
  <sheetFormatPr baseColWidth="10" defaultColWidth="8.6640625" defaultRowHeight="15" x14ac:dyDescent="0.2"/>
  <cols>
    <col min="1" max="1" width="6" customWidth="1"/>
    <col min="2" max="2" width="30" customWidth="1"/>
    <col min="3" max="3" width="16" customWidth="1"/>
    <col min="4" max="4" width="12" customWidth="1"/>
    <col min="5" max="5" width="15" customWidth="1"/>
    <col min="6" max="6" width="36" customWidth="1"/>
    <col min="7" max="7" width="16" customWidth="1"/>
  </cols>
  <sheetData>
    <row r="1" spans="1:7" ht="20" x14ac:dyDescent="0.2">
      <c r="A1" s="5" t="s">
        <v>70</v>
      </c>
      <c r="B1" s="5"/>
      <c r="C1" s="5"/>
      <c r="D1" s="5"/>
      <c r="E1" s="5"/>
      <c r="F1" s="5"/>
      <c r="G1" s="5"/>
    </row>
    <row r="2" spans="1:7" x14ac:dyDescent="0.2">
      <c r="A2" s="4" t="s">
        <v>71</v>
      </c>
      <c r="B2" s="4"/>
      <c r="C2" s="4"/>
      <c r="D2" s="4"/>
      <c r="E2" s="4"/>
      <c r="F2" s="4"/>
      <c r="G2" s="4"/>
    </row>
    <row r="4" spans="1:7" x14ac:dyDescent="0.2">
      <c r="A4" s="13" t="s">
        <v>45</v>
      </c>
      <c r="B4" s="13" t="s">
        <v>46</v>
      </c>
      <c r="C4" s="13" t="s">
        <v>26</v>
      </c>
      <c r="D4" s="13" t="s">
        <v>72</v>
      </c>
      <c r="E4" s="13" t="s">
        <v>73</v>
      </c>
      <c r="F4" s="13" t="s">
        <v>74</v>
      </c>
      <c r="G4" s="13" t="s">
        <v>75</v>
      </c>
    </row>
    <row r="5" spans="1:7" ht="33.75" customHeight="1" x14ac:dyDescent="0.2">
      <c r="A5" s="22">
        <v>1</v>
      </c>
      <c r="B5" s="22" t="s">
        <v>76</v>
      </c>
      <c r="C5" s="22" t="s">
        <v>34</v>
      </c>
      <c r="D5" s="22" t="s">
        <v>77</v>
      </c>
      <c r="E5" s="15">
        <v>550000</v>
      </c>
      <c r="F5" s="23" t="s">
        <v>78</v>
      </c>
      <c r="G5" s="18">
        <f>SUM($E$5:E5)</f>
        <v>550000</v>
      </c>
    </row>
    <row r="6" spans="1:7" ht="33.75" customHeight="1" x14ac:dyDescent="0.2">
      <c r="A6" s="22">
        <v>2</v>
      </c>
      <c r="B6" s="22" t="s">
        <v>79</v>
      </c>
      <c r="C6" s="22" t="s">
        <v>36</v>
      </c>
      <c r="D6" s="22" t="s">
        <v>80</v>
      </c>
      <c r="E6" s="15">
        <v>180000</v>
      </c>
      <c r="F6" s="23" t="s">
        <v>81</v>
      </c>
      <c r="G6" s="18">
        <f>SUM($E$5:E6)</f>
        <v>730000</v>
      </c>
    </row>
    <row r="7" spans="1:7" ht="33.75" customHeight="1" x14ac:dyDescent="0.2">
      <c r="A7" s="22">
        <v>3</v>
      </c>
      <c r="B7" s="22" t="s">
        <v>82</v>
      </c>
      <c r="C7" s="22" t="s">
        <v>35</v>
      </c>
      <c r="D7" s="22" t="s">
        <v>83</v>
      </c>
      <c r="E7" s="15">
        <v>900000</v>
      </c>
      <c r="F7" s="23" t="s">
        <v>84</v>
      </c>
      <c r="G7" s="18">
        <f>SUM($E$5:E7)</f>
        <v>1630000</v>
      </c>
    </row>
    <row r="8" spans="1:7" ht="33.75" customHeight="1" x14ac:dyDescent="0.2">
      <c r="A8" s="22">
        <v>4</v>
      </c>
      <c r="B8" s="22" t="s">
        <v>85</v>
      </c>
      <c r="C8" s="22" t="s">
        <v>33</v>
      </c>
      <c r="D8" s="22" t="s">
        <v>80</v>
      </c>
      <c r="E8" s="15">
        <v>210000</v>
      </c>
      <c r="F8" s="23" t="s">
        <v>86</v>
      </c>
      <c r="G8" s="18">
        <f>SUM($E$5:E8)</f>
        <v>1840000</v>
      </c>
    </row>
    <row r="9" spans="1:7" ht="33.75" customHeight="1" x14ac:dyDescent="0.2">
      <c r="A9" s="22">
        <v>5</v>
      </c>
      <c r="B9" s="22" t="s">
        <v>87</v>
      </c>
      <c r="C9" s="22" t="s">
        <v>37</v>
      </c>
      <c r="D9" s="22" t="s">
        <v>80</v>
      </c>
      <c r="E9" s="15">
        <v>400000</v>
      </c>
      <c r="F9" s="23" t="s">
        <v>88</v>
      </c>
      <c r="G9" s="18">
        <f>SUM($E$5:E9)</f>
        <v>2240000</v>
      </c>
    </row>
    <row r="10" spans="1:7" x14ac:dyDescent="0.2">
      <c r="A10" s="24"/>
      <c r="B10" s="24"/>
      <c r="C10" s="24"/>
      <c r="D10" s="24"/>
      <c r="E10" s="24"/>
      <c r="F10" s="24"/>
      <c r="G10" s="18">
        <f>SUM($E$5:E10)</f>
        <v>2240000</v>
      </c>
    </row>
    <row r="11" spans="1:7" x14ac:dyDescent="0.2">
      <c r="A11" s="24"/>
      <c r="B11" s="24"/>
      <c r="C11" s="24"/>
      <c r="D11" s="24"/>
      <c r="E11" s="24"/>
      <c r="F11" s="24"/>
      <c r="G11" s="18">
        <f>SUM($E$5:E11)</f>
        <v>2240000</v>
      </c>
    </row>
    <row r="12" spans="1:7" x14ac:dyDescent="0.2">
      <c r="A12" s="24"/>
      <c r="B12" s="24"/>
      <c r="C12" s="24"/>
      <c r="D12" s="24"/>
      <c r="E12" s="24"/>
      <c r="F12" s="24"/>
      <c r="G12" s="18">
        <f>SUM($E$5:E12)</f>
        <v>2240000</v>
      </c>
    </row>
    <row r="13" spans="1:7" x14ac:dyDescent="0.2">
      <c r="A13" s="24"/>
      <c r="B13" s="24"/>
      <c r="C13" s="24"/>
      <c r="D13" s="24"/>
      <c r="E13" s="24"/>
      <c r="F13" s="24"/>
      <c r="G13" s="18">
        <f>SUM($E$5:E13)</f>
        <v>2240000</v>
      </c>
    </row>
    <row r="15" spans="1:7" x14ac:dyDescent="0.2">
      <c r="A15" s="4" t="s">
        <v>89</v>
      </c>
      <c r="B15" s="4"/>
      <c r="C15" s="4"/>
      <c r="D15" s="4"/>
      <c r="E15" s="4"/>
      <c r="F15" s="4"/>
      <c r="G15" s="4"/>
    </row>
  </sheetData>
  <mergeCells count="3">
    <mergeCell ref="A1:G1"/>
    <mergeCell ref="A2:G2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16" customWidth="1"/>
    <col min="3" max="3" width="15" customWidth="1"/>
    <col min="4" max="5" width="16" customWidth="1"/>
    <col min="6" max="6" width="34" customWidth="1"/>
  </cols>
  <sheetData>
    <row r="1" spans="1:6" ht="20" x14ac:dyDescent="0.2">
      <c r="A1" s="5" t="s">
        <v>9</v>
      </c>
      <c r="B1" s="5"/>
      <c r="C1" s="5"/>
      <c r="D1" s="5"/>
      <c r="E1" s="5"/>
      <c r="F1" s="5"/>
    </row>
    <row r="2" spans="1:6" x14ac:dyDescent="0.2">
      <c r="A2" s="4" t="s">
        <v>90</v>
      </c>
      <c r="B2" s="4"/>
      <c r="C2" s="4"/>
      <c r="D2" s="4"/>
      <c r="E2" s="4"/>
      <c r="F2" s="4"/>
    </row>
    <row r="4" spans="1:6" ht="28" x14ac:dyDescent="0.2">
      <c r="A4" s="13" t="s">
        <v>91</v>
      </c>
      <c r="B4" s="13" t="s">
        <v>26</v>
      </c>
      <c r="C4" s="13" t="s">
        <v>73</v>
      </c>
      <c r="D4" s="13" t="s">
        <v>92</v>
      </c>
      <c r="E4" s="13" t="s">
        <v>93</v>
      </c>
      <c r="F4" s="13" t="s">
        <v>94</v>
      </c>
    </row>
    <row r="5" spans="1:6" ht="30" customHeight="1" x14ac:dyDescent="0.2">
      <c r="A5" s="22" t="s">
        <v>95</v>
      </c>
      <c r="B5" s="22" t="s">
        <v>33</v>
      </c>
      <c r="C5" s="15">
        <v>220000</v>
      </c>
      <c r="D5" s="22" t="s">
        <v>96</v>
      </c>
      <c r="E5" s="22" t="s">
        <v>97</v>
      </c>
      <c r="F5" s="23" t="s">
        <v>98</v>
      </c>
    </row>
    <row r="6" spans="1:6" ht="30" customHeight="1" x14ac:dyDescent="0.2">
      <c r="A6" s="22" t="s">
        <v>99</v>
      </c>
      <c r="B6" s="22" t="s">
        <v>33</v>
      </c>
      <c r="C6" s="15">
        <v>480000</v>
      </c>
      <c r="D6" s="22" t="s">
        <v>100</v>
      </c>
      <c r="E6" s="22"/>
      <c r="F6" s="23" t="s">
        <v>101</v>
      </c>
    </row>
    <row r="7" spans="1:6" ht="30" customHeight="1" x14ac:dyDescent="0.2">
      <c r="A7" s="22" t="s">
        <v>102</v>
      </c>
      <c r="B7" s="22" t="s">
        <v>35</v>
      </c>
      <c r="C7" s="15">
        <v>340000</v>
      </c>
      <c r="D7" s="22" t="s">
        <v>96</v>
      </c>
      <c r="E7" s="22" t="s">
        <v>103</v>
      </c>
      <c r="F7" s="23" t="s">
        <v>104</v>
      </c>
    </row>
    <row r="8" spans="1:6" ht="30" customHeight="1" x14ac:dyDescent="0.2">
      <c r="A8" s="22" t="s">
        <v>105</v>
      </c>
      <c r="B8" s="22" t="s">
        <v>34</v>
      </c>
      <c r="C8" s="15">
        <v>610000</v>
      </c>
      <c r="D8" s="22" t="s">
        <v>100</v>
      </c>
      <c r="E8" s="22"/>
      <c r="F8" s="23" t="s">
        <v>106</v>
      </c>
    </row>
    <row r="9" spans="1:6" x14ac:dyDescent="0.2">
      <c r="A9" s="24"/>
      <c r="B9" s="24"/>
      <c r="C9" s="24"/>
      <c r="D9" s="24"/>
      <c r="E9" s="24"/>
      <c r="F9" s="24"/>
    </row>
    <row r="10" spans="1:6" x14ac:dyDescent="0.2">
      <c r="A10" s="24"/>
      <c r="B10" s="24"/>
      <c r="C10" s="24"/>
      <c r="D10" s="24"/>
      <c r="E10" s="24"/>
      <c r="F10" s="24"/>
    </row>
    <row r="11" spans="1:6" x14ac:dyDescent="0.2">
      <c r="A11" s="24"/>
      <c r="B11" s="24"/>
      <c r="C11" s="24"/>
      <c r="D11" s="24"/>
      <c r="E11" s="24"/>
      <c r="F11" s="24"/>
    </row>
    <row r="12" spans="1:6" x14ac:dyDescent="0.2">
      <c r="A12" s="24"/>
      <c r="B12" s="24"/>
      <c r="C12" s="24"/>
      <c r="D12" s="24"/>
      <c r="E12" s="24"/>
      <c r="F12" s="24"/>
    </row>
    <row r="14" spans="1:6" x14ac:dyDescent="0.2">
      <c r="A14" s="4" t="s">
        <v>107</v>
      </c>
      <c r="B14" s="4"/>
      <c r="C14" s="4"/>
      <c r="D14" s="4"/>
      <c r="E14" s="4"/>
      <c r="F14" s="4"/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zoomScaleNormal="100" workbookViewId="0"/>
  </sheetViews>
  <sheetFormatPr baseColWidth="10" defaultColWidth="8.6640625" defaultRowHeight="15" x14ac:dyDescent="0.2"/>
  <cols>
    <col min="1" max="1" width="28" customWidth="1"/>
    <col min="2" max="2" width="14" customWidth="1"/>
    <col min="3" max="4" width="16" customWidth="1"/>
    <col min="5" max="5" width="18" customWidth="1"/>
    <col min="6" max="6" width="16" customWidth="1"/>
  </cols>
  <sheetData>
    <row r="1" spans="1:6" ht="20" x14ac:dyDescent="0.2">
      <c r="A1" s="5" t="s">
        <v>11</v>
      </c>
      <c r="B1" s="5"/>
      <c r="C1" s="5"/>
      <c r="D1" s="5"/>
      <c r="E1" s="5"/>
      <c r="F1" s="5"/>
    </row>
    <row r="2" spans="1:6" x14ac:dyDescent="0.2">
      <c r="A2" s="4" t="s">
        <v>108</v>
      </c>
      <c r="B2" s="4"/>
      <c r="C2" s="4"/>
      <c r="D2" s="4"/>
      <c r="E2" s="4"/>
      <c r="F2" s="4"/>
    </row>
    <row r="4" spans="1:6" ht="28" x14ac:dyDescent="0.2">
      <c r="A4" s="13" t="s">
        <v>109</v>
      </c>
      <c r="B4" s="13" t="s">
        <v>72</v>
      </c>
      <c r="C4" s="13" t="s">
        <v>110</v>
      </c>
      <c r="D4" s="13" t="s">
        <v>111</v>
      </c>
      <c r="E4" s="13" t="s">
        <v>112</v>
      </c>
      <c r="F4" s="13" t="s">
        <v>113</v>
      </c>
    </row>
    <row r="5" spans="1:6" x14ac:dyDescent="0.2">
      <c r="A5" s="22" t="s">
        <v>114</v>
      </c>
      <c r="B5" s="22" t="s">
        <v>83</v>
      </c>
      <c r="C5" s="15">
        <v>60000</v>
      </c>
      <c r="D5" s="22" t="s">
        <v>115</v>
      </c>
      <c r="E5" s="15">
        <v>900000</v>
      </c>
      <c r="F5" s="22" t="s">
        <v>116</v>
      </c>
    </row>
    <row r="6" spans="1:6" x14ac:dyDescent="0.2">
      <c r="A6" s="22" t="s">
        <v>117</v>
      </c>
      <c r="B6" s="22" t="s">
        <v>77</v>
      </c>
      <c r="C6" s="15">
        <v>25000</v>
      </c>
      <c r="D6" s="22" t="s">
        <v>118</v>
      </c>
      <c r="E6" s="15">
        <v>340000</v>
      </c>
      <c r="F6" s="22" t="s">
        <v>119</v>
      </c>
    </row>
    <row r="7" spans="1:6" x14ac:dyDescent="0.2">
      <c r="A7" s="22" t="s">
        <v>120</v>
      </c>
      <c r="B7" s="22" t="s">
        <v>83</v>
      </c>
      <c r="C7" s="15">
        <v>45000</v>
      </c>
      <c r="D7" s="22" t="s">
        <v>121</v>
      </c>
      <c r="E7" s="15">
        <v>500000</v>
      </c>
      <c r="F7" s="22" t="s">
        <v>116</v>
      </c>
    </row>
    <row r="8" spans="1:6" x14ac:dyDescent="0.2">
      <c r="A8" s="22" t="s">
        <v>122</v>
      </c>
      <c r="B8" s="22" t="s">
        <v>83</v>
      </c>
      <c r="C8" s="15">
        <v>35000</v>
      </c>
      <c r="D8" s="22" t="s">
        <v>123</v>
      </c>
      <c r="E8" s="15">
        <v>620000</v>
      </c>
      <c r="F8" s="22" t="s">
        <v>124</v>
      </c>
    </row>
    <row r="9" spans="1:6" x14ac:dyDescent="0.2">
      <c r="A9" s="24"/>
      <c r="B9" s="24"/>
      <c r="C9" s="24"/>
      <c r="D9" s="24"/>
      <c r="E9" s="24"/>
      <c r="F9" s="24"/>
    </row>
    <row r="10" spans="1:6" x14ac:dyDescent="0.2">
      <c r="A10" s="24"/>
      <c r="B10" s="24"/>
      <c r="C10" s="24"/>
      <c r="D10" s="24"/>
      <c r="E10" s="24"/>
      <c r="F10" s="24"/>
    </row>
    <row r="11" spans="1:6" x14ac:dyDescent="0.2">
      <c r="A11" s="24"/>
      <c r="B11" s="24"/>
      <c r="C11" s="24"/>
      <c r="D11" s="24"/>
      <c r="E11" s="24"/>
      <c r="F11" s="24"/>
    </row>
    <row r="12" spans="1:6" x14ac:dyDescent="0.2">
      <c r="A12" s="24"/>
      <c r="B12" s="24"/>
      <c r="C12" s="24"/>
      <c r="D12" s="24"/>
      <c r="E12" s="24"/>
      <c r="F12" s="24"/>
    </row>
    <row r="14" spans="1:6" x14ac:dyDescent="0.2">
      <c r="A14" s="4" t="s">
        <v>125</v>
      </c>
      <c r="B14" s="4"/>
      <c r="C14" s="4"/>
      <c r="D14" s="4"/>
      <c r="E14" s="4"/>
      <c r="F14" s="4"/>
    </row>
  </sheetData>
  <mergeCells count="3">
    <mergeCell ref="A1:F1"/>
    <mergeCell ref="A2:F2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"/>
  <sheetViews>
    <sheetView zoomScaleNormal="100" workbookViewId="0"/>
  </sheetViews>
  <sheetFormatPr baseColWidth="10" defaultColWidth="8.6640625" defaultRowHeight="15" x14ac:dyDescent="0.2"/>
  <cols>
    <col min="1" max="1" width="22" customWidth="1"/>
    <col min="2" max="2" width="12" customWidth="1"/>
    <col min="3" max="3" width="15" customWidth="1"/>
    <col min="4" max="4" width="12" customWidth="1"/>
    <col min="5" max="5" width="15" customWidth="1"/>
    <col min="6" max="6" width="12" customWidth="1"/>
    <col min="7" max="7" width="15" customWidth="1"/>
  </cols>
  <sheetData>
    <row r="1" spans="1:7" ht="20" x14ac:dyDescent="0.2">
      <c r="A1" s="5" t="s">
        <v>126</v>
      </c>
      <c r="B1" s="5"/>
      <c r="C1" s="5"/>
      <c r="D1" s="5"/>
      <c r="E1" s="5"/>
      <c r="F1" s="5"/>
      <c r="G1" s="5"/>
    </row>
    <row r="2" spans="1:7" x14ac:dyDescent="0.2">
      <c r="A2" s="4" t="s">
        <v>127</v>
      </c>
      <c r="B2" s="4"/>
      <c r="C2" s="4"/>
      <c r="D2" s="4"/>
      <c r="E2" s="4"/>
      <c r="F2" s="4"/>
      <c r="G2" s="4"/>
    </row>
    <row r="4" spans="1:7" x14ac:dyDescent="0.2">
      <c r="A4" s="7" t="s">
        <v>128</v>
      </c>
      <c r="B4" s="12">
        <v>10000000</v>
      </c>
      <c r="D4" s="7" t="s">
        <v>129</v>
      </c>
      <c r="E4" s="12">
        <v>11000000</v>
      </c>
    </row>
    <row r="5" spans="1:7" x14ac:dyDescent="0.2">
      <c r="A5" s="7" t="s">
        <v>130</v>
      </c>
      <c r="B5" s="12">
        <v>12000000</v>
      </c>
    </row>
    <row r="7" spans="1:7" x14ac:dyDescent="0.2">
      <c r="A7" s="13" t="s">
        <v>26</v>
      </c>
      <c r="B7" s="13" t="s">
        <v>131</v>
      </c>
      <c r="C7" s="13" t="s">
        <v>132</v>
      </c>
      <c r="D7" s="13" t="s">
        <v>133</v>
      </c>
      <c r="E7" s="13" t="s">
        <v>134</v>
      </c>
      <c r="F7" s="13" t="s">
        <v>135</v>
      </c>
      <c r="G7" s="13" t="s">
        <v>136</v>
      </c>
    </row>
    <row r="8" spans="1:7" x14ac:dyDescent="0.2">
      <c r="A8" s="14" t="s">
        <v>33</v>
      </c>
      <c r="B8" s="17">
        <v>0.4</v>
      </c>
      <c r="C8" s="18">
        <f t="shared" ref="C8:C15" si="0">B8*$B$4</f>
        <v>4000000</v>
      </c>
      <c r="D8" s="17">
        <v>0.36</v>
      </c>
      <c r="E8" s="18">
        <f t="shared" ref="E8:E15" si="1">D8*$E$4</f>
        <v>3960000</v>
      </c>
      <c r="F8" s="17">
        <v>0.32</v>
      </c>
      <c r="G8" s="18">
        <f t="shared" ref="G8:G15" si="2">F8*$B$5</f>
        <v>3840000</v>
      </c>
    </row>
    <row r="9" spans="1:7" x14ac:dyDescent="0.2">
      <c r="A9" s="14" t="s">
        <v>34</v>
      </c>
      <c r="B9" s="17">
        <v>0.15</v>
      </c>
      <c r="C9" s="18">
        <f t="shared" si="0"/>
        <v>1500000</v>
      </c>
      <c r="D9" s="17">
        <v>0.17</v>
      </c>
      <c r="E9" s="18">
        <f t="shared" si="1"/>
        <v>1870000.0000000002</v>
      </c>
      <c r="F9" s="17">
        <v>0.18</v>
      </c>
      <c r="G9" s="18">
        <f t="shared" si="2"/>
        <v>2160000</v>
      </c>
    </row>
    <row r="10" spans="1:7" x14ac:dyDescent="0.2">
      <c r="A10" s="14" t="s">
        <v>35</v>
      </c>
      <c r="B10" s="17">
        <v>7.0000000000000007E-2</v>
      </c>
      <c r="C10" s="18">
        <f t="shared" si="0"/>
        <v>700000.00000000012</v>
      </c>
      <c r="D10" s="17">
        <v>0.1</v>
      </c>
      <c r="E10" s="18">
        <f t="shared" si="1"/>
        <v>1100000</v>
      </c>
      <c r="F10" s="17">
        <v>0.13</v>
      </c>
      <c r="G10" s="18">
        <f t="shared" si="2"/>
        <v>1560000</v>
      </c>
    </row>
    <row r="11" spans="1:7" x14ac:dyDescent="0.2">
      <c r="A11" s="14" t="s">
        <v>36</v>
      </c>
      <c r="B11" s="17">
        <v>0.1</v>
      </c>
      <c r="C11" s="18">
        <f t="shared" si="0"/>
        <v>1000000</v>
      </c>
      <c r="D11" s="17">
        <v>0.1</v>
      </c>
      <c r="E11" s="18">
        <f t="shared" si="1"/>
        <v>1100000</v>
      </c>
      <c r="F11" s="17">
        <v>0.1</v>
      </c>
      <c r="G11" s="18">
        <f t="shared" si="2"/>
        <v>1200000</v>
      </c>
    </row>
    <row r="12" spans="1:7" x14ac:dyDescent="0.2">
      <c r="A12" s="14" t="s">
        <v>37</v>
      </c>
      <c r="B12" s="17">
        <v>0.08</v>
      </c>
      <c r="C12" s="18">
        <f t="shared" si="0"/>
        <v>800000</v>
      </c>
      <c r="D12" s="17">
        <v>0.08</v>
      </c>
      <c r="E12" s="18">
        <f t="shared" si="1"/>
        <v>880000</v>
      </c>
      <c r="F12" s="17">
        <v>0.08</v>
      </c>
      <c r="G12" s="18">
        <f t="shared" si="2"/>
        <v>960000</v>
      </c>
    </row>
    <row r="13" spans="1:7" x14ac:dyDescent="0.2">
      <c r="A13" s="14" t="s">
        <v>38</v>
      </c>
      <c r="B13" s="17">
        <v>0.12</v>
      </c>
      <c r="C13" s="18">
        <f t="shared" si="0"/>
        <v>1200000</v>
      </c>
      <c r="D13" s="17">
        <v>0.11</v>
      </c>
      <c r="E13" s="18">
        <f t="shared" si="1"/>
        <v>1210000</v>
      </c>
      <c r="F13" s="17">
        <v>0.11</v>
      </c>
      <c r="G13" s="18">
        <f t="shared" si="2"/>
        <v>1320000</v>
      </c>
    </row>
    <row r="14" spans="1:7" x14ac:dyDescent="0.2">
      <c r="A14" s="14" t="s">
        <v>39</v>
      </c>
      <c r="B14" s="17">
        <v>0.04</v>
      </c>
      <c r="C14" s="18">
        <f t="shared" si="0"/>
        <v>400000</v>
      </c>
      <c r="D14" s="17">
        <v>0.04</v>
      </c>
      <c r="E14" s="18">
        <f t="shared" si="1"/>
        <v>440000</v>
      </c>
      <c r="F14" s="17">
        <v>0.04</v>
      </c>
      <c r="G14" s="18">
        <f t="shared" si="2"/>
        <v>480000</v>
      </c>
    </row>
    <row r="15" spans="1:7" x14ac:dyDescent="0.2">
      <c r="A15" s="14" t="s">
        <v>40</v>
      </c>
      <c r="B15" s="17">
        <v>0.04</v>
      </c>
      <c r="C15" s="18">
        <f t="shared" si="0"/>
        <v>400000</v>
      </c>
      <c r="D15" s="17">
        <v>0.04</v>
      </c>
      <c r="E15" s="18">
        <f t="shared" si="1"/>
        <v>440000</v>
      </c>
      <c r="F15" s="17">
        <v>0.04</v>
      </c>
      <c r="G15" s="18">
        <f t="shared" si="2"/>
        <v>480000</v>
      </c>
    </row>
    <row r="16" spans="1:7" x14ac:dyDescent="0.2">
      <c r="A16" s="19" t="s">
        <v>41</v>
      </c>
      <c r="B16" s="21">
        <f t="shared" ref="B16:G16" si="3">SUM(B8:B15)</f>
        <v>1</v>
      </c>
      <c r="C16" s="20">
        <f t="shared" si="3"/>
        <v>10000000</v>
      </c>
      <c r="D16" s="21">
        <f t="shared" si="3"/>
        <v>1</v>
      </c>
      <c r="E16" s="20">
        <f t="shared" si="3"/>
        <v>11000000</v>
      </c>
      <c r="F16" s="21">
        <f t="shared" si="3"/>
        <v>1</v>
      </c>
      <c r="G16" s="20">
        <f t="shared" si="3"/>
        <v>12000000</v>
      </c>
    </row>
    <row r="18" spans="1:7" ht="23.75" customHeight="1" x14ac:dyDescent="0.2">
      <c r="A18" s="1" t="s">
        <v>137</v>
      </c>
      <c r="B18" s="1"/>
      <c r="C18" s="1"/>
      <c r="D18" s="1"/>
      <c r="E18" s="1"/>
      <c r="F18" s="1"/>
      <c r="G18" s="1"/>
    </row>
  </sheetData>
  <mergeCells count="3">
    <mergeCell ref="A1:G1"/>
    <mergeCell ref="A2:G2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Allocation Summary</vt:lpstr>
      <vt:lpstr>$10M Less</vt:lpstr>
      <vt:lpstr>$10M More</vt:lpstr>
      <vt:lpstr>Zero-Based Review</vt:lpstr>
      <vt:lpstr>Real Options Tracker</vt:lpstr>
      <vt:lpstr>3-Year Projection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KF</dc:creator>
  <cp:keywords/>
  <dc:description/>
  <cp:lastModifiedBy>Kevin Forbes</cp:lastModifiedBy>
  <cp:revision>0</cp:revision>
  <dcterms:created xsi:type="dcterms:W3CDTF">2026-08-30T13:56:27Z</dcterms:created>
  <dcterms:modified xsi:type="dcterms:W3CDTF">2026-09-01T05:03:18Z</dcterms:modified>
  <cp:category/>
  <dc:language>en-US</dc:language>
</cp:coreProperties>
</file>